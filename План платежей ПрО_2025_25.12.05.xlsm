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MSK_AUTO\"/>
    </mc:Choice>
  </mc:AlternateContent>
  <bookViews>
    <workbookView xWindow="-105" yWindow="-105" windowWidth="23250" windowHeight="12450"/>
  </bookViews>
  <sheets>
    <sheet name="Детализация" sheetId="1" r:id="rId1"/>
    <sheet name="Итого" sheetId="2" r:id="rId2"/>
    <sheet name="Лист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BX138" i="1" l="1"/>
  <c r="BX48" i="1"/>
  <c r="BX55" i="1"/>
  <c r="BX5" i="1"/>
  <c r="BX24" i="1"/>
  <c r="BX622" i="1"/>
  <c r="BX621" i="1" l="1"/>
  <c r="BX619" i="1"/>
  <c r="BX618" i="1"/>
  <c r="BX614" i="1"/>
  <c r="BX612" i="1"/>
  <c r="BX616" i="1"/>
  <c r="BX73" i="1"/>
  <c r="BU5" i="1" l="1"/>
  <c r="CR78" i="1"/>
  <c r="BX16" i="1" l="1"/>
  <c r="Z5" i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2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N366" i="1" l="1"/>
  <c r="BX610" i="1"/>
  <c r="BX623" i="1"/>
  <c r="BX125" i="1" l="1"/>
  <c r="BX110" i="1"/>
  <c r="BX102" i="1"/>
  <c r="BX92" i="1"/>
  <c r="BX82" i="1"/>
  <c r="BX199" i="1"/>
  <c r="BX198" i="1"/>
  <c r="BX120" i="1" l="1"/>
  <c r="BX121" i="1"/>
  <c r="BX503" i="1" l="1"/>
  <c r="BX504" i="1"/>
  <c r="BX508" i="1"/>
  <c r="BX551" i="1"/>
  <c r="BX532" i="1"/>
  <c r="BX195" i="1" l="1"/>
  <c r="BX194" i="1"/>
  <c r="BX197" i="1"/>
  <c r="BT124" i="1" l="1"/>
  <c r="BX96" i="1" l="1"/>
  <c r="BX146" i="1"/>
  <c r="BX196" i="1"/>
  <c r="BX628" i="1"/>
  <c r="BX625" i="1"/>
  <c r="BX627" i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502" i="1" l="1"/>
  <c r="BX275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2" i="1" l="1"/>
  <c r="CI642" i="1"/>
  <c r="CY642" i="1"/>
  <c r="DB642" i="1"/>
  <c r="BZ642" i="1"/>
  <c r="CU642" i="1"/>
  <c r="CD642" i="1"/>
  <c r="CX642" i="1"/>
  <c r="CE642" i="1"/>
  <c r="CT642" i="1"/>
  <c r="CA642" i="1"/>
  <c r="CH642" i="1"/>
  <c r="DB643" i="1" l="1"/>
  <c r="CH643" i="1"/>
  <c r="CX643" i="1"/>
  <c r="BZ643" i="1"/>
  <c r="CD643" i="1"/>
  <c r="CT643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73" i="1"/>
  <c r="BA72" i="1"/>
  <c r="BA70" i="1"/>
  <c r="BA55" i="1"/>
  <c r="BA53" i="1"/>
  <c r="BA49" i="1" l="1"/>
  <c r="BA48" i="1"/>
  <c r="BA71" i="1" s="1"/>
  <c r="BA24" i="1"/>
  <c r="BA27" i="1" s="1"/>
  <c r="BA5" i="1"/>
  <c r="AZ27" i="1"/>
  <c r="BV199" i="1"/>
  <c r="BB27" i="1" l="1"/>
  <c r="BY199" i="1"/>
  <c r="BU116" i="1"/>
  <c r="BV116" i="1" s="1"/>
  <c r="BX84" i="1"/>
  <c r="BX77" i="1" l="1"/>
  <c r="BY77" i="1" s="1"/>
  <c r="CN77" i="1" s="1"/>
  <c r="BX27" i="1"/>
  <c r="BX116" i="1"/>
  <c r="BY116" i="1" s="1"/>
  <c r="BX117" i="1"/>
  <c r="BY117" i="1" s="1"/>
  <c r="BX118" i="1"/>
  <c r="CS77" i="1" l="1"/>
  <c r="CP77" i="1"/>
  <c r="BT166" i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55" i="1" l="1"/>
  <c r="BU127" i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BU49" i="1" l="1"/>
  <c r="BU48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AG73" i="1"/>
  <c r="AG72" i="1"/>
  <c r="AG49" i="1"/>
  <c r="AG48" i="1"/>
  <c r="AG71" i="1" s="1"/>
  <c r="AG70" i="1"/>
  <c r="AG55" i="1"/>
  <c r="AG53" i="1"/>
  <c r="AG24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53" i="1"/>
  <c r="BU24" i="1"/>
  <c r="BU27" i="1" s="1"/>
  <c r="BV27" i="1" s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M73" i="1"/>
  <c r="M72" i="1"/>
  <c r="M70" i="1"/>
  <c r="M55" i="1"/>
  <c r="M53" i="1"/>
  <c r="M49" i="1"/>
  <c r="M48" i="1"/>
  <c r="M24" i="1"/>
  <c r="M5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5" i="1" l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M71" i="1" s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BY582" i="1"/>
  <c r="BV582" i="1"/>
  <c r="BV576" i="1"/>
  <c r="BY576" i="1"/>
  <c r="BY577" i="1"/>
  <c r="BV577" i="1"/>
  <c r="BV584" i="1"/>
  <c r="BY584" i="1"/>
  <c r="BY583" i="1"/>
  <c r="CS578" i="1" l="1"/>
  <c r="CS575" i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 l="1"/>
  <c r="CS570" i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M571" i="1"/>
  <c r="M574" i="1"/>
  <c r="M563" i="1"/>
  <c r="M582" i="1"/>
  <c r="DG582" i="1" s="1"/>
  <c r="M580" i="1"/>
  <c r="M559" i="1"/>
  <c r="M579" i="1"/>
  <c r="M570" i="1"/>
  <c r="M569" i="1"/>
  <c r="J558" i="1"/>
  <c r="DG570" i="1" l="1"/>
  <c r="DG565" i="1"/>
  <c r="DG569" i="1"/>
  <c r="DG577" i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BE482" i="1"/>
  <c r="BT482" i="1" s="1"/>
  <c r="BB482" i="1"/>
  <c r="CP481" i="1" l="1"/>
  <c r="DM481" i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M357" i="1"/>
  <c r="AG356" i="1"/>
  <c r="AG357" i="1"/>
  <c r="CM187" i="1"/>
  <c r="M606" i="1"/>
  <c r="M554" i="1"/>
  <c r="CM125" i="1"/>
  <c r="CM49" i="1"/>
  <c r="N49" i="1"/>
  <c r="CM48" i="1"/>
  <c r="N48" i="1"/>
  <c r="DG356" i="1" l="1"/>
  <c r="DG357" i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M535" i="1"/>
  <c r="M553" i="1"/>
  <c r="Q461" i="1"/>
  <c r="AF461" i="1" s="1"/>
  <c r="N461" i="1"/>
  <c r="Q460" i="1"/>
  <c r="AF460" i="1" s="1"/>
  <c r="N460" i="1"/>
  <c r="N99" i="1"/>
  <c r="DG536" i="1" l="1"/>
  <c r="DG542" i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 l="1"/>
  <c r="CP461" i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CP356" i="1" s="1"/>
  <c r="DH356" i="1"/>
  <c r="CN357" i="1"/>
  <c r="CS357" i="1" s="1"/>
  <c r="DH357" i="1"/>
  <c r="AK455" i="1"/>
  <c r="AZ455" i="1" s="1"/>
  <c r="BE455" i="1" s="1"/>
  <c r="BT455" i="1" s="1"/>
  <c r="AH455" i="1"/>
  <c r="AH456" i="1"/>
  <c r="BE456" i="1"/>
  <c r="BT456" i="1" s="1"/>
  <c r="BB456" i="1"/>
  <c r="CS356" i="1" l="1"/>
  <c r="CP357" i="1"/>
  <c r="DM357" i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 l="1"/>
  <c r="CS455" i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BE458" i="1"/>
  <c r="BT458" i="1" s="1"/>
  <c r="BB458" i="1"/>
  <c r="AJ376" i="1"/>
  <c r="CS209" i="1" l="1"/>
  <c r="DM208" i="1"/>
  <c r="DJ208" i="1"/>
  <c r="CN204" i="1"/>
  <c r="CP204" i="1" s="1"/>
  <c r="DH204" i="1"/>
  <c r="DM209" i="1"/>
  <c r="DJ209" i="1"/>
  <c r="CS208" i="1"/>
  <c r="BY458" i="1"/>
  <c r="BV458" i="1"/>
  <c r="CS204" i="1" l="1"/>
  <c r="DM204" i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CS221" i="1" s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BY235" i="1"/>
  <c r="P169" i="1"/>
  <c r="CN216" i="1" l="1"/>
  <c r="CS216" i="1" s="1"/>
  <c r="DH216" i="1"/>
  <c r="CN219" i="1"/>
  <c r="CS219" i="1" s="1"/>
  <c r="DH219" i="1"/>
  <c r="CN224" i="1"/>
  <c r="CS224" i="1" s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CS222" i="1" s="1"/>
  <c r="DH222" i="1"/>
  <c r="AK16" i="1"/>
  <c r="AH16" i="1"/>
  <c r="BY217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S6" i="1" l="1"/>
  <c r="CN503" i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CS229" i="1" s="1"/>
  <c r="DH229" i="1"/>
  <c r="BE317" i="1"/>
  <c r="BT317" i="1" s="1"/>
  <c r="BY317" i="1" s="1"/>
  <c r="CP229" i="1" l="1"/>
  <c r="CN317" i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 l="1"/>
  <c r="CS314" i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CS329" i="1" s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M288" i="1"/>
  <c r="CP329" i="1" l="1"/>
  <c r="CP330" i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71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2" i="1" l="1"/>
  <c r="BF642" i="1"/>
  <c r="BO642" i="1"/>
  <c r="BG642" i="1"/>
  <c r="BJ642" i="1"/>
  <c r="BK642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3" i="1"/>
  <c r="BN643" i="1"/>
  <c r="BF643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2" i="1" l="1"/>
  <c r="AL642" i="1"/>
  <c r="AT642" i="1"/>
  <c r="AM642" i="1"/>
  <c r="AP642" i="1"/>
  <c r="AQ642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3" i="1" l="1"/>
  <c r="CN315" i="1"/>
  <c r="CP315" i="1" s="1"/>
  <c r="DH315" i="1"/>
  <c r="CN316" i="1"/>
  <c r="CP316" i="1" s="1"/>
  <c r="DH316" i="1"/>
  <c r="AL643" i="1"/>
  <c r="AP643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S333" i="1" l="1"/>
  <c r="CP332" i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CP234" i="1" s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N354" i="1"/>
  <c r="CP233" i="1" l="1"/>
  <c r="CP228" i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CM219" i="1"/>
  <c r="K219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3" i="1" l="1"/>
  <c r="J223" i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2" i="1"/>
  <c r="Z643" i="1" s="1"/>
  <c r="S642" i="1"/>
  <c r="W642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P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AH336" i="1"/>
  <c r="CS29" i="1" l="1"/>
  <c r="CN36" i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S160" i="1" l="1"/>
  <c r="CP155" i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62" i="1" l="1"/>
  <c r="CP156" i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CP393" i="1" s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CP408" i="1"/>
  <c r="BY415" i="1"/>
  <c r="BV415" i="1"/>
  <c r="BY390" i="1"/>
  <c r="BV390" i="1"/>
  <c r="BV416" i="1"/>
  <c r="BY416" i="1"/>
  <c r="BV420" i="1"/>
  <c r="BY420" i="1"/>
  <c r="CS393" i="1" l="1"/>
  <c r="CS403" i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CP189" i="1" s="1"/>
  <c r="DH189" i="1"/>
  <c r="BE478" i="1"/>
  <c r="BT478" i="1" s="1"/>
  <c r="BB478" i="1"/>
  <c r="AF237" i="1"/>
  <c r="CS189" i="1" l="1"/>
  <c r="DM189" i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P214" i="1" l="1"/>
  <c r="CS151" i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CS438" i="1" s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P438" i="1" l="1"/>
  <c r="CS242" i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6" i="1" l="1"/>
  <c r="CS517" i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1" i="1" l="1"/>
  <c r="CS73" i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CP358" i="1" s="1"/>
  <c r="DH358" i="1"/>
  <c r="AK264" i="1"/>
  <c r="AZ264" i="1" s="1"/>
  <c r="AH264" i="1"/>
  <c r="AH66" i="1"/>
  <c r="AK66" i="1"/>
  <c r="AZ66" i="1" s="1"/>
  <c r="BY487" i="1"/>
  <c r="BV487" i="1"/>
  <c r="BY496" i="1"/>
  <c r="BV496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S358" i="1" l="1"/>
  <c r="CN492" i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251" i="1" l="1"/>
  <c r="CP594" i="1"/>
  <c r="CS192" i="1"/>
  <c r="CS592" i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CS495" i="1" s="1"/>
  <c r="DH495" i="1"/>
  <c r="AK12" i="1"/>
  <c r="AZ12" i="1" s="1"/>
  <c r="AH12" i="1"/>
  <c r="BY479" i="1"/>
  <c r="BV479" i="1"/>
  <c r="BY494" i="1"/>
  <c r="BV494" i="1"/>
  <c r="BY480" i="1"/>
  <c r="BV480" i="1"/>
  <c r="Q13" i="1"/>
  <c r="AF13" i="1" s="1"/>
  <c r="N13" i="1"/>
  <c r="CP495" i="1" l="1"/>
  <c r="CN494" i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2" i="1" s="1"/>
  <c r="V344" i="1"/>
  <c r="V642" i="1" s="1"/>
  <c r="V643" i="1" s="1"/>
  <c r="R643" i="1" l="1"/>
  <c r="B643" i="1" l="1"/>
</calcChain>
</file>

<file path=xl/comments1.xml><?xml version="1.0" encoding="utf-8"?>
<comments xmlns="http://schemas.openxmlformats.org/spreadsheetml/2006/main">
  <authors>
    <author>Молоков Александр Сергеевич</author>
    <author>Бизюлев Александр Николаевич</author>
    <author>alatortsev</author>
  </authors>
  <commentList>
    <comment ref="BT1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склада 61</t>
        </r>
      </text>
    </comment>
    <comment ref="BT20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BT22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AZ2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оп данным 61-склада на 08.07.25</t>
        </r>
      </text>
    </comment>
    <comment ref="BT7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AZ156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 на 08.07.25</t>
        </r>
      </text>
    </comment>
    <comment ref="L16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<sst xmlns="http://schemas.openxmlformats.org/spreadsheetml/2006/main" count="2158" uniqueCount="1003">
  <si>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</si>
  <si>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</si>
  <si>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</si>
  <si>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</si>
  <si>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</si>
  <si>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</si>
  <si>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</si>
  <si>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</si>
  <si>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</si>
  <si>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</si>
  <si>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</si>
  <si>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</si>
  <si>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</si>
  <si>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</si>
  <si>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</si>
  <si>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</si>
  <si>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</si>
  <si>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</si>
  <si>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</si>
  <si>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</si>
  <si>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</si>
  <si>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</si>
  <si>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</si>
  <si>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</si>
  <si>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</si>
  <si>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</si>
  <si>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</si>
  <si>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</si>
  <si>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</si>
  <si>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</si>
  <si>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</si>
  <si>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</si>
  <si>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</si>
  <si>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</si>
  <si>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</si>
  <si>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</si>
  <si>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</si>
  <si>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</si>
  <si>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</si>
  <si>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</si>
  <si>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</si>
  <si>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</si>
  <si>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</si>
  <si>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</si>
  <si>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</si>
  <si>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</si>
  <si>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</si>
  <si>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</si>
  <si>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</si>
  <si>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</si>
  <si>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</si>
  <si>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</si>
  <si>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</si>
  <si>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</si>
  <si>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</si>
  <si>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</si>
  <si>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</si>
  <si>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</si>
  <si>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</si>
  <si>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</si>
  <si>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</si>
  <si>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</si>
  <si>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</si>
  <si>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</si>
  <si>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</si>
  <si>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</si>
  <si>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</si>
  <si>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</si>
  <si>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</si>
  <si>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</si>
  <si>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</si>
  <si>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</si>
  <si>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</si>
  <si>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</si>
  <si>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</si>
  <si>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</si>
  <si>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</si>
  <si>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</si>
  <si>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</si>
  <si>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</si>
  <si>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</si>
  <si>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</si>
  <si>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</si>
  <si>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</si>
  <si>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</si>
  <si>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</si>
  <si>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</si>
  <si>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</si>
  <si>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</si>
  <si>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</si>
  <si>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</si>
  <si>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</si>
  <si>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</si>
  <si>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</si>
  <si>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</si>
  <si>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</si>
  <si>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</si>
  <si>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</si>
  <si>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</si>
  <si>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</si>
  <si>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</si>
  <si>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</si>
  <si>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</si>
  <si>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</si>
  <si>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</si>
  <si>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</si>
  <si>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</si>
  <si>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</si>
  <si>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</si>
  <si>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</si>
  <si>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</si>
  <si>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</si>
  <si>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</si>
  <si>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</si>
  <si>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</si>
  <si>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</si>
  <si>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</si>
  <si>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</si>
  <si>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</si>
  <si>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</si>
  <si>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</si>
  <si>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</si>
  <si>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</si>
  <si>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</si>
  <si>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</si>
  <si>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</si>
  <si>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</si>
  <si>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</si>
  <si>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</si>
  <si>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</si>
  <si>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</si>
  <si>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</si>
  <si>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</si>
  <si>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</si>
  <si>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</si>
  <si>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</si>
  <si>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</si>
  <si>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</si>
  <si>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</si>
  <si>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</si>
  <si>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</si>
  <si>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</si>
  <si>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</si>
  <si>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</si>
  <si>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</si>
  <si>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</si>
  <si>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</si>
  <si>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</si>
  <si>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</si>
  <si>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</si>
  <si>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</si>
  <si>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</si>
  <si>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</si>
  <si>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</si>
  <si>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</si>
  <si>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</si>
  <si>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</si>
  <si>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</si>
  <si>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</si>
  <si>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</si>
  <si>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</si>
  <si>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</si>
  <si>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</si>
  <si>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</si>
  <si>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</si>
  <si>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</si>
  <si>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</si>
  <si>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</si>
  <si>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</si>
  <si>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</si>
  <si>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</si>
  <si>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</si>
  <si>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</si>
  <si>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</si>
  <si>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</si>
  <si>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</si>
  <si>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</si>
  <si>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</si>
  <si>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</si>
  <si>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</si>
  <si>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</si>
  <si>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</si>
  <si>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</si>
  <si>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</si>
  <si>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</si>
  <si>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</si>
  <si>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</si>
  <si>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</si>
  <si>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</si>
  <si>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</si>
  <si>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</si>
  <si>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</si>
  <si>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</si>
  <si>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</si>
  <si>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</si>
  <si>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</si>
  <si>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</si>
  <si>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</si>
  <si>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</si>
  <si>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</si>
  <si>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</si>
  <si>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</si>
  <si>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</si>
  <si>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</si>
  <si>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</si>
  <si>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</si>
  <si>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</si>
  <si>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</si>
  <si>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</si>
  <si>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</si>
  <si>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</si>
  <si>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</si>
  <si>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</si>
  <si>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</si>
  <si>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</si>
  <si>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</si>
  <si>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</si>
  <si>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</si>
  <si>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</si>
  <si>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</si>
  <si>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</si>
  <si>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</si>
  <si>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</si>
  <si>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</si>
  <si>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</si>
  <si>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</si>
  <si>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</si>
  <si>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</si>
  <si>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</si>
  <si>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</si>
  <si>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</si>
  <si>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</si>
  <si>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</si>
  <si>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</si>
  <si>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</si>
  <si>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</si>
  <si>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</si>
  <si>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</si>
  <si>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</si>
  <si>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</si>
  <si>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</si>
  <si>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</si>
  <si>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</si>
  <si>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</si>
  <si>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</si>
  <si>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</si>
  <si>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</si>
  <si>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</si>
  <si>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</si>
  <si>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</si>
  <si>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</si>
  <si>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</si>
  <si>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</si>
  <si>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</si>
  <si>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</si>
  <si>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</si>
  <si>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</si>
  <si>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</si>
  <si>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</si>
  <si>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</si>
  <si>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</si>
  <si>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</si>
  <si>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</si>
  <si>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</si>
  <si>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</si>
  <si>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</si>
  <si>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</si>
  <si>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</si>
  <si>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</si>
  <si>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</si>
  <si>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</si>
  <si>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</si>
  <si>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</si>
  <si>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</si>
  <si>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</si>
  <si>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</si>
  <si>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</si>
  <si>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</si>
  <si>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</si>
  <si>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</si>
  <si>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</si>
  <si>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</si>
  <si>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</si>
  <si>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</si>
  <si>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</si>
  <si>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</si>
  <si>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</si>
  <si>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</si>
  <si>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</si>
  <si>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</si>
  <si>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</si>
  <si>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</si>
  <si>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</si>
  <si>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</si>
  <si>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</si>
  <si>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</si>
  <si>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</si>
  <si>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</si>
  <si>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</si>
  <si>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</si>
  <si>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</si>
  <si>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</si>
  <si>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</si>
  <si>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</si>
  <si>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</si>
  <si>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</si>
  <si>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</si>
  <si>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</si>
  <si>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</si>
  <si>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</si>
  <si>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</si>
  <si>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</si>
  <si>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</si>
  <si>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</si>
  <si>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</si>
  <si>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</si>
  <si>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</si>
  <si>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</si>
  <si>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</si>
  <si>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</si>
  <si>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</si>
  <si>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</si>
  <si>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</si>
  <si>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</si>
  <si>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</si>
  <si>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</si>
  <si>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</si>
  <si>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</si>
  <si>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</si>
  <si>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</si>
  <si>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</si>
  <si>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</si>
  <si>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</si>
  <si>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</si>
  <si>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</si>
  <si>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</si>
  <si>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</si>
  <si>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</si>
  <si>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</si>
  <si>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</si>
  <si>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</si>
  <si>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</si>
  <si>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</si>
  <si>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</si>
  <si>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</si>
  <si>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</si>
  <si>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</si>
  <si>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</si>
  <si>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</si>
  <si>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</si>
  <si>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</si>
  <si>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</si>
  <si>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</si>
  <si>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</si>
  <si>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</si>
  <si>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</si>
  <si>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</si>
  <si>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</si>
  <si>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</si>
  <si>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</si>
  <si>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</si>
  <si>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</si>
  <si>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</si>
  <si>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</si>
  <si>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</si>
  <si>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</si>
  <si>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</si>
  <si>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</si>
  <si>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</si>
  <si>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</si>
  <si>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</si>
  <si>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</si>
  <si>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</si>
  <si>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</si>
  <si>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</si>
  <si>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</si>
  <si>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</si>
  <si>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</si>
  <si>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</si>
  <si>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</si>
  <si>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</si>
  <si>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</si>
  <si>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</si>
  <si>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</si>
  <si>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</si>
  <si>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</si>
  <si>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</si>
  <si>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</si>
  <si>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</si>
  <si>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</si>
  <si>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</si>
  <si>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</si>
  <si>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</si>
  <si>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</si>
  <si>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</si>
  <si>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</si>
  <si>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</si>
  <si>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</si>
  <si>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</si>
  <si>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</si>
  <si>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</si>
  <si>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</si>
  <si>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</si>
  <si>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</si>
  <si>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</si>
  <si>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</si>
  <si>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</si>
  <si>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</si>
  <si>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</si>
  <si>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</si>
  <si>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</si>
  <si>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</si>
  <si>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</si>
  <si>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</si>
  <si>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</si>
  <si>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</si>
  <si>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</si>
  <si>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</si>
  <si>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</si>
  <si>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</si>
  <si>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</si>
  <si>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</si>
  <si>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</si>
  <si>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</si>
  <si>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</si>
  <si>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</si>
  <si>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</si>
  <si>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</si>
  <si>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</si>
  <si>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</si>
  <si>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</si>
  <si>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</si>
  <si>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</si>
  <si>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</si>
  <si>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</si>
  <si>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</si>
  <si>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</si>
  <si>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</si>
  <si>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</si>
  <si>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</si>
  <si>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</si>
  <si>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</si>
  <si>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</si>
  <si>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</si>
  <si>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</si>
  <si>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</si>
  <si>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</si>
  <si>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</si>
  <si>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</si>
  <si>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</si>
  <si>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</si>
  <si>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</si>
  <si>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</si>
  <si>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</si>
  <si>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</si>
  <si>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</si>
  <si>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</si>
  <si>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</si>
  <si>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</si>
  <si>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</si>
  <si>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</si>
  <si>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</si>
  <si>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</si>
  <si>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</si>
  <si>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</si>
  <si>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</si>
  <si>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</si>
  <si>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</si>
  <si>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</si>
  <si>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</si>
  <si>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</si>
  <si>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</si>
  <si>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</si>
  <si>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</si>
  <si>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</si>
  <si>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</si>
  <si>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</si>
  <si>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</si>
  <si>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</si>
  <si>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</si>
  <si>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</si>
  <si>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</si>
  <si>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</si>
  <si>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</si>
  <si>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</si>
  <si>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</si>
  <si>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</si>
  <si>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</si>
  <si>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</si>
  <si>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</si>
  <si>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</si>
  <si>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</si>
  <si>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</si>
  <si>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</si>
  <si>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</si>
  <si>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</si>
  <si>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</si>
  <si>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</si>
  <si>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</si>
  <si>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</si>
  <si>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</si>
  <si>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</si>
  <si>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</si>
  <si>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</si>
  <si>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</si>
  <si>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</si>
  <si>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</si>
  <si>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</si>
  <si>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</si>
  <si>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</si>
  <si>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</si>
  <si>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</si>
  <si>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</si>
  <si>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</si>
  <si>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</si>
  <si>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</si>
  <si>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</si>
  <si>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</si>
  <si>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</si>
  <si>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</si>
  <si>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</si>
  <si>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</si>
  <si>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</si>
  <si>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</si>
  <si>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</si>
  <si>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</si>
  <si>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</si>
  <si>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</si>
  <si>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</si>
  <si>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</si>
  <si>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</si>
  <si>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</si>
  <si>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</si>
  <si>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</si>
  <si>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</si>
  <si>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</si>
  <si>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</si>
  <si>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</si>
  <si>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</si>
  <si>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</si>
  <si>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</si>
  <si>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</si>
  <si>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</si>
  <si>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</si>
  <si>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</si>
  <si>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</si>
  <si>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</si>
  <si>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</si>
  <si>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</si>
  <si>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</si>
  <si>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</si>
  <si>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</si>
  <si>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</si>
  <si>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</si>
  <si>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</si>
  <si>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</si>
  <si>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</si>
  <si>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</si>
  <si>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</si>
  <si>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</si>
  <si>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</si>
  <si>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</si>
  <si>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</si>
  <si>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</si>
  <si>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</si>
  <si>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</si>
  <si>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</si>
  <si>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</si>
  <si>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</si>
  <si>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</si>
  <si>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</si>
  <si>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</si>
  <si>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</si>
  <si>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</si>
  <si>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</si>
  <si>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</si>
  <si>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</si>
  <si>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</si>
  <si>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</si>
  <si>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</si>
  <si>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</si>
  <si>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</si>
  <si>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</si>
  <si>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</si>
  <si>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</si>
  <si>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</si>
  <si>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</si>
  <si>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</si>
  <si>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</si>
  <si>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</si>
  <si>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</si>
  <si>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</si>
  <si>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</si>
  <si>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</si>
  <si>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</si>
  <si>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</si>
  <si>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</si>
  <si>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</si>
  <si>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</si>
  <si>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</si>
  <si>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</si>
  <si>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</si>
  <si>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</si>
  <si>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</si>
  <si>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</si>
  <si>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</si>
  <si>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</si>
  <si>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</si>
  <si>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</si>
  <si>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</si>
  <si>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</si>
  <si>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</si>
  <si>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</si>
  <si>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</si>
  <si>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</si>
  <si>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</si>
  <si>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</si>
  <si>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</si>
  <si>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</si>
  <si>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</si>
  <si>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</si>
  <si>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</si>
  <si>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</si>
  <si>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</si>
  <si>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</si>
  <si>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</si>
  <si>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</si>
  <si>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</si>
  <si>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</si>
  <si>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</si>
  <si>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</si>
  <si>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</si>
  <si>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</si>
  <si>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</si>
  <si>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</si>
  <si>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</si>
  <si>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</si>
  <si>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</si>
  <si>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</si>
  <si>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</si>
  <si>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</si>
  <si>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</si>
  <si>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</si>
  <si>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</si>
  <si>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</si>
  <si>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</si>
  <si>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</si>
  <si>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</si>
  <si>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</si>
  <si>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</si>
  <si>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</si>
  <si>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</si>
  <si>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</si>
  <si>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</si>
  <si>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</si>
  <si>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</si>
  <si>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</si>
  <si>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</si>
  <si>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</si>
  <si>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</si>
  <si>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</si>
  <si>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</si>
  <si>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</si>
  <si>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</si>
  <si>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</si>
  <si>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</si>
  <si>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</si>
  <si>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</si>
  <si>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</si>
  <si>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</si>
  <si>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</si>
  <si>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</si>
  <si>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</si>
  <si>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</si>
  <si>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</si>
  <si>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</si>
  <si>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</si>
  <si>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</si>
  <si>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</si>
  <si>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</si>
  <si>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</si>
  <si>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</si>
  <si>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</si>
  <si>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</si>
  <si>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</si>
  <si>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</si>
  <si>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</si>
  <si>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</si>
  <si>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</si>
  <si>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</si>
  <si>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</si>
  <si>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</si>
  <si>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</si>
  <si>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</si>
  <si>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</si>
  <si>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</si>
  <si>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</si>
  <si>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</si>
  <si>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</si>
  <si>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</si>
  <si>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</si>
  <si>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</si>
  <si>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</si>
  <si>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</si>
  <si>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</si>
  <si>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</si>
  <si>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</si>
  <si>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</si>
  <si>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</si>
  <si>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</si>
  <si>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</si>
  <si>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</si>
  <si>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</si>
  <si>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</si>
  <si>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</si>
  <si>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</si>
  <si>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</si>
  <si>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</si>
  <si>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</si>
  <si>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</si>
  <si>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</si>
  <si>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</si>
  <si>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</si>
  <si>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</si>
  <si>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</si>
  <si>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</si>
  <si>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</si>
  <si>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</si>
  <si>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</si>
  <si>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</si>
  <si>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</si>
  <si>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</si>
  <si>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</si>
  <si>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</si>
  <si>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</si>
  <si>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</si>
  <si>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</si>
  <si>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</si>
  <si>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</si>
  <si>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</si>
  <si>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</si>
  <si>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</si>
  <si>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</si>
  <si>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</si>
  <si>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</si>
  <si>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</si>
  <si>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</si>
  <si>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</si>
  <si>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</si>
  <si>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</si>
  <si>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</si>
  <si>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</si>
  <si>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</si>
  <si>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</si>
  <si>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</si>
  <si>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</si>
  <si>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</si>
  <si>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</si>
  <si>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</si>
  <si>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</si>
  <si>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</si>
  <si>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</si>
  <si>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</si>
  <si>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</si>
  <si>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</si>
  <si>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</si>
  <si>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</si>
  <si>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</si>
  <si>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</si>
  <si>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</si>
  <si>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</si>
  <si>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</si>
  <si>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</si>
  <si>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</si>
  <si>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</si>
  <si>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</si>
  <si>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</si>
  <si>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</si>
  <si>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</si>
  <si>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</si>
  <si>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</si>
  <si>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</si>
  <si>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</si>
  <si>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</si>
  <si>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</si>
  <si>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</si>
  <si>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</si>
  <si>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</si>
  <si>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</si>
  <si>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</si>
  <si>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</si>
  <si>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</si>
  <si>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</si>
  <si>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</si>
  <si>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</si>
  <si>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</si>
  <si>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</si>
  <si>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</si>
  <si>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</si>
  <si>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</si>
  <si>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</si>
  <si>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</si>
  <si>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</si>
  <si>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</si>
  <si>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</si>
  <si>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</si>
  <si>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</si>
  <si>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</si>
  <si>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</si>
  <si>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</si>
  <si>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</si>
  <si>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</si>
  <si>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</si>
  <si>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</si>
  <si>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</si>
  <si>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</si>
  <si>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</si>
  <si>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</si>
  <si>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</si>
  <si>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</si>
  <si>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</si>
  <si>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</si>
  <si>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</si>
  <si>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</si>
  <si>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</si>
  <si>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</si>
  <si>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</si>
  <si>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</si>
  <si>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</si>
  <si>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</si>
  <si>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</si>
  <si>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</si>
  <si>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</si>
  <si>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</si>
  <si>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</si>
  <si>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</si>
  <si>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</si>
  <si>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</si>
  <si>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</si>
  <si>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</si>
  <si>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</si>
  <si>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</si>
  <si>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</si>
  <si>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</si>
  <si>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</si>
  <si>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</si>
  <si>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</si>
  <si>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</si>
  <si>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</si>
  <si>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</si>
  <si>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</si>
  <si>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</si>
  <si>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</si>
  <si>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</si>
  <si>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</si>
  <si>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</si>
  <si>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</si>
  <si>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</si>
  <si>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</si>
  <si>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</si>
  <si>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</si>
  <si>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</si>
  <si>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</si>
  <si>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</si>
  <si>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</si>
  <si>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</si>
  <si>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</si>
  <si>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</si>
  <si>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</si>
  <si>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</si>
  <si>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</si>
  <si>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</si>
  <si>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</si>
  <si>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</si>
  <si>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</si>
  <si>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</si>
  <si>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</si>
  <si>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</si>
  <si>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</si>
  <si>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</si>
  <si>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</si>
  <si>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</si>
  <si>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</si>
  <si>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</si>
  <si>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</si>
  <si>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</si>
  <si>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</si>
  <si>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</si>
  <si>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</si>
  <si>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</si>
  <si>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</si>
  <si>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</si>
  <si>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</si>
  <si>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</si>
  <si>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</si>
  <si>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</si>
  <si>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</si>
  <si>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</si>
  <si>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</si>
  <si>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</si>
  <si>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</si>
  <si>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</si>
  <si>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</si>
  <si>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</si>
  <si>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</si>
  <si>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</si>
  <si>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</si>
  <si>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</si>
  <si>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</si>
  <si>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</si>
  <si>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</si>
  <si>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</si>
  <si>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</si>
  <si>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</si>
  <si>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</si>
  <si>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</si>
  <si>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</si>
  <si>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</si>
  <si>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</si>
  <si>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</si>
  <si>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</si>
  <si>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</si>
  <si>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</si>
  <si>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</si>
  <si>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</si>
  <si>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</si>
  <si>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</si>
  <si>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</si>
  <si>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</si>
  <si>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</si>
  <si>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</si>
  <si>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</si>
  <si>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</si>
  <si>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</si>
  <si>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</si>
  <si>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</si>
  <si>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</si>
  <si>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</si>
  <si>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</si>
  <si>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</si>
  <si>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</si>
  <si>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</si>
  <si>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</si>
  <si>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</si>
  <si>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</si>
  <si>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</si>
  <si>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</si>
  <si>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</si>
  <si>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</si>
  <si>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</si>
  <si>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</si>
  <si>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</si>
  <si>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</si>
  <si>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</si>
  <si>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</si>
  <si>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</si>
  <si>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</si>
  <si>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</si>
  <si>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</si>
  <si>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</si>
  <si>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</si>
  <si>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</si>
  <si>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</si>
  <si>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</si>
  <si>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</si>
  <si>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</si>
  <si>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</si>
  <si>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</si>
  <si>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</si>
  <si>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</si>
  <si>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</si>
  <si>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</si>
  <si>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</si>
  <si>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</si>
  <si>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</si>
  <si>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</si>
  <si>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</si>
  <si>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</si>
  <si>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</si>
  <si>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</si>
  <si>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</si>
  <si>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</si>
  <si>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</si>
  <si>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</si>
  <si>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</si>
  <si>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</si>
  <si>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</si>
  <si>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</si>
  <si>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</si>
  <si>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</si>
  <si>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</si>
  <si>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</si>
  <si>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</si>
  <si>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</si>
  <si>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</si>
  <si>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EFD 6-412-A Flux Plus, Флюс-гель безотмывочный, 10г</t>
  </si>
  <si>
    <t>заявка 53 в ОМТО</t>
  </si>
  <si>
    <t>заказать в конце марта</t>
  </si>
  <si>
    <t>1 кв. 2026</t>
  </si>
  <si>
    <t>4 кв. 2025</t>
  </si>
  <si>
    <t>3 кв. 2025</t>
  </si>
  <si>
    <t>2 кв. 2025</t>
  </si>
  <si>
    <t>1 кв.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</si>
</sst>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/>
  </sheetPr>
  <dimension ref="A1:DM644"/>
  <sheetViews>
    <sheetView tabSelected="1" zoomScale="85" zoomScaleNormal="85" workbookViewId="0">
      <pane xSplit="10" ySplit="3" topLeftCell="K4" activePane="bottomRight" state="frozen"/>
      <selection pane="topRight" activeCell="I1" sqref="I1"/>
      <selection pane="bottomLeft" activeCell="A4" sqref="A4"/>
      <selection pane="bottomRight"/>
    </sheetView>
  </sheetViews>
  <sheetFormatPr defaultRowHeight="15" x14ac:dyDescent="0.25"/>
  <cols>
    <col min="1" max="1" width="6.5703125" style="1" customWidth="1"/>
    <col min="2" max="2" width="40.7109375" customWidth="1"/>
    <col min="3" max="3" width="8.85546875" style="1" hidden="1" customWidth="1"/>
    <col min="4" max="4" width="20.5703125" hidden="1" customWidth="1"/>
    <col min="5" max="5" width="2.7109375" hidden="1" customWidth="1"/>
    <col min="6" max="6" width="10.85546875" style="341" hidden="1" customWidth="1"/>
    <col min="7" max="7" width="30.7109375" hidden="1" customWidth="1"/>
    <col min="8" max="8" width="10.85546875" style="1" hidden="1" customWidth="1"/>
    <col min="9" max="9" width="2.7109375" style="1" hidden="1" customWidth="1"/>
    <col min="10" max="11" width="10.85546875" style="1" hidden="1" customWidth="1"/>
    <col min="12" max="15" width="9.7109375" style="1" hidden="1" customWidth="1"/>
    <col min="16" max="16" width="9.7109375" style="1" customWidth="1"/>
    <col min="17" max="17" width="9.7109375" style="1" hidden="1" customWidth="1"/>
    <col min="18" max="19" width="13.42578125" style="4" hidden="1" customWidth="1"/>
    <col min="20" max="20" width="27" style="1" hidden="1" customWidth="1"/>
    <col min="21" max="21" width="2.7109375" style="1" hidden="1" customWidth="1"/>
    <col min="22" max="23" width="13.42578125" style="4" hidden="1" customWidth="1"/>
    <col min="24" max="24" width="25.7109375" style="1" hidden="1" customWidth="1"/>
    <col min="25" max="25" width="2.7109375" style="1" hidden="1" customWidth="1"/>
    <col min="26" max="27" width="13.42578125" style="4" hidden="1" customWidth="1"/>
    <col min="28" max="28" width="25.7109375" style="1" hidden="1" customWidth="1"/>
    <col min="29" max="30" width="2.7109375" style="1" hidden="1" customWidth="1"/>
    <col min="31" max="31" width="10.85546875" style="1" hidden="1" customWidth="1"/>
    <col min="32" max="35" width="9.7109375" style="1" hidden="1" customWidth="1"/>
    <col min="36" max="36" width="9.7109375" style="1" customWidth="1"/>
    <col min="37" max="37" width="9.7109375" style="1" hidden="1" customWidth="1"/>
    <col min="38" max="39" width="13.42578125" style="4" hidden="1" customWidth="1"/>
    <col min="40" max="40" width="27" style="1" hidden="1" customWidth="1"/>
    <col min="41" max="41" width="2.7109375" style="1" hidden="1" customWidth="1"/>
    <col min="42" max="43" width="13.42578125" style="4" hidden="1" customWidth="1"/>
    <col min="44" max="44" width="25.7109375" style="1" hidden="1" customWidth="1"/>
    <col min="45" max="45" width="2.7109375" style="1" hidden="1" customWidth="1"/>
    <col min="46" max="47" width="13.42578125" style="4" hidden="1" customWidth="1"/>
    <col min="48" max="48" width="25.7109375" style="1" hidden="1" customWidth="1"/>
    <col min="49" max="50" width="2.7109375" style="1" hidden="1" customWidth="1"/>
    <col min="51" max="51" width="10.85546875" style="1" hidden="1" customWidth="1"/>
    <col min="52" max="55" width="9.7109375" style="1" hidden="1" customWidth="1"/>
    <col min="56" max="56" width="9.7109375" style="1" customWidth="1"/>
    <col min="57" max="57" width="9.7109375" style="1" hidden="1" customWidth="1"/>
    <col min="58" max="59" width="13.42578125" style="4" hidden="1" customWidth="1"/>
    <col min="60" max="60" width="27" style="1" hidden="1" customWidth="1"/>
    <col min="61" max="61" width="2.7109375" style="1" hidden="1" customWidth="1"/>
    <col min="62" max="63" width="13.42578125" style="4" hidden="1" customWidth="1"/>
    <col min="64" max="64" width="25.7109375" style="1" hidden="1" customWidth="1"/>
    <col min="65" max="65" width="2.7109375" style="1" hidden="1" customWidth="1"/>
    <col min="66" max="67" width="13.42578125" style="4" hidden="1" customWidth="1"/>
    <col min="68" max="68" width="25.7109375" style="1" hidden="1" customWidth="1"/>
    <col min="69" max="70" width="2.7109375" style="1" hidden="1" customWidth="1"/>
    <col min="71" max="71" width="10.85546875" style="1" hidden="1" customWidth="1"/>
    <col min="72" max="75" width="9.7109375" style="1" hidden="1" customWidth="1"/>
    <col min="76" max="76" width="9.7109375" style="1" customWidth="1"/>
    <col min="77" max="77" width="9.7109375" style="1" hidden="1" customWidth="1"/>
    <col min="78" max="79" width="13.42578125" style="4" hidden="1" customWidth="1"/>
    <col min="80" max="80" width="27" style="1" hidden="1" customWidth="1"/>
    <col min="81" max="81" width="2.7109375" style="1" hidden="1" customWidth="1"/>
    <col min="82" max="83" width="13.42578125" style="4" hidden="1" customWidth="1"/>
    <col min="84" max="84" width="25.7109375" style="1" hidden="1" customWidth="1"/>
    <col min="85" max="85" width="2.7109375" style="1" hidden="1" customWidth="1"/>
    <col min="86" max="87" width="13.42578125" style="4" hidden="1" customWidth="1"/>
    <col min="88" max="88" width="25.7109375" style="1" hidden="1" customWidth="1"/>
    <col min="89" max="90" width="2.7109375" style="1" hidden="1" customWidth="1"/>
    <col min="91" max="91" width="10.85546875" style="1" hidden="1" customWidth="1"/>
    <col min="92" max="95" width="9.7109375" style="1" hidden="1" customWidth="1"/>
    <col min="96" max="96" width="9.7109375" style="1" customWidth="1"/>
    <col min="97" max="97" width="9.7109375" style="1" hidden="1" customWidth="1"/>
    <col min="98" max="99" width="13.42578125" style="4" hidden="1" customWidth="1"/>
    <col min="100" max="100" width="27" style="1" hidden="1" customWidth="1"/>
    <col min="101" max="101" width="2.7109375" style="1" hidden="1" customWidth="1"/>
    <col min="102" max="103" width="13.42578125" style="4" hidden="1" customWidth="1"/>
    <col min="104" max="104" width="25.7109375" style="1" hidden="1" customWidth="1"/>
    <col min="105" max="105" width="2.7109375" style="1" hidden="1" customWidth="1"/>
    <col min="106" max="107" width="13.42578125" style="4" hidden="1" customWidth="1"/>
    <col min="108" max="108" width="25.7109375" style="1" hidden="1" customWidth="1"/>
    <col min="109" max="110" width="2.7109375" style="1" hidden="1" customWidth="1"/>
    <col min="111" max="111" width="10.85546875" style="1" hidden="1" customWidth="1"/>
    <col min="112" max="117" width="9.7109375" style="1" hidden="1" customWidth="1"/>
  </cols>
  <sheetData>
    <row r="1" spans="1:117" ht="15.75" thickBot="1" x14ac:dyDescent="0.3">
      <c r="K1" s="529"/>
      <c r="L1" s="389"/>
      <c r="M1" s="389"/>
      <c r="N1" s="389"/>
      <c r="O1" s="389"/>
      <c r="P1" s="389"/>
      <c r="Q1" s="389"/>
      <c r="R1" s="838" t="s">
        <v>644</v>
      </c>
      <c r="S1" s="838"/>
      <c r="T1" s="838"/>
      <c r="U1" s="838"/>
      <c r="V1" s="838"/>
      <c r="W1" s="838"/>
      <c r="X1" s="838"/>
      <c r="Y1" s="838"/>
      <c r="Z1" s="838"/>
      <c r="AA1" s="838"/>
      <c r="AB1" s="839"/>
      <c r="AC1" s="732"/>
      <c r="AD1" s="732"/>
      <c r="AF1" s="389"/>
      <c r="AG1" s="389"/>
      <c r="AH1" s="389"/>
      <c r="AI1" s="389"/>
      <c r="AJ1" s="389"/>
      <c r="AK1" s="389"/>
      <c r="AL1" s="838" t="s">
        <v>690</v>
      </c>
      <c r="AM1" s="838"/>
      <c r="AN1" s="838"/>
      <c r="AO1" s="838"/>
      <c r="AP1" s="838"/>
      <c r="AQ1" s="838"/>
      <c r="AR1" s="838"/>
      <c r="AS1" s="838"/>
      <c r="AT1" s="838"/>
      <c r="AU1" s="838"/>
      <c r="AV1" s="839"/>
      <c r="AW1" s="732"/>
      <c r="AX1" s="732"/>
      <c r="AZ1" s="389"/>
      <c r="BA1" s="389"/>
      <c r="BB1" s="389"/>
      <c r="BC1" s="389"/>
      <c r="BD1" s="389"/>
      <c r="BE1" s="389"/>
      <c r="BF1" s="838" t="s">
        <v>691</v>
      </c>
      <c r="BG1" s="838"/>
      <c r="BH1" s="838"/>
      <c r="BI1" s="838"/>
      <c r="BJ1" s="838"/>
      <c r="BK1" s="838"/>
      <c r="BL1" s="838"/>
      <c r="BM1" s="838"/>
      <c r="BN1" s="838"/>
      <c r="BO1" s="838"/>
      <c r="BP1" s="839"/>
      <c r="BQ1" s="732"/>
      <c r="BR1" s="732"/>
      <c r="BT1" s="389"/>
      <c r="BU1" s="389"/>
      <c r="BV1" s="389"/>
      <c r="BW1" s="389"/>
      <c r="BX1" s="389"/>
      <c r="BY1" s="389"/>
      <c r="BZ1" s="838" t="s">
        <v>692</v>
      </c>
      <c r="CA1" s="838"/>
      <c r="CB1" s="838"/>
      <c r="CC1" s="838"/>
      <c r="CD1" s="838"/>
      <c r="CE1" s="838"/>
      <c r="CF1" s="838"/>
      <c r="CG1" s="838"/>
      <c r="CH1" s="838"/>
      <c r="CI1" s="838"/>
      <c r="CJ1" s="839"/>
      <c r="CK1" s="732"/>
      <c r="CL1" s="732"/>
      <c r="CN1" s="389"/>
      <c r="CO1" s="389"/>
      <c r="CP1" s="389"/>
      <c r="CQ1" s="389"/>
      <c r="CR1" s="389"/>
      <c r="CS1" s="389"/>
      <c r="CT1" s="838" t="s">
        <v>693</v>
      </c>
      <c r="CU1" s="838"/>
      <c r="CV1" s="838"/>
      <c r="CW1" s="838"/>
      <c r="CX1" s="838"/>
      <c r="CY1" s="838"/>
      <c r="CZ1" s="838"/>
      <c r="DA1" s="838"/>
      <c r="DB1" s="838"/>
      <c r="DC1" s="838"/>
      <c r="DD1" s="839"/>
      <c r="DE1" s="732"/>
      <c r="DF1" s="732"/>
      <c r="DH1" s="389"/>
      <c r="DI1" s="389"/>
      <c r="DJ1" s="389"/>
      <c r="DK1" s="389"/>
      <c r="DL1" s="389"/>
      <c r="DM1" s="389"/>
    </row>
    <row r="2" spans="1:117" ht="15.75" customHeight="1" thickBot="1" x14ac:dyDescent="0.3">
      <c r="C2" s="832" t="s">
        <v>989</v>
      </c>
      <c r="D2" s="833"/>
      <c r="E2" s="819" t="s">
        <v>987</v>
      </c>
      <c r="F2" s="827" t="s">
        <v>990</v>
      </c>
      <c r="G2" s="828"/>
      <c r="H2" s="829"/>
      <c r="I2" s="830" t="s">
        <v>988</v>
      </c>
      <c r="J2" s="751" t="s">
        <v>158</v>
      </c>
      <c r="K2" s="400" t="s">
        <v>158</v>
      </c>
      <c r="L2" s="821" t="s">
        <v>1002</v>
      </c>
      <c r="M2" s="822"/>
      <c r="N2" s="822"/>
      <c r="O2" s="822"/>
      <c r="P2" s="822"/>
      <c r="Q2" s="823"/>
      <c r="R2" s="824" t="s">
        <v>143</v>
      </c>
      <c r="S2" s="825"/>
      <c r="T2" s="826"/>
      <c r="U2" s="819" t="s">
        <v>143</v>
      </c>
      <c r="V2" s="824" t="s">
        <v>144</v>
      </c>
      <c r="W2" s="825"/>
      <c r="X2" s="826"/>
      <c r="Y2" s="819" t="s">
        <v>144</v>
      </c>
      <c r="Z2" s="824" t="s">
        <v>145</v>
      </c>
      <c r="AA2" s="825"/>
      <c r="AB2" s="826"/>
      <c r="AC2" s="819" t="s">
        <v>145</v>
      </c>
      <c r="AD2" s="819" t="s">
        <v>991</v>
      </c>
      <c r="AE2" s="400" t="s">
        <v>158</v>
      </c>
      <c r="AF2" s="821" t="s">
        <v>1001</v>
      </c>
      <c r="AG2" s="822"/>
      <c r="AH2" s="822"/>
      <c r="AI2" s="822"/>
      <c r="AJ2" s="822"/>
      <c r="AK2" s="823"/>
      <c r="AL2" s="824" t="s">
        <v>12</v>
      </c>
      <c r="AM2" s="825"/>
      <c r="AN2" s="826"/>
      <c r="AO2" s="819" t="s">
        <v>12</v>
      </c>
      <c r="AP2" s="824" t="s">
        <v>13</v>
      </c>
      <c r="AQ2" s="825"/>
      <c r="AR2" s="826"/>
      <c r="AS2" s="819" t="s">
        <v>13</v>
      </c>
      <c r="AT2" s="824" t="s">
        <v>14</v>
      </c>
      <c r="AU2" s="825"/>
      <c r="AV2" s="826"/>
      <c r="AW2" s="819" t="s">
        <v>14</v>
      </c>
      <c r="AX2" s="819" t="s">
        <v>994</v>
      </c>
      <c r="AY2" s="400" t="s">
        <v>158</v>
      </c>
      <c r="AZ2" s="821" t="s">
        <v>1000</v>
      </c>
      <c r="BA2" s="822"/>
      <c r="BB2" s="822"/>
      <c r="BC2" s="822"/>
      <c r="BD2" s="822"/>
      <c r="BE2" s="823"/>
      <c r="BF2" s="824" t="s">
        <v>159</v>
      </c>
      <c r="BG2" s="825"/>
      <c r="BH2" s="826"/>
      <c r="BI2" s="819" t="s">
        <v>159</v>
      </c>
      <c r="BJ2" s="824" t="s">
        <v>162</v>
      </c>
      <c r="BK2" s="825"/>
      <c r="BL2" s="826"/>
      <c r="BM2" s="819" t="s">
        <v>162</v>
      </c>
      <c r="BN2" s="824" t="s">
        <v>163</v>
      </c>
      <c r="BO2" s="825"/>
      <c r="BP2" s="826"/>
      <c r="BQ2" s="819" t="s">
        <v>163</v>
      </c>
      <c r="BR2" s="819" t="s">
        <v>993</v>
      </c>
      <c r="BS2" s="400" t="s">
        <v>158</v>
      </c>
      <c r="BT2" s="821" t="s">
        <v>999</v>
      </c>
      <c r="BU2" s="822"/>
      <c r="BV2" s="822"/>
      <c r="BW2" s="822"/>
      <c r="BX2" s="822"/>
      <c r="BY2" s="823"/>
      <c r="BZ2" s="824" t="s">
        <v>164</v>
      </c>
      <c r="CA2" s="825"/>
      <c r="CB2" s="826"/>
      <c r="CC2" s="819" t="s">
        <v>164</v>
      </c>
      <c r="CD2" s="824" t="s">
        <v>166</v>
      </c>
      <c r="CE2" s="825"/>
      <c r="CF2" s="826"/>
      <c r="CG2" s="819" t="s">
        <v>166</v>
      </c>
      <c r="CH2" s="824" t="s">
        <v>167</v>
      </c>
      <c r="CI2" s="825"/>
      <c r="CJ2" s="826"/>
      <c r="CK2" s="819" t="s">
        <v>167</v>
      </c>
      <c r="CL2" s="819" t="s">
        <v>992</v>
      </c>
      <c r="CM2" s="400" t="s">
        <v>158</v>
      </c>
      <c r="CN2" s="821" t="s">
        <v>998</v>
      </c>
      <c r="CO2" s="822"/>
      <c r="CP2" s="822"/>
      <c r="CQ2" s="822"/>
      <c r="CR2" s="822"/>
      <c r="CS2" s="823"/>
      <c r="CT2" s="824" t="s">
        <v>143</v>
      </c>
      <c r="CU2" s="825"/>
      <c r="CV2" s="826"/>
      <c r="CW2" s="819" t="s">
        <v>143</v>
      </c>
      <c r="CX2" s="824" t="s">
        <v>144</v>
      </c>
      <c r="CY2" s="825"/>
      <c r="CZ2" s="826"/>
      <c r="DA2" s="819" t="s">
        <v>144</v>
      </c>
      <c r="DB2" s="824" t="s">
        <v>145</v>
      </c>
      <c r="DC2" s="825"/>
      <c r="DD2" s="826"/>
      <c r="DE2" s="819" t="s">
        <v>145</v>
      </c>
      <c r="DF2" s="819" t="s">
        <v>991</v>
      </c>
      <c r="DG2" s="400" t="s">
        <v>158</v>
      </c>
      <c r="DH2" s="840">
        <v>2026</v>
      </c>
      <c r="DI2" s="841"/>
      <c r="DJ2" s="841"/>
      <c r="DK2" s="841"/>
      <c r="DL2" s="841"/>
      <c r="DM2" s="842"/>
    </row>
    <row r="3" spans="1:117" s="2" customFormat="1" ht="30.75" thickBot="1" x14ac:dyDescent="0.3">
      <c r="A3" s="9" t="s">
        <v>0</v>
      </c>
      <c r="B3" s="9" t="s">
        <v>1</v>
      </c>
      <c r="C3" s="758" t="s">
        <v>2</v>
      </c>
      <c r="D3" s="753" t="s">
        <v>3</v>
      </c>
      <c r="E3" s="820"/>
      <c r="F3" s="752" t="s">
        <v>4</v>
      </c>
      <c r="G3" s="753" t="s">
        <v>1</v>
      </c>
      <c r="H3" s="754" t="s">
        <v>9</v>
      </c>
      <c r="I3" s="831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20"/>
      <c r="V3" s="114" t="s">
        <v>340</v>
      </c>
      <c r="W3" s="115" t="s">
        <v>366</v>
      </c>
      <c r="X3" s="33" t="s">
        <v>7</v>
      </c>
      <c r="Y3" s="820"/>
      <c r="Z3" s="116" t="s">
        <v>340</v>
      </c>
      <c r="AA3" s="115" t="s">
        <v>366</v>
      </c>
      <c r="AB3" s="33" t="s">
        <v>7</v>
      </c>
      <c r="AC3" s="820"/>
      <c r="AD3" s="820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20"/>
      <c r="AP3" s="114" t="s">
        <v>340</v>
      </c>
      <c r="AQ3" s="115" t="s">
        <v>366</v>
      </c>
      <c r="AR3" s="33" t="s">
        <v>7</v>
      </c>
      <c r="AS3" s="820"/>
      <c r="AT3" s="116" t="s">
        <v>340</v>
      </c>
      <c r="AU3" s="115" t="s">
        <v>366</v>
      </c>
      <c r="AV3" s="33" t="s">
        <v>7</v>
      </c>
      <c r="AW3" s="820"/>
      <c r="AX3" s="820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20"/>
      <c r="BJ3" s="114" t="s">
        <v>340</v>
      </c>
      <c r="BK3" s="115" t="s">
        <v>366</v>
      </c>
      <c r="BL3" s="33" t="s">
        <v>7</v>
      </c>
      <c r="BM3" s="820"/>
      <c r="BN3" s="116" t="s">
        <v>340</v>
      </c>
      <c r="BO3" s="115" t="s">
        <v>366</v>
      </c>
      <c r="BP3" s="33" t="s">
        <v>7</v>
      </c>
      <c r="BQ3" s="820"/>
      <c r="BR3" s="820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20"/>
      <c r="CD3" s="114" t="s">
        <v>340</v>
      </c>
      <c r="CE3" s="115" t="s">
        <v>366</v>
      </c>
      <c r="CF3" s="33" t="s">
        <v>7</v>
      </c>
      <c r="CG3" s="820"/>
      <c r="CH3" s="116" t="s">
        <v>340</v>
      </c>
      <c r="CI3" s="115" t="s">
        <v>366</v>
      </c>
      <c r="CJ3" s="33" t="s">
        <v>7</v>
      </c>
      <c r="CK3" s="820"/>
      <c r="CL3" s="820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20"/>
      <c r="CX3" s="114" t="s">
        <v>340</v>
      </c>
      <c r="CY3" s="115" t="s">
        <v>366</v>
      </c>
      <c r="CZ3" s="33" t="s">
        <v>7</v>
      </c>
      <c r="DA3" s="820"/>
      <c r="DB3" s="116" t="s">
        <v>340</v>
      </c>
      <c r="DC3" s="115" t="s">
        <v>366</v>
      </c>
      <c r="DD3" s="33" t="s">
        <v>7</v>
      </c>
      <c r="DE3" s="820"/>
      <c r="DF3" s="820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.75" thickBot="1" x14ac:dyDescent="0.3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21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21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218"/>
      <c r="AD4" s="21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21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21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218"/>
      <c r="AX4" s="21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21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21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218"/>
      <c r="BR4" s="21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21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21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218"/>
      <c r="CL4" s="21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21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21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218"/>
      <c r="DF4" s="218"/>
      <c r="DG4" s="40"/>
      <c r="DH4" s="97"/>
      <c r="DI4" s="98"/>
      <c r="DJ4" s="98"/>
      <c r="DK4" s="98"/>
      <c r="DL4" s="98"/>
      <c r="DM4" s="237"/>
    </row>
    <row r="5" spans="1:117" ht="15.75" thickBot="1" x14ac:dyDescent="0.3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1048</v>
      </c>
      <c r="K5" s="53"/>
      <c r="L5" s="55"/>
      <c r="M5" s="390">
        <f>114+33-114</f>
        <v>33</v>
      </c>
      <c r="N5" s="56"/>
      <c r="O5" s="56"/>
      <c r="P5" s="243">
        <f>1+32</f>
        <v>33</v>
      </c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1015</v>
      </c>
      <c r="AF5" s="55"/>
      <c r="AG5" s="56">
        <v>190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825</v>
      </c>
      <c r="AZ5" s="55"/>
      <c r="BA5" s="56">
        <f>210-210+304-304+309-309+145</f>
        <v>145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f>580-580+680</f>
        <v>680</v>
      </c>
      <c r="BV5" s="56"/>
      <c r="BW5" s="56"/>
      <c r="BX5" s="243">
        <f>30+10+50+90+90+8+14+1+1+40+90+70+180</f>
        <v>674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238</v>
      </c>
      <c r="CN5" s="55"/>
      <c r="CO5" s="243">
        <v>238</v>
      </c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ht="15.75" hidden="1" thickBot="1" x14ac:dyDescent="0.3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-925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33</v>
      </c>
      <c r="Q6" s="231">
        <f t="shared" ref="Q6" si="0">L6+O6-P6</f>
        <v>1940</v>
      </c>
      <c r="R6" s="310"/>
      <c r="S6" s="210"/>
      <c r="T6" s="216"/>
      <c r="U6" s="707"/>
      <c r="V6" s="310"/>
      <c r="W6" s="210"/>
      <c r="X6" s="216"/>
      <c r="Y6" s="707"/>
      <c r="Z6" s="236"/>
      <c r="AA6" s="210"/>
      <c r="AB6" s="216"/>
      <c r="AC6" s="716"/>
      <c r="AD6" s="716"/>
      <c r="AE6" s="394">
        <f>SUM(M6,AG6)-SUM(O6,AI6)-L6</f>
        <v>-1750</v>
      </c>
      <c r="AF6" s="29">
        <f>Q6</f>
        <v>1940</v>
      </c>
      <c r="AG6" s="298">
        <f>AG5</f>
        <v>190</v>
      </c>
      <c r="AH6" s="5">
        <f>AG6-AF6</f>
        <v>-1750</v>
      </c>
      <c r="AI6" s="256"/>
      <c r="AJ6" s="303">
        <f>AJ5</f>
        <v>190</v>
      </c>
      <c r="AK6" s="231">
        <f t="shared" ref="AK6" si="1">AF6+AI6-AJ6</f>
        <v>1750</v>
      </c>
      <c r="AL6" s="215"/>
      <c r="AM6" s="199"/>
      <c r="AN6" s="148"/>
      <c r="AO6" s="711"/>
      <c r="AP6" s="215"/>
      <c r="AQ6" s="199"/>
      <c r="AR6" s="148"/>
      <c r="AS6" s="711"/>
      <c r="AT6" s="21"/>
      <c r="AU6" s="6"/>
      <c r="AV6" s="35"/>
      <c r="AW6" s="713"/>
      <c r="AX6" s="713"/>
      <c r="AY6" s="394">
        <f>SUM(M6,AG6,BA6)-SUM(O6,AI6,BC6)-L6</f>
        <v>-1605</v>
      </c>
      <c r="AZ6" s="29">
        <f>AK6</f>
        <v>1750</v>
      </c>
      <c r="BA6" s="298">
        <f>BA5</f>
        <v>145</v>
      </c>
      <c r="BB6" s="5">
        <f>BA6-AZ6</f>
        <v>-1605</v>
      </c>
      <c r="BC6" s="256"/>
      <c r="BD6" s="303">
        <f>BD5</f>
        <v>145</v>
      </c>
      <c r="BE6" s="231">
        <f t="shared" ref="BE6" si="2">AZ6+BC6-BD6</f>
        <v>1605</v>
      </c>
      <c r="BF6" s="215"/>
      <c r="BG6" s="199"/>
      <c r="BH6" s="148"/>
      <c r="BI6" s="711"/>
      <c r="BJ6" s="215"/>
      <c r="BK6" s="199"/>
      <c r="BL6" s="148"/>
      <c r="BM6" s="711"/>
      <c r="BN6" s="21"/>
      <c r="BO6" s="6"/>
      <c r="BP6" s="35"/>
      <c r="BQ6" s="713"/>
      <c r="BR6" s="713"/>
      <c r="BS6" s="394">
        <f>SUM(M6,AG6,BA6,BU6)-SUM(O6,AI6,BC6,BW6)-L6</f>
        <v>-925</v>
      </c>
      <c r="BT6" s="29">
        <f>BE6</f>
        <v>1605</v>
      </c>
      <c r="BU6" s="298">
        <f>BU5</f>
        <v>680</v>
      </c>
      <c r="BV6" s="5">
        <f>BU6-BT6</f>
        <v>-925</v>
      </c>
      <c r="BW6" s="240"/>
      <c r="BX6" s="303"/>
      <c r="BY6" s="231">
        <f t="shared" ref="BY6" si="3">BT6+BW6-BX6</f>
        <v>1605</v>
      </c>
      <c r="BZ6" s="215"/>
      <c r="CA6" s="199"/>
      <c r="CB6" s="148"/>
      <c r="CC6" s="711"/>
      <c r="CD6" s="215"/>
      <c r="CE6" s="199"/>
      <c r="CF6" s="148"/>
      <c r="CG6" s="711"/>
      <c r="CH6" s="21"/>
      <c r="CI6" s="6"/>
      <c r="CJ6" s="35"/>
      <c r="CK6" s="713"/>
      <c r="CL6" s="713"/>
      <c r="CM6" s="394">
        <f>SUM(M6,AG6,BA6,BU6,CO6)-SUM(O6,AI6,BC6,BW6,CQ6)-L6</f>
        <v>-1687</v>
      </c>
      <c r="CN6" s="29">
        <f>BY6</f>
        <v>1605</v>
      </c>
      <c r="CO6" s="298">
        <f>CO5</f>
        <v>238</v>
      </c>
      <c r="CP6" s="5">
        <f>CO6-CN6</f>
        <v>-1367</v>
      </c>
      <c r="CQ6" s="240">
        <v>1000</v>
      </c>
      <c r="CR6" s="303">
        <f>CR5</f>
        <v>0</v>
      </c>
      <c r="CS6" s="231">
        <f t="shared" ref="CS6" si="4">CN6+CQ6-CR6</f>
        <v>2605</v>
      </c>
      <c r="CT6" s="215"/>
      <c r="CU6" s="199"/>
      <c r="CV6" s="148"/>
      <c r="CW6" s="711"/>
      <c r="CX6" s="215"/>
      <c r="CY6" s="199"/>
      <c r="CZ6" s="148"/>
      <c r="DA6" s="711"/>
      <c r="DB6" s="21"/>
      <c r="DC6" s="6"/>
      <c r="DD6" s="35"/>
      <c r="DE6" s="713"/>
      <c r="DF6" s="713"/>
      <c r="DG6" s="394">
        <f>SUM(M6,AG6,BA6,BU6,DI6)-SUM(O6,AI6,BC6,BW6,CQ6)-L6</f>
        <v>-1925</v>
      </c>
      <c r="DH6" s="29">
        <f>BY6</f>
        <v>1605</v>
      </c>
      <c r="DI6" s="298">
        <f>DI5</f>
        <v>0</v>
      </c>
      <c r="DJ6" s="5">
        <f>DI6-DH6</f>
        <v>-1605</v>
      </c>
      <c r="DK6" s="240"/>
      <c r="DL6" s="303">
        <f>DL5</f>
        <v>0</v>
      </c>
      <c r="DM6" s="231">
        <f t="shared" ref="DM6:DM23" si="5">DH6+DK6-DL6</f>
        <v>1605</v>
      </c>
    </row>
    <row r="7" spans="1:117" ht="14.45" hidden="1" customHeight="1" x14ac:dyDescent="0.3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/>
      <c r="O7" s="256"/>
      <c r="P7" s="303"/>
      <c r="Q7" s="231"/>
      <c r="R7" s="236"/>
      <c r="S7" s="210"/>
      <c r="T7" s="216"/>
      <c r="U7" s="707"/>
      <c r="V7" s="236"/>
      <c r="W7" s="210"/>
      <c r="X7" s="216"/>
      <c r="Y7" s="707"/>
      <c r="Z7" s="236"/>
      <c r="AA7" s="210"/>
      <c r="AB7" s="216"/>
      <c r="AC7" s="716"/>
      <c r="AD7" s="716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1"/>
      <c r="AP7" s="235"/>
      <c r="AQ7" s="199"/>
      <c r="AR7" s="148"/>
      <c r="AS7" s="711"/>
      <c r="AT7" s="21"/>
      <c r="AU7" s="6"/>
      <c r="AV7" s="35"/>
      <c r="AW7" s="713"/>
      <c r="AX7" s="713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1"/>
      <c r="BJ7" s="235"/>
      <c r="BK7" s="199"/>
      <c r="BL7" s="148"/>
      <c r="BM7" s="711"/>
      <c r="BN7" s="21"/>
      <c r="BO7" s="6"/>
      <c r="BP7" s="35"/>
      <c r="BQ7" s="713"/>
      <c r="BR7" s="713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674</v>
      </c>
      <c r="BY7" s="231">
        <f>BT7+BW7-BX7</f>
        <v>1026</v>
      </c>
      <c r="BZ7" s="235"/>
      <c r="CA7" s="199"/>
      <c r="CB7" s="148"/>
      <c r="CC7" s="711"/>
      <c r="CD7" s="235"/>
      <c r="CE7" s="199"/>
      <c r="CF7" s="148"/>
      <c r="CG7" s="711"/>
      <c r="CH7" s="21"/>
      <c r="CI7" s="6"/>
      <c r="CJ7" s="35"/>
      <c r="CK7" s="713"/>
      <c r="CL7" s="713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1"/>
      <c r="CX7" s="235"/>
      <c r="CY7" s="199"/>
      <c r="CZ7" s="148"/>
      <c r="DA7" s="711"/>
      <c r="DB7" s="21"/>
      <c r="DC7" s="6"/>
      <c r="DD7" s="35"/>
      <c r="DE7" s="713"/>
      <c r="DF7" s="713"/>
      <c r="DG7" s="394"/>
      <c r="DH7" s="29"/>
      <c r="DI7" s="298"/>
      <c r="DJ7" s="5"/>
      <c r="DK7" s="240"/>
      <c r="DL7" s="303"/>
      <c r="DM7" s="231"/>
    </row>
    <row r="8" spans="1:117" ht="14.45" hidden="1" customHeight="1" x14ac:dyDescent="0.3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7"/>
      <c r="V8" s="236"/>
      <c r="W8" s="210"/>
      <c r="X8" s="216"/>
      <c r="Y8" s="707"/>
      <c r="Z8" s="236"/>
      <c r="AA8" s="210"/>
      <c r="AB8" s="216"/>
      <c r="AC8" s="716"/>
      <c r="AD8" s="716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1"/>
      <c r="AP8" s="235"/>
      <c r="AQ8" s="199"/>
      <c r="AR8" s="148"/>
      <c r="AS8" s="711"/>
      <c r="AT8" s="21"/>
      <c r="AU8" s="6"/>
      <c r="AV8" s="35"/>
      <c r="AW8" s="713"/>
      <c r="AX8" s="713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1"/>
      <c r="BJ8" s="235"/>
      <c r="BK8" s="199"/>
      <c r="BL8" s="148"/>
      <c r="BM8" s="711"/>
      <c r="BN8" s="21"/>
      <c r="BO8" s="6"/>
      <c r="BP8" s="35"/>
      <c r="BQ8" s="713"/>
      <c r="BR8" s="713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1348</v>
      </c>
      <c r="BY8" s="231">
        <f t="shared" ref="BY8:BY9" si="6">BT8+BW8-BX8</f>
        <v>1552</v>
      </c>
      <c r="BZ8" s="235"/>
      <c r="CA8" s="199"/>
      <c r="CB8" s="148"/>
      <c r="CC8" s="711"/>
      <c r="CD8" s="235"/>
      <c r="CE8" s="199"/>
      <c r="CF8" s="148"/>
      <c r="CG8" s="711"/>
      <c r="CH8" s="21"/>
      <c r="CI8" s="6"/>
      <c r="CJ8" s="35"/>
      <c r="CK8" s="713"/>
      <c r="CL8" s="713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1"/>
      <c r="CX8" s="235"/>
      <c r="CY8" s="199"/>
      <c r="CZ8" s="148"/>
      <c r="DA8" s="711"/>
      <c r="DB8" s="21"/>
      <c r="DC8" s="6"/>
      <c r="DD8" s="35"/>
      <c r="DE8" s="713"/>
      <c r="DF8" s="713"/>
      <c r="DG8" s="394"/>
      <c r="DH8" s="29"/>
      <c r="DI8" s="298"/>
      <c r="DJ8" s="5"/>
      <c r="DK8" s="240"/>
      <c r="DL8" s="303"/>
      <c r="DM8" s="231"/>
    </row>
    <row r="9" spans="1:117" ht="14.45" hidden="1" customHeight="1" x14ac:dyDescent="0.3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7"/>
      <c r="V9" s="236"/>
      <c r="W9" s="210"/>
      <c r="X9" s="216"/>
      <c r="Y9" s="707"/>
      <c r="Z9" s="236"/>
      <c r="AA9" s="210"/>
      <c r="AB9" s="216"/>
      <c r="AC9" s="716"/>
      <c r="AD9" s="716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1"/>
      <c r="AP9" s="235"/>
      <c r="AQ9" s="199"/>
      <c r="AR9" s="148"/>
      <c r="AS9" s="711"/>
      <c r="AT9" s="21"/>
      <c r="AU9" s="6"/>
      <c r="AV9" s="35"/>
      <c r="AW9" s="713"/>
      <c r="AX9" s="713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1"/>
      <c r="BJ9" s="235"/>
      <c r="BK9" s="199"/>
      <c r="BL9" s="148"/>
      <c r="BM9" s="711"/>
      <c r="BN9" s="21"/>
      <c r="BO9" s="6"/>
      <c r="BP9" s="35"/>
      <c r="BQ9" s="713"/>
      <c r="BR9" s="713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674</v>
      </c>
      <c r="BY9" s="231">
        <f t="shared" si="6"/>
        <v>726</v>
      </c>
      <c r="BZ9" s="235"/>
      <c r="CA9" s="199"/>
      <c r="CB9" s="148"/>
      <c r="CC9" s="711"/>
      <c r="CD9" s="235"/>
      <c r="CE9" s="199"/>
      <c r="CF9" s="148"/>
      <c r="CG9" s="711"/>
      <c r="CH9" s="21"/>
      <c r="CI9" s="6"/>
      <c r="CJ9" s="35"/>
      <c r="CK9" s="713"/>
      <c r="CL9" s="713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1"/>
      <c r="CX9" s="235"/>
      <c r="CY9" s="199"/>
      <c r="CZ9" s="148"/>
      <c r="DA9" s="711"/>
      <c r="DB9" s="21"/>
      <c r="DC9" s="6"/>
      <c r="DD9" s="35"/>
      <c r="DE9" s="713"/>
      <c r="DF9" s="713"/>
      <c r="DG9" s="394"/>
      <c r="DH9" s="29"/>
      <c r="DI9" s="298"/>
      <c r="DJ9" s="5"/>
      <c r="DK9" s="240"/>
      <c r="DL9" s="303"/>
      <c r="DM9" s="231"/>
    </row>
    <row r="10" spans="1:117" ht="15.75" hidden="1" thickBot="1" x14ac:dyDescent="0.3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7"/>
      <c r="V10" s="236"/>
      <c r="W10" s="210"/>
      <c r="X10" s="216"/>
      <c r="Y10" s="707"/>
      <c r="Z10" s="236"/>
      <c r="AA10" s="210"/>
      <c r="AB10" s="216"/>
      <c r="AC10" s="716"/>
      <c r="AD10" s="716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1"/>
      <c r="AP10" s="235"/>
      <c r="AQ10" s="199"/>
      <c r="AR10" s="148"/>
      <c r="AS10" s="711"/>
      <c r="AT10" s="21"/>
      <c r="AU10" s="6"/>
      <c r="AV10" s="35"/>
      <c r="AW10" s="713"/>
      <c r="AX10" s="713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1"/>
      <c r="BJ10" s="235"/>
      <c r="BK10" s="199"/>
      <c r="BL10" s="148"/>
      <c r="BM10" s="711"/>
      <c r="BN10" s="21"/>
      <c r="BO10" s="6"/>
      <c r="BP10" s="35"/>
      <c r="BQ10" s="713"/>
      <c r="BR10" s="713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1"/>
      <c r="CD10" s="235"/>
      <c r="CE10" s="199"/>
      <c r="CF10" s="148"/>
      <c r="CG10" s="711"/>
      <c r="CH10" s="21"/>
      <c r="CI10" s="6"/>
      <c r="CJ10" s="35"/>
      <c r="CK10" s="713"/>
      <c r="CL10" s="713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1"/>
      <c r="CX10" s="235"/>
      <c r="CY10" s="199"/>
      <c r="CZ10" s="148"/>
      <c r="DA10" s="711"/>
      <c r="DB10" s="21"/>
      <c r="DC10" s="6"/>
      <c r="DD10" s="35"/>
      <c r="DE10" s="713"/>
      <c r="DF10" s="713"/>
      <c r="DG10" s="394"/>
      <c r="DH10" s="29"/>
      <c r="DI10" s="298"/>
      <c r="DJ10" s="5"/>
      <c r="DK10" s="240"/>
      <c r="DL10" s="303"/>
      <c r="DM10" s="231"/>
    </row>
    <row r="11" spans="1:117" ht="15.75" hidden="1" thickBot="1" x14ac:dyDescent="0.3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 t="shared" ref="J11:J23" si="7">SUM(M11,AG11,BA11,BU11)-L11</f>
        <v>-661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33</v>
      </c>
      <c r="Q11" s="231">
        <f t="shared" ref="Q11:Q29" si="9">L11+O11-P11</f>
        <v>1956</v>
      </c>
      <c r="R11" s="573">
        <f>$F$11*50%*280</f>
        <v>149240</v>
      </c>
      <c r="S11" s="210"/>
      <c r="T11" s="211" t="s">
        <v>703</v>
      </c>
      <c r="U11" s="708"/>
      <c r="V11" s="236"/>
      <c r="W11" s="569">
        <f>$F$11*50%*1486</f>
        <v>792038</v>
      </c>
      <c r="X11" s="216" t="s">
        <v>704</v>
      </c>
      <c r="Y11" s="707"/>
      <c r="Z11" s="236"/>
      <c r="AA11" s="569">
        <f>$F$11*50%*280</f>
        <v>149240</v>
      </c>
      <c r="AB11" s="216" t="s">
        <v>701</v>
      </c>
      <c r="AC11" s="716"/>
      <c r="AD11" s="716"/>
      <c r="AE11" s="394">
        <f t="shared" ref="AE11:AE23" si="10">SUM(M11,AG11)-SUM(O11,AI11)-L11</f>
        <v>-1766</v>
      </c>
      <c r="AF11" s="29">
        <f t="shared" ref="AF11:AF23" si="11">Q11</f>
        <v>1956</v>
      </c>
      <c r="AG11" s="298">
        <f>AG5</f>
        <v>190</v>
      </c>
      <c r="AH11" s="5">
        <f>AG11-AF11</f>
        <v>-1766</v>
      </c>
      <c r="AI11" s="256"/>
      <c r="AJ11" s="303">
        <f>AJ5</f>
        <v>190</v>
      </c>
      <c r="AK11" s="231">
        <f t="shared" ref="AK11:AK23" si="12">AF11+AI11-AJ11</f>
        <v>1766</v>
      </c>
      <c r="AL11" s="21"/>
      <c r="AM11" s="210"/>
      <c r="AN11" s="216"/>
      <c r="AO11" s="707"/>
      <c r="AP11" s="21"/>
      <c r="AQ11" s="210"/>
      <c r="AR11" s="216"/>
      <c r="AS11" s="707"/>
      <c r="AT11" s="21"/>
      <c r="AU11" s="210"/>
      <c r="AV11" s="216"/>
      <c r="AW11" s="716"/>
      <c r="AX11" s="716"/>
      <c r="AY11" s="394">
        <f t="shared" ref="AY11:AY23" si="13">SUM(M11,AG11,BA11)-SUM(O11,AI11,BC11)-L11</f>
        <v>-1621</v>
      </c>
      <c r="AZ11" s="29">
        <f>AK11</f>
        <v>1766</v>
      </c>
      <c r="BA11" s="298">
        <f>BA5</f>
        <v>145</v>
      </c>
      <c r="BB11" s="5">
        <f>BA11-AZ11</f>
        <v>-1621</v>
      </c>
      <c r="BC11" s="256"/>
      <c r="BD11" s="303">
        <f>BD5</f>
        <v>145</v>
      </c>
      <c r="BE11" s="231">
        <f t="shared" ref="BE11:BE23" si="14">AZ11+BC11-BD11</f>
        <v>1621</v>
      </c>
      <c r="BF11" s="236"/>
      <c r="BG11" s="6"/>
      <c r="BH11" s="216"/>
      <c r="BI11" s="707"/>
      <c r="BJ11" s="21"/>
      <c r="BK11" s="6"/>
      <c r="BL11" s="216"/>
      <c r="BM11" s="707"/>
      <c r="BN11" s="21"/>
      <c r="BO11" s="210"/>
      <c r="BP11" s="216"/>
      <c r="BQ11" s="716"/>
      <c r="BR11" s="716"/>
      <c r="BS11" s="394">
        <f t="shared" ref="BS11:BS23" si="15">SUM(M11,AG11,BA11,BU11)-SUM(O11,AI11,BC11,BW11)-L11</f>
        <v>-941</v>
      </c>
      <c r="BT11" s="29">
        <f>BE11</f>
        <v>1621</v>
      </c>
      <c r="BU11" s="298">
        <f>BU5</f>
        <v>680</v>
      </c>
      <c r="BV11" s="5">
        <f>BU11-BT11</f>
        <v>-941</v>
      </c>
      <c r="BW11" s="242"/>
      <c r="BX11" s="303">
        <f>BX5</f>
        <v>674</v>
      </c>
      <c r="BY11" s="231">
        <f t="shared" ref="BY11:BY23" si="16">BT11+BW11-BX11</f>
        <v>947</v>
      </c>
      <c r="BZ11" s="21"/>
      <c r="CA11" s="210"/>
      <c r="CB11" s="216"/>
      <c r="CC11" s="707"/>
      <c r="CD11" s="21"/>
      <c r="CE11" s="210"/>
      <c r="CF11" s="216"/>
      <c r="CG11" s="707"/>
      <c r="CH11" s="21"/>
      <c r="CI11" s="210"/>
      <c r="CJ11" s="211"/>
      <c r="CK11" s="733"/>
      <c r="CL11" s="733"/>
      <c r="CM11" s="394">
        <f t="shared" ref="CM11:CM23" si="17">SUM(M11,AG11,BA11,BU11,CO11)-SUM(O11,AI11,BC11,BW11,CQ11)-L11</f>
        <v>-1703</v>
      </c>
      <c r="CN11" s="29">
        <f>BY11</f>
        <v>947</v>
      </c>
      <c r="CO11" s="298">
        <f>CO5</f>
        <v>238</v>
      </c>
      <c r="CP11" s="5">
        <f>CO11-CN11</f>
        <v>-709</v>
      </c>
      <c r="CQ11" s="240">
        <v>1000</v>
      </c>
      <c r="CR11" s="303">
        <f>CR5</f>
        <v>0</v>
      </c>
      <c r="CS11" s="231">
        <f t="shared" ref="CS11:CS23" si="18">CN11+CQ11-CR11</f>
        <v>1947</v>
      </c>
      <c r="CT11" s="21"/>
      <c r="CU11" s="210"/>
      <c r="CV11" s="211"/>
      <c r="CW11" s="708"/>
      <c r="CX11" s="21"/>
      <c r="CY11" s="6"/>
      <c r="CZ11" s="35"/>
      <c r="DA11" s="612"/>
      <c r="DB11" s="21"/>
      <c r="DC11" s="6"/>
      <c r="DD11" s="35"/>
      <c r="DE11" s="713"/>
      <c r="DF11" s="713"/>
      <c r="DG11" s="394">
        <f t="shared" ref="DG11:DG23" si="19">SUM(M11,AG11,BA11,BU11,DI11)-SUM(O11,AI11,BC11,BW11,CQ11)-L11</f>
        <v>-1941</v>
      </c>
      <c r="DH11" s="29">
        <f t="shared" ref="DH11:DH23" si="20">BY11</f>
        <v>947</v>
      </c>
      <c r="DI11" s="298">
        <f>DI5</f>
        <v>0</v>
      </c>
      <c r="DJ11" s="5">
        <f>DI11-DH11</f>
        <v>-947</v>
      </c>
      <c r="DK11" s="240"/>
      <c r="DL11" s="303">
        <f>DL5</f>
        <v>0</v>
      </c>
      <c r="DM11" s="231">
        <f t="shared" si="5"/>
        <v>947</v>
      </c>
    </row>
    <row r="12" spans="1:117" ht="30.75" hidden="1" thickBot="1" x14ac:dyDescent="0.3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 t="shared" si="7"/>
        <v>-1861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66</v>
      </c>
      <c r="Q12" s="231">
        <f t="shared" si="9"/>
        <v>3891</v>
      </c>
      <c r="R12" s="310"/>
      <c r="S12" s="210"/>
      <c r="T12" s="211"/>
      <c r="U12" s="708"/>
      <c r="V12" s="310"/>
      <c r="W12" s="210"/>
      <c r="X12" s="211"/>
      <c r="Y12" s="708"/>
      <c r="Z12" s="236"/>
      <c r="AA12" s="210"/>
      <c r="AB12" s="211"/>
      <c r="AC12" s="733"/>
      <c r="AD12" s="733"/>
      <c r="AE12" s="394">
        <f t="shared" si="10"/>
        <v>-3511</v>
      </c>
      <c r="AF12" s="29">
        <f t="shared" si="11"/>
        <v>3891</v>
      </c>
      <c r="AG12" s="298">
        <f>AG11*2</f>
        <v>380</v>
      </c>
      <c r="AH12" s="5">
        <f t="shared" ref="AH12:AH22" si="22">AG12-AF12</f>
        <v>-3511</v>
      </c>
      <c r="AI12" s="256"/>
      <c r="AJ12" s="303">
        <f>AJ5*2</f>
        <v>380</v>
      </c>
      <c r="AK12" s="231">
        <f t="shared" si="12"/>
        <v>3511</v>
      </c>
      <c r="AL12" s="215"/>
      <c r="AM12" s="210"/>
      <c r="AN12" s="211"/>
      <c r="AO12" s="708"/>
      <c r="AP12" s="310"/>
      <c r="AQ12" s="199"/>
      <c r="AR12" s="211"/>
      <c r="AS12" s="708"/>
      <c r="AT12" s="21"/>
      <c r="AU12" s="6"/>
      <c r="AV12" s="35"/>
      <c r="AW12" s="713"/>
      <c r="AX12" s="713"/>
      <c r="AY12" s="394">
        <f t="shared" si="13"/>
        <v>-3221</v>
      </c>
      <c r="AZ12" s="29">
        <f t="shared" ref="AZ12:AZ23" si="23">AK12</f>
        <v>3511</v>
      </c>
      <c r="BA12" s="298">
        <f>BA11*2</f>
        <v>290</v>
      </c>
      <c r="BB12" s="5">
        <f t="shared" ref="BB12:BB22" si="24">BA12-AZ12</f>
        <v>-3221</v>
      </c>
      <c r="BC12" s="256"/>
      <c r="BD12" s="303">
        <f>BD5*2</f>
        <v>290</v>
      </c>
      <c r="BE12" s="231">
        <f t="shared" si="14"/>
        <v>3221</v>
      </c>
      <c r="BF12" s="215"/>
      <c r="BG12" s="210"/>
      <c r="BH12" s="211"/>
      <c r="BI12" s="708"/>
      <c r="BJ12" s="310"/>
      <c r="BK12" s="210"/>
      <c r="BL12" s="211"/>
      <c r="BM12" s="708"/>
      <c r="BN12" s="21"/>
      <c r="BO12" s="210"/>
      <c r="BP12" s="211"/>
      <c r="BQ12" s="733"/>
      <c r="BR12" s="733"/>
      <c r="BS12" s="394">
        <f t="shared" si="15"/>
        <v>-1861</v>
      </c>
      <c r="BT12" s="29">
        <f t="shared" ref="BT12:BT23" si="25">BE12</f>
        <v>3221</v>
      </c>
      <c r="BU12" s="298">
        <f>BU11*2</f>
        <v>1360</v>
      </c>
      <c r="BV12" s="5">
        <f t="shared" ref="BV12:BV22" si="26">BU12-BT12</f>
        <v>-1861</v>
      </c>
      <c r="BW12" s="258"/>
      <c r="BX12" s="303">
        <f>BX5*2</f>
        <v>1348</v>
      </c>
      <c r="BY12" s="231">
        <f t="shared" si="16"/>
        <v>1873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3"/>
      <c r="CL12" s="713"/>
      <c r="CM12" s="394">
        <f t="shared" si="17"/>
        <v>-3185</v>
      </c>
      <c r="CN12" s="29">
        <f t="shared" ref="CN12:CN23" si="27">BY12</f>
        <v>1873</v>
      </c>
      <c r="CO12" s="298">
        <f>CO11*2</f>
        <v>476</v>
      </c>
      <c r="CP12" s="5">
        <f t="shared" ref="CP12:CP22" si="28">CO12-CN12</f>
        <v>-1397</v>
      </c>
      <c r="CQ12" s="240">
        <v>1800</v>
      </c>
      <c r="CR12" s="303">
        <f>CR5*2</f>
        <v>0</v>
      </c>
      <c r="CS12" s="231">
        <f t="shared" si="18"/>
        <v>3673</v>
      </c>
      <c r="CT12" s="215"/>
      <c r="CU12" s="199"/>
      <c r="CV12" s="211"/>
      <c r="CW12" s="708"/>
      <c r="CX12" s="215"/>
      <c r="CY12" s="199"/>
      <c r="CZ12" s="211"/>
      <c r="DA12" s="708"/>
      <c r="DB12" s="21"/>
      <c r="DC12" s="6"/>
      <c r="DD12" s="35"/>
      <c r="DE12" s="713"/>
      <c r="DF12" s="713"/>
      <c r="DG12" s="394">
        <f t="shared" si="19"/>
        <v>-3661</v>
      </c>
      <c r="DH12" s="29">
        <f t="shared" si="20"/>
        <v>1873</v>
      </c>
      <c r="DI12" s="298">
        <f>DI11*2</f>
        <v>0</v>
      </c>
      <c r="DJ12" s="5">
        <f t="shared" ref="DJ12:DJ22" si="29">DI12-DH12</f>
        <v>-1873</v>
      </c>
      <c r="DK12" s="240"/>
      <c r="DL12" s="303">
        <f>DL5*2</f>
        <v>0</v>
      </c>
      <c r="DM12" s="231">
        <f t="shared" si="5"/>
        <v>1873</v>
      </c>
    </row>
    <row r="13" spans="1:117" ht="15.75" hidden="1" thickBot="1" x14ac:dyDescent="0.3">
      <c r="A13" s="18"/>
      <c r="B13" s="11" t="s">
        <v>194</v>
      </c>
      <c r="C13" s="18">
        <v>1</v>
      </c>
      <c r="D13" s="11"/>
      <c r="E13" s="11"/>
      <c r="F13" s="149">
        <v>16.07</v>
      </c>
      <c r="G13" s="11" t="s">
        <v>28</v>
      </c>
      <c r="H13" s="25" t="s">
        <v>55</v>
      </c>
      <c r="I13" s="24"/>
      <c r="J13" s="536">
        <f t="shared" si="7"/>
        <v>-1020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33</v>
      </c>
      <c r="Q13" s="231">
        <f t="shared" si="9"/>
        <v>2035</v>
      </c>
      <c r="R13" s="236"/>
      <c r="S13" s="210"/>
      <c r="T13" s="216"/>
      <c r="U13" s="707"/>
      <c r="V13" s="236"/>
      <c r="W13" s="210"/>
      <c r="X13" s="216"/>
      <c r="Y13" s="707"/>
      <c r="Z13" s="236"/>
      <c r="AA13" s="210"/>
      <c r="AB13" s="216"/>
      <c r="AC13" s="716"/>
      <c r="AD13" s="716"/>
      <c r="AE13" s="394">
        <f t="shared" si="10"/>
        <v>-1845</v>
      </c>
      <c r="AF13" s="29">
        <f t="shared" si="11"/>
        <v>2035</v>
      </c>
      <c r="AG13" s="298">
        <f>AG5</f>
        <v>190</v>
      </c>
      <c r="AH13" s="5">
        <f t="shared" si="22"/>
        <v>-1845</v>
      </c>
      <c r="AI13" s="256"/>
      <c r="AJ13" s="303">
        <f>AJ5</f>
        <v>190</v>
      </c>
      <c r="AK13" s="231">
        <f t="shared" si="12"/>
        <v>1845</v>
      </c>
      <c r="AL13" s="21"/>
      <c r="AM13" s="199"/>
      <c r="AN13" s="148"/>
      <c r="AO13" s="711"/>
      <c r="AP13" s="235"/>
      <c r="AQ13" s="199"/>
      <c r="AR13" s="148"/>
      <c r="AS13" s="711"/>
      <c r="AT13" s="236"/>
      <c r="AU13" s="6"/>
      <c r="AV13" s="35"/>
      <c r="AW13" s="713"/>
      <c r="AX13" s="713"/>
      <c r="AY13" s="394">
        <f t="shared" si="13"/>
        <v>-1700</v>
      </c>
      <c r="AZ13" s="29">
        <f t="shared" si="23"/>
        <v>1845</v>
      </c>
      <c r="BA13" s="298">
        <f>BA5</f>
        <v>145</v>
      </c>
      <c r="BB13" s="5">
        <f t="shared" si="24"/>
        <v>-1700</v>
      </c>
      <c r="BC13" s="256"/>
      <c r="BD13" s="303">
        <f>BD5</f>
        <v>145</v>
      </c>
      <c r="BE13" s="231">
        <f t="shared" si="14"/>
        <v>1700</v>
      </c>
      <c r="BF13" s="21"/>
      <c r="BG13" s="199"/>
      <c r="BH13" s="216"/>
      <c r="BI13" s="707"/>
      <c r="BJ13" s="21"/>
      <c r="BK13" s="199"/>
      <c r="BL13" s="216"/>
      <c r="BM13" s="707"/>
      <c r="BN13" s="21"/>
      <c r="BO13" s="6"/>
      <c r="BP13" s="35"/>
      <c r="BQ13" s="713"/>
      <c r="BR13" s="713"/>
      <c r="BS13" s="394">
        <f t="shared" si="15"/>
        <v>-1020</v>
      </c>
      <c r="BT13" s="29">
        <f t="shared" si="25"/>
        <v>1700</v>
      </c>
      <c r="BU13" s="298">
        <f>BU5</f>
        <v>680</v>
      </c>
      <c r="BV13" s="5">
        <f t="shared" si="26"/>
        <v>-1020</v>
      </c>
      <c r="BW13" s="256"/>
      <c r="BX13" s="303">
        <f>BX5</f>
        <v>674</v>
      </c>
      <c r="BY13" s="231">
        <f t="shared" si="16"/>
        <v>1026</v>
      </c>
      <c r="BZ13" s="21"/>
      <c r="CA13" s="199"/>
      <c r="CB13" s="148"/>
      <c r="CC13" s="711"/>
      <c r="CD13" s="21"/>
      <c r="CE13" s="199"/>
      <c r="CF13" s="148"/>
      <c r="CG13" s="711"/>
      <c r="CH13" s="21"/>
      <c r="CI13" s="6"/>
      <c r="CJ13" s="35"/>
      <c r="CK13" s="713"/>
      <c r="CL13" s="713"/>
      <c r="CM13" s="394">
        <f t="shared" si="17"/>
        <v>-1782</v>
      </c>
      <c r="CN13" s="29">
        <f t="shared" si="27"/>
        <v>1026</v>
      </c>
      <c r="CO13" s="298">
        <f>CO5</f>
        <v>238</v>
      </c>
      <c r="CP13" s="5">
        <f t="shared" si="28"/>
        <v>-788</v>
      </c>
      <c r="CQ13" s="240">
        <v>1000</v>
      </c>
      <c r="CR13" s="303">
        <f>CR5</f>
        <v>0</v>
      </c>
      <c r="CS13" s="231">
        <f t="shared" si="18"/>
        <v>2026</v>
      </c>
      <c r="CT13" s="21"/>
      <c r="CU13" s="199"/>
      <c r="CV13" s="148"/>
      <c r="CW13" s="711"/>
      <c r="CX13" s="21"/>
      <c r="CY13" s="199"/>
      <c r="CZ13" s="148"/>
      <c r="DA13" s="711"/>
      <c r="DB13" s="21"/>
      <c r="DC13" s="6"/>
      <c r="DD13" s="35"/>
      <c r="DE13" s="713"/>
      <c r="DF13" s="713"/>
      <c r="DG13" s="394">
        <f t="shared" si="19"/>
        <v>-2020</v>
      </c>
      <c r="DH13" s="29">
        <f t="shared" si="20"/>
        <v>1026</v>
      </c>
      <c r="DI13" s="298">
        <f>DI5</f>
        <v>0</v>
      </c>
      <c r="DJ13" s="5">
        <f t="shared" si="29"/>
        <v>-1026</v>
      </c>
      <c r="DK13" s="240"/>
      <c r="DL13" s="303">
        <f>DL5</f>
        <v>0</v>
      </c>
      <c r="DM13" s="231">
        <f t="shared" si="5"/>
        <v>1026</v>
      </c>
    </row>
    <row r="14" spans="1:117" ht="15.75" hidden="1" thickBot="1" x14ac:dyDescent="0.3">
      <c r="A14" s="18"/>
      <c r="B14" s="11" t="s">
        <v>589</v>
      </c>
      <c r="C14" s="18">
        <v>1</v>
      </c>
      <c r="D14" s="11"/>
      <c r="E14" s="11"/>
      <c r="F14" s="149">
        <v>199.68</v>
      </c>
      <c r="G14" s="11" t="s">
        <v>50</v>
      </c>
      <c r="H14" s="147" t="s">
        <v>170</v>
      </c>
      <c r="I14" s="294"/>
      <c r="J14" s="536">
        <f t="shared" si="7"/>
        <v>-972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33</v>
      </c>
      <c r="Q14" s="231">
        <f t="shared" si="9"/>
        <v>1987</v>
      </c>
      <c r="R14" s="310"/>
      <c r="S14" s="210"/>
      <c r="T14" s="211"/>
      <c r="U14" s="708"/>
      <c r="V14" s="310"/>
      <c r="W14" s="210"/>
      <c r="X14" s="211"/>
      <c r="Y14" s="708"/>
      <c r="Z14" s="236"/>
      <c r="AA14" s="210"/>
      <c r="AB14" s="216"/>
      <c r="AC14" s="716"/>
      <c r="AD14" s="716"/>
      <c r="AE14" s="394">
        <f t="shared" si="10"/>
        <v>-1797</v>
      </c>
      <c r="AF14" s="29">
        <f t="shared" si="11"/>
        <v>1987</v>
      </c>
      <c r="AG14" s="298">
        <f>AG5</f>
        <v>190</v>
      </c>
      <c r="AH14" s="5">
        <f t="shared" si="22"/>
        <v>-1797</v>
      </c>
      <c r="AI14" s="256"/>
      <c r="AJ14" s="303">
        <f>AJ5</f>
        <v>190</v>
      </c>
      <c r="AK14" s="231">
        <f t="shared" si="12"/>
        <v>1797</v>
      </c>
      <c r="AL14" s="121"/>
      <c r="AM14" s="199"/>
      <c r="AN14" s="148"/>
      <c r="AO14" s="711"/>
      <c r="AP14" s="215"/>
      <c r="AQ14" s="199"/>
      <c r="AR14" s="148"/>
      <c r="AS14" s="711"/>
      <c r="AT14" s="310"/>
      <c r="AU14" s="6"/>
      <c r="AV14" s="35"/>
      <c r="AW14" s="713"/>
      <c r="AX14" s="713"/>
      <c r="AY14" s="394">
        <f t="shared" si="13"/>
        <v>-1652</v>
      </c>
      <c r="AZ14" s="607">
        <v>1607</v>
      </c>
      <c r="BA14" s="298">
        <f>BA5</f>
        <v>145</v>
      </c>
      <c r="BB14" s="5">
        <f t="shared" si="24"/>
        <v>-1462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6"/>
      <c r="BR14" s="716"/>
      <c r="BS14" s="394">
        <f t="shared" si="15"/>
        <v>-972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674</v>
      </c>
      <c r="BY14" s="231">
        <f t="shared" si="16"/>
        <v>788</v>
      </c>
      <c r="BZ14" s="121"/>
      <c r="CA14" s="199"/>
      <c r="CB14" s="148"/>
      <c r="CC14" s="711"/>
      <c r="CD14" s="121"/>
      <c r="CE14" s="199"/>
      <c r="CF14" s="148"/>
      <c r="CG14" s="711"/>
      <c r="CH14" s="21"/>
      <c r="CI14" s="6"/>
      <c r="CJ14" s="414"/>
      <c r="CK14" s="801"/>
      <c r="CL14" s="801"/>
      <c r="CM14" s="394">
        <f t="shared" si="17"/>
        <v>-1734</v>
      </c>
      <c r="CN14" s="29">
        <f t="shared" si="27"/>
        <v>788</v>
      </c>
      <c r="CO14" s="298">
        <f>CO5</f>
        <v>238</v>
      </c>
      <c r="CP14" s="5">
        <f t="shared" si="28"/>
        <v>-550</v>
      </c>
      <c r="CQ14" s="240">
        <v>1000</v>
      </c>
      <c r="CR14" s="303">
        <f>CR5</f>
        <v>0</v>
      </c>
      <c r="CS14" s="231">
        <f t="shared" si="18"/>
        <v>1788</v>
      </c>
      <c r="CT14" s="121"/>
      <c r="CU14" s="199"/>
      <c r="CV14" s="148"/>
      <c r="CW14" s="711"/>
      <c r="CX14" s="121"/>
      <c r="CY14" s="199"/>
      <c r="CZ14" s="148"/>
      <c r="DA14" s="711"/>
      <c r="DB14" s="21"/>
      <c r="DC14" s="6"/>
      <c r="DD14" s="35"/>
      <c r="DE14" s="713"/>
      <c r="DF14" s="713"/>
      <c r="DG14" s="394">
        <f t="shared" si="19"/>
        <v>-1972</v>
      </c>
      <c r="DH14" s="29">
        <f t="shared" si="20"/>
        <v>788</v>
      </c>
      <c r="DI14" s="298">
        <f>DI5</f>
        <v>0</v>
      </c>
      <c r="DJ14" s="5">
        <f t="shared" si="29"/>
        <v>-788</v>
      </c>
      <c r="DK14" s="240"/>
      <c r="DL14" s="303">
        <f>DL5</f>
        <v>0</v>
      </c>
      <c r="DM14" s="231">
        <f t="shared" si="5"/>
        <v>788</v>
      </c>
    </row>
    <row r="15" spans="1:117" ht="30.75" hidden="1" thickBot="1" x14ac:dyDescent="0.3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 t="shared" si="7"/>
        <v>-926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33</v>
      </c>
      <c r="Q15" s="231">
        <f t="shared" si="9"/>
        <v>1941</v>
      </c>
      <c r="R15" s="236"/>
      <c r="S15" s="210"/>
      <c r="T15" s="216"/>
      <c r="U15" s="707"/>
      <c r="V15" s="236"/>
      <c r="W15" s="210"/>
      <c r="X15" s="216"/>
      <c r="Y15" s="707"/>
      <c r="Z15" s="236"/>
      <c r="AA15" s="210"/>
      <c r="AB15" s="216"/>
      <c r="AC15" s="716"/>
      <c r="AD15" s="716"/>
      <c r="AE15" s="394">
        <f t="shared" si="10"/>
        <v>-1751</v>
      </c>
      <c r="AF15" s="29">
        <f t="shared" si="11"/>
        <v>1941</v>
      </c>
      <c r="AG15" s="298">
        <f>AG5</f>
        <v>190</v>
      </c>
      <c r="AH15" s="5">
        <f t="shared" si="22"/>
        <v>-1751</v>
      </c>
      <c r="AI15" s="256"/>
      <c r="AJ15" s="303">
        <f>AJ5</f>
        <v>190</v>
      </c>
      <c r="AK15" s="231">
        <f t="shared" si="12"/>
        <v>1751</v>
      </c>
      <c r="AL15" s="21"/>
      <c r="AM15" s="6"/>
      <c r="AN15" s="35"/>
      <c r="AO15" s="612"/>
      <c r="AP15" s="121"/>
      <c r="AQ15" s="199"/>
      <c r="AR15" s="148"/>
      <c r="AS15" s="711"/>
      <c r="AT15" s="236"/>
      <c r="AU15" s="6"/>
      <c r="AV15" s="35"/>
      <c r="AW15" s="713"/>
      <c r="AX15" s="713"/>
      <c r="AY15" s="394">
        <f t="shared" si="13"/>
        <v>-1606</v>
      </c>
      <c r="AZ15" s="607">
        <f>AK15-20</f>
        <v>1731</v>
      </c>
      <c r="BA15" s="298">
        <f>BA5</f>
        <v>145</v>
      </c>
      <c r="BB15" s="5">
        <f t="shared" si="24"/>
        <v>-1586</v>
      </c>
      <c r="BC15" s="256"/>
      <c r="BD15" s="303">
        <f>BD5</f>
        <v>145</v>
      </c>
      <c r="BE15" s="231">
        <f t="shared" si="14"/>
        <v>1586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3"/>
      <c r="BR15" s="713"/>
      <c r="BS15" s="394">
        <f t="shared" si="15"/>
        <v>-926</v>
      </c>
      <c r="BT15" s="29">
        <f t="shared" si="25"/>
        <v>1586</v>
      </c>
      <c r="BU15" s="298">
        <f>BU5</f>
        <v>680</v>
      </c>
      <c r="BV15" s="5">
        <f t="shared" si="26"/>
        <v>-906</v>
      </c>
      <c r="BW15" s="256"/>
      <c r="BX15" s="303">
        <f>BX5</f>
        <v>674</v>
      </c>
      <c r="BY15" s="231">
        <f t="shared" si="16"/>
        <v>912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3"/>
      <c r="CL15" s="713"/>
      <c r="CM15" s="394">
        <f t="shared" si="17"/>
        <v>-1688</v>
      </c>
      <c r="CN15" s="29">
        <f t="shared" si="27"/>
        <v>912</v>
      </c>
      <c r="CO15" s="298">
        <f>CO5</f>
        <v>238</v>
      </c>
      <c r="CP15" s="5">
        <f t="shared" si="28"/>
        <v>-674</v>
      </c>
      <c r="CQ15" s="240">
        <v>1000</v>
      </c>
      <c r="CR15" s="303">
        <f>CR5</f>
        <v>0</v>
      </c>
      <c r="CS15" s="231">
        <f t="shared" si="18"/>
        <v>1912</v>
      </c>
      <c r="CT15" s="21"/>
      <c r="CU15" s="6"/>
      <c r="CV15" s="35"/>
      <c r="CW15" s="612"/>
      <c r="CX15" s="121"/>
      <c r="CY15" s="199"/>
      <c r="CZ15" s="148"/>
      <c r="DA15" s="711"/>
      <c r="DB15" s="21"/>
      <c r="DC15" s="6"/>
      <c r="DD15" s="35"/>
      <c r="DE15" s="713"/>
      <c r="DF15" s="713"/>
      <c r="DG15" s="394">
        <f t="shared" si="19"/>
        <v>-1926</v>
      </c>
      <c r="DH15" s="29">
        <f t="shared" si="20"/>
        <v>912</v>
      </c>
      <c r="DI15" s="298">
        <f>DI5</f>
        <v>0</v>
      </c>
      <c r="DJ15" s="5">
        <f t="shared" si="29"/>
        <v>-912</v>
      </c>
      <c r="DK15" s="240"/>
      <c r="DL15" s="303">
        <f>DL5</f>
        <v>0</v>
      </c>
      <c r="DM15" s="231">
        <f t="shared" si="5"/>
        <v>912</v>
      </c>
    </row>
    <row r="16" spans="1:117" ht="15.75" hidden="1" thickBot="1" x14ac:dyDescent="0.3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 t="shared" si="7"/>
        <v>-1029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33</v>
      </c>
      <c r="Q16" s="231">
        <f t="shared" si="9"/>
        <v>2044</v>
      </c>
      <c r="R16" s="236"/>
      <c r="S16" s="210"/>
      <c r="T16" s="216"/>
      <c r="U16" s="707"/>
      <c r="V16" s="236"/>
      <c r="W16" s="210"/>
      <c r="X16" s="216"/>
      <c r="Y16" s="707"/>
      <c r="Z16" s="236"/>
      <c r="AA16" s="210"/>
      <c r="AB16" s="216"/>
      <c r="AC16" s="716"/>
      <c r="AD16" s="716"/>
      <c r="AE16" s="394">
        <f t="shared" si="10"/>
        <v>-1854</v>
      </c>
      <c r="AF16" s="29">
        <f t="shared" si="11"/>
        <v>2044</v>
      </c>
      <c r="AG16" s="298">
        <f>AG5</f>
        <v>190</v>
      </c>
      <c r="AH16" s="5">
        <f t="shared" si="22"/>
        <v>-1854</v>
      </c>
      <c r="AI16" s="256"/>
      <c r="AJ16" s="303">
        <f>AJ6</f>
        <v>190</v>
      </c>
      <c r="AK16" s="231">
        <f t="shared" si="12"/>
        <v>1854</v>
      </c>
      <c r="AL16" s="21"/>
      <c r="AM16" s="6"/>
      <c r="AN16" s="35"/>
      <c r="AO16" s="612"/>
      <c r="AP16" s="21"/>
      <c r="AQ16" s="199"/>
      <c r="AR16" s="148"/>
      <c r="AS16" s="711"/>
      <c r="AT16" s="236"/>
      <c r="AU16" s="6"/>
      <c r="AV16" s="35"/>
      <c r="AW16" s="713"/>
      <c r="AX16" s="713"/>
      <c r="AY16" s="394">
        <f t="shared" si="13"/>
        <v>-1709</v>
      </c>
      <c r="AZ16" s="607">
        <v>1693</v>
      </c>
      <c r="BA16" s="298">
        <f>BA5</f>
        <v>145</v>
      </c>
      <c r="BB16" s="5">
        <f t="shared" si="24"/>
        <v>-1548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3"/>
      <c r="BR16" s="713"/>
      <c r="BS16" s="394">
        <f t="shared" si="15"/>
        <v>-1029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BX5</f>
        <v>674</v>
      </c>
      <c r="BY16" s="231">
        <f t="shared" si="16"/>
        <v>874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3"/>
      <c r="CL16" s="713"/>
      <c r="CM16" s="394">
        <f t="shared" si="17"/>
        <v>-1791</v>
      </c>
      <c r="CN16" s="29">
        <f t="shared" si="27"/>
        <v>874</v>
      </c>
      <c r="CO16" s="298">
        <f>CO5</f>
        <v>238</v>
      </c>
      <c r="CP16" s="5">
        <f t="shared" si="28"/>
        <v>-636</v>
      </c>
      <c r="CQ16" s="240">
        <v>1000</v>
      </c>
      <c r="CR16" s="303">
        <f>CR6</f>
        <v>0</v>
      </c>
      <c r="CS16" s="231">
        <f t="shared" si="18"/>
        <v>1874</v>
      </c>
      <c r="CT16" s="21"/>
      <c r="CU16" s="6"/>
      <c r="CV16" s="35"/>
      <c r="CW16" s="612"/>
      <c r="CX16" s="121"/>
      <c r="CY16" s="199"/>
      <c r="CZ16" s="148"/>
      <c r="DA16" s="711"/>
      <c r="DB16" s="21"/>
      <c r="DC16" s="6"/>
      <c r="DD16" s="35"/>
      <c r="DE16" s="713"/>
      <c r="DF16" s="713"/>
      <c r="DG16" s="394">
        <f t="shared" si="19"/>
        <v>-2029</v>
      </c>
      <c r="DH16" s="29">
        <f t="shared" si="20"/>
        <v>874</v>
      </c>
      <c r="DI16" s="298">
        <f>DI5</f>
        <v>0</v>
      </c>
      <c r="DJ16" s="5">
        <f t="shared" si="29"/>
        <v>-874</v>
      </c>
      <c r="DK16" s="256"/>
      <c r="DL16" s="303">
        <f>DL6</f>
        <v>0</v>
      </c>
      <c r="DM16" s="231">
        <f t="shared" si="5"/>
        <v>874</v>
      </c>
    </row>
    <row r="17" spans="1:117" ht="15.75" hidden="1" thickBot="1" x14ac:dyDescent="0.3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 t="shared" si="7"/>
        <v>-930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33</v>
      </c>
      <c r="Q17" s="231">
        <f t="shared" si="9"/>
        <v>1945</v>
      </c>
      <c r="R17" s="236"/>
      <c r="S17" s="210"/>
      <c r="T17" s="211"/>
      <c r="U17" s="708"/>
      <c r="V17" s="310"/>
      <c r="W17" s="210"/>
      <c r="X17" s="211"/>
      <c r="Y17" s="708"/>
      <c r="Z17" s="236"/>
      <c r="AA17" s="210"/>
      <c r="AB17" s="216"/>
      <c r="AC17" s="716"/>
      <c r="AD17" s="716"/>
      <c r="AE17" s="394">
        <f t="shared" si="10"/>
        <v>-1755</v>
      </c>
      <c r="AF17" s="29">
        <f t="shared" si="11"/>
        <v>1945</v>
      </c>
      <c r="AG17" s="298">
        <f>AG5</f>
        <v>190</v>
      </c>
      <c r="AH17" s="5">
        <f t="shared" si="22"/>
        <v>-1755</v>
      </c>
      <c r="AI17" s="256"/>
      <c r="AJ17" s="303">
        <f>AJ5</f>
        <v>190</v>
      </c>
      <c r="AK17" s="231">
        <f t="shared" si="12"/>
        <v>1755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3"/>
      <c r="AX17" s="713"/>
      <c r="AY17" s="394">
        <f t="shared" si="13"/>
        <v>-1610</v>
      </c>
      <c r="AZ17" s="29">
        <f t="shared" si="23"/>
        <v>1755</v>
      </c>
      <c r="BA17" s="298">
        <f>BA5</f>
        <v>145</v>
      </c>
      <c r="BB17" s="5">
        <f t="shared" si="24"/>
        <v>-1610</v>
      </c>
      <c r="BC17" s="256"/>
      <c r="BD17" s="303">
        <f>BD5</f>
        <v>145</v>
      </c>
      <c r="BE17" s="231">
        <f t="shared" si="14"/>
        <v>1610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28"/>
      <c r="BR17" s="728"/>
      <c r="BS17" s="394">
        <f t="shared" si="15"/>
        <v>-930</v>
      </c>
      <c r="BT17" s="29">
        <f t="shared" si="25"/>
        <v>1610</v>
      </c>
      <c r="BU17" s="298">
        <f>BU5</f>
        <v>680</v>
      </c>
      <c r="BV17" s="5">
        <f t="shared" si="26"/>
        <v>-930</v>
      </c>
      <c r="BW17" s="258"/>
      <c r="BX17" s="303">
        <f>BX5</f>
        <v>674</v>
      </c>
      <c r="BY17" s="231">
        <f t="shared" si="16"/>
        <v>936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1"/>
      <c r="CL17" s="801"/>
      <c r="CM17" s="394">
        <f t="shared" si="17"/>
        <v>-1692</v>
      </c>
      <c r="CN17" s="29">
        <f t="shared" si="27"/>
        <v>936</v>
      </c>
      <c r="CO17" s="298">
        <f>CO5</f>
        <v>238</v>
      </c>
      <c r="CP17" s="5">
        <f t="shared" si="28"/>
        <v>-698</v>
      </c>
      <c r="CQ17" s="240">
        <v>1000</v>
      </c>
      <c r="CR17" s="303">
        <f>CR5</f>
        <v>0</v>
      </c>
      <c r="CS17" s="231">
        <f t="shared" si="18"/>
        <v>1936</v>
      </c>
      <c r="CT17" s="21"/>
      <c r="CU17" s="6"/>
      <c r="CV17" s="35"/>
      <c r="CW17" s="612"/>
      <c r="CX17" s="121"/>
      <c r="CY17" s="199"/>
      <c r="CZ17" s="148"/>
      <c r="DA17" s="711"/>
      <c r="DB17" s="21"/>
      <c r="DC17" s="6"/>
      <c r="DD17" s="35"/>
      <c r="DE17" s="713"/>
      <c r="DF17" s="713"/>
      <c r="DG17" s="394">
        <f t="shared" si="19"/>
        <v>-1930</v>
      </c>
      <c r="DH17" s="29">
        <f t="shared" si="20"/>
        <v>936</v>
      </c>
      <c r="DI17" s="298">
        <f>DI5</f>
        <v>0</v>
      </c>
      <c r="DJ17" s="5">
        <f t="shared" si="29"/>
        <v>-936</v>
      </c>
      <c r="DK17" s="240"/>
      <c r="DL17" s="303">
        <f>DL5</f>
        <v>0</v>
      </c>
      <c r="DM17" s="231">
        <f t="shared" si="5"/>
        <v>936</v>
      </c>
    </row>
    <row r="18" spans="1:117" ht="15.75" hidden="1" thickBot="1" x14ac:dyDescent="0.3">
      <c r="A18" s="18">
        <v>18044</v>
      </c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-902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33</v>
      </c>
      <c r="Q18" s="231">
        <f t="shared" si="9"/>
        <v>1917</v>
      </c>
      <c r="R18" s="310"/>
      <c r="S18" s="210"/>
      <c r="T18" s="211"/>
      <c r="U18" s="708"/>
      <c r="V18" s="310"/>
      <c r="W18" s="210"/>
      <c r="X18" s="216"/>
      <c r="Y18" s="707"/>
      <c r="Z18" s="236"/>
      <c r="AA18" s="210"/>
      <c r="AB18" s="216"/>
      <c r="AC18" s="716"/>
      <c r="AD18" s="716"/>
      <c r="AE18" s="394">
        <f t="shared" si="10"/>
        <v>-1727</v>
      </c>
      <c r="AF18" s="29">
        <f t="shared" si="11"/>
        <v>1917</v>
      </c>
      <c r="AG18" s="298">
        <f>AG5</f>
        <v>190</v>
      </c>
      <c r="AH18" s="5">
        <f t="shared" si="22"/>
        <v>-1727</v>
      </c>
      <c r="AI18" s="258"/>
      <c r="AJ18" s="303">
        <f>AJ5</f>
        <v>190</v>
      </c>
      <c r="AK18" s="231">
        <f t="shared" si="12"/>
        <v>1727</v>
      </c>
      <c r="AL18" s="21"/>
      <c r="AM18" s="6"/>
      <c r="AN18" s="35"/>
      <c r="AO18" s="612"/>
      <c r="AP18" s="215"/>
      <c r="AQ18" s="210"/>
      <c r="AR18" s="216"/>
      <c r="AS18" s="707"/>
      <c r="AT18" s="310"/>
      <c r="AU18" s="210"/>
      <c r="AV18" s="500"/>
      <c r="AW18" s="734"/>
      <c r="AX18" s="734"/>
      <c r="AY18" s="394">
        <f t="shared" si="13"/>
        <v>-1582</v>
      </c>
      <c r="AZ18" s="29">
        <f t="shared" si="23"/>
        <v>1727</v>
      </c>
      <c r="BA18" s="298">
        <f>BA5</f>
        <v>145</v>
      </c>
      <c r="BB18" s="5">
        <f t="shared" si="24"/>
        <v>-1582</v>
      </c>
      <c r="BC18" s="256"/>
      <c r="BD18" s="303">
        <f>BD5</f>
        <v>145</v>
      </c>
      <c r="BE18" s="231">
        <f t="shared" si="14"/>
        <v>1582</v>
      </c>
      <c r="BF18" s="21"/>
      <c r="BG18" s="6"/>
      <c r="BH18" s="216"/>
      <c r="BI18" s="707"/>
      <c r="BJ18" s="310"/>
      <c r="BK18" s="6"/>
      <c r="BL18" s="216"/>
      <c r="BM18" s="707"/>
      <c r="BN18" s="21"/>
      <c r="BO18" s="6"/>
      <c r="BP18" s="35"/>
      <c r="BQ18" s="713"/>
      <c r="BR18" s="713"/>
      <c r="BS18" s="394">
        <f t="shared" si="15"/>
        <v>-902</v>
      </c>
      <c r="BT18" s="607">
        <v>1097</v>
      </c>
      <c r="BU18" s="298">
        <f>BU5</f>
        <v>680</v>
      </c>
      <c r="BV18" s="5">
        <f t="shared" si="26"/>
        <v>-417</v>
      </c>
      <c r="BW18" s="256"/>
      <c r="BX18" s="303">
        <f>BX5</f>
        <v>674</v>
      </c>
      <c r="BY18" s="231">
        <f t="shared" si="16"/>
        <v>423</v>
      </c>
      <c r="BZ18" s="215"/>
      <c r="CA18" s="6"/>
      <c r="CB18" s="271"/>
      <c r="CC18" s="778"/>
      <c r="CD18" s="215"/>
      <c r="CE18" s="6"/>
      <c r="CF18" s="271"/>
      <c r="CG18" s="778"/>
      <c r="CH18" s="310"/>
      <c r="CI18" s="210"/>
      <c r="CJ18" s="414"/>
      <c r="CK18" s="801"/>
      <c r="CL18" s="801"/>
      <c r="CM18" s="394">
        <f t="shared" si="17"/>
        <v>-1664</v>
      </c>
      <c r="CN18" s="29">
        <f t="shared" si="27"/>
        <v>423</v>
      </c>
      <c r="CO18" s="298">
        <f>CO5</f>
        <v>238</v>
      </c>
      <c r="CP18" s="5">
        <f t="shared" si="28"/>
        <v>-185</v>
      </c>
      <c r="CQ18" s="240">
        <v>1000</v>
      </c>
      <c r="CR18" s="303">
        <f>CR5</f>
        <v>0</v>
      </c>
      <c r="CS18" s="231">
        <f t="shared" si="18"/>
        <v>1423</v>
      </c>
      <c r="CT18" s="215"/>
      <c r="CU18" s="6"/>
      <c r="CV18" s="257"/>
      <c r="CW18" s="730"/>
      <c r="CX18" s="215"/>
      <c r="CY18" s="199"/>
      <c r="CZ18" s="148"/>
      <c r="DA18" s="711"/>
      <c r="DB18" s="21"/>
      <c r="DC18" s="6"/>
      <c r="DD18" s="35"/>
      <c r="DE18" s="713"/>
      <c r="DF18" s="713"/>
      <c r="DG18" s="394">
        <f t="shared" si="19"/>
        <v>-1902</v>
      </c>
      <c r="DH18" s="29">
        <f t="shared" si="20"/>
        <v>423</v>
      </c>
      <c r="DI18" s="298">
        <f>DI5</f>
        <v>0</v>
      </c>
      <c r="DJ18" s="5">
        <f t="shared" si="29"/>
        <v>-423</v>
      </c>
      <c r="DK18" s="240"/>
      <c r="DL18" s="303">
        <f>DL5</f>
        <v>0</v>
      </c>
      <c r="DM18" s="231">
        <f t="shared" si="5"/>
        <v>423</v>
      </c>
    </row>
    <row r="19" spans="1:117" ht="15.75" hidden="1" thickBot="1" x14ac:dyDescent="0.3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-902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33</v>
      </c>
      <c r="Q19" s="231">
        <f t="shared" si="9"/>
        <v>1917</v>
      </c>
      <c r="R19" s="448"/>
      <c r="S19" s="413"/>
      <c r="T19" s="414"/>
      <c r="U19" s="709"/>
      <c r="V19" s="499"/>
      <c r="W19" s="413"/>
      <c r="X19" s="500"/>
      <c r="Y19" s="717"/>
      <c r="Z19" s="499"/>
      <c r="AA19" s="413"/>
      <c r="AB19" s="500"/>
      <c r="AC19" s="734"/>
      <c r="AD19" s="734"/>
      <c r="AE19" s="394">
        <f t="shared" si="10"/>
        <v>-1727</v>
      </c>
      <c r="AF19" s="29">
        <f t="shared" si="11"/>
        <v>1917</v>
      </c>
      <c r="AG19" s="298">
        <f>AG5</f>
        <v>190</v>
      </c>
      <c r="AH19" s="5">
        <f t="shared" si="22"/>
        <v>-1727</v>
      </c>
      <c r="AI19" s="258"/>
      <c r="AJ19" s="376">
        <f>AJ5</f>
        <v>190</v>
      </c>
      <c r="AK19" s="231">
        <f t="shared" si="12"/>
        <v>1727</v>
      </c>
      <c r="AL19" s="131"/>
      <c r="AM19" s="413"/>
      <c r="AN19" s="500"/>
      <c r="AO19" s="717"/>
      <c r="AP19" s="501"/>
      <c r="AQ19" s="413"/>
      <c r="AR19" s="500"/>
      <c r="AS19" s="717"/>
      <c r="AT19" s="499"/>
      <c r="AU19" s="413"/>
      <c r="AV19" s="500"/>
      <c r="AW19" s="734"/>
      <c r="AX19" s="734"/>
      <c r="AY19" s="394">
        <f t="shared" si="13"/>
        <v>-1582</v>
      </c>
      <c r="AZ19" s="29">
        <f t="shared" si="23"/>
        <v>1727</v>
      </c>
      <c r="BA19" s="298">
        <f>BA5</f>
        <v>145</v>
      </c>
      <c r="BB19" s="5">
        <f t="shared" si="24"/>
        <v>-1582</v>
      </c>
      <c r="BC19" s="256"/>
      <c r="BD19" s="376">
        <f>BD5</f>
        <v>145</v>
      </c>
      <c r="BE19" s="231">
        <f t="shared" si="14"/>
        <v>1582</v>
      </c>
      <c r="BF19" s="555"/>
      <c r="BG19" s="210"/>
      <c r="BH19" s="35"/>
      <c r="BI19" s="712"/>
      <c r="BJ19" s="499"/>
      <c r="BK19" s="210"/>
      <c r="BL19" s="35"/>
      <c r="BM19" s="712"/>
      <c r="BN19" s="131"/>
      <c r="BO19" s="210"/>
      <c r="BP19" s="35"/>
      <c r="BQ19" s="713"/>
      <c r="BR19" s="713"/>
      <c r="BS19" s="394">
        <f t="shared" si="15"/>
        <v>-902</v>
      </c>
      <c r="BT19" s="29">
        <f t="shared" si="25"/>
        <v>1582</v>
      </c>
      <c r="BU19" s="298">
        <f>BU5</f>
        <v>680</v>
      </c>
      <c r="BV19" s="5">
        <f t="shared" si="26"/>
        <v>-902</v>
      </c>
      <c r="BW19" s="256"/>
      <c r="BX19" s="376">
        <f>BX5</f>
        <v>674</v>
      </c>
      <c r="BY19" s="231">
        <f t="shared" si="16"/>
        <v>908</v>
      </c>
      <c r="BZ19" s="291"/>
      <c r="CA19" s="210"/>
      <c r="CB19" s="35"/>
      <c r="CC19" s="712"/>
      <c r="CD19" s="291"/>
      <c r="CE19" s="210"/>
      <c r="CF19" s="35"/>
      <c r="CG19" s="712"/>
      <c r="CH19" s="499"/>
      <c r="CI19" s="413"/>
      <c r="CJ19" s="414"/>
      <c r="CK19" s="801"/>
      <c r="CL19" s="801"/>
      <c r="CM19" s="394">
        <f t="shared" si="17"/>
        <v>-1664</v>
      </c>
      <c r="CN19" s="29">
        <f t="shared" si="27"/>
        <v>908</v>
      </c>
      <c r="CO19" s="298">
        <f>CO5</f>
        <v>238</v>
      </c>
      <c r="CP19" s="5">
        <f t="shared" si="28"/>
        <v>-670</v>
      </c>
      <c r="CQ19" s="240">
        <v>1000</v>
      </c>
      <c r="CR19" s="376">
        <f>CR5</f>
        <v>0</v>
      </c>
      <c r="CS19" s="231">
        <f t="shared" si="18"/>
        <v>1908</v>
      </c>
      <c r="CT19" s="291"/>
      <c r="CU19" s="130"/>
      <c r="CV19" s="467"/>
      <c r="CW19" s="762"/>
      <c r="CX19" s="501"/>
      <c r="CY19" s="292"/>
      <c r="CZ19" s="502"/>
      <c r="DA19" s="786"/>
      <c r="DB19" s="131"/>
      <c r="DC19" s="130"/>
      <c r="DD19" s="79"/>
      <c r="DG19" s="394">
        <f t="shared" si="19"/>
        <v>-1902</v>
      </c>
      <c r="DH19" s="29">
        <f t="shared" si="20"/>
        <v>908</v>
      </c>
      <c r="DI19" s="298">
        <f>DI5</f>
        <v>0</v>
      </c>
      <c r="DJ19" s="5">
        <f t="shared" si="29"/>
        <v>-908</v>
      </c>
      <c r="DK19" s="277"/>
      <c r="DL19" s="376">
        <f>DL5</f>
        <v>0</v>
      </c>
      <c r="DM19" s="231">
        <f t="shared" si="5"/>
        <v>908</v>
      </c>
    </row>
    <row r="20" spans="1:117" ht="15.75" hidden="1" thickBot="1" x14ac:dyDescent="0.3">
      <c r="A20" s="75">
        <v>17987</v>
      </c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-901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33</v>
      </c>
      <c r="Q20" s="231">
        <f t="shared" si="9"/>
        <v>1916</v>
      </c>
      <c r="R20" s="448"/>
      <c r="S20" s="413"/>
      <c r="T20" s="414"/>
      <c r="U20" s="709"/>
      <c r="V20" s="499"/>
      <c r="W20" s="413"/>
      <c r="X20" s="500"/>
      <c r="Y20" s="717"/>
      <c r="Z20" s="499"/>
      <c r="AA20" s="413"/>
      <c r="AB20" s="500"/>
      <c r="AC20" s="734"/>
      <c r="AD20" s="734"/>
      <c r="AE20" s="394">
        <f t="shared" si="10"/>
        <v>-1726</v>
      </c>
      <c r="AF20" s="29">
        <f t="shared" si="11"/>
        <v>1916</v>
      </c>
      <c r="AG20" s="298">
        <f>AG5</f>
        <v>190</v>
      </c>
      <c r="AH20" s="5">
        <f t="shared" si="22"/>
        <v>-1726</v>
      </c>
      <c r="AI20" s="258"/>
      <c r="AJ20" s="376">
        <f>AJ5</f>
        <v>190</v>
      </c>
      <c r="AK20" s="231">
        <f t="shared" si="12"/>
        <v>1726</v>
      </c>
      <c r="AL20" s="131"/>
      <c r="AM20" s="413"/>
      <c r="AN20" s="500"/>
      <c r="AO20" s="717"/>
      <c r="AP20" s="501"/>
      <c r="AQ20" s="413"/>
      <c r="AR20" s="500"/>
      <c r="AS20" s="717"/>
      <c r="AT20" s="499"/>
      <c r="AU20" s="413"/>
      <c r="AV20" s="500"/>
      <c r="AW20" s="734"/>
      <c r="AX20" s="734"/>
      <c r="AY20" s="394">
        <f t="shared" si="13"/>
        <v>-1581</v>
      </c>
      <c r="AZ20" s="29">
        <f t="shared" si="23"/>
        <v>1726</v>
      </c>
      <c r="BA20" s="298">
        <f>BA5</f>
        <v>145</v>
      </c>
      <c r="BB20" s="5">
        <f t="shared" si="24"/>
        <v>-1581</v>
      </c>
      <c r="BC20" s="256"/>
      <c r="BD20" s="376">
        <f>BD5</f>
        <v>145</v>
      </c>
      <c r="BE20" s="231">
        <f t="shared" si="14"/>
        <v>1581</v>
      </c>
      <c r="BF20" s="21"/>
      <c r="BG20" s="6"/>
      <c r="BH20" s="216"/>
      <c r="BI20" s="717"/>
      <c r="BJ20" s="499"/>
      <c r="BK20" s="6"/>
      <c r="BL20" s="216"/>
      <c r="BM20" s="717"/>
      <c r="BN20" s="131"/>
      <c r="BO20" s="6"/>
      <c r="BP20" s="216"/>
      <c r="BQ20" s="716"/>
      <c r="BR20" s="716"/>
      <c r="BS20" s="394">
        <f t="shared" si="15"/>
        <v>-901</v>
      </c>
      <c r="BT20" s="607">
        <v>1096</v>
      </c>
      <c r="BU20" s="298">
        <f>BU5</f>
        <v>680</v>
      </c>
      <c r="BV20" s="5">
        <f t="shared" si="26"/>
        <v>-416</v>
      </c>
      <c r="BW20" s="256"/>
      <c r="BX20" s="376">
        <f>BX5</f>
        <v>674</v>
      </c>
      <c r="BY20" s="231">
        <f t="shared" si="16"/>
        <v>422</v>
      </c>
      <c r="BZ20" s="291"/>
      <c r="CA20" s="6"/>
      <c r="CB20" s="216"/>
      <c r="CC20" s="717"/>
      <c r="CD20" s="291"/>
      <c r="CE20" s="6"/>
      <c r="CF20" s="216"/>
      <c r="CG20" s="717"/>
      <c r="CH20" s="499"/>
      <c r="CI20" s="413"/>
      <c r="CJ20" s="414"/>
      <c r="CK20" s="801"/>
      <c r="CL20" s="801"/>
      <c r="CM20" s="394">
        <f t="shared" si="17"/>
        <v>-1663</v>
      </c>
      <c r="CN20" s="29">
        <f t="shared" si="27"/>
        <v>422</v>
      </c>
      <c r="CO20" s="298">
        <f>CO5</f>
        <v>238</v>
      </c>
      <c r="CP20" s="5">
        <f t="shared" si="28"/>
        <v>-184</v>
      </c>
      <c r="CQ20" s="240">
        <v>1000</v>
      </c>
      <c r="CR20" s="376">
        <f>CR5</f>
        <v>0</v>
      </c>
      <c r="CS20" s="231">
        <f t="shared" si="18"/>
        <v>1422</v>
      </c>
      <c r="CT20" s="291"/>
      <c r="CU20" s="130"/>
      <c r="CV20" s="467"/>
      <c r="CW20" s="762"/>
      <c r="CX20" s="501"/>
      <c r="CY20" s="292"/>
      <c r="CZ20" s="502"/>
      <c r="DA20" s="786"/>
      <c r="DB20" s="131"/>
      <c r="DC20" s="130"/>
      <c r="DD20" s="79"/>
      <c r="DG20" s="394">
        <f t="shared" si="19"/>
        <v>-1901</v>
      </c>
      <c r="DH20" s="29">
        <f t="shared" si="20"/>
        <v>422</v>
      </c>
      <c r="DI20" s="298">
        <f>DI5</f>
        <v>0</v>
      </c>
      <c r="DJ20" s="5">
        <f t="shared" si="29"/>
        <v>-422</v>
      </c>
      <c r="DK20" s="277"/>
      <c r="DL20" s="376">
        <f>DL5</f>
        <v>0</v>
      </c>
      <c r="DM20" s="231">
        <f t="shared" si="5"/>
        <v>422</v>
      </c>
    </row>
    <row r="21" spans="1:117" ht="15.75" hidden="1" thickBot="1" x14ac:dyDescent="0.3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-901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33</v>
      </c>
      <c r="Q21" s="231">
        <f t="shared" si="9"/>
        <v>1916</v>
      </c>
      <c r="R21" s="448"/>
      <c r="S21" s="413"/>
      <c r="T21" s="414"/>
      <c r="U21" s="709"/>
      <c r="V21" s="499"/>
      <c r="W21" s="413"/>
      <c r="X21" s="500"/>
      <c r="Y21" s="717"/>
      <c r="Z21" s="499"/>
      <c r="AA21" s="413"/>
      <c r="AB21" s="500"/>
      <c r="AC21" s="734"/>
      <c r="AD21" s="734"/>
      <c r="AE21" s="394">
        <f t="shared" si="10"/>
        <v>-1726</v>
      </c>
      <c r="AF21" s="29">
        <f t="shared" si="11"/>
        <v>1916</v>
      </c>
      <c r="AG21" s="298">
        <f>AG5</f>
        <v>190</v>
      </c>
      <c r="AH21" s="5">
        <f t="shared" si="22"/>
        <v>-1726</v>
      </c>
      <c r="AI21" s="258"/>
      <c r="AJ21" s="376">
        <f>AJ5</f>
        <v>190</v>
      </c>
      <c r="AK21" s="231">
        <f t="shared" si="12"/>
        <v>1726</v>
      </c>
      <c r="AL21" s="131"/>
      <c r="AM21" s="413"/>
      <c r="AN21" s="500"/>
      <c r="AO21" s="717"/>
      <c r="AP21" s="501"/>
      <c r="AQ21" s="413"/>
      <c r="AR21" s="500"/>
      <c r="AS21" s="717"/>
      <c r="AT21" s="499"/>
      <c r="AU21" s="413"/>
      <c r="AV21" s="500"/>
      <c r="AW21" s="734"/>
      <c r="AX21" s="734"/>
      <c r="AY21" s="394">
        <f t="shared" si="13"/>
        <v>-1581</v>
      </c>
      <c r="AZ21" s="29">
        <f t="shared" si="23"/>
        <v>1726</v>
      </c>
      <c r="BA21" s="298">
        <f>BA5</f>
        <v>145</v>
      </c>
      <c r="BB21" s="5">
        <f t="shared" si="24"/>
        <v>-1581</v>
      </c>
      <c r="BC21" s="256"/>
      <c r="BD21" s="376">
        <f>BD5</f>
        <v>145</v>
      </c>
      <c r="BE21" s="231">
        <f t="shared" si="14"/>
        <v>1581</v>
      </c>
      <c r="BF21" s="499"/>
      <c r="BG21" s="499"/>
      <c r="BH21" s="35"/>
      <c r="BI21" s="712"/>
      <c r="BJ21" s="499"/>
      <c r="BK21" s="499"/>
      <c r="BL21" s="35"/>
      <c r="BM21" s="712"/>
      <c r="BN21" s="131"/>
      <c r="BO21" s="499"/>
      <c r="BP21" s="35"/>
      <c r="BQ21" s="713"/>
      <c r="BR21" s="713"/>
      <c r="BS21" s="394">
        <f t="shared" si="15"/>
        <v>-901</v>
      </c>
      <c r="BT21" s="29">
        <f t="shared" si="25"/>
        <v>1581</v>
      </c>
      <c r="BU21" s="298">
        <f>BU5</f>
        <v>680</v>
      </c>
      <c r="BV21" s="5">
        <f t="shared" si="26"/>
        <v>-901</v>
      </c>
      <c r="BW21" s="256"/>
      <c r="BX21" s="376">
        <f>BX5</f>
        <v>674</v>
      </c>
      <c r="BY21" s="231">
        <f t="shared" si="16"/>
        <v>907</v>
      </c>
      <c r="BZ21" s="291"/>
      <c r="CA21" s="499"/>
      <c r="CB21" s="35"/>
      <c r="CC21" s="712"/>
      <c r="CD21" s="291"/>
      <c r="CE21" s="499"/>
      <c r="CF21" s="35"/>
      <c r="CG21" s="712"/>
      <c r="CH21" s="499"/>
      <c r="CI21" s="413"/>
      <c r="CJ21" s="414"/>
      <c r="CK21" s="801"/>
      <c r="CL21" s="801"/>
      <c r="CM21" s="394">
        <f t="shared" si="17"/>
        <v>-1663</v>
      </c>
      <c r="CN21" s="29">
        <f t="shared" si="27"/>
        <v>907</v>
      </c>
      <c r="CO21" s="298">
        <f>CO5</f>
        <v>238</v>
      </c>
      <c r="CP21" s="5">
        <f t="shared" si="28"/>
        <v>-669</v>
      </c>
      <c r="CQ21" s="240">
        <v>1000</v>
      </c>
      <c r="CR21" s="376">
        <f>CR5</f>
        <v>0</v>
      </c>
      <c r="CS21" s="231">
        <f t="shared" si="18"/>
        <v>1907</v>
      </c>
      <c r="CT21" s="291"/>
      <c r="CU21" s="130"/>
      <c r="CV21" s="467"/>
      <c r="CW21" s="762"/>
      <c r="CX21" s="501"/>
      <c r="CY21" s="292"/>
      <c r="CZ21" s="502"/>
      <c r="DA21" s="786"/>
      <c r="DB21" s="131"/>
      <c r="DC21" s="130"/>
      <c r="DD21" s="79"/>
      <c r="DG21" s="394">
        <f t="shared" si="19"/>
        <v>-1901</v>
      </c>
      <c r="DH21" s="29">
        <f t="shared" si="20"/>
        <v>907</v>
      </c>
      <c r="DI21" s="298">
        <f>DI5</f>
        <v>0</v>
      </c>
      <c r="DJ21" s="5">
        <f t="shared" si="29"/>
        <v>-907</v>
      </c>
      <c r="DK21" s="277"/>
      <c r="DL21" s="376">
        <f>DL5</f>
        <v>0</v>
      </c>
      <c r="DM21" s="231">
        <f t="shared" si="5"/>
        <v>907</v>
      </c>
    </row>
    <row r="22" spans="1:117" ht="15.75" hidden="1" thickBot="1" x14ac:dyDescent="0.3">
      <c r="A22" s="75">
        <v>17988</v>
      </c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-905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33</v>
      </c>
      <c r="Q22" s="231">
        <f t="shared" si="9"/>
        <v>1920</v>
      </c>
      <c r="R22" s="448"/>
      <c r="S22" s="413"/>
      <c r="T22" s="414"/>
      <c r="U22" s="709"/>
      <c r="V22" s="499"/>
      <c r="W22" s="413"/>
      <c r="X22" s="500"/>
      <c r="Y22" s="717"/>
      <c r="Z22" s="499"/>
      <c r="AA22" s="413"/>
      <c r="AB22" s="500"/>
      <c r="AC22" s="734"/>
      <c r="AD22" s="734"/>
      <c r="AE22" s="394">
        <f t="shared" si="10"/>
        <v>-1730</v>
      </c>
      <c r="AF22" s="29">
        <f t="shared" si="11"/>
        <v>1920</v>
      </c>
      <c r="AG22" s="298">
        <f>AG5</f>
        <v>190</v>
      </c>
      <c r="AH22" s="5">
        <f t="shared" si="22"/>
        <v>-1730</v>
      </c>
      <c r="AI22" s="258"/>
      <c r="AJ22" s="376">
        <f>AJ5</f>
        <v>190</v>
      </c>
      <c r="AK22" s="231">
        <f t="shared" si="12"/>
        <v>1730</v>
      </c>
      <c r="AL22" s="131"/>
      <c r="AM22" s="413"/>
      <c r="AN22" s="500"/>
      <c r="AO22" s="717"/>
      <c r="AP22" s="501"/>
      <c r="AQ22" s="413"/>
      <c r="AR22" s="500"/>
      <c r="AS22" s="717"/>
      <c r="AT22" s="499"/>
      <c r="AU22" s="413"/>
      <c r="AV22" s="500"/>
      <c r="AW22" s="734"/>
      <c r="AX22" s="734"/>
      <c r="AY22" s="394">
        <f t="shared" si="13"/>
        <v>-1585</v>
      </c>
      <c r="AZ22" s="29">
        <f t="shared" si="23"/>
        <v>1730</v>
      </c>
      <c r="BA22" s="298">
        <f>BA5</f>
        <v>145</v>
      </c>
      <c r="BB22" s="5">
        <f t="shared" si="24"/>
        <v>-1585</v>
      </c>
      <c r="BC22" s="256"/>
      <c r="BD22" s="376">
        <f>BD5</f>
        <v>145</v>
      </c>
      <c r="BE22" s="231">
        <f t="shared" si="14"/>
        <v>1585</v>
      </c>
      <c r="BF22" s="21"/>
      <c r="BG22" s="6"/>
      <c r="BH22" s="216"/>
      <c r="BI22" s="717"/>
      <c r="BJ22" s="499"/>
      <c r="BK22" s="6"/>
      <c r="BL22" s="216"/>
      <c r="BM22" s="717"/>
      <c r="BN22" s="131"/>
      <c r="BO22" s="6"/>
      <c r="BP22" s="216"/>
      <c r="BQ22" s="716"/>
      <c r="BR22" s="716"/>
      <c r="BS22" s="394">
        <f t="shared" si="15"/>
        <v>-905</v>
      </c>
      <c r="BT22" s="607">
        <v>1078</v>
      </c>
      <c r="BU22" s="298">
        <f>BU5</f>
        <v>680</v>
      </c>
      <c r="BV22" s="5">
        <f t="shared" si="26"/>
        <v>-398</v>
      </c>
      <c r="BW22" s="256"/>
      <c r="BX22" s="376">
        <f>BX5</f>
        <v>674</v>
      </c>
      <c r="BY22" s="231">
        <f t="shared" si="16"/>
        <v>404</v>
      </c>
      <c r="BZ22" s="291"/>
      <c r="CA22" s="6"/>
      <c r="CB22" s="216"/>
      <c r="CC22" s="717"/>
      <c r="CD22" s="291"/>
      <c r="CE22" s="6"/>
      <c r="CF22" s="216"/>
      <c r="CG22" s="717"/>
      <c r="CH22" s="499"/>
      <c r="CI22" s="413"/>
      <c r="CJ22" s="414"/>
      <c r="CK22" s="801"/>
      <c r="CL22" s="801"/>
      <c r="CM22" s="394">
        <f t="shared" si="17"/>
        <v>-1667</v>
      </c>
      <c r="CN22" s="29">
        <f t="shared" si="27"/>
        <v>404</v>
      </c>
      <c r="CO22" s="298">
        <f>CO5</f>
        <v>238</v>
      </c>
      <c r="CP22" s="5">
        <f t="shared" si="28"/>
        <v>-166</v>
      </c>
      <c r="CQ22" s="240">
        <v>1000</v>
      </c>
      <c r="CR22" s="376">
        <f>CR5</f>
        <v>0</v>
      </c>
      <c r="CS22" s="231">
        <f t="shared" si="18"/>
        <v>1404</v>
      </c>
      <c r="CT22" s="291"/>
      <c r="CU22" s="130"/>
      <c r="CV22" s="467"/>
      <c r="CW22" s="762"/>
      <c r="CX22" s="501"/>
      <c r="CY22" s="292"/>
      <c r="CZ22" s="502"/>
      <c r="DA22" s="786"/>
      <c r="DB22" s="131"/>
      <c r="DC22" s="130"/>
      <c r="DD22" s="79"/>
      <c r="DG22" s="394">
        <f t="shared" si="19"/>
        <v>-1905</v>
      </c>
      <c r="DH22" s="29">
        <f t="shared" si="20"/>
        <v>404</v>
      </c>
      <c r="DI22" s="298">
        <f>DI5</f>
        <v>0</v>
      </c>
      <c r="DJ22" s="5">
        <f t="shared" si="29"/>
        <v>-404</v>
      </c>
      <c r="DK22" s="277"/>
      <c r="DL22" s="376">
        <f>DL5</f>
        <v>0</v>
      </c>
      <c r="DM22" s="231">
        <f t="shared" si="5"/>
        <v>404</v>
      </c>
    </row>
    <row r="23" spans="1:117" ht="15.75" hidden="1" thickBot="1" x14ac:dyDescent="0.3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-905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33</v>
      </c>
      <c r="Q23" s="233">
        <f t="shared" si="9"/>
        <v>1920</v>
      </c>
      <c r="R23" s="558"/>
      <c r="S23" s="408"/>
      <c r="T23" s="321"/>
      <c r="U23" s="710"/>
      <c r="V23" s="314"/>
      <c r="W23" s="408"/>
      <c r="X23" s="321"/>
      <c r="Y23" s="710"/>
      <c r="Z23" s="314"/>
      <c r="AA23" s="408"/>
      <c r="AB23" s="321"/>
      <c r="AC23" s="734"/>
      <c r="AD23" s="734"/>
      <c r="AE23" s="394">
        <f t="shared" si="10"/>
        <v>-1730</v>
      </c>
      <c r="AF23" s="29">
        <f t="shared" si="11"/>
        <v>1920</v>
      </c>
      <c r="AG23" s="299">
        <f>AG5</f>
        <v>190</v>
      </c>
      <c r="AH23" s="78">
        <f>AG23-AF23</f>
        <v>-1730</v>
      </c>
      <c r="AI23" s="258"/>
      <c r="AJ23" s="376">
        <f>AJ5</f>
        <v>190</v>
      </c>
      <c r="AK23" s="233">
        <f t="shared" si="12"/>
        <v>1730</v>
      </c>
      <c r="AL23" s="122"/>
      <c r="AM23" s="408"/>
      <c r="AN23" s="321"/>
      <c r="AO23" s="710"/>
      <c r="AP23" s="314"/>
      <c r="AQ23" s="408"/>
      <c r="AR23" s="321"/>
      <c r="AS23" s="710"/>
      <c r="AT23" s="314"/>
      <c r="AU23" s="408"/>
      <c r="AV23" s="321"/>
      <c r="AW23" s="734"/>
      <c r="AX23" s="734"/>
      <c r="AY23" s="394">
        <f t="shared" si="13"/>
        <v>-1585</v>
      </c>
      <c r="AZ23" s="29">
        <f t="shared" si="23"/>
        <v>1730</v>
      </c>
      <c r="BA23" s="299">
        <f>BA5</f>
        <v>145</v>
      </c>
      <c r="BB23" s="78">
        <f>BA23-AZ23</f>
        <v>-1585</v>
      </c>
      <c r="BC23" s="256"/>
      <c r="BD23" s="376">
        <f>BD5</f>
        <v>145</v>
      </c>
      <c r="BE23" s="233">
        <f t="shared" si="14"/>
        <v>1585</v>
      </c>
      <c r="BF23" s="314"/>
      <c r="BG23" s="499"/>
      <c r="BH23" s="255"/>
      <c r="BI23" s="770"/>
      <c r="BJ23" s="314"/>
      <c r="BK23" s="499"/>
      <c r="BL23" s="255"/>
      <c r="BM23" s="770"/>
      <c r="BN23" s="122"/>
      <c r="BO23" s="499"/>
      <c r="BP23" s="255"/>
      <c r="BQ23" s="774"/>
      <c r="BR23" s="774"/>
      <c r="BS23" s="394">
        <f t="shared" si="15"/>
        <v>-905</v>
      </c>
      <c r="BT23" s="29">
        <f t="shared" si="25"/>
        <v>1585</v>
      </c>
      <c r="BU23" s="299">
        <f>BU5</f>
        <v>680</v>
      </c>
      <c r="BV23" s="78">
        <f>BU23-BT23</f>
        <v>-905</v>
      </c>
      <c r="BW23" s="256"/>
      <c r="BX23" s="376">
        <f>BX5</f>
        <v>674</v>
      </c>
      <c r="BY23" s="233">
        <f t="shared" si="16"/>
        <v>911</v>
      </c>
      <c r="BZ23" s="200"/>
      <c r="CA23" s="499"/>
      <c r="CB23" s="255"/>
      <c r="CC23" s="770"/>
      <c r="CD23" s="200"/>
      <c r="CE23" s="499"/>
      <c r="CF23" s="255"/>
      <c r="CG23" s="770"/>
      <c r="CH23" s="314"/>
      <c r="CI23" s="408"/>
      <c r="CJ23" s="321"/>
      <c r="CK23" s="734"/>
      <c r="CL23" s="734"/>
      <c r="CM23" s="394">
        <f t="shared" si="17"/>
        <v>-1667</v>
      </c>
      <c r="CN23" s="29">
        <f t="shared" si="27"/>
        <v>911</v>
      </c>
      <c r="CO23" s="299">
        <f>CO5</f>
        <v>238</v>
      </c>
      <c r="CP23" s="78">
        <f>CO23-CN23</f>
        <v>-673</v>
      </c>
      <c r="CQ23" s="240">
        <v>1000</v>
      </c>
      <c r="CR23" s="376">
        <f>CR5</f>
        <v>0</v>
      </c>
      <c r="CS23" s="233">
        <f t="shared" si="18"/>
        <v>1911</v>
      </c>
      <c r="CT23" s="200"/>
      <c r="CU23" s="201"/>
      <c r="CV23" s="36"/>
      <c r="CW23" s="220"/>
      <c r="CX23" s="272"/>
      <c r="CY23" s="201"/>
      <c r="CZ23" s="321"/>
      <c r="DA23" s="710"/>
      <c r="DB23" s="122"/>
      <c r="DC23" s="201"/>
      <c r="DD23" s="36"/>
      <c r="DG23" s="394">
        <f t="shared" si="19"/>
        <v>-1905</v>
      </c>
      <c r="DH23" s="29">
        <f t="shared" si="20"/>
        <v>911</v>
      </c>
      <c r="DI23" s="299">
        <f>DI5</f>
        <v>0</v>
      </c>
      <c r="DJ23" s="78">
        <f>DI23-DH23</f>
        <v>-911</v>
      </c>
      <c r="DK23" s="244"/>
      <c r="DL23" s="376">
        <f>DL5</f>
        <v>0</v>
      </c>
      <c r="DM23" s="233">
        <f t="shared" si="5"/>
        <v>911</v>
      </c>
    </row>
    <row r="24" spans="1:117" ht="15.75" thickBot="1" x14ac:dyDescent="0.3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690</v>
      </c>
      <c r="K24" s="53"/>
      <c r="L24" s="55"/>
      <c r="M24" s="390">
        <f>58+16-58</f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674</v>
      </c>
      <c r="AF24" s="55"/>
      <c r="AG24" s="56">
        <f>240-240+141-141+95</f>
        <v>95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579</v>
      </c>
      <c r="AZ24" s="55"/>
      <c r="BA24" s="56">
        <f>130-130+194-194+191-191+129</f>
        <v>129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f>410-410+450</f>
        <v>450</v>
      </c>
      <c r="BV24" s="56"/>
      <c r="BW24" s="56"/>
      <c r="BX24" s="243">
        <f>15+15+5+20+30+30+15+27+8+1+1+20+30+25+60</f>
        <v>302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200</v>
      </c>
      <c r="CN24" s="55"/>
      <c r="CO24" s="243">
        <v>200</v>
      </c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ht="15.75" hidden="1" thickBot="1" x14ac:dyDescent="0.3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-207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1"/>
      <c r="V25" s="215"/>
      <c r="W25" s="199"/>
      <c r="X25" s="148"/>
      <c r="Y25" s="711"/>
      <c r="Z25" s="21"/>
      <c r="AA25" s="6"/>
      <c r="AB25" s="35"/>
      <c r="AC25" s="713"/>
      <c r="AD25" s="713"/>
      <c r="AE25" s="394">
        <f>SUM(M25,AG25)-SUM(O25,AI25)-L25</f>
        <v>-786</v>
      </c>
      <c r="AF25" s="29">
        <f>Q25</f>
        <v>881</v>
      </c>
      <c r="AG25" s="298">
        <f>AG24</f>
        <v>95</v>
      </c>
      <c r="AH25" s="5">
        <f>AG25-AF25</f>
        <v>-786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1"/>
      <c r="AP25" s="215"/>
      <c r="AQ25" s="199"/>
      <c r="AR25" s="148"/>
      <c r="AS25" s="711"/>
      <c r="AT25" s="21"/>
      <c r="AU25" s="6"/>
      <c r="AV25" s="35"/>
      <c r="AW25" s="713"/>
      <c r="AX25" s="713"/>
      <c r="AY25" s="394">
        <f>SUM(M25,AG25,BA25)-SUM(O25,AI25,BC25)-L25</f>
        <v>-1157</v>
      </c>
      <c r="AZ25" s="29">
        <f>AK25</f>
        <v>792</v>
      </c>
      <c r="BA25" s="298">
        <f>BA24</f>
        <v>129</v>
      </c>
      <c r="BB25" s="5">
        <f>BA25-AZ25</f>
        <v>-663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1"/>
      <c r="BJ25" s="215"/>
      <c r="BK25" s="199"/>
      <c r="BL25" s="35" t="s">
        <v>796</v>
      </c>
      <c r="BM25" s="612"/>
      <c r="BN25" s="21"/>
      <c r="BO25" s="6"/>
      <c r="BP25" s="35"/>
      <c r="BQ25" s="713"/>
      <c r="BR25" s="713"/>
      <c r="BS25" s="394">
        <f>SUM(M25,AG25,BA25,BU25)-SUM(O25,AI25,BC25,BW25)-L25</f>
        <v>-707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302</v>
      </c>
      <c r="BY25" s="231">
        <f t="shared" ref="BY25:BY32" si="32">BT25+BW25-BX25</f>
        <v>861</v>
      </c>
      <c r="BZ25" s="549"/>
      <c r="CA25" s="199"/>
      <c r="CB25" s="148" t="s">
        <v>797</v>
      </c>
      <c r="CC25" s="711"/>
      <c r="CD25" s="215"/>
      <c r="CE25" s="199"/>
      <c r="CF25" s="148"/>
      <c r="CG25" s="711"/>
      <c r="CH25" s="21"/>
      <c r="CI25" s="6"/>
      <c r="CJ25" s="35"/>
      <c r="CK25" s="713"/>
      <c r="CL25" s="713"/>
      <c r="CM25" s="394">
        <f>SUM(M25,AG25,BA25,BU25,CO25)-SUM(O25,AI25,BC25,BW25,CQ25)-L25</f>
        <v>-507</v>
      </c>
      <c r="CN25" s="29">
        <f>BY25</f>
        <v>861</v>
      </c>
      <c r="CO25" s="298">
        <f>CO24</f>
        <v>200</v>
      </c>
      <c r="CP25" s="5">
        <f>CO25-CN25</f>
        <v>-661</v>
      </c>
      <c r="CQ25" s="256"/>
      <c r="CR25" s="303">
        <f>CR24</f>
        <v>0</v>
      </c>
      <c r="CS25" s="231">
        <f t="shared" ref="CS25:CS32" si="33">CN25+CQ25-CR25</f>
        <v>861</v>
      </c>
      <c r="CT25" s="215"/>
      <c r="CU25" s="199"/>
      <c r="CV25" s="148"/>
      <c r="CW25" s="711"/>
      <c r="CX25" s="215"/>
      <c r="CY25" s="199"/>
      <c r="CZ25" s="148"/>
      <c r="DA25" s="711"/>
      <c r="DB25" s="21"/>
      <c r="DC25" s="6"/>
      <c r="DD25" s="35"/>
      <c r="DE25" s="713"/>
      <c r="DF25" s="713"/>
      <c r="DG25" s="394">
        <f>SUM(M25,AG25,BA25,BU25,DI25)-SUM(O25,AI25,BC25,BW25,CQ25)-L25</f>
        <v>-707</v>
      </c>
      <c r="DH25" s="29">
        <f>BY25</f>
        <v>861</v>
      </c>
      <c r="DI25" s="298">
        <f>DI24</f>
        <v>0</v>
      </c>
      <c r="DJ25" s="5">
        <f>DI25-DH25</f>
        <v>-861</v>
      </c>
      <c r="DK25" s="240"/>
      <c r="DL25" s="303">
        <f>DL24</f>
        <v>0</v>
      </c>
      <c r="DM25" s="231">
        <f t="shared" ref="DM25:DM32" si="34">DH25+DK25-DL25</f>
        <v>861</v>
      </c>
    </row>
    <row r="26" spans="1:117" ht="15.75" hidden="1" thickBot="1" x14ac:dyDescent="0.3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1"/>
      <c r="V26" s="549"/>
      <c r="W26" s="199"/>
      <c r="X26" s="148"/>
      <c r="Y26" s="711"/>
      <c r="Z26" s="21"/>
      <c r="AA26" s="6"/>
      <c r="AB26" s="35"/>
      <c r="AC26" s="713"/>
      <c r="AD26" s="713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1"/>
      <c r="AP26" s="215"/>
      <c r="AQ26" s="199"/>
      <c r="AR26" s="148"/>
      <c r="AS26" s="711"/>
      <c r="AT26" s="21"/>
      <c r="AU26" s="6"/>
      <c r="AV26" s="35"/>
      <c r="AW26" s="713"/>
      <c r="AX26" s="713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1"/>
      <c r="BJ26" s="235"/>
      <c r="BK26" s="199"/>
      <c r="BL26" s="35"/>
      <c r="BM26" s="612"/>
      <c r="BN26" s="527"/>
      <c r="BO26" s="6"/>
      <c r="BP26" s="35"/>
      <c r="BQ26" s="713"/>
      <c r="BR26" s="713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302</v>
      </c>
      <c r="BY26" s="231">
        <f>BT26+BW26-BX26</f>
        <v>988</v>
      </c>
      <c r="BZ26" s="549"/>
      <c r="CA26" s="199"/>
      <c r="CB26" s="148"/>
      <c r="CC26" s="711"/>
      <c r="CD26" s="215"/>
      <c r="CE26" s="199"/>
      <c r="CF26" s="148"/>
      <c r="CG26" s="711"/>
      <c r="CH26" s="21"/>
      <c r="CI26" s="6"/>
      <c r="CJ26" s="35"/>
      <c r="CK26" s="713"/>
      <c r="CL26" s="713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1"/>
      <c r="CX26" s="215"/>
      <c r="CY26" s="199"/>
      <c r="CZ26" s="148"/>
      <c r="DA26" s="711"/>
      <c r="DB26" s="21"/>
      <c r="DC26" s="6"/>
      <c r="DD26" s="35"/>
      <c r="DE26" s="713"/>
      <c r="DF26" s="713"/>
      <c r="DG26" s="394"/>
      <c r="DH26" s="29"/>
      <c r="DI26" s="298"/>
      <c r="DJ26" s="5"/>
      <c r="DK26" s="240"/>
      <c r="DL26" s="303"/>
      <c r="DM26" s="231"/>
    </row>
    <row r="27" spans="1:117" ht="15.75" hidden="1" thickBot="1" x14ac:dyDescent="0.3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1"/>
      <c r="V27" s="549"/>
      <c r="W27" s="199"/>
      <c r="X27" s="148"/>
      <c r="Y27" s="711"/>
      <c r="Z27" s="21"/>
      <c r="AA27" s="6"/>
      <c r="AB27" s="35"/>
      <c r="AC27" s="713"/>
      <c r="AD27" s="713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1"/>
      <c r="AP27" s="215"/>
      <c r="AQ27" s="199"/>
      <c r="AR27" s="148"/>
      <c r="AS27" s="711"/>
      <c r="AT27" s="21"/>
      <c r="AU27" s="6"/>
      <c r="AV27" s="35"/>
      <c r="AW27" s="713"/>
      <c r="AX27" s="713"/>
      <c r="AY27" s="394"/>
      <c r="AZ27" s="29">
        <f>AK27</f>
        <v>0</v>
      </c>
      <c r="BA27" s="298">
        <f>BA24</f>
        <v>129</v>
      </c>
      <c r="BB27" s="5">
        <f>BA27-AZ27</f>
        <v>129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13"/>
      <c r="BR27" s="713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90.6</v>
      </c>
      <c r="BY27" s="231">
        <f t="shared" ref="BY27" si="36">BT27+BW27-BX27</f>
        <v>-29.29999999999999</v>
      </c>
      <c r="BZ27" s="549"/>
      <c r="CA27" s="199"/>
      <c r="CB27" s="148"/>
      <c r="CC27" s="711"/>
      <c r="CD27" s="215"/>
      <c r="CE27" s="199"/>
      <c r="CF27" s="148"/>
      <c r="CG27" s="711"/>
      <c r="CH27" s="21"/>
      <c r="CI27" s="6"/>
      <c r="CJ27" s="35"/>
      <c r="CK27" s="713"/>
      <c r="CL27" s="713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1"/>
      <c r="CX27" s="215"/>
      <c r="CY27" s="199"/>
      <c r="CZ27" s="148"/>
      <c r="DA27" s="711"/>
      <c r="DB27" s="21"/>
      <c r="DC27" s="6"/>
      <c r="DD27" s="35"/>
      <c r="DE27" s="713"/>
      <c r="DF27" s="713"/>
      <c r="DG27" s="394"/>
      <c r="DH27" s="29"/>
      <c r="DI27" s="298"/>
      <c r="DJ27" s="5"/>
      <c r="DK27" s="240"/>
      <c r="DL27" s="303"/>
      <c r="DM27" s="231"/>
    </row>
    <row r="28" spans="1:117" ht="15.75" hidden="1" thickBot="1" x14ac:dyDescent="0.3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1"/>
      <c r="V28" s="549"/>
      <c r="W28" s="199"/>
      <c r="X28" s="148"/>
      <c r="Y28" s="711"/>
      <c r="Z28" s="21"/>
      <c r="AA28" s="6"/>
      <c r="AB28" s="35"/>
      <c r="AC28" s="713"/>
      <c r="AD28" s="713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1"/>
      <c r="AP28" s="215"/>
      <c r="AQ28" s="199"/>
      <c r="AR28" s="148"/>
      <c r="AS28" s="711"/>
      <c r="AT28" s="21"/>
      <c r="AU28" s="6"/>
      <c r="AV28" s="35"/>
      <c r="AW28" s="713"/>
      <c r="AX28" s="713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1"/>
      <c r="BJ28" s="235"/>
      <c r="BK28" s="199"/>
      <c r="BL28" s="35"/>
      <c r="BM28" s="612"/>
      <c r="BN28" s="527"/>
      <c r="BO28" s="6"/>
      <c r="BP28" s="35"/>
      <c r="BQ28" s="713"/>
      <c r="BR28" s="713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302</v>
      </c>
      <c r="BY28" s="231">
        <f t="shared" ref="BY28" si="37">BT28+BW28-BX28</f>
        <v>1698</v>
      </c>
      <c r="BZ28" s="549"/>
      <c r="CA28" s="199"/>
      <c r="CB28" s="148"/>
      <c r="CC28" s="711"/>
      <c r="CD28" s="215"/>
      <c r="CE28" s="199"/>
      <c r="CF28" s="148"/>
      <c r="CG28" s="711"/>
      <c r="CH28" s="21"/>
      <c r="CI28" s="6"/>
      <c r="CJ28" s="35"/>
      <c r="CK28" s="713"/>
      <c r="CL28" s="713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1"/>
      <c r="CX28" s="215"/>
      <c r="CY28" s="199"/>
      <c r="CZ28" s="148"/>
      <c r="DA28" s="711"/>
      <c r="DB28" s="21"/>
      <c r="DC28" s="6"/>
      <c r="DD28" s="35"/>
      <c r="DE28" s="713"/>
      <c r="DF28" s="713"/>
      <c r="DG28" s="394"/>
      <c r="DH28" s="29"/>
      <c r="DI28" s="298"/>
      <c r="DJ28" s="5"/>
      <c r="DK28" s="240"/>
      <c r="DL28" s="303"/>
      <c r="DM28" s="231"/>
    </row>
    <row r="29" spans="1:117" ht="30.75" hidden="1" thickBot="1" x14ac:dyDescent="0.3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 t="shared" ref="J29:J37" si="38">SUM(M29,AG29,BA29,BU29)-L29</f>
        <v>-57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08"/>
      <c r="V29" s="549"/>
      <c r="W29" s="210"/>
      <c r="X29" s="216"/>
      <c r="Y29" s="707"/>
      <c r="Z29" s="21"/>
      <c r="AA29" s="569">
        <f>$F$29*50%*150</f>
        <v>30975</v>
      </c>
      <c r="AB29" s="216" t="s">
        <v>702</v>
      </c>
      <c r="AC29" s="716"/>
      <c r="AD29" s="716"/>
      <c r="AE29" s="394">
        <f t="shared" ref="AE29:AE37" si="39">SUM(M29,AG29)-SUM(O29,AI29)-L29</f>
        <v>-786</v>
      </c>
      <c r="AF29" s="29">
        <f t="shared" ref="AF29:AF46" si="40">Q29</f>
        <v>881</v>
      </c>
      <c r="AG29" s="298">
        <f>AG24</f>
        <v>95</v>
      </c>
      <c r="AH29" s="5">
        <f>AG29-AF29</f>
        <v>-786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7"/>
      <c r="AP29" s="215"/>
      <c r="AQ29" s="210"/>
      <c r="AR29" s="216"/>
      <c r="AS29" s="707"/>
      <c r="AT29" s="215"/>
      <c r="AU29" s="210"/>
      <c r="AV29" s="216"/>
      <c r="AW29" s="716"/>
      <c r="AX29" s="716"/>
      <c r="AY29" s="394">
        <f t="shared" ref="AY29:AY37" si="41">SUM(M29,AG29,BA29)-SUM(O29,AI29,BC29)-L29</f>
        <v>-657</v>
      </c>
      <c r="AZ29" s="607">
        <v>535</v>
      </c>
      <c r="BA29" s="298">
        <f>BA24</f>
        <v>129</v>
      </c>
      <c r="BB29" s="5">
        <f>BA29-AZ29</f>
        <v>-406</v>
      </c>
      <c r="BC29" s="240"/>
      <c r="BD29" s="303">
        <f>BD24</f>
        <v>129</v>
      </c>
      <c r="BE29" s="231">
        <f t="shared" si="31"/>
        <v>406</v>
      </c>
      <c r="BF29" s="310"/>
      <c r="BG29" s="199"/>
      <c r="BH29" s="216"/>
      <c r="BI29" s="707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13"/>
      <c r="BR29" s="713"/>
      <c r="BS29" s="394">
        <f t="shared" ref="BS29:BS37" si="42">SUM(M29,AG29,BA29,BU29)-SUM(O29,AI29,BC29,BW29)-L29</f>
        <v>-712</v>
      </c>
      <c r="BT29" s="29">
        <f t="shared" ref="BT29:BT37" si="43">BE29</f>
        <v>406</v>
      </c>
      <c r="BU29" s="298">
        <f>BU24</f>
        <v>450</v>
      </c>
      <c r="BV29" s="5">
        <f>BU29-BT29</f>
        <v>44</v>
      </c>
      <c r="BW29" s="7">
        <v>505</v>
      </c>
      <c r="BX29" s="303">
        <f>BX24</f>
        <v>302</v>
      </c>
      <c r="BY29" s="231">
        <f t="shared" si="32"/>
        <v>609</v>
      </c>
      <c r="BZ29" s="310"/>
      <c r="CA29" s="663">
        <v>102474.6</v>
      </c>
      <c r="CB29" s="664" t="s">
        <v>793</v>
      </c>
      <c r="CC29" s="773"/>
      <c r="CD29" s="215"/>
      <c r="CE29" s="210"/>
      <c r="CF29" s="216"/>
      <c r="CG29" s="707"/>
      <c r="CH29" s="21"/>
      <c r="CI29" s="210"/>
      <c r="CJ29" s="211"/>
      <c r="CK29" s="733"/>
      <c r="CL29" s="733"/>
      <c r="CM29" s="394">
        <f t="shared" ref="CM29:CM37" si="44">SUM(M29,AG29,BA29,BU29,CO29)-SUM(O29,AI29,BC29,BW29,CQ29)-L29</f>
        <v>-512</v>
      </c>
      <c r="CN29" s="29">
        <f t="shared" ref="CN29:CN37" si="45">BY29</f>
        <v>609</v>
      </c>
      <c r="CO29" s="298">
        <f>CO24</f>
        <v>200</v>
      </c>
      <c r="CP29" s="5">
        <f>CO29-CN29</f>
        <v>-409</v>
      </c>
      <c r="CQ29" s="240"/>
      <c r="CR29" s="303">
        <f>CR24</f>
        <v>0</v>
      </c>
      <c r="CS29" s="231">
        <f t="shared" si="33"/>
        <v>609</v>
      </c>
      <c r="CT29" s="21"/>
      <c r="CU29" s="210"/>
      <c r="CV29" s="211"/>
      <c r="CW29" s="708"/>
      <c r="CX29" s="215"/>
      <c r="CY29" s="199"/>
      <c r="CZ29" s="148"/>
      <c r="DA29" s="711"/>
      <c r="DB29" s="21"/>
      <c r="DC29" s="6"/>
      <c r="DD29" s="35"/>
      <c r="DE29" s="713"/>
      <c r="DF29" s="713"/>
      <c r="DG29" s="394">
        <f t="shared" ref="DG29:DG37" si="46">SUM(M29,AG29,BA29,BU29,DI29)-SUM(O29,AI29,BC29,BW29,CQ29)-L29</f>
        <v>-712</v>
      </c>
      <c r="DH29" s="29">
        <f t="shared" ref="DH29:DH37" si="47">BY29</f>
        <v>609</v>
      </c>
      <c r="DI29" s="298">
        <f>DI24</f>
        <v>0</v>
      </c>
      <c r="DJ29" s="5">
        <f>DI29-DH29</f>
        <v>-609</v>
      </c>
      <c r="DK29" s="240"/>
      <c r="DL29" s="303">
        <f>DL24</f>
        <v>0</v>
      </c>
      <c r="DM29" s="231">
        <f t="shared" si="34"/>
        <v>609</v>
      </c>
    </row>
    <row r="30" spans="1:117" ht="30.75" hidden="1" thickBot="1" x14ac:dyDescent="0.3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 t="shared" si="38"/>
        <v>-455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8">M30-L30</f>
        <v>-1803</v>
      </c>
      <c r="O30" s="258"/>
      <c r="P30" s="303">
        <f>P24*2</f>
        <v>32</v>
      </c>
      <c r="Q30" s="231">
        <f t="shared" ref="Q30:Q32" si="49">L30+O30-P30</f>
        <v>1803</v>
      </c>
      <c r="R30" s="121"/>
      <c r="S30" s="210"/>
      <c r="T30" s="211"/>
      <c r="U30" s="708"/>
      <c r="V30" s="121"/>
      <c r="W30" s="210"/>
      <c r="X30" s="211"/>
      <c r="Y30" s="708"/>
      <c r="Z30" s="21"/>
      <c r="AA30" s="6"/>
      <c r="AB30" s="35"/>
      <c r="AC30" s="713"/>
      <c r="AD30" s="713"/>
      <c r="AE30" s="394">
        <f t="shared" si="39"/>
        <v>-1613</v>
      </c>
      <c r="AF30" s="29">
        <f t="shared" si="40"/>
        <v>1803</v>
      </c>
      <c r="AG30" s="298">
        <f>AG24*2</f>
        <v>190</v>
      </c>
      <c r="AH30" s="5">
        <f t="shared" ref="AH30:AH32" si="50">AG30-AF30</f>
        <v>-1613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3"/>
      <c r="AX30" s="713"/>
      <c r="AY30" s="394">
        <f t="shared" si="41"/>
        <v>-1355</v>
      </c>
      <c r="AZ30" s="29">
        <f t="shared" ref="AZ30:AZ37" si="51">AK30</f>
        <v>1625</v>
      </c>
      <c r="BA30" s="298">
        <f>BA24*2</f>
        <v>258</v>
      </c>
      <c r="BB30" s="5">
        <f t="shared" ref="BB30:BB32" si="52">BA30-AZ30</f>
        <v>-1367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13"/>
      <c r="BR30" s="713"/>
      <c r="BS30" s="394">
        <f t="shared" si="42"/>
        <v>-1521</v>
      </c>
      <c r="BT30" s="29">
        <f t="shared" si="43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604</v>
      </c>
      <c r="BY30" s="231">
        <f t="shared" si="32"/>
        <v>1829</v>
      </c>
      <c r="BZ30" s="121"/>
      <c r="CA30" s="663">
        <v>153000</v>
      </c>
      <c r="CB30" s="664" t="s">
        <v>880</v>
      </c>
      <c r="CC30" s="773"/>
      <c r="CD30" s="121"/>
      <c r="CE30" s="6"/>
      <c r="CF30" s="35"/>
      <c r="CG30" s="612"/>
      <c r="CH30" s="21"/>
      <c r="CI30" s="6"/>
      <c r="CJ30" s="414"/>
      <c r="CK30" s="801"/>
      <c r="CL30" s="801"/>
      <c r="CM30" s="394">
        <f t="shared" si="44"/>
        <v>-1121</v>
      </c>
      <c r="CN30" s="29">
        <f t="shared" si="45"/>
        <v>1829</v>
      </c>
      <c r="CO30" s="298">
        <f>CO24*2</f>
        <v>400</v>
      </c>
      <c r="CP30" s="5">
        <f t="shared" ref="CP30:CP32" si="54">CO30-CN30</f>
        <v>-1429</v>
      </c>
      <c r="CQ30" s="258"/>
      <c r="CR30" s="303">
        <f>CR24*2</f>
        <v>0</v>
      </c>
      <c r="CS30" s="231">
        <f t="shared" si="33"/>
        <v>1829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3"/>
      <c r="DF30" s="713"/>
      <c r="DG30" s="394">
        <f t="shared" si="46"/>
        <v>-1521</v>
      </c>
      <c r="DH30" s="29">
        <f t="shared" si="47"/>
        <v>1829</v>
      </c>
      <c r="DI30" s="298">
        <f>DI24*2</f>
        <v>0</v>
      </c>
      <c r="DJ30" s="5">
        <f t="shared" ref="DJ30:DJ32" si="55">DI30-DH30</f>
        <v>-1829</v>
      </c>
      <c r="DK30" s="240"/>
      <c r="DL30" s="303">
        <f>DL24*2</f>
        <v>0</v>
      </c>
      <c r="DM30" s="231">
        <f t="shared" si="34"/>
        <v>1829</v>
      </c>
    </row>
    <row r="31" spans="1:117" ht="15.75" hidden="1" thickBot="1" x14ac:dyDescent="0.3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-266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08"/>
      <c r="V31" s="21"/>
      <c r="W31" s="210"/>
      <c r="X31" s="211"/>
      <c r="Y31" s="708"/>
      <c r="Z31" s="21"/>
      <c r="AA31" s="6"/>
      <c r="AB31" s="35"/>
      <c r="AC31" s="713"/>
      <c r="AD31" s="713"/>
      <c r="AE31" s="394">
        <f t="shared" si="39"/>
        <v>-845</v>
      </c>
      <c r="AF31" s="29">
        <f t="shared" si="40"/>
        <v>940</v>
      </c>
      <c r="AG31" s="298">
        <f>AG24</f>
        <v>95</v>
      </c>
      <c r="AH31" s="5">
        <f t="shared" ref="AH31" si="58">AG31-AF31</f>
        <v>-845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3"/>
      <c r="AX31" s="713"/>
      <c r="AY31" s="394">
        <f t="shared" si="41"/>
        <v>-1221</v>
      </c>
      <c r="AZ31" s="607">
        <v>513</v>
      </c>
      <c r="BA31" s="298">
        <f>BA24</f>
        <v>129</v>
      </c>
      <c r="BB31" s="5">
        <f t="shared" ref="BB31" si="60">BA31-AZ31</f>
        <v>-384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13"/>
      <c r="BR31" s="713"/>
      <c r="BS31" s="394">
        <f t="shared" si="42"/>
        <v>-771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302</v>
      </c>
      <c r="BY31" s="231">
        <f t="shared" ref="BY31" si="64">BT31+BW31-BX31</f>
        <v>587</v>
      </c>
      <c r="BZ31" s="21"/>
      <c r="CD31" s="121"/>
      <c r="CE31" s="6"/>
      <c r="CF31" s="35"/>
      <c r="CG31" s="612"/>
      <c r="CH31" s="21"/>
      <c r="CI31" s="6"/>
      <c r="CJ31" s="414"/>
      <c r="CK31" s="801"/>
      <c r="CL31" s="801"/>
      <c r="CM31" s="394">
        <f t="shared" si="44"/>
        <v>-571</v>
      </c>
      <c r="CN31" s="29">
        <f t="shared" ref="CN31" si="65">BY31</f>
        <v>587</v>
      </c>
      <c r="CO31" s="298">
        <f>CO24</f>
        <v>200</v>
      </c>
      <c r="CP31" s="5">
        <f t="shared" ref="CP31" si="66">CO31-CN31</f>
        <v>-387</v>
      </c>
      <c r="CQ31" s="258"/>
      <c r="CR31" s="303">
        <f>CR24</f>
        <v>0</v>
      </c>
      <c r="CS31" s="231">
        <f t="shared" ref="CS31" si="67">CN31+CQ31-CR31</f>
        <v>587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3"/>
      <c r="DF31" s="713"/>
      <c r="DG31" s="394">
        <f t="shared" si="46"/>
        <v>-771</v>
      </c>
      <c r="DH31" s="29">
        <f t="shared" si="47"/>
        <v>587</v>
      </c>
      <c r="DI31" s="298">
        <f>DI24</f>
        <v>0</v>
      </c>
      <c r="DJ31" s="5">
        <f t="shared" si="55"/>
        <v>-587</v>
      </c>
      <c r="DK31" s="240"/>
      <c r="DL31" s="303">
        <f>DL24</f>
        <v>0</v>
      </c>
      <c r="DM31" s="231">
        <f t="shared" si="34"/>
        <v>587</v>
      </c>
    </row>
    <row r="32" spans="1:117" ht="32.450000000000003" hidden="1" customHeight="1" x14ac:dyDescent="0.3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 t="shared" si="38"/>
        <v>-227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8"/>
        <v>-901</v>
      </c>
      <c r="O32" s="244"/>
      <c r="P32" s="303">
        <f>P24</f>
        <v>16</v>
      </c>
      <c r="Q32" s="231">
        <f t="shared" si="49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3"/>
      <c r="AD32" s="713"/>
      <c r="AE32" s="394">
        <f t="shared" si="39"/>
        <v>-806</v>
      </c>
      <c r="AF32" s="29">
        <f t="shared" si="40"/>
        <v>901</v>
      </c>
      <c r="AG32" s="298">
        <f>AG24</f>
        <v>95</v>
      </c>
      <c r="AH32" s="5">
        <f t="shared" si="50"/>
        <v>-806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3"/>
      <c r="AX32" s="713"/>
      <c r="AY32" s="394">
        <f t="shared" si="41"/>
        <v>-1177</v>
      </c>
      <c r="AZ32" s="607">
        <f t="shared" si="51"/>
        <v>812</v>
      </c>
      <c r="BA32" s="298">
        <f>BA24</f>
        <v>129</v>
      </c>
      <c r="BB32" s="5">
        <f t="shared" si="52"/>
        <v>-683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13"/>
      <c r="BR32" s="713"/>
      <c r="BS32" s="394">
        <f t="shared" si="42"/>
        <v>-727</v>
      </c>
      <c r="BT32" s="29">
        <f t="shared" si="43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302</v>
      </c>
      <c r="BY32" s="231">
        <f t="shared" si="32"/>
        <v>881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3"/>
      <c r="CL32" s="713"/>
      <c r="CM32" s="394">
        <f t="shared" si="44"/>
        <v>-527</v>
      </c>
      <c r="CN32" s="29">
        <f t="shared" si="45"/>
        <v>881</v>
      </c>
      <c r="CO32" s="298">
        <f>CO24</f>
        <v>200</v>
      </c>
      <c r="CP32" s="5">
        <f t="shared" si="54"/>
        <v>-681</v>
      </c>
      <c r="CQ32" s="240"/>
      <c r="CR32" s="303">
        <f>CR24</f>
        <v>0</v>
      </c>
      <c r="CS32" s="231">
        <f t="shared" si="33"/>
        <v>881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3"/>
      <c r="DF32" s="713"/>
      <c r="DG32" s="394">
        <f t="shared" si="46"/>
        <v>-727</v>
      </c>
      <c r="DH32" s="29">
        <f t="shared" si="47"/>
        <v>881</v>
      </c>
      <c r="DI32" s="298">
        <f>DI24</f>
        <v>0</v>
      </c>
      <c r="DJ32" s="5">
        <f t="shared" si="55"/>
        <v>-881</v>
      </c>
      <c r="DK32" s="240"/>
      <c r="DL32" s="303">
        <f>DL24</f>
        <v>0</v>
      </c>
      <c r="DM32" s="231">
        <f t="shared" si="34"/>
        <v>881</v>
      </c>
    </row>
    <row r="33" spans="1:117" ht="30.75" hidden="1" thickBot="1" x14ac:dyDescent="0.3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55"/>
      <c r="J33" s="536">
        <f t="shared" si="38"/>
        <v>-222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2"/>
      <c r="V33" s="129"/>
      <c r="W33" s="130"/>
      <c r="X33" s="79"/>
      <c r="Y33" s="712"/>
      <c r="Z33" s="131"/>
      <c r="AA33" s="130"/>
      <c r="AB33" s="79"/>
      <c r="AE33" s="394">
        <f t="shared" si="39"/>
        <v>-801</v>
      </c>
      <c r="AF33" s="29">
        <f t="shared" si="40"/>
        <v>896</v>
      </c>
      <c r="AG33" s="299">
        <f>AG24</f>
        <v>95</v>
      </c>
      <c r="AH33" s="5">
        <f>AG33-AF33</f>
        <v>-801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2"/>
      <c r="AP33" s="129"/>
      <c r="AQ33" s="130"/>
      <c r="AR33" s="79"/>
      <c r="AS33" s="712"/>
      <c r="AT33" s="131"/>
      <c r="AU33" s="130"/>
      <c r="AV33" s="79"/>
      <c r="AY33" s="394">
        <f t="shared" si="41"/>
        <v>-672</v>
      </c>
      <c r="AZ33" s="29">
        <f t="shared" si="51"/>
        <v>807</v>
      </c>
      <c r="BA33" s="299">
        <f>BA24</f>
        <v>129</v>
      </c>
      <c r="BB33" s="5">
        <f>BA33-AZ33</f>
        <v>-678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13"/>
      <c r="BR33" s="713"/>
      <c r="BS33" s="394">
        <f t="shared" si="42"/>
        <v>-732</v>
      </c>
      <c r="BT33" s="29">
        <f t="shared" si="43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302</v>
      </c>
      <c r="BY33" s="231">
        <f>BT33+BW33-BX33</f>
        <v>886</v>
      </c>
      <c r="BZ33" s="681">
        <v>153612</v>
      </c>
      <c r="CA33" s="663"/>
      <c r="CB33" s="682" t="s">
        <v>881</v>
      </c>
      <c r="CC33" s="779"/>
      <c r="CD33" s="129"/>
      <c r="CE33" s="199"/>
      <c r="CF33" s="502"/>
      <c r="CG33" s="786"/>
      <c r="CH33" s="131"/>
      <c r="CI33" s="629">
        <v>153612</v>
      </c>
      <c r="CJ33" s="654" t="s">
        <v>887</v>
      </c>
      <c r="CK33" s="635"/>
      <c r="CL33" s="635"/>
      <c r="CM33" s="394">
        <f t="shared" si="44"/>
        <v>-532</v>
      </c>
      <c r="CN33" s="29">
        <f t="shared" si="45"/>
        <v>886</v>
      </c>
      <c r="CO33" s="299">
        <f>CO24</f>
        <v>200</v>
      </c>
      <c r="CP33" s="5">
        <f>CO33-CN33</f>
        <v>-686</v>
      </c>
      <c r="CQ33" s="244"/>
      <c r="CR33" s="376">
        <f>CR24</f>
        <v>0</v>
      </c>
      <c r="CS33" s="231">
        <f>CN33+CQ33-CR33</f>
        <v>886</v>
      </c>
      <c r="CT33" s="129"/>
      <c r="CU33" s="130"/>
      <c r="CV33" s="35"/>
      <c r="CW33" s="712"/>
      <c r="CX33" s="129"/>
      <c r="CY33" s="130"/>
      <c r="CZ33" s="79"/>
      <c r="DA33" s="712"/>
      <c r="DB33" s="131"/>
      <c r="DC33" s="130"/>
      <c r="DD33" s="79"/>
      <c r="DG33" s="394">
        <f t="shared" si="46"/>
        <v>-732</v>
      </c>
      <c r="DH33" s="29">
        <f t="shared" si="47"/>
        <v>886</v>
      </c>
      <c r="DI33" s="299">
        <f>DI24</f>
        <v>0</v>
      </c>
      <c r="DJ33" s="5">
        <f>DI33-DH33</f>
        <v>-886</v>
      </c>
      <c r="DK33" s="244"/>
      <c r="DL33" s="376">
        <f>DL24</f>
        <v>0</v>
      </c>
      <c r="DM33" s="231">
        <f>DH33+DK33-DL33</f>
        <v>886</v>
      </c>
    </row>
    <row r="34" spans="1:117" ht="15.75" hidden="1" thickBot="1" x14ac:dyDescent="0.3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55"/>
      <c r="J34" s="536">
        <f t="shared" si="38"/>
        <v>-293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2"/>
      <c r="V34" s="129"/>
      <c r="W34" s="130"/>
      <c r="X34" s="79"/>
      <c r="Y34" s="712"/>
      <c r="Z34" s="131"/>
      <c r="AA34" s="130"/>
      <c r="AB34" s="79"/>
      <c r="AE34" s="394">
        <f t="shared" si="39"/>
        <v>-872</v>
      </c>
      <c r="AF34" s="29">
        <f t="shared" si="40"/>
        <v>967</v>
      </c>
      <c r="AG34" s="299">
        <f>AG24</f>
        <v>95</v>
      </c>
      <c r="AH34" s="5">
        <f>AG34-AF34</f>
        <v>-872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2"/>
      <c r="AP34" s="129"/>
      <c r="AQ34" s="130"/>
      <c r="AR34" s="79"/>
      <c r="AS34" s="712"/>
      <c r="AT34" s="131"/>
      <c r="AU34" s="130"/>
      <c r="AV34" s="79"/>
      <c r="AY34" s="394">
        <f t="shared" si="41"/>
        <v>-743</v>
      </c>
      <c r="AZ34" s="29">
        <f t="shared" si="51"/>
        <v>878</v>
      </c>
      <c r="BA34" s="299">
        <f>BA24</f>
        <v>129</v>
      </c>
      <c r="BB34" s="5">
        <f>BA34-AZ34</f>
        <v>-749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3"/>
      <c r="BR34" s="713"/>
      <c r="BS34" s="394">
        <f t="shared" si="42"/>
        <v>-533</v>
      </c>
      <c r="BT34" s="29">
        <f t="shared" si="43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302</v>
      </c>
      <c r="BY34" s="231">
        <f>BT34+BW34-BX34</f>
        <v>687</v>
      </c>
      <c r="BZ34" s="683">
        <v>19872</v>
      </c>
      <c r="CA34" s="663"/>
      <c r="CB34" s="682" t="s">
        <v>882</v>
      </c>
      <c r="CC34" s="779"/>
      <c r="CD34" s="129"/>
      <c r="CE34" s="671"/>
      <c r="CF34" s="148"/>
      <c r="CG34" s="786"/>
      <c r="CH34" s="131"/>
      <c r="CI34" s="626">
        <v>19872</v>
      </c>
      <c r="CJ34" s="625" t="s">
        <v>882</v>
      </c>
      <c r="CK34" s="782"/>
      <c r="CL34" s="782"/>
      <c r="CM34" s="394">
        <f t="shared" si="44"/>
        <v>-333</v>
      </c>
      <c r="CN34" s="29">
        <f t="shared" si="45"/>
        <v>687</v>
      </c>
      <c r="CO34" s="299">
        <f>CO24</f>
        <v>200</v>
      </c>
      <c r="CP34" s="5">
        <f>CO34-CN34</f>
        <v>-487</v>
      </c>
      <c r="CQ34" s="244"/>
      <c r="CR34" s="376">
        <f>CR24</f>
        <v>0</v>
      </c>
      <c r="CS34" s="231">
        <f>CN34+CQ34-CR34</f>
        <v>687</v>
      </c>
      <c r="CT34" s="131"/>
      <c r="CU34" s="130"/>
      <c r="CV34" s="35"/>
      <c r="CW34" s="712"/>
      <c r="CX34" s="129"/>
      <c r="CY34" s="130"/>
      <c r="CZ34" s="79"/>
      <c r="DA34" s="712"/>
      <c r="DB34" s="131"/>
      <c r="DC34" s="130"/>
      <c r="DD34" s="79"/>
      <c r="DG34" s="394">
        <f t="shared" si="46"/>
        <v>-533</v>
      </c>
      <c r="DH34" s="29">
        <f t="shared" si="47"/>
        <v>687</v>
      </c>
      <c r="DI34" s="299">
        <f>DI24</f>
        <v>0</v>
      </c>
      <c r="DJ34" s="5">
        <f>DI34-DH34</f>
        <v>-687</v>
      </c>
      <c r="DK34" s="244"/>
      <c r="DL34" s="376">
        <f>DL24</f>
        <v>0</v>
      </c>
      <c r="DM34" s="231">
        <f>DH34+DK34-DL34</f>
        <v>687</v>
      </c>
    </row>
    <row r="35" spans="1:117" ht="15.75" hidden="1" thickBot="1" x14ac:dyDescent="0.3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-203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2"/>
      <c r="V35" s="129"/>
      <c r="W35" s="6"/>
      <c r="X35" s="35"/>
      <c r="Y35" s="712"/>
      <c r="Z35" s="129"/>
      <c r="AA35" s="6"/>
      <c r="AB35" s="35"/>
      <c r="AC35" s="713"/>
      <c r="AD35" s="713"/>
      <c r="AE35" s="394">
        <f t="shared" si="39"/>
        <v>-782</v>
      </c>
      <c r="AF35" s="29">
        <f t="shared" si="40"/>
        <v>877</v>
      </c>
      <c r="AG35" s="299">
        <f>AG24</f>
        <v>95</v>
      </c>
      <c r="AH35" s="5">
        <f t="shared" ref="AH35:AH37" si="70">AG35-AF35</f>
        <v>-782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2"/>
      <c r="AP35" s="291"/>
      <c r="AQ35" s="130"/>
      <c r="AR35" s="35"/>
      <c r="AS35" s="712"/>
      <c r="AT35" s="448"/>
      <c r="AU35" s="130"/>
      <c r="AV35" s="500"/>
      <c r="AW35" s="734"/>
      <c r="AX35" s="734"/>
      <c r="AY35" s="394">
        <f t="shared" si="41"/>
        <v>-653</v>
      </c>
      <c r="AZ35" s="29">
        <f t="shared" si="51"/>
        <v>788</v>
      </c>
      <c r="BA35" s="299">
        <f>BA24</f>
        <v>129</v>
      </c>
      <c r="BB35" s="5">
        <f t="shared" ref="BB35:BB37" si="72">BA35-AZ35</f>
        <v>-659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2"/>
      <c r="BJ35" s="129"/>
      <c r="BK35" s="130"/>
      <c r="BL35" s="35"/>
      <c r="BM35" s="712"/>
      <c r="BN35" s="131"/>
      <c r="BO35" s="130"/>
      <c r="BP35" s="79"/>
      <c r="BS35" s="394">
        <f t="shared" si="42"/>
        <v>-203</v>
      </c>
      <c r="BT35" s="29">
        <f t="shared" si="43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302</v>
      </c>
      <c r="BY35" s="231">
        <f t="shared" ref="BY35:BY39" si="75">BT35+BW35-BX35</f>
        <v>357</v>
      </c>
      <c r="BZ35" s="627"/>
      <c r="CA35" s="6"/>
      <c r="CB35" s="79"/>
      <c r="CC35" s="712"/>
      <c r="CD35" s="129"/>
      <c r="CE35" s="130"/>
      <c r="CF35" s="148"/>
      <c r="CG35" s="711"/>
      <c r="CH35" s="310"/>
      <c r="CI35" s="210"/>
      <c r="CJ35" s="414"/>
      <c r="CK35" s="801"/>
      <c r="CL35" s="801"/>
      <c r="CM35" s="394">
        <f t="shared" si="44"/>
        <v>-3</v>
      </c>
      <c r="CN35" s="29">
        <f t="shared" si="45"/>
        <v>357</v>
      </c>
      <c r="CO35" s="299">
        <f>CO24</f>
        <v>200</v>
      </c>
      <c r="CP35" s="5">
        <f t="shared" ref="CP35:CP37" si="76">CO35-CN35</f>
        <v>-157</v>
      </c>
      <c r="CQ35" s="256"/>
      <c r="CR35" s="376">
        <f>CR24</f>
        <v>0</v>
      </c>
      <c r="CS35" s="231">
        <f t="shared" ref="CS35:CS39" si="77">CN35+CQ35-CR35</f>
        <v>357</v>
      </c>
      <c r="CT35" s="129"/>
      <c r="CU35" s="130"/>
      <c r="CV35" s="35"/>
      <c r="CW35" s="712"/>
      <c r="CX35" s="129"/>
      <c r="CY35" s="6"/>
      <c r="CZ35" s="35"/>
      <c r="DA35" s="712"/>
      <c r="DB35" s="131"/>
      <c r="DC35" s="130"/>
      <c r="DD35" s="79"/>
      <c r="DG35" s="394">
        <f t="shared" si="46"/>
        <v>-203</v>
      </c>
      <c r="DH35" s="29">
        <f t="shared" si="47"/>
        <v>357</v>
      </c>
      <c r="DI35" s="299">
        <f>DI24</f>
        <v>0</v>
      </c>
      <c r="DJ35" s="5">
        <f t="shared" ref="DJ35:DJ37" si="78">DI35-DH35</f>
        <v>-357</v>
      </c>
      <c r="DK35" s="244"/>
      <c r="DL35" s="376">
        <f>DL24</f>
        <v>0</v>
      </c>
      <c r="DM35" s="231">
        <f t="shared" ref="DM35:DM39" si="79">DH35+DK35-DL35</f>
        <v>357</v>
      </c>
    </row>
    <row r="36" spans="1:117" ht="15.75" hidden="1" thickBot="1" x14ac:dyDescent="0.3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-203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2"/>
      <c r="V36" s="129"/>
      <c r="W36" s="130"/>
      <c r="X36" s="500"/>
      <c r="Y36" s="717"/>
      <c r="Z36" s="131"/>
      <c r="AA36" s="130"/>
      <c r="AB36" s="500"/>
      <c r="AC36" s="734"/>
      <c r="AD36" s="734"/>
      <c r="AE36" s="394">
        <f t="shared" si="39"/>
        <v>-782</v>
      </c>
      <c r="AF36" s="29">
        <f t="shared" si="40"/>
        <v>877</v>
      </c>
      <c r="AG36" s="298">
        <f>AG24</f>
        <v>95</v>
      </c>
      <c r="AH36" s="5">
        <f>AG36-AF36</f>
        <v>-782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7"/>
      <c r="AP36" s="129"/>
      <c r="AQ36" s="130"/>
      <c r="AR36" s="500"/>
      <c r="AS36" s="717"/>
      <c r="AT36" s="131"/>
      <c r="AU36" s="130"/>
      <c r="AV36" s="500"/>
      <c r="AW36" s="734"/>
      <c r="AX36" s="734"/>
      <c r="AY36" s="394">
        <f t="shared" si="41"/>
        <v>-653</v>
      </c>
      <c r="AZ36" s="29">
        <f t="shared" si="51"/>
        <v>788</v>
      </c>
      <c r="BA36" s="298">
        <f>BA24</f>
        <v>129</v>
      </c>
      <c r="BB36" s="5">
        <f t="shared" si="72"/>
        <v>-659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7"/>
      <c r="BJ36" s="156">
        <f>648000/2</f>
        <v>324000</v>
      </c>
      <c r="BK36" s="657"/>
      <c r="BL36" s="664" t="s">
        <v>794</v>
      </c>
      <c r="BM36" s="772"/>
      <c r="BN36" s="131"/>
      <c r="BO36" s="210"/>
      <c r="BP36" s="500"/>
      <c r="BQ36" s="734"/>
      <c r="BR36" s="734"/>
      <c r="BS36" s="394">
        <f t="shared" si="42"/>
        <v>-703</v>
      </c>
      <c r="BT36" s="29">
        <f t="shared" si="43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302</v>
      </c>
      <c r="BY36" s="612">
        <f t="shared" si="75"/>
        <v>857</v>
      </c>
      <c r="BZ36" s="627"/>
      <c r="CA36" s="6"/>
      <c r="CB36" s="148"/>
      <c r="CC36" s="711"/>
      <c r="CD36" s="121"/>
      <c r="CE36" s="199"/>
      <c r="CF36" s="502"/>
      <c r="CG36" s="786"/>
      <c r="CH36" s="131"/>
      <c r="CI36" s="629">
        <v>324000</v>
      </c>
      <c r="CJ36" s="654" t="s">
        <v>792</v>
      </c>
      <c r="CK36" s="635"/>
      <c r="CL36" s="635"/>
      <c r="CM36" s="394">
        <f t="shared" si="44"/>
        <v>-503</v>
      </c>
      <c r="CN36" s="29">
        <f t="shared" si="45"/>
        <v>857</v>
      </c>
      <c r="CO36" s="298">
        <f>CO24</f>
        <v>200</v>
      </c>
      <c r="CP36" s="5">
        <f t="shared" si="76"/>
        <v>-657</v>
      </c>
      <c r="CQ36" s="258"/>
      <c r="CR36" s="376">
        <f>CR24</f>
        <v>0</v>
      </c>
      <c r="CS36" s="231">
        <f t="shared" si="77"/>
        <v>857</v>
      </c>
      <c r="CT36" s="129"/>
      <c r="CU36" s="130"/>
      <c r="CV36" s="35"/>
      <c r="CW36" s="712"/>
      <c r="CX36" s="129"/>
      <c r="CY36" s="130"/>
      <c r="CZ36" s="79"/>
      <c r="DA36" s="712"/>
      <c r="DB36" s="131"/>
      <c r="DC36" s="130"/>
      <c r="DD36" s="79"/>
      <c r="DG36" s="394">
        <f t="shared" si="46"/>
        <v>-703</v>
      </c>
      <c r="DH36" s="29">
        <f t="shared" si="47"/>
        <v>857</v>
      </c>
      <c r="DI36" s="298">
        <f>DI24</f>
        <v>0</v>
      </c>
      <c r="DJ36" s="5">
        <f t="shared" si="78"/>
        <v>-857</v>
      </c>
      <c r="DK36" s="244"/>
      <c r="DL36" s="376">
        <f>DL24</f>
        <v>0</v>
      </c>
      <c r="DM36" s="231">
        <f t="shared" si="79"/>
        <v>857</v>
      </c>
    </row>
    <row r="37" spans="1:117" ht="15.75" hidden="1" thickBot="1" x14ac:dyDescent="0.3">
      <c r="A37" s="19"/>
      <c r="B37" s="92"/>
      <c r="C37" s="19"/>
      <c r="D37" s="12"/>
      <c r="E37" s="12"/>
      <c r="F37" s="146"/>
      <c r="G37" s="49"/>
      <c r="H37" s="61"/>
      <c r="I37" s="755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Y37" s="394">
        <f t="shared" si="41"/>
        <v>0</v>
      </c>
      <c r="AZ37" s="29">
        <f t="shared" si="51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S37" s="394">
        <f t="shared" si="42"/>
        <v>0</v>
      </c>
      <c r="BT37" s="29">
        <f t="shared" si="43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2"/>
      <c r="CD37" s="129"/>
      <c r="CE37" s="201"/>
      <c r="CF37" s="36"/>
      <c r="CG37" s="220"/>
      <c r="CH37" s="122"/>
      <c r="CI37" s="201"/>
      <c r="CJ37" s="36"/>
      <c r="CM37" s="394">
        <f t="shared" si="44"/>
        <v>0</v>
      </c>
      <c r="CN37" s="29">
        <f t="shared" si="45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G37" s="394">
        <f t="shared" si="46"/>
        <v>0</v>
      </c>
      <c r="DH37" s="29">
        <f t="shared" si="47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ht="15.75" thickBot="1" x14ac:dyDescent="0.3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ht="15.75" hidden="1" thickBot="1" x14ac:dyDescent="0.3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1"/>
      <c r="V39" s="215"/>
      <c r="W39" s="199"/>
      <c r="X39" s="148"/>
      <c r="Y39" s="711"/>
      <c r="Z39" s="21"/>
      <c r="AA39" s="6"/>
      <c r="AB39" s="35"/>
      <c r="AC39" s="713"/>
      <c r="AD39" s="713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1"/>
      <c r="AP39" s="215"/>
      <c r="AQ39" s="199"/>
      <c r="AR39" s="148"/>
      <c r="AS39" s="711"/>
      <c r="AT39" s="21"/>
      <c r="AU39" s="6"/>
      <c r="AV39" s="35"/>
      <c r="AW39" s="713"/>
      <c r="AX39" s="713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1"/>
      <c r="BJ39" s="215"/>
      <c r="BK39" s="199"/>
      <c r="BL39" s="148"/>
      <c r="BM39" s="711"/>
      <c r="BN39" s="21"/>
      <c r="BO39" s="6"/>
      <c r="BP39" s="35"/>
      <c r="BQ39" s="713"/>
      <c r="BR39" s="713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1"/>
      <c r="CD39" s="215"/>
      <c r="CE39" s="199"/>
      <c r="CF39" s="148"/>
      <c r="CG39" s="711"/>
      <c r="CH39" s="21"/>
      <c r="CI39" s="6"/>
      <c r="CJ39" s="35"/>
      <c r="CK39" s="713"/>
      <c r="CL39" s="713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1"/>
      <c r="CX39" s="215"/>
      <c r="CY39" s="199"/>
      <c r="CZ39" s="148"/>
      <c r="DA39" s="711"/>
      <c r="DB39" s="21"/>
      <c r="DC39" s="6"/>
      <c r="DD39" s="35"/>
      <c r="DE39" s="713"/>
      <c r="DF39" s="713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ht="15.75" hidden="1" thickBot="1" x14ac:dyDescent="0.3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7"/>
      <c r="V40" s="215"/>
      <c r="W40" s="199"/>
      <c r="X40" s="148"/>
      <c r="Y40" s="711"/>
      <c r="Z40" s="21"/>
      <c r="AA40" s="6"/>
      <c r="AB40" s="35"/>
      <c r="AC40" s="713"/>
      <c r="AD40" s="713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7"/>
      <c r="AP40" s="215"/>
      <c r="AQ40" s="199"/>
      <c r="AR40" s="148"/>
      <c r="AS40" s="711"/>
      <c r="AT40" s="21"/>
      <c r="AU40" s="6"/>
      <c r="AV40" s="35"/>
      <c r="AW40" s="713"/>
      <c r="AX40" s="713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7"/>
      <c r="BJ40" s="215"/>
      <c r="BK40" s="199"/>
      <c r="BL40" s="148"/>
      <c r="BM40" s="711"/>
      <c r="BN40" s="21"/>
      <c r="BO40" s="6"/>
      <c r="BP40" s="35"/>
      <c r="BQ40" s="713"/>
      <c r="BR40" s="713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7"/>
      <c r="CD40" s="215"/>
      <c r="CE40" s="199"/>
      <c r="CF40" s="148"/>
      <c r="CG40" s="711"/>
      <c r="CH40" s="21"/>
      <c r="CI40" s="6"/>
      <c r="CJ40" s="35"/>
      <c r="CK40" s="713"/>
      <c r="CL40" s="713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7"/>
      <c r="CX40" s="215"/>
      <c r="CY40" s="199"/>
      <c r="CZ40" s="148"/>
      <c r="DA40" s="711"/>
      <c r="DB40" s="21"/>
      <c r="DC40" s="6"/>
      <c r="DD40" s="35"/>
      <c r="DE40" s="713"/>
      <c r="DF40" s="713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ht="15.75" hidden="1" thickBot="1" x14ac:dyDescent="0.3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3"/>
      <c r="AD41" s="713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3"/>
      <c r="AX41" s="713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3"/>
      <c r="BR41" s="713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3"/>
      <c r="CL41" s="713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3"/>
      <c r="DF41" s="713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ht="15.75" hidden="1" thickBot="1" x14ac:dyDescent="0.3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3"/>
      <c r="AD42" s="713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3"/>
      <c r="AX42" s="713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3"/>
      <c r="BR42" s="713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3"/>
      <c r="CL42" s="713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3"/>
      <c r="DF42" s="713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ht="15.75" hidden="1" thickBot="1" x14ac:dyDescent="0.3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2"/>
      <c r="V43" s="129"/>
      <c r="W43" s="6"/>
      <c r="X43" s="35"/>
      <c r="Y43" s="712"/>
      <c r="Z43" s="131"/>
      <c r="AA43" s="130"/>
      <c r="AB43" s="7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2"/>
      <c r="AP43" s="129"/>
      <c r="AQ43" s="6"/>
      <c r="AR43" s="35"/>
      <c r="AS43" s="712"/>
      <c r="AT43" s="131"/>
      <c r="AU43" s="130"/>
      <c r="AV43" s="7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2"/>
      <c r="BJ43" s="129"/>
      <c r="BK43" s="6"/>
      <c r="BL43" s="35"/>
      <c r="BM43" s="712"/>
      <c r="BN43" s="131"/>
      <c r="BO43" s="130"/>
      <c r="BP43" s="7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2"/>
      <c r="CD43" s="129"/>
      <c r="CE43" s="6"/>
      <c r="CF43" s="35"/>
      <c r="CG43" s="712"/>
      <c r="CH43" s="131"/>
      <c r="CI43" s="130"/>
      <c r="CJ43" s="7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2"/>
      <c r="CX43" s="129"/>
      <c r="CY43" s="6"/>
      <c r="CZ43" s="35"/>
      <c r="DA43" s="712"/>
      <c r="DB43" s="131"/>
      <c r="DC43" s="130"/>
      <c r="DD43" s="7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ht="15.75" hidden="1" thickBot="1" x14ac:dyDescent="0.3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55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2"/>
      <c r="V44" s="129"/>
      <c r="W44" s="130"/>
      <c r="X44" s="79"/>
      <c r="Y44" s="712"/>
      <c r="Z44" s="131"/>
      <c r="AA44" s="130"/>
      <c r="AB44" s="7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2"/>
      <c r="AP44" s="129"/>
      <c r="AQ44" s="130"/>
      <c r="AR44" s="79"/>
      <c r="AS44" s="712"/>
      <c r="AT44" s="131"/>
      <c r="AU44" s="130"/>
      <c r="AV44" s="7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2"/>
      <c r="BJ44" s="129"/>
      <c r="BK44" s="130"/>
      <c r="BL44" s="79"/>
      <c r="BM44" s="712"/>
      <c r="BN44" s="131"/>
      <c r="BO44" s="130"/>
      <c r="BP44" s="7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2"/>
      <c r="CD44" s="129"/>
      <c r="CE44" s="130"/>
      <c r="CF44" s="79"/>
      <c r="CG44" s="712"/>
      <c r="CH44" s="131"/>
      <c r="CI44" s="130"/>
      <c r="CJ44" s="7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2"/>
      <c r="CX44" s="129"/>
      <c r="CY44" s="130"/>
      <c r="CZ44" s="79"/>
      <c r="DA44" s="712"/>
      <c r="DB44" s="131"/>
      <c r="DC44" s="130"/>
      <c r="DD44" s="7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ht="15.75" hidden="1" thickBot="1" x14ac:dyDescent="0.3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55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2"/>
      <c r="V45" s="129"/>
      <c r="W45" s="130"/>
      <c r="X45" s="79"/>
      <c r="Y45" s="712"/>
      <c r="Z45" s="131"/>
      <c r="AA45" s="130"/>
      <c r="AB45" s="7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2"/>
      <c r="AP45" s="129"/>
      <c r="AQ45" s="130"/>
      <c r="AR45" s="79"/>
      <c r="AS45" s="712"/>
      <c r="AT45" s="131"/>
      <c r="AU45" s="130"/>
      <c r="AV45" s="7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2"/>
      <c r="BJ45" s="129"/>
      <c r="BK45" s="130"/>
      <c r="BL45" s="79"/>
      <c r="BM45" s="712"/>
      <c r="BN45" s="131"/>
      <c r="BO45" s="130"/>
      <c r="BP45" s="7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2"/>
      <c r="CD45" s="129"/>
      <c r="CE45" s="130"/>
      <c r="CF45" s="79"/>
      <c r="CG45" s="712"/>
      <c r="CH45" s="131"/>
      <c r="CI45" s="130"/>
      <c r="CJ45" s="7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2"/>
      <c r="CX45" s="129"/>
      <c r="CY45" s="130"/>
      <c r="CZ45" s="79"/>
      <c r="DA45" s="712"/>
      <c r="DB45" s="131"/>
      <c r="DC45" s="130"/>
      <c r="DD45" s="7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.75" hidden="1" thickBot="1" x14ac:dyDescent="0.3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2"/>
      <c r="V46" s="200"/>
      <c r="W46" s="201"/>
      <c r="X46" s="36"/>
      <c r="Y46" s="220"/>
      <c r="Z46" s="122"/>
      <c r="AA46" s="201"/>
      <c r="AB46" s="36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2"/>
      <c r="AP46" s="200"/>
      <c r="AQ46" s="201"/>
      <c r="AR46" s="36"/>
      <c r="AS46" s="220"/>
      <c r="AT46" s="122"/>
      <c r="AU46" s="201"/>
      <c r="AV46" s="36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2"/>
      <c r="BJ46" s="200"/>
      <c r="BK46" s="201"/>
      <c r="BL46" s="36"/>
      <c r="BM46" s="220"/>
      <c r="BN46" s="122"/>
      <c r="BO46" s="201"/>
      <c r="BP46" s="36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2"/>
      <c r="CD46" s="200"/>
      <c r="CE46" s="201"/>
      <c r="CF46" s="36"/>
      <c r="CG46" s="220"/>
      <c r="CH46" s="122"/>
      <c r="CI46" s="201"/>
      <c r="CJ46" s="36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2"/>
      <c r="CX46" s="200"/>
      <c r="CY46" s="201"/>
      <c r="CZ46" s="36"/>
      <c r="DA46" s="220"/>
      <c r="DB46" s="122"/>
      <c r="DC46" s="201"/>
      <c r="DD46" s="36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25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25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-978</v>
      </c>
      <c r="K48" s="394">
        <f t="shared" si="8"/>
        <v>-4708</v>
      </c>
      <c r="L48" s="515">
        <v>5084</v>
      </c>
      <c r="M48" s="258">
        <f>379+376-379</f>
        <v>376</v>
      </c>
      <c r="N48" s="5">
        <f>M48-L48</f>
        <v>-4708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3"/>
      <c r="V48" s="123"/>
      <c r="W48" s="8"/>
      <c r="X48" s="34"/>
      <c r="Y48" s="713"/>
      <c r="Z48" s="20"/>
      <c r="AA48" s="8"/>
      <c r="AB48" s="34"/>
      <c r="AC48" s="713"/>
      <c r="AD48" s="713"/>
      <c r="AE48" s="394">
        <f>SUM(M48,AG48)-SUM(O48,AI48)-L48</f>
        <v>-3923</v>
      </c>
      <c r="AF48" s="32">
        <f>Q48</f>
        <v>4708</v>
      </c>
      <c r="AG48" s="7">
        <f>3200-3200+1618-1618+785</f>
        <v>785</v>
      </c>
      <c r="AH48" s="5">
        <f>AG48-AF48</f>
        <v>-3923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3"/>
      <c r="AP48" s="123"/>
      <c r="AQ48" s="8"/>
      <c r="AR48" s="34"/>
      <c r="AS48" s="713"/>
      <c r="AT48" s="20"/>
      <c r="AU48" s="8"/>
      <c r="AV48" s="34"/>
      <c r="AW48" s="713"/>
      <c r="AX48" s="713"/>
      <c r="AY48" s="394">
        <f>SUM(M48,AG48,BA48)-SUM(O48,AI48,BC48)-L48</f>
        <v>-4078</v>
      </c>
      <c r="AZ48" s="606">
        <v>3841</v>
      </c>
      <c r="BA48" s="7">
        <f>700-700+1050-1050+1298-1298+345</f>
        <v>345</v>
      </c>
      <c r="BB48" s="5">
        <f>BA48-AZ48</f>
        <v>-3496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3"/>
      <c r="BJ48" s="123"/>
      <c r="BK48" s="8"/>
      <c r="BL48" s="35"/>
      <c r="BM48" s="713"/>
      <c r="BN48" s="20"/>
      <c r="BO48" s="8"/>
      <c r="BP48" s="34" t="s">
        <v>828</v>
      </c>
      <c r="BQ48" s="713"/>
      <c r="BR48" s="713"/>
      <c r="BS48" s="394">
        <f>SUM(M48,AG48,BA48,BU48)-SUM(O48,AI48,BC48,BW48)-L48</f>
        <v>-1478</v>
      </c>
      <c r="BT48" s="32">
        <f t="shared" ref="BT48:BT49" si="105">BE48</f>
        <v>3996</v>
      </c>
      <c r="BU48" s="7">
        <f>1421-1421+2250-2250+2600</f>
        <v>2600</v>
      </c>
      <c r="BV48" s="5">
        <f>BU48-BT48</f>
        <v>-1396</v>
      </c>
      <c r="BW48" s="242"/>
      <c r="BX48" s="242">
        <f>100+50+300+300+400+345+300+420</f>
        <v>2215</v>
      </c>
      <c r="BY48" s="231">
        <f>BT48+BW48-BX48</f>
        <v>1781</v>
      </c>
      <c r="BZ48" s="123"/>
      <c r="CA48" s="8"/>
      <c r="CB48" s="34"/>
      <c r="CC48" s="713"/>
      <c r="CD48" s="123"/>
      <c r="CE48" s="8"/>
      <c r="CF48" s="34"/>
      <c r="CG48" s="713"/>
      <c r="CH48" s="20"/>
      <c r="CI48" s="8"/>
      <c r="CJ48" s="148" t="s">
        <v>797</v>
      </c>
      <c r="CK48" s="797"/>
      <c r="CL48" s="797"/>
      <c r="CM48" s="394">
        <f>SUM(M48,AG48,BA48,BU48,CO48)-SUM(O48,AI48,BC48,BW48,CQ48)-L48</f>
        <v>-1408</v>
      </c>
      <c r="CN48" s="32">
        <f t="shared" ref="CN48:CN49" si="106">BY48</f>
        <v>1781</v>
      </c>
      <c r="CO48" s="242">
        <v>70</v>
      </c>
      <c r="CP48" s="5">
        <f>CO48-CN48</f>
        <v>-1711</v>
      </c>
      <c r="CQ48" s="258"/>
      <c r="CR48" s="242"/>
      <c r="CS48" s="231">
        <f t="shared" ref="CS48:CS59" si="107">CN48+CQ48-CR48</f>
        <v>1781</v>
      </c>
      <c r="CT48" s="123"/>
      <c r="CU48" s="8"/>
      <c r="CV48" s="34"/>
      <c r="CW48" s="713"/>
      <c r="CX48" s="123"/>
      <c r="CY48" s="8"/>
      <c r="CZ48" s="34"/>
      <c r="DA48" s="713"/>
      <c r="DB48" s="20"/>
      <c r="DC48" s="8"/>
      <c r="DD48" s="34"/>
      <c r="DE48" s="713"/>
      <c r="DF48" s="713"/>
      <c r="DG48" s="394">
        <f>SUM(M48,AG48,BA48,BU48,DI48)-SUM(O48,AI48,BC48,BW48,CQ48)-L48</f>
        <v>-1478</v>
      </c>
      <c r="DH48" s="29">
        <f>BY48</f>
        <v>1781</v>
      </c>
      <c r="DI48" s="242"/>
      <c r="DJ48" s="5">
        <f>DI48-DH48</f>
        <v>-1781</v>
      </c>
      <c r="DK48" s="242"/>
      <c r="DL48" s="242"/>
      <c r="DM48" s="231">
        <f t="shared" ref="DM48:DM52" si="108">DH48+DK48-DL48</f>
        <v>1781</v>
      </c>
    </row>
    <row r="49" spans="1:117" ht="15.75" thickBot="1" x14ac:dyDescent="0.3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158</v>
      </c>
      <c r="K49" s="394">
        <f t="shared" si="8"/>
        <v>-3958</v>
      </c>
      <c r="L49" s="544">
        <v>4120</v>
      </c>
      <c r="M49" s="256">
        <f>498+162-498</f>
        <v>162</v>
      </c>
      <c r="N49" s="5">
        <f>M49-L49</f>
        <v>-3958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3"/>
      <c r="AD49" s="713"/>
      <c r="AE49" s="394">
        <f>SUM(M49,AG49)-SUM(O49,AI49)-L49</f>
        <v>-3507</v>
      </c>
      <c r="AF49" s="29">
        <f>Q49</f>
        <v>3958</v>
      </c>
      <c r="AG49" s="5">
        <f>3450-3450+1700-1700+451</f>
        <v>451</v>
      </c>
      <c r="AH49" s="5">
        <f>AG49-AF49</f>
        <v>-3507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3"/>
      <c r="AX49" s="713"/>
      <c r="AY49" s="394">
        <f>SUM(M49,AG49,BA49)-SUM(O49,AI49,BC49)-L49</f>
        <v>-4342</v>
      </c>
      <c r="AZ49" s="607">
        <v>3046</v>
      </c>
      <c r="BA49" s="5">
        <f>850-850+1150-1150+1090-1090+665</f>
        <v>665</v>
      </c>
      <c r="BB49" s="5">
        <f>BA49-AZ49</f>
        <v>-2381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3"/>
      <c r="BJ49" s="123"/>
      <c r="BK49" s="6"/>
      <c r="BL49" s="35"/>
      <c r="BM49" s="612"/>
      <c r="BN49" s="21"/>
      <c r="BO49" s="6"/>
      <c r="BP49" s="35" t="s">
        <v>829</v>
      </c>
      <c r="BQ49" s="713"/>
      <c r="BR49" s="713"/>
      <c r="BS49" s="394">
        <f>SUM(M49,AG49,BA49,BU49)-SUM(O49,AI49,BC49,BW49)-L49</f>
        <v>-2342</v>
      </c>
      <c r="BT49" s="29">
        <f t="shared" si="105"/>
        <v>3881</v>
      </c>
      <c r="BU49" s="5">
        <f>1702-1702+2750-2750+3000</f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797"/>
      <c r="CL49" s="797"/>
      <c r="CM49" s="394">
        <f>SUM(M49,AG49,BA49,BU49,CO49)-SUM(O49,AI49,BC49,BW49,CQ49)-L49</f>
        <v>-542</v>
      </c>
      <c r="CN49" s="29">
        <f t="shared" si="106"/>
        <v>1421</v>
      </c>
      <c r="CO49" s="240">
        <v>1800</v>
      </c>
      <c r="CP49" s="5">
        <f>CO49-CN49</f>
        <v>379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3"/>
      <c r="DF49" s="713"/>
      <c r="DG49" s="394">
        <f>SUM(M49,AG49,BA49,BU49,DI49)-SUM(O49,AI49,BC49,BW49,CQ49)-L49</f>
        <v>-2342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ht="15.75" thickBot="1" x14ac:dyDescent="0.3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ht="15.75" hidden="1" thickBot="1" x14ac:dyDescent="0.3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3"/>
      <c r="AD51" s="713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3"/>
      <c r="AX51" s="713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3"/>
      <c r="BR51" s="713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3"/>
      <c r="CL51" s="713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3"/>
      <c r="DF51" s="713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.75" hidden="1" thickBot="1" x14ac:dyDescent="0.3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3"/>
      <c r="AD52" s="713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3"/>
      <c r="AX52" s="713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3"/>
      <c r="BR52" s="713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3"/>
      <c r="CL52" s="713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3"/>
      <c r="DF52" s="713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ht="15.75" thickBot="1" x14ac:dyDescent="0.3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1312</v>
      </c>
      <c r="K53" s="53"/>
      <c r="L53" s="55"/>
      <c r="M53" s="390">
        <f>79+59-79</f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1253</v>
      </c>
      <c r="AF53" s="55"/>
      <c r="AG53" s="56">
        <f>320-320+178-178+149</f>
        <v>149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1104</v>
      </c>
      <c r="AZ53" s="55"/>
      <c r="BA53" s="56">
        <f>500-500+353-353+243</f>
        <v>243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f>811-811+861</f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.75" hidden="1" thickBot="1" x14ac:dyDescent="0.3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-602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3"/>
      <c r="AD54" s="713"/>
      <c r="AE54" s="394">
        <f>SUM(M54,AG54)-SUM(O54,AI54)-L54</f>
        <v>-1706</v>
      </c>
      <c r="AF54" s="29">
        <f>Q54</f>
        <v>1855</v>
      </c>
      <c r="AG54" s="298">
        <f>AG53</f>
        <v>149</v>
      </c>
      <c r="AH54" s="5">
        <f>AG54-AF54</f>
        <v>-1706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3"/>
      <c r="AX54" s="713"/>
      <c r="AY54" s="394">
        <f>SUM(M54,AG54,BA54)-SUM(O54,AI54,BC54)-L54</f>
        <v>-1463</v>
      </c>
      <c r="AZ54" s="607">
        <v>1664</v>
      </c>
      <c r="BA54" s="298">
        <f>BA53</f>
        <v>243</v>
      </c>
      <c r="BB54" s="5">
        <f>BA54-AZ54</f>
        <v>-1421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3"/>
      <c r="BR54" s="713"/>
      <c r="BS54" s="394">
        <f>SUM(M54,AG54,BA54,BU54)-SUM(O54,AI54,BC54,BW54)-L54</f>
        <v>-602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3"/>
      <c r="CL54" s="713"/>
      <c r="CM54" s="394">
        <f>SUM(M54,AG54,BA54,BU54,CO54)-SUM(O54,AI54,BC54,BW54,CQ54)-L54</f>
        <v>-602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3"/>
      <c r="DF54" s="713"/>
      <c r="DG54" s="394">
        <f>SUM(M54,AG54,BA54,BU54,DI54)-SUM(O54,AI54,BC54,BW54,CQ54)-L54</f>
        <v>-602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ht="15.75" thickBot="1" x14ac:dyDescent="0.3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1213</v>
      </c>
      <c r="K55" s="53"/>
      <c r="L55" s="55"/>
      <c r="M55" s="390">
        <f>114+50-114</f>
        <v>50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1163</v>
      </c>
      <c r="AF55" s="55"/>
      <c r="AG55" s="56">
        <f>1050-1050+335-335+419</f>
        <v>419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744</v>
      </c>
      <c r="AZ55" s="55"/>
      <c r="BA55" s="56">
        <f>100-100+362-362+312-312+144</f>
        <v>144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f>236-236+580-580+600</f>
        <v>600</v>
      </c>
      <c r="BV55" s="56"/>
      <c r="BW55" s="56"/>
      <c r="BX55" s="243">
        <f>50+50+200+30+100+78+122+100+100</f>
        <v>830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130</v>
      </c>
      <c r="CN55" s="55"/>
      <c r="CO55" s="243">
        <v>130</v>
      </c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ht="15.75" hidden="1" thickBot="1" x14ac:dyDescent="0.3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-2713</v>
      </c>
      <c r="K56" s="394">
        <f t="shared" si="8"/>
        <v>-3876</v>
      </c>
      <c r="L56" s="544">
        <v>3926</v>
      </c>
      <c r="M56" s="298">
        <f>M55</f>
        <v>50</v>
      </c>
      <c r="N56" s="5">
        <f>M56-L56</f>
        <v>-3876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3"/>
      <c r="AD56" s="713"/>
      <c r="AE56" s="394">
        <f>SUM(M56,AG56)-SUM(O56,AI56)-L56</f>
        <v>-3457</v>
      </c>
      <c r="AF56" s="29">
        <f>Q56</f>
        <v>3876</v>
      </c>
      <c r="AG56" s="298">
        <f>AG55</f>
        <v>419</v>
      </c>
      <c r="AH56" s="5">
        <f>AG56-AF56</f>
        <v>-3457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3"/>
      <c r="AX56" s="713"/>
      <c r="AY56" s="394">
        <f>SUM(M56,AG56,BA56)-SUM(O56,AI56,BC56)-L56</f>
        <v>-3313</v>
      </c>
      <c r="AZ56" s="607">
        <f t="shared" ref="AZ56:AZ59" si="117">AK56</f>
        <v>3457</v>
      </c>
      <c r="BA56" s="298">
        <f>BA55</f>
        <v>144</v>
      </c>
      <c r="BB56" s="5">
        <f>BA56-AZ56</f>
        <v>-3313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3"/>
      <c r="BR56" s="713"/>
      <c r="BS56" s="394">
        <f>SUM(M56,AG56,BA56,BU56)-SUM(O56,AI56,BC56,BW56)-L56</f>
        <v>-2713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830</v>
      </c>
      <c r="BY56" s="231">
        <f t="shared" si="110"/>
        <v>2483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3"/>
      <c r="CL56" s="713"/>
      <c r="CM56" s="394">
        <f>SUM(M56,AG56,BA56,BU56,CO56)-SUM(O56,AI56,BC56,BW56,CQ56)-L56</f>
        <v>-2583</v>
      </c>
      <c r="CN56" s="29">
        <f t="shared" ref="CN56:CN59" si="119">BY56</f>
        <v>2483</v>
      </c>
      <c r="CO56" s="298">
        <f>CO55</f>
        <v>130</v>
      </c>
      <c r="CP56" s="5">
        <f>CO56-CN56</f>
        <v>-2353</v>
      </c>
      <c r="CQ56" s="240"/>
      <c r="CR56" s="303">
        <f>CR55</f>
        <v>0</v>
      </c>
      <c r="CS56" s="231">
        <f t="shared" si="107"/>
        <v>2483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3"/>
      <c r="DF56" s="713"/>
      <c r="DG56" s="394">
        <f>SUM(M56,AG56,BA56,BU56,DI56)-SUM(O56,AI56,BC56,BW56,CQ56)-L56</f>
        <v>-2713</v>
      </c>
      <c r="DH56" s="29">
        <f>BY56</f>
        <v>2483</v>
      </c>
      <c r="DI56" s="298">
        <f>DI55</f>
        <v>0</v>
      </c>
      <c r="DJ56" s="5">
        <f>DI56-DH56</f>
        <v>-2483</v>
      </c>
      <c r="DK56" s="240"/>
      <c r="DL56" s="303">
        <f>DL55</f>
        <v>0</v>
      </c>
      <c r="DM56" s="231">
        <f t="shared" ref="DM56:DM59" si="120">DH56+DK56-DL56</f>
        <v>2483</v>
      </c>
    </row>
    <row r="57" spans="1:117" ht="15.75" hidden="1" thickBot="1" x14ac:dyDescent="0.3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-2791</v>
      </c>
      <c r="K57" s="394">
        <f t="shared" si="8"/>
        <v>-3954</v>
      </c>
      <c r="L57" s="544">
        <v>4004</v>
      </c>
      <c r="M57" s="298">
        <f>M56</f>
        <v>50</v>
      </c>
      <c r="N57" s="5">
        <f>M57-L57</f>
        <v>-3954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3"/>
      <c r="AD57" s="713"/>
      <c r="AE57" s="394">
        <f>SUM(M57,AG57)-SUM(O57,AI57)-L57</f>
        <v>-3535</v>
      </c>
      <c r="AF57" s="29">
        <f>Q57</f>
        <v>3954</v>
      </c>
      <c r="AG57" s="298">
        <f>AG56</f>
        <v>419</v>
      </c>
      <c r="AH57" s="5">
        <f>AG57-AF57</f>
        <v>-3535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3"/>
      <c r="AX57" s="713"/>
      <c r="AY57" s="394">
        <f>SUM(M57,AG57,BA57)-SUM(O57,AI57,BC57)-L57</f>
        <v>-3391</v>
      </c>
      <c r="AZ57" s="607">
        <f t="shared" ref="AZ57" si="123">AK57</f>
        <v>3535</v>
      </c>
      <c r="BA57" s="298">
        <f>BA56</f>
        <v>144</v>
      </c>
      <c r="BB57" s="5">
        <f>BA57-AZ57</f>
        <v>-3391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3"/>
      <c r="BR57" s="713"/>
      <c r="BS57" s="394">
        <f>SUM(M57,AG57,BA57,BU57)-SUM(O57,AI57,BC57,BW57)-L57</f>
        <v>-2791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830</v>
      </c>
      <c r="BY57" s="231">
        <f t="shared" ref="BY57" si="126">BT57+BW57-BX57</f>
        <v>2561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3"/>
      <c r="CL57" s="713"/>
      <c r="CM57" s="394">
        <f>SUM(M57,AG57,BA57,BU57,CO57)-SUM(O57,AI57,BC57,BW57,CQ57)-L57</f>
        <v>-2661</v>
      </c>
      <c r="CN57" s="29">
        <f t="shared" ref="CN57" si="127">BY57</f>
        <v>2561</v>
      </c>
      <c r="CO57" s="298">
        <f>CO56</f>
        <v>130</v>
      </c>
      <c r="CP57" s="5">
        <f>CO57-CN57</f>
        <v>-2431</v>
      </c>
      <c r="CQ57" s="240"/>
      <c r="CR57" s="303">
        <f>CR56</f>
        <v>0</v>
      </c>
      <c r="CS57" s="231">
        <f t="shared" ref="CS57" si="128">CN57+CQ57-CR57</f>
        <v>2561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3"/>
      <c r="DF57" s="713"/>
      <c r="DG57" s="394">
        <f>SUM(M57,AG57,BA57,BU57,DI57)-SUM(O57,AI57,BC57,BW57,CQ57)-L57</f>
        <v>-2791</v>
      </c>
      <c r="DH57" s="29">
        <f t="shared" ref="DH57:DH59" si="129">BY57</f>
        <v>2561</v>
      </c>
      <c r="DI57" s="298">
        <f>DI56</f>
        <v>0</v>
      </c>
      <c r="DJ57" s="5">
        <f>DI57-DH57</f>
        <v>-2561</v>
      </c>
      <c r="DK57" s="240"/>
      <c r="DL57" s="303">
        <f>DL56</f>
        <v>0</v>
      </c>
      <c r="DM57" s="231">
        <f t="shared" si="120"/>
        <v>2561</v>
      </c>
    </row>
    <row r="58" spans="1:117" ht="30.75" hidden="1" thickBot="1" x14ac:dyDescent="0.3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-2859</v>
      </c>
      <c r="K58" s="394">
        <f t="shared" si="8"/>
        <v>-4022</v>
      </c>
      <c r="L58" s="544">
        <v>4072</v>
      </c>
      <c r="M58" s="298">
        <f>M55</f>
        <v>50</v>
      </c>
      <c r="N58" s="5">
        <f>M58-L58</f>
        <v>-4022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3"/>
      <c r="AD58" s="713"/>
      <c r="AE58" s="394">
        <f>SUM(M58,AG58)-SUM(O58,AI58)-L58</f>
        <v>-3603</v>
      </c>
      <c r="AF58" s="29">
        <f>Q58</f>
        <v>4022</v>
      </c>
      <c r="AG58" s="298">
        <f>AG55</f>
        <v>419</v>
      </c>
      <c r="AH58" s="5">
        <f>AG58-AF58</f>
        <v>-3603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4"/>
      <c r="AX58" s="734"/>
      <c r="AY58" s="394">
        <f>SUM(M58,AG58,BA58)-SUM(O58,AI58,BC58)-L58</f>
        <v>-3459</v>
      </c>
      <c r="AZ58" s="29">
        <f t="shared" si="117"/>
        <v>3603</v>
      </c>
      <c r="BA58" s="298">
        <f>BA55</f>
        <v>144</v>
      </c>
      <c r="BB58" s="5">
        <f>BA58-AZ58</f>
        <v>-3459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7"/>
      <c r="BJ58" s="121"/>
      <c r="BK58" s="210"/>
      <c r="BL58" s="500"/>
      <c r="BM58" s="717"/>
      <c r="BN58" s="21"/>
      <c r="BO58" s="210"/>
      <c r="BP58" s="500"/>
      <c r="BQ58" s="734"/>
      <c r="BR58" s="734"/>
      <c r="BS58" s="394">
        <f>SUM(M58,AG58,BA58,BU58)-SUM(O58,AI58,BC58,BW58)-L58</f>
        <v>-2859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830</v>
      </c>
      <c r="BY58" s="231">
        <f t="shared" si="110"/>
        <v>2629</v>
      </c>
      <c r="BZ58" s="121"/>
      <c r="CA58" s="6"/>
      <c r="CB58" s="211"/>
      <c r="CC58" s="708"/>
      <c r="CD58" s="121"/>
      <c r="CE58" s="6"/>
      <c r="CF58" s="35"/>
      <c r="CG58" s="612"/>
      <c r="CH58" s="21"/>
      <c r="CI58" s="6"/>
      <c r="CJ58" s="35"/>
      <c r="CK58" s="713"/>
      <c r="CL58" s="713"/>
      <c r="CM58" s="394">
        <f>SUM(M58,AG58,BA58,BU58,CO58)-SUM(O58,AI58,BC58,BW58,CQ58)-L58</f>
        <v>-2729</v>
      </c>
      <c r="CN58" s="29">
        <f t="shared" si="119"/>
        <v>2629</v>
      </c>
      <c r="CO58" s="298">
        <f>CO55</f>
        <v>130</v>
      </c>
      <c r="CP58" s="5">
        <f>CO58-CN58</f>
        <v>-2499</v>
      </c>
      <c r="CQ58" s="240"/>
      <c r="CR58" s="303">
        <f>CR55</f>
        <v>0</v>
      </c>
      <c r="CS58" s="231">
        <f t="shared" si="107"/>
        <v>2629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3"/>
      <c r="DF58" s="713"/>
      <c r="DG58" s="394">
        <f>SUM(M58,AG58,BA58,BU58,DI58)-SUM(O58,AI58,BC58,BW58,CQ58)-L58</f>
        <v>-2859</v>
      </c>
      <c r="DH58" s="29">
        <f t="shared" si="129"/>
        <v>2629</v>
      </c>
      <c r="DI58" s="298">
        <f>DI55</f>
        <v>0</v>
      </c>
      <c r="DJ58" s="5">
        <f>DI58-DH58</f>
        <v>-2629</v>
      </c>
      <c r="DK58" s="240"/>
      <c r="DL58" s="303">
        <f>DL55</f>
        <v>0</v>
      </c>
      <c r="DM58" s="231">
        <f t="shared" si="120"/>
        <v>2629</v>
      </c>
    </row>
    <row r="59" spans="1:117" ht="15.75" hidden="1" thickBot="1" x14ac:dyDescent="0.3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-366</v>
      </c>
      <c r="K59" s="394">
        <f t="shared" si="8"/>
        <v>-1529</v>
      </c>
      <c r="L59" s="544">
        <v>1579</v>
      </c>
      <c r="M59" s="298">
        <f>M55</f>
        <v>50</v>
      </c>
      <c r="N59" s="5">
        <f>M59-L59</f>
        <v>-1529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3"/>
      <c r="AD59" s="713"/>
      <c r="AE59" s="394">
        <f>SUM(M59,AG59)-SUM(O59,AI59)-L59</f>
        <v>-1110</v>
      </c>
      <c r="AF59" s="29">
        <f>Q59</f>
        <v>1529</v>
      </c>
      <c r="AG59" s="298">
        <f>AG55</f>
        <v>419</v>
      </c>
      <c r="AH59" s="5">
        <f>AG59-AF59</f>
        <v>-1110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3"/>
      <c r="AX59" s="713"/>
      <c r="AY59" s="394">
        <f>SUM(M59,AG59,BA59)-SUM(O59,AI59,BC59)-L59</f>
        <v>-966</v>
      </c>
      <c r="AZ59" s="29">
        <f t="shared" si="117"/>
        <v>1110</v>
      </c>
      <c r="BA59" s="298">
        <f>BA55</f>
        <v>144</v>
      </c>
      <c r="BB59" s="5">
        <f>BA59-AZ59</f>
        <v>-966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3"/>
      <c r="BR59" s="713"/>
      <c r="BS59" s="394">
        <f>SUM(M59,AG59,BA59,BU59)-SUM(O59,AI59,BC59,BW59)-L59</f>
        <v>-366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830</v>
      </c>
      <c r="BY59" s="231">
        <f t="shared" si="110"/>
        <v>136</v>
      </c>
      <c r="BZ59" s="121"/>
      <c r="CA59" s="6"/>
      <c r="CB59" s="216"/>
      <c r="CC59" s="734"/>
      <c r="CE59" s="121"/>
      <c r="CF59" s="35"/>
      <c r="CG59" s="612"/>
      <c r="CH59" s="21"/>
      <c r="CI59" s="6"/>
      <c r="CJ59" s="35"/>
      <c r="CK59" s="713"/>
      <c r="CL59" s="713"/>
      <c r="CM59" s="394">
        <f>SUM(M59,AG59,BA59,BU59,CO59)-SUM(O59,AI59,BC59,BW59,CQ59)-L59</f>
        <v>-236</v>
      </c>
      <c r="CN59" s="29">
        <f t="shared" si="119"/>
        <v>136</v>
      </c>
      <c r="CO59" s="298">
        <f>CO55</f>
        <v>130</v>
      </c>
      <c r="CP59" s="5">
        <f>CO59-CN59</f>
        <v>-6</v>
      </c>
      <c r="CQ59" s="240"/>
      <c r="CR59" s="303">
        <f>CR55</f>
        <v>0</v>
      </c>
      <c r="CS59" s="231">
        <f t="shared" si="107"/>
        <v>136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3"/>
      <c r="DF59" s="713"/>
      <c r="DG59" s="394">
        <f>SUM(M59,AG59,BA59,BU59,DI59)-SUM(O59,AI59,BC59,BW59,CQ59)-L59</f>
        <v>-366</v>
      </c>
      <c r="DH59" s="29">
        <f t="shared" si="129"/>
        <v>136</v>
      </c>
      <c r="DI59" s="298">
        <f>DI55</f>
        <v>0</v>
      </c>
      <c r="DJ59" s="5">
        <f>DI59-DH59</f>
        <v>-136</v>
      </c>
      <c r="DK59" s="240"/>
      <c r="DL59" s="303">
        <f>DL55</f>
        <v>0</v>
      </c>
      <c r="DM59" s="231">
        <f t="shared" si="120"/>
        <v>136</v>
      </c>
    </row>
    <row r="60" spans="1:117" ht="15.75" hidden="1" thickBot="1" x14ac:dyDescent="0.3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ht="15.75" hidden="1" thickBot="1" x14ac:dyDescent="0.3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-3278</v>
      </c>
      <c r="K61" s="394">
        <f>M61-O61-L61-L59</f>
        <v>-5694</v>
      </c>
      <c r="L61" s="544">
        <v>4224</v>
      </c>
      <c r="M61" s="298">
        <f>SUM(M53,M55)</f>
        <v>109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7"/>
      <c r="V61" s="21"/>
      <c r="W61" s="6"/>
      <c r="X61" s="35"/>
      <c r="Y61" s="612"/>
      <c r="Z61" s="21"/>
      <c r="AA61" s="6"/>
      <c r="AB61" s="35"/>
      <c r="AC61" s="713"/>
      <c r="AD61" s="713"/>
      <c r="AE61" s="394">
        <f>SUM(M61,AG61)-SUM(O61,AI61)-L61-L59</f>
        <v>-5126</v>
      </c>
      <c r="AF61" s="29">
        <f t="shared" ref="AF61:AF68" si="130">Q61</f>
        <v>4115</v>
      </c>
      <c r="AG61" s="298">
        <f>SUM(AG53,AG55)</f>
        <v>568</v>
      </c>
      <c r="AH61" s="5">
        <f>IF(AH59&gt;=0,AG53+AH59-AF61,AG53-AF61)</f>
        <v>-3966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7"/>
      <c r="AP61" s="21"/>
      <c r="AQ61" s="6"/>
      <c r="AR61" s="35"/>
      <c r="AS61" s="612"/>
      <c r="AT61" s="21"/>
      <c r="AU61" s="6"/>
      <c r="AV61" s="35"/>
      <c r="AW61" s="713"/>
      <c r="AX61" s="713"/>
      <c r="AY61" s="394">
        <f>SUM(M61,AG61,BA61)-SUM(O61,AI61,BC61)-L61-L59</f>
        <v>-4739</v>
      </c>
      <c r="AZ61" s="29">
        <f t="shared" ref="AZ61:AZ68" si="132">AK61</f>
        <v>3547</v>
      </c>
      <c r="BA61" s="298">
        <f>SUM(BA53,BA55)</f>
        <v>387</v>
      </c>
      <c r="BB61" s="5">
        <f>IF(BB59&gt;=0,BA53+BB59-AZ61,BA53-AZ61)</f>
        <v>-3304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7"/>
      <c r="BJ61" s="21"/>
      <c r="BK61" s="6"/>
      <c r="BL61" s="35"/>
      <c r="BM61" s="612"/>
      <c r="BN61" s="21"/>
      <c r="BO61" s="6"/>
      <c r="BP61" s="35"/>
      <c r="BQ61" s="713"/>
      <c r="BR61" s="713"/>
      <c r="BS61" s="394">
        <f>SUM(M61,AG61,BA61,BU61)-SUM(O61,AI61,BC61,BW61)-L61-L59</f>
        <v>-3278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853</v>
      </c>
      <c r="BY61" s="231">
        <f t="shared" ref="BY61:BY68" si="135">BT61+BW61-BX61</f>
        <v>2307</v>
      </c>
      <c r="BZ61" s="21"/>
      <c r="CA61" s="6"/>
      <c r="CB61" s="148"/>
      <c r="CC61" s="711"/>
      <c r="CD61" s="21"/>
      <c r="CE61" s="6"/>
      <c r="CF61" s="35"/>
      <c r="CG61" s="612"/>
      <c r="CH61" s="21"/>
      <c r="CI61" s="6"/>
      <c r="CJ61" s="35"/>
      <c r="CK61" s="713"/>
      <c r="CL61" s="713"/>
      <c r="CM61" s="394">
        <f>SUM(M61,AG61,BA61,BU61,CO61)-SUM(O61,AI61,BC61,BW61,CQ61)-L61-L59</f>
        <v>-6148</v>
      </c>
      <c r="CN61" s="29">
        <f t="shared" ref="CN61:CN68" si="136">BY61</f>
        <v>2307</v>
      </c>
      <c r="CO61" s="298">
        <f>SUM(CO53,CO55)</f>
        <v>130</v>
      </c>
      <c r="CP61" s="5">
        <f>IF(CP59&gt;=0,CO53+CP59-CN61,CO53-CN61)</f>
        <v>-2307</v>
      </c>
      <c r="CQ61" s="240">
        <v>3000</v>
      </c>
      <c r="CR61" s="303">
        <f>SUM(CR53,CQ59)</f>
        <v>0</v>
      </c>
      <c r="CS61" s="231">
        <f t="shared" ref="CS61:CS68" si="137">CN61+CQ61-CR61</f>
        <v>5307</v>
      </c>
      <c r="CT61" s="21"/>
      <c r="CU61" s="6"/>
      <c r="CV61" s="216"/>
      <c r="CW61" s="707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13"/>
      <c r="DF61" s="713"/>
      <c r="DG61" s="394">
        <f>SUM(M61,AG61,BA61,BU61,DI61)-SUM(O61,AI61,BC61,BW61,CQ61)-L61-L59</f>
        <v>-6278</v>
      </c>
      <c r="DH61" s="29">
        <f>BY61</f>
        <v>2307</v>
      </c>
      <c r="DI61" s="298">
        <f>SUM(DI53,DI55)</f>
        <v>0</v>
      </c>
      <c r="DJ61" s="5">
        <f>IF(DJ59&gt;=0,DI53+DJ59-DH61,DI53-DH61)</f>
        <v>-2307</v>
      </c>
      <c r="DK61" s="240"/>
      <c r="DL61" s="303">
        <f>SUM(DL53,DK59)</f>
        <v>0</v>
      </c>
      <c r="DM61" s="231">
        <f t="shared" ref="DM61:DM68" si="138">DH61+DK61-DL61</f>
        <v>2307</v>
      </c>
    </row>
    <row r="62" spans="1:117" ht="15.75" hidden="1" thickBot="1" x14ac:dyDescent="0.3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-2492</v>
      </c>
      <c r="K62" s="394">
        <f t="shared" si="8"/>
        <v>-4908</v>
      </c>
      <c r="L62" s="544">
        <v>5017</v>
      </c>
      <c r="M62" s="298">
        <f>SUM(M53,M55)</f>
        <v>109</v>
      </c>
      <c r="N62" s="5">
        <f>M62-L62</f>
        <v>-4908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7"/>
      <c r="V62" s="21"/>
      <c r="W62" s="6"/>
      <c r="X62" s="35"/>
      <c r="Y62" s="612"/>
      <c r="Z62" s="21"/>
      <c r="AA62" s="6"/>
      <c r="AB62" s="35"/>
      <c r="AC62" s="713"/>
      <c r="AD62" s="713"/>
      <c r="AE62" s="394">
        <f>SUM(M62,AG62)-SUM(O62,AI62)-L62</f>
        <v>-4340</v>
      </c>
      <c r="AF62" s="29">
        <f t="shared" si="130"/>
        <v>4908</v>
      </c>
      <c r="AG62" s="298">
        <f>SUM(AG53,AG55)</f>
        <v>568</v>
      </c>
      <c r="AH62" s="5">
        <f>AG62-AF62</f>
        <v>-4340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7"/>
      <c r="AP62" s="21"/>
      <c r="AQ62" s="6"/>
      <c r="AR62" s="35"/>
      <c r="AS62" s="612"/>
      <c r="AT62" s="21"/>
      <c r="AU62" s="6"/>
      <c r="AV62" s="35"/>
      <c r="AW62" s="713"/>
      <c r="AX62" s="713"/>
      <c r="AY62" s="394">
        <f>SUM(M62,AG62,BA62)-SUM(O62,AI62,BC62)-L62</f>
        <v>-3953</v>
      </c>
      <c r="AZ62" s="29">
        <f t="shared" si="132"/>
        <v>4340</v>
      </c>
      <c r="BA62" s="298">
        <f>SUM(BA53,BA55)</f>
        <v>387</v>
      </c>
      <c r="BB62" s="5">
        <f>BA62-AZ62</f>
        <v>-3953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3"/>
      <c r="BR62" s="713"/>
      <c r="BS62" s="394">
        <f>SUM(M62,AG62,BA62,BU62)-SUM(O62,AI62,BC62,BW62)-L62</f>
        <v>-5492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853</v>
      </c>
      <c r="BY62" s="231">
        <f t="shared" si="135"/>
        <v>6100</v>
      </c>
      <c r="BZ62" s="661">
        <v>30000</v>
      </c>
      <c r="CA62" s="657"/>
      <c r="CB62" s="662" t="s">
        <v>883</v>
      </c>
      <c r="CC62" s="780"/>
      <c r="CD62" s="21"/>
      <c r="CE62" s="663">
        <v>30000</v>
      </c>
      <c r="CF62" s="664" t="s">
        <v>888</v>
      </c>
      <c r="CG62" s="773"/>
      <c r="CH62" s="21"/>
      <c r="CI62" s="6"/>
      <c r="CJ62" s="35"/>
      <c r="CK62" s="713"/>
      <c r="CL62" s="713"/>
      <c r="CM62" s="394">
        <f>SUM(M62,AG62,BA62,BU62,CO62)-SUM(O62,AI62,BC62,BW62,CQ62)-L62</f>
        <v>-5362</v>
      </c>
      <c r="CN62" s="29">
        <f t="shared" si="136"/>
        <v>6100</v>
      </c>
      <c r="CO62" s="298">
        <f>SUM(CO53,CO55)</f>
        <v>130</v>
      </c>
      <c r="CP62" s="5">
        <f>CO62-CN62</f>
        <v>-5970</v>
      </c>
      <c r="CQ62" s="240"/>
      <c r="CR62" s="303">
        <f>SUM(CR53,CR55)</f>
        <v>0</v>
      </c>
      <c r="CS62" s="231">
        <f t="shared" si="137"/>
        <v>6100</v>
      </c>
      <c r="CT62" s="236"/>
      <c r="CU62" s="210"/>
      <c r="CV62" s="216"/>
      <c r="CW62" s="707"/>
      <c r="CX62" s="21"/>
      <c r="CY62" s="6"/>
      <c r="CZ62" s="35"/>
      <c r="DA62" s="612"/>
      <c r="DB62" s="21"/>
      <c r="DC62" s="6"/>
      <c r="DD62" s="35"/>
      <c r="DE62" s="713"/>
      <c r="DF62" s="713"/>
      <c r="DG62" s="394">
        <f>SUM(M62,AG62,BA62,BU62,DI62)-SUM(O62,AI62,BC62,BW62,CQ62)-L62</f>
        <v>-5492</v>
      </c>
      <c r="DH62" s="29">
        <f t="shared" ref="DH62:DH63" si="140">BY62</f>
        <v>6100</v>
      </c>
      <c r="DI62" s="298">
        <f>SUM(DI53,DI55)</f>
        <v>0</v>
      </c>
      <c r="DJ62" s="5">
        <f>DI62-DH62</f>
        <v>-6100</v>
      </c>
      <c r="DK62" s="240"/>
      <c r="DL62" s="303">
        <f>SUM(DL53,DL55)</f>
        <v>0</v>
      </c>
      <c r="DM62" s="231">
        <f t="shared" si="138"/>
        <v>6100</v>
      </c>
    </row>
    <row r="63" spans="1:117" ht="15.75" hidden="1" thickBot="1" x14ac:dyDescent="0.3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ht="15.75" thickBot="1" x14ac:dyDescent="0.3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ht="15.75" hidden="1" thickBot="1" x14ac:dyDescent="0.3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3"/>
      <c r="AD65" s="713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3"/>
      <c r="AX65" s="713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3"/>
      <c r="BR65" s="713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3"/>
      <c r="CL65" s="713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3"/>
      <c r="DF65" s="713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ht="15.75" hidden="1" thickBot="1" x14ac:dyDescent="0.3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3"/>
      <c r="AD66" s="713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3"/>
      <c r="AX66" s="713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3"/>
      <c r="BR66" s="713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3"/>
      <c r="CL66" s="713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3"/>
      <c r="DF66" s="713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ht="15.75" hidden="1" thickBot="1" x14ac:dyDescent="0.3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3"/>
      <c r="AD67" s="713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3"/>
      <c r="AX67" s="713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3"/>
      <c r="BR67" s="713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3"/>
      <c r="CL67" s="713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3"/>
      <c r="DF67" s="713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.75" hidden="1" thickBot="1" x14ac:dyDescent="0.3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25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30" x14ac:dyDescent="0.25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 t="shared" ref="J70:J75" si="143">SUM(M70,AG70,BA70,BU70)-L70</f>
        <v>-506</v>
      </c>
      <c r="K70" s="394">
        <f t="shared" si="8"/>
        <v>-1303</v>
      </c>
      <c r="L70" s="544">
        <v>1419</v>
      </c>
      <c r="M70" s="5">
        <f>300+116-300</f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3"/>
      <c r="AD70" s="713"/>
      <c r="AE70" s="394">
        <f t="shared" ref="AE70:AE75" si="146">SUM(M70,AG70)-SUM(O70,AI70)-L70</f>
        <v>-1095</v>
      </c>
      <c r="AF70" s="29">
        <f t="shared" ref="AF70:AF75" si="147">Q70</f>
        <v>1303</v>
      </c>
      <c r="AG70" s="5">
        <f>300-300+456-456+208</f>
        <v>208</v>
      </c>
      <c r="AH70" s="5">
        <f t="shared" ref="AH70:AH75" si="148">AG70-AF70</f>
        <v>-1095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13"/>
      <c r="AX70" s="713"/>
      <c r="AY70" s="394">
        <f t="shared" ref="AY70:AY75" si="150">SUM(M70,AG70,BA70)-SUM(O70,AI70,BC70)-L70</f>
        <v>-1606</v>
      </c>
      <c r="AZ70" s="29">
        <f t="shared" ref="AZ70:AZ75" si="151">AK70</f>
        <v>1120</v>
      </c>
      <c r="BA70" s="5">
        <f>500-500+409-409+89</f>
        <v>89</v>
      </c>
      <c r="BB70" s="5">
        <f t="shared" ref="BB70:BB75" si="152">BA70-AZ70</f>
        <v>-1031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773"/>
      <c r="BN70" s="21"/>
      <c r="BO70" s="6"/>
      <c r="BP70" s="257"/>
      <c r="BQ70" s="728"/>
      <c r="BR70" s="728"/>
      <c r="BS70" s="394">
        <f t="shared" ref="BS70:BS75" si="154">SUM(M70,AG70,BA70,BU70)-SUM(O70,AI70,BC70,BW70)-L70</f>
        <v>-1106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0"/>
      <c r="CD70" s="121"/>
      <c r="CE70" s="6"/>
      <c r="CF70" s="257"/>
      <c r="CG70" s="730"/>
      <c r="CH70" s="21"/>
      <c r="CI70" s="6"/>
      <c r="CJ70" s="35"/>
      <c r="CK70" s="713"/>
      <c r="CL70" s="713"/>
      <c r="CM70" s="394">
        <f t="shared" ref="CM70:CM75" si="158">SUM(M70,AG70,BA70,BU70,CO70)-SUM(O70,AI70,BC70,BW70,CQ70)-L70</f>
        <v>-1106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3"/>
      <c r="DF70" s="713"/>
      <c r="DG70" s="394">
        <f t="shared" ref="DG70:DG75" si="162">SUM(M70,AG70,BA70,BU70,DI70)-SUM(O70,AI70,BC70,BW70,CQ70)-L70</f>
        <v>-1106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30" x14ac:dyDescent="0.25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 t="shared" si="143"/>
        <v>251</v>
      </c>
      <c r="K71" s="394">
        <f t="shared" si="8"/>
        <v>-4479</v>
      </c>
      <c r="L71" s="544">
        <v>3859</v>
      </c>
      <c r="M71" s="298">
        <f>M48+P71-M48</f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7"/>
      <c r="V71" s="121"/>
      <c r="W71" s="210"/>
      <c r="X71" s="216"/>
      <c r="Y71" s="707"/>
      <c r="Z71" s="581">
        <f>$F$71*50%*1000</f>
        <v>92125</v>
      </c>
      <c r="AA71" s="569">
        <f>$F$71*50%*1000</f>
        <v>92125</v>
      </c>
      <c r="AB71" s="211" t="s">
        <v>751</v>
      </c>
      <c r="AC71" s="733"/>
      <c r="AD71" s="733"/>
      <c r="AE71" s="394">
        <f t="shared" si="146"/>
        <v>-3694</v>
      </c>
      <c r="AF71" s="29">
        <f t="shared" si="147"/>
        <v>4479</v>
      </c>
      <c r="AG71" s="298">
        <f>AG48</f>
        <v>785</v>
      </c>
      <c r="AH71" s="5">
        <f t="shared" si="148"/>
        <v>-3694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7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13"/>
      <c r="AX71" s="713"/>
      <c r="AY71" s="394">
        <f t="shared" si="150"/>
        <v>-5349</v>
      </c>
      <c r="AZ71" s="29">
        <f t="shared" si="151"/>
        <v>3791</v>
      </c>
      <c r="BA71" s="298">
        <f>BA48</f>
        <v>345</v>
      </c>
      <c r="BB71" s="5">
        <f t="shared" si="152"/>
        <v>-3446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773"/>
      <c r="BN71" s="236"/>
      <c r="BO71" s="6"/>
      <c r="BP71" s="257"/>
      <c r="BQ71" s="728"/>
      <c r="BR71" s="728"/>
      <c r="BS71" s="394">
        <f t="shared" si="154"/>
        <v>-2749</v>
      </c>
      <c r="BT71" s="29">
        <f t="shared" si="155"/>
        <v>5396</v>
      </c>
      <c r="BU71" s="298">
        <f>BU48</f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0"/>
      <c r="CD71" s="121"/>
      <c r="CE71" s="6"/>
      <c r="CF71" s="35"/>
      <c r="CG71" s="612"/>
      <c r="CH71" s="121"/>
      <c r="CI71" s="210"/>
      <c r="CJ71" s="211"/>
      <c r="CK71" s="733"/>
      <c r="CL71" s="733"/>
      <c r="CM71" s="394">
        <f t="shared" si="158"/>
        <v>-2679</v>
      </c>
      <c r="CN71" s="29">
        <f t="shared" si="159"/>
        <v>3062</v>
      </c>
      <c r="CO71" s="303">
        <f>CO48</f>
        <v>70</v>
      </c>
      <c r="CP71" s="5">
        <f t="shared" si="160"/>
        <v>-2992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3"/>
      <c r="DF71" s="713"/>
      <c r="DG71" s="394">
        <f t="shared" si="162"/>
        <v>-2749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25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 t="shared" si="143"/>
        <v>-854</v>
      </c>
      <c r="K72" s="394">
        <f t="shared" si="8"/>
        <v>-1446</v>
      </c>
      <c r="L72" s="544">
        <f>1661</f>
        <v>1661</v>
      </c>
      <c r="M72" s="5">
        <f>200+215-200</f>
        <v>215</v>
      </c>
      <c r="N72" s="5">
        <f t="shared" si="144"/>
        <v>-1446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7"/>
      <c r="V72" s="235"/>
      <c r="W72" s="210"/>
      <c r="X72" s="216"/>
      <c r="Y72" s="707"/>
      <c r="Z72" s="21"/>
      <c r="AA72" s="210"/>
      <c r="AB72" s="35"/>
      <c r="AC72" s="713"/>
      <c r="AD72" s="713"/>
      <c r="AE72" s="394">
        <f t="shared" si="146"/>
        <v>-1104</v>
      </c>
      <c r="AF72" s="29">
        <f t="shared" si="147"/>
        <v>1446</v>
      </c>
      <c r="AG72" s="5">
        <f>200-200+686-686+342</f>
        <v>342</v>
      </c>
      <c r="AH72" s="5">
        <f t="shared" si="148"/>
        <v>-1104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13"/>
      <c r="AX72" s="713"/>
      <c r="AY72" s="394">
        <f t="shared" si="150"/>
        <v>-1704</v>
      </c>
      <c r="AZ72" s="29">
        <f t="shared" si="151"/>
        <v>1157</v>
      </c>
      <c r="BA72" s="5">
        <f>250-250+476-476</f>
        <v>0</v>
      </c>
      <c r="BB72" s="5">
        <f t="shared" si="152"/>
        <v>-1157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773"/>
      <c r="BN72" s="236"/>
      <c r="BO72" s="6"/>
      <c r="BP72" s="35"/>
      <c r="BQ72" s="713"/>
      <c r="BR72" s="713"/>
      <c r="BS72" s="394">
        <f t="shared" si="154"/>
        <v>-2454</v>
      </c>
      <c r="BT72" s="29">
        <f t="shared" si="155"/>
        <v>1757</v>
      </c>
      <c r="BU72" s="5">
        <v>250</v>
      </c>
      <c r="BV72" s="5">
        <f t="shared" si="156"/>
        <v>-1507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846</v>
      </c>
      <c r="CC72" s="773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782"/>
      <c r="CL72" s="782"/>
      <c r="CM72" s="394">
        <f t="shared" si="158"/>
        <v>-2454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3"/>
      <c r="DF72" s="713"/>
      <c r="DG72" s="394">
        <f t="shared" si="162"/>
        <v>-2454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25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 t="shared" si="143"/>
        <v>-2653</v>
      </c>
      <c r="K73" s="394">
        <f t="shared" si="8"/>
        <v>-3907</v>
      </c>
      <c r="L73" s="544">
        <f>4032</f>
        <v>4032</v>
      </c>
      <c r="M73" s="5">
        <f>650+125-650</f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7"/>
      <c r="V73" s="21"/>
      <c r="W73" s="210"/>
      <c r="X73" s="216"/>
      <c r="Y73" s="707"/>
      <c r="Z73" s="21"/>
      <c r="AA73" s="210"/>
      <c r="AB73" s="216"/>
      <c r="AC73" s="716"/>
      <c r="AD73" s="716"/>
      <c r="AE73" s="394">
        <f t="shared" si="146"/>
        <v>-3703</v>
      </c>
      <c r="AF73" s="29">
        <f t="shared" si="147"/>
        <v>3907</v>
      </c>
      <c r="AG73" s="5">
        <f>650-650+276-276+204</f>
        <v>204</v>
      </c>
      <c r="AH73" s="5">
        <f t="shared" si="148"/>
        <v>-3703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3"/>
      <c r="AX73" s="713"/>
      <c r="AY73" s="394">
        <f t="shared" si="150"/>
        <v>-3603</v>
      </c>
      <c r="AZ73" s="29">
        <f t="shared" si="151"/>
        <v>3737</v>
      </c>
      <c r="BA73" s="5">
        <f>950-950+413-413+100</f>
        <v>100</v>
      </c>
      <c r="BB73" s="5">
        <f t="shared" si="152"/>
        <v>-3637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0"/>
      <c r="BJ73" s="21"/>
      <c r="BK73" s="6"/>
      <c r="BL73" s="257"/>
      <c r="BM73" s="730"/>
      <c r="BN73" s="21"/>
      <c r="BO73" s="6"/>
      <c r="BP73" s="257"/>
      <c r="BQ73" s="728"/>
      <c r="BR73" s="728"/>
      <c r="BS73" s="394">
        <f t="shared" si="154"/>
        <v>-2653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150+560+198+300</f>
        <v>1208</v>
      </c>
      <c r="BY73" s="231">
        <f t="shared" si="157"/>
        <v>2429</v>
      </c>
      <c r="BZ73" s="236"/>
      <c r="CA73" s="6"/>
      <c r="CB73" s="257"/>
      <c r="CC73" s="730"/>
      <c r="CD73" s="121"/>
      <c r="CE73" s="6"/>
      <c r="CF73" s="35"/>
      <c r="CG73" s="612"/>
      <c r="CH73" s="121"/>
      <c r="CI73" s="210"/>
      <c r="CJ73" s="211"/>
      <c r="CK73" s="733"/>
      <c r="CL73" s="733"/>
      <c r="CM73" s="394">
        <f t="shared" si="158"/>
        <v>-2653</v>
      </c>
      <c r="CN73" s="29">
        <f t="shared" si="159"/>
        <v>2429</v>
      </c>
      <c r="CO73" s="240"/>
      <c r="CP73" s="5">
        <f t="shared" si="160"/>
        <v>-2429</v>
      </c>
      <c r="CQ73" s="240"/>
      <c r="CR73" s="240"/>
      <c r="CS73" s="231">
        <f t="shared" si="161"/>
        <v>2429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3"/>
      <c r="DF73" s="713"/>
      <c r="DG73" s="394">
        <f t="shared" si="162"/>
        <v>-2653</v>
      </c>
      <c r="DH73" s="29">
        <f t="shared" si="165"/>
        <v>2429</v>
      </c>
      <c r="DI73" s="240"/>
      <c r="DJ73" s="5">
        <f t="shared" si="163"/>
        <v>-2429</v>
      </c>
      <c r="DK73" s="256"/>
      <c r="DL73" s="240"/>
      <c r="DM73" s="231">
        <f t="shared" si="164"/>
        <v>2429</v>
      </c>
    </row>
    <row r="74" spans="1:117" ht="30" x14ac:dyDescent="0.25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1"/>
      <c r="V74" s="121"/>
      <c r="W74" s="6"/>
      <c r="X74" s="35"/>
      <c r="Y74" s="612"/>
      <c r="Z74" s="21"/>
      <c r="AA74" s="6"/>
      <c r="AB74" s="35"/>
      <c r="AC74" s="713"/>
      <c r="AD74" s="713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1"/>
      <c r="AP74" s="121"/>
      <c r="AQ74" s="6"/>
      <c r="AR74" s="35"/>
      <c r="AS74" s="612"/>
      <c r="AT74" s="21"/>
      <c r="AU74" s="6"/>
      <c r="AV74" s="35"/>
      <c r="AW74" s="713"/>
      <c r="AX74" s="713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1"/>
      <c r="BJ74" s="121"/>
      <c r="BK74" s="6"/>
      <c r="BL74" s="35"/>
      <c r="BM74" s="612"/>
      <c r="BN74" s="21"/>
      <c r="BO74" s="6"/>
      <c r="BP74" s="35"/>
      <c r="BQ74" s="713"/>
      <c r="BR74" s="713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1"/>
      <c r="CD74" s="121"/>
      <c r="CE74" s="6"/>
      <c r="CF74" s="35"/>
      <c r="CG74" s="612"/>
      <c r="CH74" s="21"/>
      <c r="CI74" s="6"/>
      <c r="CJ74" s="35"/>
      <c r="CK74" s="713"/>
      <c r="CL74" s="713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1"/>
      <c r="CX74" s="121"/>
      <c r="CY74" s="6"/>
      <c r="CZ74" s="35"/>
      <c r="DA74" s="612"/>
      <c r="DB74" s="21"/>
      <c r="DC74" s="6"/>
      <c r="DD74" s="35"/>
      <c r="DE74" s="713"/>
      <c r="DF74" s="713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30.75" thickBot="1" x14ac:dyDescent="0.3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4"/>
      <c r="V75" s="200"/>
      <c r="W75" s="201"/>
      <c r="X75" s="36"/>
      <c r="Y75" s="220"/>
      <c r="Z75" s="122"/>
      <c r="AA75" s="201"/>
      <c r="AB75" s="36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4"/>
      <c r="AP75" s="200"/>
      <c r="AQ75" s="201"/>
      <c r="AR75" s="36"/>
      <c r="AS75" s="220"/>
      <c r="AT75" s="122"/>
      <c r="AU75" s="201"/>
      <c r="AV75" s="36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4"/>
      <c r="BJ75" s="200"/>
      <c r="BK75" s="201"/>
      <c r="BL75" s="36"/>
      <c r="BM75" s="220"/>
      <c r="BN75" s="122"/>
      <c r="BO75" s="201"/>
      <c r="BP75" s="36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4"/>
      <c r="CD75" s="200"/>
      <c r="CE75" s="201"/>
      <c r="CF75" s="36"/>
      <c r="CG75" s="220"/>
      <c r="CH75" s="122"/>
      <c r="CI75" s="201"/>
      <c r="CJ75" s="36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4"/>
      <c r="CX75" s="200"/>
      <c r="CY75" s="201"/>
      <c r="CZ75" s="36"/>
      <c r="DA75" s="220"/>
      <c r="DB75" s="122"/>
      <c r="DC75" s="201"/>
      <c r="DD75" s="36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x14ac:dyDescent="0.25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x14ac:dyDescent="0.25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302</v>
      </c>
      <c r="BY77" s="231">
        <f>BT77+BW77-BX77</f>
        <v>98</v>
      </c>
      <c r="BZ77" s="121"/>
      <c r="CA77" s="6"/>
      <c r="CB77" s="665" t="s">
        <v>864</v>
      </c>
      <c r="CC77" s="781"/>
      <c r="CD77" s="121"/>
      <c r="CE77" s="6"/>
      <c r="CF77" s="625"/>
      <c r="CG77" s="787"/>
      <c r="CH77" s="21"/>
      <c r="CI77" s="6"/>
      <c r="CJ77" s="35"/>
      <c r="CK77" s="234"/>
      <c r="CL77" s="234"/>
      <c r="CM77" s="395"/>
      <c r="CN77" s="29">
        <f t="shared" ref="CN77:CN78" si="166">BY77</f>
        <v>98</v>
      </c>
      <c r="CO77" s="298">
        <v>180</v>
      </c>
      <c r="CP77" s="5">
        <f t="shared" ref="CP77:CP78" si="167">CO77-CN77</f>
        <v>82</v>
      </c>
      <c r="CQ77" s="5"/>
      <c r="CR77" s="303"/>
      <c r="CS77" s="231">
        <f t="shared" ref="CS77:CS78" si="168">CN77+CQ77-CR77</f>
        <v>98</v>
      </c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25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-120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9">M78-L78</f>
        <v>-794</v>
      </c>
      <c r="O78" s="256"/>
      <c r="P78" s="303">
        <f>P24</f>
        <v>16</v>
      </c>
      <c r="Q78" s="231">
        <f t="shared" ref="Q78" si="170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-699</v>
      </c>
      <c r="AF78" s="29">
        <f>Q78</f>
        <v>794</v>
      </c>
      <c r="AG78" s="298">
        <f>AG24</f>
        <v>95</v>
      </c>
      <c r="AH78" s="5">
        <f t="shared" ref="AH78" si="171">AG78-AF78</f>
        <v>-699</v>
      </c>
      <c r="AI78" s="240"/>
      <c r="AJ78" s="303">
        <f>AJ24</f>
        <v>89</v>
      </c>
      <c r="AK78" s="231">
        <f t="shared" ref="AK78" si="172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-570</v>
      </c>
      <c r="AZ78" s="29">
        <f t="shared" ref="AZ78" si="173">AK78</f>
        <v>705</v>
      </c>
      <c r="BA78" s="298">
        <f>BA24</f>
        <v>129</v>
      </c>
      <c r="BB78" s="5">
        <f t="shared" ref="BB78" si="174">BA78-AZ78</f>
        <v>-576</v>
      </c>
      <c r="BC78" s="256"/>
      <c r="BD78" s="303">
        <f>BD24</f>
        <v>129</v>
      </c>
      <c r="BE78" s="231">
        <f t="shared" ref="BE78" si="175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-120</v>
      </c>
      <c r="BT78" s="607">
        <f>1000</f>
        <v>1000</v>
      </c>
      <c r="BU78" s="298">
        <f>BU24</f>
        <v>450</v>
      </c>
      <c r="BV78" s="5">
        <f t="shared" ref="BV78" si="176">BU78-BT78</f>
        <v>-550</v>
      </c>
      <c r="BW78" s="240"/>
      <c r="BX78" s="303">
        <f>BX24</f>
        <v>302</v>
      </c>
      <c r="BY78" s="231">
        <f t="shared" ref="BY78" si="177">BT78+BW78-BX78</f>
        <v>698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80</v>
      </c>
      <c r="CN78" s="29">
        <f t="shared" si="166"/>
        <v>698</v>
      </c>
      <c r="CO78" s="298">
        <f>CO24</f>
        <v>200</v>
      </c>
      <c r="CP78" s="5">
        <f t="shared" si="167"/>
        <v>-498</v>
      </c>
      <c r="CQ78" s="5"/>
      <c r="CR78" s="303">
        <f>CR24</f>
        <v>0</v>
      </c>
      <c r="CS78" s="231">
        <f t="shared" si="168"/>
        <v>698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-120</v>
      </c>
      <c r="DH78" s="29">
        <f>BY78</f>
        <v>698</v>
      </c>
      <c r="DI78" s="298">
        <f>DI24</f>
        <v>0</v>
      </c>
      <c r="DJ78" s="5">
        <f t="shared" ref="DJ78:DJ79" si="178">DI78-DH78</f>
        <v>-698</v>
      </c>
      <c r="DK78" s="5"/>
      <c r="DL78" s="303">
        <f>DL24</f>
        <v>0</v>
      </c>
      <c r="DM78" s="231">
        <f t="shared" ref="DM78:DM79" si="179">DH78+DK78-DL78</f>
        <v>698</v>
      </c>
    </row>
    <row r="79" spans="1:117" ht="15.75" thickBot="1" x14ac:dyDescent="0.3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-220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5"/>
      <c r="V79" s="126"/>
      <c r="W79" s="127"/>
      <c r="X79" s="66"/>
      <c r="Y79" s="715"/>
      <c r="Z79" s="126"/>
      <c r="AA79" s="127"/>
      <c r="AB79" s="66"/>
      <c r="AC79" s="297"/>
      <c r="AD79" s="297"/>
      <c r="AE79" s="396">
        <f>SUM(M79,AG79)-SUM(O79,AI79)-L79</f>
        <v>-799</v>
      </c>
      <c r="AF79" s="296">
        <f>Q79</f>
        <v>894</v>
      </c>
      <c r="AG79" s="300">
        <f>AG24</f>
        <v>95</v>
      </c>
      <c r="AH79" s="65">
        <f t="shared" ref="AH79" si="182">AG79-AF79</f>
        <v>-799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5"/>
      <c r="AP79" s="128"/>
      <c r="AQ79" s="127"/>
      <c r="AR79" s="66"/>
      <c r="AS79" s="715"/>
      <c r="AT79" s="128"/>
      <c r="AU79" s="127"/>
      <c r="AV79" s="66"/>
      <c r="AW79" s="297"/>
      <c r="AX79" s="297"/>
      <c r="AY79" s="396">
        <f>SUM(M79,AG79,BA79)-SUM(O79,AI79,BC79)-L79</f>
        <v>-670</v>
      </c>
      <c r="AZ79" s="296">
        <f t="shared" ref="AZ79" si="184">AK79</f>
        <v>805</v>
      </c>
      <c r="BA79" s="300">
        <f>BA24</f>
        <v>129</v>
      </c>
      <c r="BB79" s="65">
        <f t="shared" ref="BB79" si="185">BA79-AZ79</f>
        <v>-676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5"/>
      <c r="BJ79" s="126"/>
      <c r="BK79" s="127"/>
      <c r="BL79" s="66"/>
      <c r="BM79" s="715"/>
      <c r="BN79" s="128"/>
      <c r="BO79" s="127"/>
      <c r="BP79" s="66"/>
      <c r="BQ79" s="297"/>
      <c r="BR79" s="297"/>
      <c r="BS79" s="396">
        <f>SUM(M79,AG79,BA79,BU79)-SUM(O79,AI79,BC79,BW79)-L79</f>
        <v>-220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302</v>
      </c>
      <c r="BY79" s="297">
        <f t="shared" ref="BY79" si="188">BT79+BW79-BX79</f>
        <v>698</v>
      </c>
      <c r="BZ79" s="126"/>
      <c r="CA79" s="127"/>
      <c r="CB79" s="66"/>
      <c r="CC79" s="715"/>
      <c r="CD79" s="126"/>
      <c r="CE79" s="127"/>
      <c r="CF79" s="66"/>
      <c r="CG79" s="715"/>
      <c r="CH79" s="128"/>
      <c r="CI79" s="127"/>
      <c r="CJ79" s="66"/>
      <c r="CK79" s="297"/>
      <c r="CL79" s="297"/>
      <c r="CM79" s="396">
        <f>SUM(M79,AG79,BA79,BU79,CO79)-SUM(O79,AI79,BC79,BW79,CQ79)-L79</f>
        <v>-20</v>
      </c>
      <c r="CN79" s="296">
        <f t="shared" ref="CN79" si="189">BY79</f>
        <v>698</v>
      </c>
      <c r="CO79" s="300">
        <f>CO24</f>
        <v>200</v>
      </c>
      <c r="CP79" s="65">
        <f t="shared" ref="CP79" si="190">CO79-CN79</f>
        <v>-498</v>
      </c>
      <c r="CQ79" s="65"/>
      <c r="CR79" s="384">
        <f>CR24</f>
        <v>0</v>
      </c>
      <c r="CS79" s="297">
        <f t="shared" ref="CS79" si="191">CN79+CQ79-CR79</f>
        <v>698</v>
      </c>
      <c r="CT79" s="126"/>
      <c r="CU79" s="127"/>
      <c r="CV79" s="66"/>
      <c r="CW79" s="715"/>
      <c r="CX79" s="126"/>
      <c r="CY79" s="127"/>
      <c r="CZ79" s="66"/>
      <c r="DA79" s="715"/>
      <c r="DB79" s="128"/>
      <c r="DC79" s="127"/>
      <c r="DD79" s="66"/>
      <c r="DE79" s="297"/>
      <c r="DF79" s="297"/>
      <c r="DG79" s="396">
        <f>SUM(M79,AG79,BA79,BU79,DI79)-SUM(O79,AI79,BC79,BW79,CQ79)-L79</f>
        <v>-220</v>
      </c>
      <c r="DH79" s="30">
        <f>BY79</f>
        <v>698</v>
      </c>
      <c r="DI79" s="300">
        <f>DI24</f>
        <v>0</v>
      </c>
      <c r="DJ79" s="65">
        <f t="shared" si="178"/>
        <v>-698</v>
      </c>
      <c r="DK79" s="65"/>
      <c r="DL79" s="384">
        <f>DL24</f>
        <v>0</v>
      </c>
      <c r="DM79" s="297">
        <f t="shared" si="179"/>
        <v>698</v>
      </c>
    </row>
    <row r="80" spans="1:117" ht="15.75" thickBot="1" x14ac:dyDescent="0.3">
      <c r="P80" s="248"/>
      <c r="AJ80" s="248"/>
      <c r="BD80" s="248"/>
      <c r="BX80" s="248"/>
      <c r="CR80" s="248"/>
      <c r="DL80" s="248"/>
    </row>
    <row r="81" spans="1:117" ht="15.75" thickBot="1" x14ac:dyDescent="0.3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25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25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3"/>
      <c r="AD83" s="713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3"/>
      <c r="AX83" s="713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3"/>
      <c r="BR83" s="713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787"/>
      <c r="CH83" s="21"/>
      <c r="CI83" s="6"/>
      <c r="CJ83" s="35"/>
      <c r="CK83" s="713"/>
      <c r="CL83" s="713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3"/>
      <c r="DF83" s="713"/>
      <c r="DG83" s="394"/>
      <c r="DH83" s="29"/>
      <c r="DI83" s="298"/>
      <c r="DJ83" s="5"/>
      <c r="DK83" s="240"/>
      <c r="DL83" s="303"/>
      <c r="DM83" s="231"/>
    </row>
    <row r="84" spans="1:117" x14ac:dyDescent="0.25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3"/>
      <c r="AD84" s="713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3"/>
      <c r="AX84" s="713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13"/>
      <c r="BR84" s="713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1"/>
      <c r="CH84" s="21"/>
      <c r="CI84" s="199"/>
      <c r="CJ84" s="148"/>
      <c r="CK84" s="797"/>
      <c r="CL84" s="797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3"/>
      <c r="DF84" s="713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25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13"/>
      <c r="AD85" s="713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13"/>
      <c r="AX85" s="713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7"/>
      <c r="BN85" s="527"/>
      <c r="BO85" s="6"/>
      <c r="BP85" s="216"/>
      <c r="BQ85" s="716"/>
      <c r="BR85" s="716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773"/>
      <c r="CH85" s="21"/>
      <c r="CI85" s="235"/>
      <c r="CJ85" s="148"/>
      <c r="CK85" s="797"/>
      <c r="CL85" s="797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930</v>
      </c>
      <c r="CW85" s="787"/>
      <c r="CX85" s="121"/>
      <c r="CY85" s="6"/>
      <c r="CZ85" s="35"/>
      <c r="DA85" s="612"/>
      <c r="DB85" s="21"/>
      <c r="DC85" s="6"/>
      <c r="DD85" s="35"/>
      <c r="DE85" s="713"/>
      <c r="DF85" s="713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5" x14ac:dyDescent="0.25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13"/>
      <c r="AD86" s="713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13"/>
      <c r="AX86" s="713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7"/>
      <c r="BN86" s="527"/>
      <c r="BO86" s="6"/>
      <c r="BP86" s="216"/>
      <c r="BQ86" s="716"/>
      <c r="BR86" s="716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773"/>
      <c r="CH86" s="526"/>
      <c r="CI86" s="199"/>
      <c r="CJ86" s="148"/>
      <c r="CK86" s="797"/>
      <c r="CL86" s="797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930</v>
      </c>
      <c r="CW86" s="787"/>
      <c r="CX86" s="121"/>
      <c r="CY86" s="6"/>
      <c r="CZ86" s="35"/>
      <c r="DA86" s="612"/>
      <c r="DB86" s="21"/>
      <c r="DC86" s="6"/>
      <c r="DD86" s="35"/>
      <c r="DE86" s="713"/>
      <c r="DF86" s="713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" customHeight="1" x14ac:dyDescent="0.25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13"/>
      <c r="AD87" s="713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3"/>
      <c r="AX87" s="713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7"/>
      <c r="BN87" s="21"/>
      <c r="BO87" s="6"/>
      <c r="BP87" s="35"/>
      <c r="BQ87" s="713"/>
      <c r="BR87" s="713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0" t="s">
        <v>889</v>
      </c>
      <c r="CG87" s="788"/>
      <c r="CH87" s="21"/>
      <c r="CI87" s="6"/>
      <c r="CJ87" s="148"/>
      <c r="CK87" s="797"/>
      <c r="CL87" s="797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3"/>
      <c r="DF87" s="713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8.25" x14ac:dyDescent="0.25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13"/>
      <c r="AD88" s="713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3"/>
      <c r="AX88" s="713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7"/>
      <c r="BN88" s="21"/>
      <c r="BO88" s="6"/>
      <c r="BP88" s="35"/>
      <c r="BQ88" s="713"/>
      <c r="BR88" s="713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0" t="s">
        <v>889</v>
      </c>
      <c r="CG88" s="788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3"/>
      <c r="DF88" s="713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5" customHeight="1" x14ac:dyDescent="0.25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13"/>
      <c r="AD89" s="713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3"/>
      <c r="AX89" s="713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3"/>
      <c r="BR89" s="713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78"/>
      <c r="CH89" s="121"/>
      <c r="CI89" s="629">
        <f>$F$89*$BW$89</f>
        <v>8250</v>
      </c>
      <c r="CJ89" s="650" t="s">
        <v>924</v>
      </c>
      <c r="CK89" s="802"/>
      <c r="CL89" s="802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3"/>
      <c r="DF89" s="713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30" x14ac:dyDescent="0.25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7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13"/>
      <c r="AD90" s="713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7"/>
      <c r="AT90" s="215"/>
      <c r="AU90" s="6"/>
      <c r="AV90" s="216"/>
      <c r="AW90" s="716"/>
      <c r="AX90" s="716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7"/>
      <c r="BJ90" s="310"/>
      <c r="BK90" s="6"/>
      <c r="BL90" s="216"/>
      <c r="BM90" s="707"/>
      <c r="BN90" s="21"/>
      <c r="BO90" s="6"/>
      <c r="BP90" s="35"/>
      <c r="BQ90" s="713"/>
      <c r="BR90" s="713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773"/>
      <c r="CH90" s="121"/>
      <c r="CI90" s="199"/>
      <c r="CJ90" s="148"/>
      <c r="CK90" s="797"/>
      <c r="CL90" s="797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1"/>
      <c r="CX90" s="215"/>
      <c r="CY90" s="6"/>
      <c r="CZ90" s="216"/>
      <c r="DA90" s="707"/>
      <c r="DB90" s="21"/>
      <c r="DC90" s="6"/>
      <c r="DD90" s="35"/>
      <c r="DE90" s="713"/>
      <c r="DF90" s="713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30.75" thickBot="1" x14ac:dyDescent="0.3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7"/>
      <c r="V91" s="121"/>
      <c r="W91" s="6"/>
      <c r="X91" s="216"/>
      <c r="Y91" s="707"/>
      <c r="Z91" s="121"/>
      <c r="AA91" s="6"/>
      <c r="AB91" s="216"/>
      <c r="AC91" s="716"/>
      <c r="AD91" s="716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7"/>
      <c r="AP91" s="121"/>
      <c r="AQ91" s="6"/>
      <c r="AR91" s="216"/>
      <c r="AS91" s="707"/>
      <c r="AT91" s="121">
        <f>$F$91*50%*400</f>
        <v>74010</v>
      </c>
      <c r="AU91" s="6"/>
      <c r="AV91" s="216" t="s">
        <v>715</v>
      </c>
      <c r="AW91" s="716"/>
      <c r="AX91" s="716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716</v>
      </c>
      <c r="BI91" s="707"/>
      <c r="BJ91" s="121"/>
      <c r="BK91" s="6"/>
      <c r="BL91" s="211"/>
      <c r="BM91" s="708"/>
      <c r="BN91" s="121"/>
      <c r="BO91" s="6"/>
      <c r="BP91" s="216"/>
      <c r="BQ91" s="716"/>
      <c r="BR91" s="716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1"/>
      <c r="CH91" s="630">
        <f>$F$91*$BW91/2</f>
        <v>55507.5</v>
      </c>
      <c r="CI91" s="629"/>
      <c r="CJ91" s="625" t="s">
        <v>798</v>
      </c>
      <c r="CK91" s="782"/>
      <c r="CL91" s="782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799</v>
      </c>
      <c r="CW91" s="787"/>
      <c r="CX91" s="121"/>
      <c r="CY91" s="6"/>
      <c r="CZ91" s="216"/>
      <c r="DA91" s="707"/>
      <c r="DB91" s="121"/>
      <c r="DC91" s="6"/>
      <c r="DD91" s="216"/>
      <c r="DE91" s="716"/>
      <c r="DF91" s="716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25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25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3"/>
      <c r="AD93" s="713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13"/>
      <c r="AX93" s="713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13"/>
      <c r="BR93" s="713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1"/>
      <c r="CH93" s="235">
        <v>43200</v>
      </c>
      <c r="CI93" s="235"/>
      <c r="CJ93" s="148" t="s">
        <v>890</v>
      </c>
      <c r="CK93" s="797"/>
      <c r="CL93" s="797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11"/>
      <c r="DB93" s="21"/>
      <c r="DC93" s="6"/>
      <c r="DD93" s="35"/>
      <c r="DE93" s="713"/>
      <c r="DF93" s="713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x14ac:dyDescent="0.25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08"/>
      <c r="V94" s="570">
        <f>$F$94*50%*3000</f>
        <v>427500</v>
      </c>
      <c r="W94" s="6"/>
      <c r="X94" s="216" t="s">
        <v>706</v>
      </c>
      <c r="Y94" s="707"/>
      <c r="Z94" s="21"/>
      <c r="AA94" s="6"/>
      <c r="AB94" s="216"/>
      <c r="AC94" s="716"/>
      <c r="AD94" s="716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07"/>
      <c r="AT94" s="21"/>
      <c r="AU94" s="6"/>
      <c r="AV94" s="35"/>
      <c r="AW94" s="713"/>
      <c r="AX94" s="713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13"/>
      <c r="BR94" s="713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773"/>
      <c r="CH94" s="121"/>
      <c r="CI94" s="629">
        <v>570000</v>
      </c>
      <c r="CJ94" s="625" t="s">
        <v>917</v>
      </c>
      <c r="CK94" s="782"/>
      <c r="CL94" s="782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1"/>
      <c r="CX94" s="121"/>
      <c r="CY94" s="6"/>
      <c r="CZ94" s="35"/>
      <c r="DA94" s="612"/>
      <c r="DB94" s="21"/>
      <c r="DC94" s="6"/>
      <c r="DD94" s="35"/>
      <c r="DE94" s="713"/>
      <c r="DF94" s="713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42" thickBot="1" x14ac:dyDescent="0.3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0"/>
      <c r="V95" s="314"/>
      <c r="W95" s="201"/>
      <c r="X95" s="321"/>
      <c r="Y95" s="710"/>
      <c r="Z95" s="582">
        <f>$F$95*100%*4000</f>
        <v>7200</v>
      </c>
      <c r="AA95" s="201"/>
      <c r="AB95" s="36" t="s">
        <v>748</v>
      </c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0"/>
      <c r="AP95" s="314"/>
      <c r="AQ95" s="201"/>
      <c r="AR95" s="321"/>
      <c r="AS95" s="710"/>
      <c r="AT95" s="122"/>
      <c r="AU95" s="201"/>
      <c r="AV95" s="36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0"/>
      <c r="BJ95" s="314"/>
      <c r="BK95" s="201"/>
      <c r="BL95" s="321"/>
      <c r="BM95" s="717"/>
      <c r="BN95" s="21">
        <f>BC95*F95/2</f>
        <v>0</v>
      </c>
      <c r="BO95" s="201"/>
      <c r="BP95" s="35" t="s">
        <v>801</v>
      </c>
      <c r="BQ95" s="713"/>
      <c r="BR95" s="713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2"/>
      <c r="CD95" s="698">
        <f>F95*BW95</f>
        <v>7200</v>
      </c>
      <c r="CE95" s="666"/>
      <c r="CF95" s="664" t="s">
        <v>891</v>
      </c>
      <c r="CG95" s="772"/>
      <c r="CH95" s="122"/>
      <c r="CI95" s="201"/>
      <c r="CJ95" s="36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0"/>
      <c r="CX95" s="314"/>
      <c r="CY95" s="201"/>
      <c r="CZ95" s="321"/>
      <c r="DA95" s="710"/>
      <c r="DB95" s="122"/>
      <c r="DC95" s="201"/>
      <c r="DD95" s="36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25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x14ac:dyDescent="0.25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3"/>
      <c r="AD97" s="713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3"/>
      <c r="AX97" s="713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13"/>
      <c r="BR97" s="713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3"/>
      <c r="CL97" s="713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3"/>
      <c r="DF97" s="713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5" customHeight="1" x14ac:dyDescent="0.25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773"/>
      <c r="CH98" s="21"/>
      <c r="CI98" s="6"/>
      <c r="CJ98" s="35"/>
      <c r="CK98" s="713"/>
      <c r="CL98" s="713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3"/>
      <c r="DF98" s="713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.75" thickBot="1" x14ac:dyDescent="0.3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3"/>
      <c r="V99" s="123"/>
      <c r="W99" s="8"/>
      <c r="X99" s="34"/>
      <c r="Y99" s="713"/>
      <c r="Z99" s="123"/>
      <c r="AA99" s="8"/>
      <c r="AB99" s="34"/>
      <c r="AC99" s="713"/>
      <c r="AD99" s="713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3"/>
      <c r="AP99" s="123"/>
      <c r="AQ99" s="8"/>
      <c r="AR99" s="34"/>
      <c r="AS99" s="713"/>
      <c r="AT99" s="20"/>
      <c r="AU99" s="8"/>
      <c r="AV99" s="34"/>
      <c r="AW99" s="713"/>
      <c r="AX99" s="713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28"/>
      <c r="BJ99" s="123"/>
      <c r="BK99" s="8"/>
      <c r="BL99" s="34"/>
      <c r="BM99" s="713"/>
      <c r="BN99" s="20"/>
      <c r="BO99" s="8"/>
      <c r="BP99" s="34"/>
      <c r="BQ99" s="713"/>
      <c r="BR99" s="713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3"/>
      <c r="CD99" s="123"/>
      <c r="CE99" s="8"/>
      <c r="CF99" s="34"/>
      <c r="CG99" s="713"/>
      <c r="CH99" s="20"/>
      <c r="CI99" s="8"/>
      <c r="CJ99" s="34"/>
      <c r="CK99" s="713"/>
      <c r="CL99" s="713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3"/>
      <c r="CX99" s="123"/>
      <c r="CY99" s="8"/>
      <c r="CZ99" s="34"/>
      <c r="DA99" s="713"/>
      <c r="DB99" s="20"/>
      <c r="DC99" s="8"/>
      <c r="DD99" s="34"/>
      <c r="DE99" s="713"/>
      <c r="DF99" s="713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25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.75" thickBot="1" x14ac:dyDescent="0.3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7"/>
      <c r="Z101" s="21"/>
      <c r="AA101" s="6"/>
      <c r="AB101" s="35"/>
      <c r="AC101" s="713"/>
      <c r="AD101" s="713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7"/>
      <c r="AT101" s="21"/>
      <c r="AU101" s="6"/>
      <c r="AV101" s="35" t="s">
        <v>785</v>
      </c>
      <c r="AW101" s="713"/>
      <c r="AX101" s="713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7"/>
      <c r="BN101" s="21"/>
      <c r="BO101" s="6"/>
      <c r="BP101" s="35"/>
      <c r="BQ101" s="713"/>
      <c r="BR101" s="713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787"/>
      <c r="CH101" s="21"/>
      <c r="CI101" s="6"/>
      <c r="CJ101" s="35"/>
      <c r="CK101" s="713"/>
      <c r="CL101" s="713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787"/>
      <c r="DB101" s="21"/>
      <c r="DC101" s="6"/>
      <c r="DD101" s="35"/>
      <c r="DE101" s="713"/>
      <c r="DF101" s="713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25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30" x14ac:dyDescent="0.25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6"/>
      <c r="V103" s="123"/>
      <c r="W103" s="8"/>
      <c r="X103" s="313"/>
      <c r="Y103" s="716"/>
      <c r="Z103" s="20"/>
      <c r="AA103" s="8"/>
      <c r="AB103" s="34"/>
      <c r="AC103" s="713"/>
      <c r="AD103" s="713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6"/>
      <c r="AP103" s="123"/>
      <c r="AQ103" s="8"/>
      <c r="AR103" s="313"/>
      <c r="AS103" s="716"/>
      <c r="AT103" s="20"/>
      <c r="AU103" s="8"/>
      <c r="AV103" s="34"/>
      <c r="AW103" s="713"/>
      <c r="AX103" s="713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6"/>
      <c r="BJ103" s="123"/>
      <c r="BK103" s="8"/>
      <c r="BL103" s="313"/>
      <c r="BM103" s="716"/>
      <c r="BN103" s="20"/>
      <c r="BO103" s="8"/>
      <c r="BP103" s="34"/>
      <c r="BQ103" s="713"/>
      <c r="BR103" s="713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6"/>
      <c r="CD103" s="123"/>
      <c r="CE103" s="8"/>
      <c r="CF103" s="313"/>
      <c r="CG103" s="716"/>
      <c r="CH103" s="20"/>
      <c r="CI103" s="8"/>
      <c r="CJ103" s="34"/>
      <c r="CK103" s="713"/>
      <c r="CL103" s="713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6"/>
      <c r="CX103" s="123"/>
      <c r="CY103" s="8"/>
      <c r="CZ103" s="313"/>
      <c r="DA103" s="716"/>
      <c r="DB103" s="20"/>
      <c r="DC103" s="8"/>
      <c r="DD103" s="34"/>
      <c r="DE103" s="713"/>
      <c r="DF103" s="713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customHeight="1" x14ac:dyDescent="0.25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13"/>
      <c r="AD104" s="713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3"/>
      <c r="AX104" s="713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3"/>
      <c r="BR104" s="713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773"/>
      <c r="CH104" s="21"/>
      <c r="CI104" s="6"/>
      <c r="CJ104" s="35"/>
      <c r="CK104" s="713"/>
      <c r="CL104" s="713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3"/>
      <c r="DF104" s="713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7" thickBot="1" x14ac:dyDescent="0.3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7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13"/>
      <c r="AD105" s="713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7"/>
      <c r="AP105" s="121"/>
      <c r="AQ105" s="6"/>
      <c r="AR105" s="35"/>
      <c r="AS105" s="612"/>
      <c r="AT105" s="21"/>
      <c r="AU105" s="6"/>
      <c r="AV105" s="35"/>
      <c r="AW105" s="713"/>
      <c r="AX105" s="713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0"/>
      <c r="BJ105" s="314"/>
      <c r="BK105" s="201"/>
      <c r="BL105" s="321"/>
      <c r="BM105" s="717"/>
      <c r="BN105" s="21"/>
      <c r="BO105" s="6"/>
      <c r="BP105" s="35"/>
      <c r="BQ105" s="713"/>
      <c r="BR105" s="713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7"/>
      <c r="CD105" s="668">
        <f>F105*BW105</f>
        <v>3600</v>
      </c>
      <c r="CE105" s="663"/>
      <c r="CF105" s="664" t="s">
        <v>936</v>
      </c>
      <c r="CG105" s="773"/>
      <c r="CH105" s="21"/>
      <c r="CI105" s="6"/>
      <c r="CJ105" s="35"/>
      <c r="CK105" s="713"/>
      <c r="CL105" s="713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7"/>
      <c r="CX105" s="121"/>
      <c r="CY105" s="6"/>
      <c r="CZ105" s="35"/>
      <c r="DA105" s="612"/>
      <c r="DB105" s="21"/>
      <c r="DC105" s="6"/>
      <c r="DD105" s="35"/>
      <c r="DE105" s="713"/>
      <c r="DF105" s="713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25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30" x14ac:dyDescent="0.25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3"/>
      <c r="V107" s="123"/>
      <c r="W107" s="8"/>
      <c r="X107" s="34"/>
      <c r="Y107" s="713"/>
      <c r="Z107" s="20"/>
      <c r="AA107" s="8"/>
      <c r="AB107" s="34"/>
      <c r="AC107" s="713"/>
      <c r="AD107" s="713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3"/>
      <c r="AP107" s="123"/>
      <c r="AQ107" s="8"/>
      <c r="AR107" s="34"/>
      <c r="AS107" s="713"/>
      <c r="AT107" s="20"/>
      <c r="AU107" s="8"/>
      <c r="AV107" s="34"/>
      <c r="AW107" s="713"/>
      <c r="AX107" s="713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3"/>
      <c r="BJ107" s="123"/>
      <c r="BK107" s="8"/>
      <c r="BL107" s="34"/>
      <c r="BM107" s="713"/>
      <c r="BN107" s="20"/>
      <c r="BO107" s="8"/>
      <c r="BP107" s="34"/>
      <c r="BQ107" s="713"/>
      <c r="BR107" s="713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3"/>
      <c r="CD107" s="123"/>
      <c r="CE107" s="8"/>
      <c r="CF107" s="34"/>
      <c r="CG107" s="713"/>
      <c r="CH107" s="20"/>
      <c r="CI107" s="8"/>
      <c r="CJ107" s="34"/>
      <c r="CK107" s="713"/>
      <c r="CL107" s="713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3"/>
      <c r="CX107" s="123"/>
      <c r="CY107" s="8"/>
      <c r="CZ107" s="34"/>
      <c r="DA107" s="713"/>
      <c r="DB107" s="20"/>
      <c r="DC107" s="8"/>
      <c r="DD107" s="34"/>
      <c r="DE107" s="713"/>
      <c r="DF107" s="713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30" x14ac:dyDescent="0.25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3"/>
      <c r="AD108" s="713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3"/>
      <c r="AX108" s="713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3"/>
      <c r="BR108" s="713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3"/>
      <c r="CL108" s="713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3"/>
      <c r="DF108" s="713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30.75" thickBot="1" x14ac:dyDescent="0.3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7"/>
      <c r="V109" s="121"/>
      <c r="W109" s="6"/>
      <c r="X109" s="35"/>
      <c r="Y109" s="612"/>
      <c r="Z109" s="21"/>
      <c r="AA109" s="6"/>
      <c r="AB109" s="35"/>
      <c r="AC109" s="713"/>
      <c r="AD109" s="713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7"/>
      <c r="AP109" s="121"/>
      <c r="AQ109" s="6"/>
      <c r="AR109" s="35"/>
      <c r="AS109" s="612"/>
      <c r="AT109" s="21"/>
      <c r="AU109" s="6"/>
      <c r="AV109" s="35"/>
      <c r="AW109" s="713"/>
      <c r="AX109" s="713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7"/>
      <c r="BJ109" s="121"/>
      <c r="BK109" s="6"/>
      <c r="BL109" s="35"/>
      <c r="BM109" s="612"/>
      <c r="BN109" s="21"/>
      <c r="BO109" s="6"/>
      <c r="BP109" s="35"/>
      <c r="BQ109" s="713"/>
      <c r="BR109" s="713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7"/>
      <c r="CD109" s="121"/>
      <c r="CE109" s="6"/>
      <c r="CF109" s="35"/>
      <c r="CG109" s="612"/>
      <c r="CH109" s="21"/>
      <c r="CI109" s="6"/>
      <c r="CJ109" s="35"/>
      <c r="CK109" s="713"/>
      <c r="CL109" s="713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7"/>
      <c r="CX109" s="121"/>
      <c r="CY109" s="6"/>
      <c r="CZ109" s="35"/>
      <c r="DA109" s="612"/>
      <c r="DB109" s="21"/>
      <c r="DC109" s="6"/>
      <c r="DD109" s="35"/>
      <c r="DE109" s="713"/>
      <c r="DF109" s="713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25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30" x14ac:dyDescent="0.25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3"/>
      <c r="V111" s="123"/>
      <c r="W111" s="8"/>
      <c r="X111" s="34"/>
      <c r="Y111" s="713"/>
      <c r="Z111" s="20"/>
      <c r="AA111" s="8"/>
      <c r="AB111" s="34"/>
      <c r="AC111" s="713"/>
      <c r="AD111" s="713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776</v>
      </c>
      <c r="AO111" s="713"/>
      <c r="AP111" s="123"/>
      <c r="AQ111" s="8"/>
      <c r="AR111" s="34"/>
      <c r="AS111" s="713"/>
      <c r="AT111" s="20"/>
      <c r="AU111" s="8"/>
      <c r="AV111" s="34"/>
      <c r="AW111" s="713"/>
      <c r="AX111" s="713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3"/>
      <c r="BJ111" s="123"/>
      <c r="BK111" s="8"/>
      <c r="BL111" s="34"/>
      <c r="BM111" s="713"/>
      <c r="BN111" s="20"/>
      <c r="BO111" s="8"/>
      <c r="BP111" s="34"/>
      <c r="BQ111" s="713"/>
      <c r="BR111" s="713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849</v>
      </c>
      <c r="CC111" s="782"/>
      <c r="CD111" s="123"/>
      <c r="CE111" s="8"/>
      <c r="CF111" s="34"/>
      <c r="CG111" s="713"/>
      <c r="CH111" s="20"/>
      <c r="CI111" s="8"/>
      <c r="CJ111" s="34"/>
      <c r="CK111" s="713"/>
      <c r="CL111" s="713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3"/>
      <c r="CX111" s="123"/>
      <c r="CY111" s="8"/>
      <c r="CZ111" s="34"/>
      <c r="DA111" s="713"/>
      <c r="DB111" s="20"/>
      <c r="DC111" s="8"/>
      <c r="DD111" s="34"/>
      <c r="DE111" s="713"/>
      <c r="DF111" s="713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5" customHeight="1" thickBot="1" x14ac:dyDescent="0.3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13"/>
      <c r="AD112" s="713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3"/>
      <c r="AX112" s="713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3"/>
      <c r="BR112" s="713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773"/>
      <c r="CH112" s="21"/>
      <c r="CI112" s="6"/>
      <c r="CJ112" s="35"/>
      <c r="CK112" s="713"/>
      <c r="CL112" s="713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3"/>
      <c r="DF112" s="713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25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25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3"/>
      <c r="AD114" s="713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13"/>
      <c r="AX114" s="713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3"/>
      <c r="BR114" s="713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3"/>
      <c r="CL114" s="713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3"/>
      <c r="DF114" s="713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x14ac:dyDescent="0.25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3"/>
      <c r="AD115" s="713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13"/>
      <c r="AX115" s="713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3"/>
      <c r="BR115" s="713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3"/>
      <c r="CL115" s="713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3"/>
      <c r="DF115" s="713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x14ac:dyDescent="0.25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3"/>
      <c r="AD116" s="713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3"/>
      <c r="AX116" s="713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3"/>
      <c r="BR116" s="713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13"/>
      <c r="CD116" s="21"/>
      <c r="CE116" s="6"/>
      <c r="CF116" s="35"/>
      <c r="CG116" s="612"/>
      <c r="CH116" s="21"/>
      <c r="CI116" s="6"/>
      <c r="CJ116" s="35"/>
      <c r="CK116" s="713"/>
      <c r="CL116" s="713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3"/>
      <c r="DF116" s="713"/>
      <c r="DG116" s="394"/>
      <c r="DH116" s="29"/>
      <c r="DI116" s="298"/>
      <c r="DJ116" s="5"/>
      <c r="DK116" s="240"/>
      <c r="DL116" s="303"/>
      <c r="DM116" s="231"/>
    </row>
    <row r="117" spans="1:117" x14ac:dyDescent="0.25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3"/>
      <c r="AD117" s="713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3"/>
      <c r="AX117" s="713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3"/>
      <c r="BR117" s="713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13"/>
      <c r="CD117" s="21"/>
      <c r="CE117" s="6"/>
      <c r="CF117" s="35"/>
      <c r="CG117" s="612"/>
      <c r="CH117" s="21"/>
      <c r="CI117" s="6"/>
      <c r="CJ117" s="35"/>
      <c r="CK117" s="713"/>
      <c r="CL117" s="713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3"/>
      <c r="DF117" s="713"/>
      <c r="DG117" s="394"/>
      <c r="DH117" s="29"/>
      <c r="DI117" s="298"/>
      <c r="DJ117" s="5"/>
      <c r="DK117" s="240"/>
      <c r="DL117" s="303"/>
      <c r="DM117" s="231"/>
    </row>
    <row r="118" spans="1:117" ht="15.75" thickBot="1" x14ac:dyDescent="0.3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13"/>
      <c r="AD118" s="713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7"/>
      <c r="AT118" s="21"/>
      <c r="AU118" s="6"/>
      <c r="AV118" s="35"/>
      <c r="AW118" s="713"/>
      <c r="AX118" s="713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7"/>
      <c r="BN118" s="21"/>
      <c r="BO118" s="6"/>
      <c r="BP118" s="35"/>
      <c r="BQ118" s="713"/>
      <c r="BR118" s="713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7"/>
      <c r="CH118" s="21"/>
      <c r="CI118" s="6"/>
      <c r="CJ118" s="35"/>
      <c r="CK118" s="713"/>
      <c r="CL118" s="713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7"/>
      <c r="DB118" s="21"/>
      <c r="DC118" s="6"/>
      <c r="DD118" s="35"/>
      <c r="DE118" s="713"/>
      <c r="DF118" s="713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25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30" x14ac:dyDescent="0.25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13"/>
      <c r="AD120" s="713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13"/>
      <c r="AX120" s="713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3"/>
      <c r="BR120" s="713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773"/>
      <c r="CH120" s="21"/>
      <c r="CI120" s="629">
        <v>88000</v>
      </c>
      <c r="CJ120" s="625" t="s">
        <v>805</v>
      </c>
      <c r="CK120" s="782"/>
      <c r="CL120" s="782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3"/>
      <c r="DF120" s="713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34.5" x14ac:dyDescent="0.25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3"/>
      <c r="AD121" s="713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0"/>
      <c r="AP121" s="121"/>
      <c r="AQ121" s="6"/>
      <c r="AR121" s="35"/>
      <c r="AS121" s="612"/>
      <c r="AT121" s="21"/>
      <c r="AU121" s="6"/>
      <c r="AV121" s="35"/>
      <c r="AW121" s="713"/>
      <c r="AX121" s="713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3"/>
      <c r="BR121" s="713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0" t="s">
        <v>959</v>
      </c>
      <c r="CG121" s="788"/>
      <c r="CH121" s="628">
        <f>1000*$F$121/2</f>
        <v>41500</v>
      </c>
      <c r="CI121" s="628">
        <f>(1000*$F$121/2)+(1000*$F$121/2)</f>
        <v>83000</v>
      </c>
      <c r="CJ121" s="677" t="s">
        <v>960</v>
      </c>
      <c r="CK121" s="803"/>
      <c r="CL121" s="803"/>
      <c r="CM121" s="394">
        <f t="shared" si="251"/>
        <v>-4277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2000</v>
      </c>
      <c r="CR121" s="240"/>
      <c r="CS121" s="231">
        <f t="shared" ref="CS121:CS126" si="262">CN121+CQ121-CR121</f>
        <v>5140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3"/>
      <c r="DF121" s="713"/>
      <c r="DG121" s="394">
        <f t="shared" si="253"/>
        <v>-4277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30" x14ac:dyDescent="0.25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3"/>
      <c r="AD122" s="713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3"/>
      <c r="AX122" s="713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786</v>
      </c>
      <c r="BI122" s="730"/>
      <c r="BJ122" s="121"/>
      <c r="BL122" s="35"/>
      <c r="BM122" s="612"/>
      <c r="BN122" s="21"/>
      <c r="BO122" s="6"/>
      <c r="BP122" s="35"/>
      <c r="BQ122" s="713"/>
      <c r="BR122" s="713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773"/>
      <c r="CH122" s="21"/>
      <c r="CI122" s="199"/>
      <c r="CJ122" s="148"/>
      <c r="CK122" s="797"/>
      <c r="CL122" s="797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805</v>
      </c>
      <c r="CW122" s="787"/>
      <c r="CX122" s="121"/>
      <c r="CY122" s="6"/>
      <c r="CZ122" s="35"/>
      <c r="DA122" s="612"/>
      <c r="DB122" s="21"/>
      <c r="DC122" s="6"/>
      <c r="DD122" s="35"/>
      <c r="DE122" s="713"/>
      <c r="DF122" s="713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x14ac:dyDescent="0.25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13"/>
      <c r="AD123" s="713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13"/>
      <c r="AX123" s="713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3"/>
      <c r="BR123" s="713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773"/>
      <c r="CH123" s="121"/>
      <c r="CI123" s="629">
        <v>63000</v>
      </c>
      <c r="CJ123" s="625" t="s">
        <v>805</v>
      </c>
      <c r="CK123" s="782"/>
      <c r="CL123" s="782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3"/>
      <c r="DF123" s="713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23.25" x14ac:dyDescent="0.25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13"/>
      <c r="AD124" s="713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3"/>
      <c r="AX124" s="713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3"/>
      <c r="BR124" s="713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773"/>
      <c r="CH124" s="628">
        <f>43800/2</f>
        <v>21900</v>
      </c>
      <c r="CI124" s="630">
        <f>43800/2</f>
        <v>21900</v>
      </c>
      <c r="CJ124" s="678" t="s">
        <v>961</v>
      </c>
      <c r="CK124" s="804"/>
      <c r="CL124" s="804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805</v>
      </c>
      <c r="CW124" s="787"/>
      <c r="CX124" s="121"/>
      <c r="CY124" s="6"/>
      <c r="CZ124" s="35"/>
      <c r="DA124" s="612"/>
      <c r="DB124" s="21"/>
      <c r="DC124" s="6"/>
      <c r="DD124" s="35"/>
      <c r="DE124" s="713"/>
      <c r="DF124" s="713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x14ac:dyDescent="0.25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13"/>
      <c r="AD125" s="713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3"/>
      <c r="AX125" s="713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3"/>
      <c r="BR125" s="713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773"/>
      <c r="CH125" s="21"/>
      <c r="CI125" s="215"/>
      <c r="CJ125" s="148"/>
      <c r="CK125" s="797"/>
      <c r="CL125" s="797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805</v>
      </c>
      <c r="CW125" s="787"/>
      <c r="CX125" s="121"/>
      <c r="CY125" s="6"/>
      <c r="CZ125" s="35"/>
      <c r="DA125" s="612"/>
      <c r="DB125" s="21"/>
      <c r="DC125" s="6"/>
      <c r="DD125" s="35"/>
      <c r="DE125" s="713"/>
      <c r="DF125" s="713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.75" thickBot="1" x14ac:dyDescent="0.3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2"/>
      <c r="CD126" s="669">
        <v>37200</v>
      </c>
      <c r="CE126" s="670"/>
      <c r="CF126" s="664" t="s">
        <v>893</v>
      </c>
      <c r="CG126" s="772"/>
      <c r="CH126" s="122"/>
      <c r="CI126" s="679"/>
      <c r="CJ126" s="148"/>
      <c r="CK126" s="797"/>
      <c r="CL126" s="797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805</v>
      </c>
      <c r="CW126" s="816"/>
      <c r="CX126" s="200"/>
      <c r="CY126" s="201"/>
      <c r="CZ126" s="36"/>
      <c r="DA126" s="220"/>
      <c r="DB126" s="122"/>
      <c r="DC126" s="201"/>
      <c r="DD126" s="36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25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x14ac:dyDescent="0.25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1"/>
      <c r="V128" s="121"/>
      <c r="W128" s="6"/>
      <c r="X128" s="35"/>
      <c r="Y128" s="612"/>
      <c r="Z128" s="21"/>
      <c r="AA128" s="6"/>
      <c r="AB128" s="35"/>
      <c r="AC128" s="713"/>
      <c r="AD128" s="713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1"/>
      <c r="AP128" s="121"/>
      <c r="AQ128" s="6"/>
      <c r="AR128" s="35"/>
      <c r="AS128" s="612"/>
      <c r="AT128" s="21"/>
      <c r="AU128" s="6"/>
      <c r="AV128" s="35"/>
      <c r="AW128" s="713"/>
      <c r="AX128" s="713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1"/>
      <c r="BJ128" s="121"/>
      <c r="BK128" s="6"/>
      <c r="BL128" s="35"/>
      <c r="BM128" s="612"/>
      <c r="BN128" s="21"/>
      <c r="BO128" s="6"/>
      <c r="BP128" s="35"/>
      <c r="BQ128" s="713"/>
      <c r="BR128" s="713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1"/>
      <c r="CD128" s="121"/>
      <c r="CE128" s="6"/>
      <c r="CF128" s="625" t="s">
        <v>907</v>
      </c>
      <c r="CG128" s="787"/>
      <c r="CH128" s="21"/>
      <c r="CI128" s="6"/>
      <c r="CJ128" s="35"/>
      <c r="CK128" s="713"/>
      <c r="CL128" s="713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1"/>
      <c r="CX128" s="121"/>
      <c r="CY128" s="6"/>
      <c r="CZ128" s="35"/>
      <c r="DA128" s="612"/>
      <c r="DB128" s="21"/>
      <c r="DC128" s="6"/>
      <c r="DD128" s="35"/>
      <c r="DE128" s="713"/>
      <c r="DF128" s="713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5" x14ac:dyDescent="0.25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3"/>
      <c r="AD129" s="713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3"/>
      <c r="AX129" s="713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3"/>
      <c r="BR129" s="713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89"/>
      <c r="CH129" s="215">
        <v>12500</v>
      </c>
      <c r="CI129" s="199"/>
      <c r="CJ129" s="240" t="s">
        <v>804</v>
      </c>
      <c r="CK129" s="797"/>
      <c r="CL129" s="797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806</v>
      </c>
      <c r="CW129" s="711"/>
      <c r="CX129" s="121"/>
      <c r="CY129" s="6"/>
      <c r="CZ129" s="35"/>
      <c r="DA129" s="612"/>
      <c r="DB129" s="21"/>
      <c r="DC129" s="6"/>
      <c r="DD129" s="35"/>
      <c r="DE129" s="713"/>
      <c r="DF129" s="713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9.5" x14ac:dyDescent="0.25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3"/>
      <c r="AD130" s="713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3"/>
      <c r="AX130" s="713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3"/>
      <c r="BR130" s="713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790"/>
      <c r="CH130" s="21"/>
      <c r="CI130" s="199"/>
      <c r="CJ130" s="148"/>
      <c r="CK130" s="797"/>
      <c r="CL130" s="797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3"/>
      <c r="DF130" s="713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x14ac:dyDescent="0.25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3"/>
      <c r="AD131" s="713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3"/>
      <c r="AX131" s="713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3"/>
      <c r="BR131" s="713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89"/>
      <c r="CH131" s="21"/>
      <c r="CI131" s="199"/>
      <c r="CJ131" s="148"/>
      <c r="CK131" s="797"/>
      <c r="CL131" s="797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3"/>
      <c r="DF131" s="713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9.5" x14ac:dyDescent="0.25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3"/>
      <c r="AD132" s="713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3"/>
      <c r="AX132" s="713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3"/>
      <c r="BR132" s="713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790"/>
      <c r="CH132" s="21"/>
      <c r="CI132" s="199"/>
      <c r="CJ132" s="148"/>
      <c r="CK132" s="797"/>
      <c r="CL132" s="797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3"/>
      <c r="DF132" s="713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.75" thickBot="1" x14ac:dyDescent="0.3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3"/>
      <c r="AD133" s="713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3"/>
      <c r="AX133" s="713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3"/>
      <c r="BR133" s="713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8">
        <v>6287.4</v>
      </c>
      <c r="CF133" s="689" t="s">
        <v>938</v>
      </c>
      <c r="CG133" s="689"/>
      <c r="CH133" s="21"/>
      <c r="CI133" s="199"/>
      <c r="CJ133" s="148"/>
      <c r="CK133" s="797"/>
      <c r="CL133" s="797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3"/>
      <c r="DF133" s="713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25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30" x14ac:dyDescent="0.25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30"/>
      <c r="Z135" s="527"/>
      <c r="AA135" s="579">
        <f>$F$135*50%*200</f>
        <v>47600</v>
      </c>
      <c r="AB135" s="35" t="s">
        <v>707</v>
      </c>
      <c r="AC135" s="713"/>
      <c r="AD135" s="713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3"/>
      <c r="AX135" s="713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3"/>
      <c r="BR135" s="713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1" t="s">
        <v>918</v>
      </c>
      <c r="CG135" s="791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3"/>
      <c r="DF135" s="713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x14ac:dyDescent="0.25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13"/>
      <c r="AD136" s="713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3"/>
      <c r="AX136" s="713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3"/>
      <c r="BR136" s="713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790"/>
      <c r="CH136" s="21"/>
      <c r="CI136" s="6"/>
      <c r="CJ136" s="5" t="s">
        <v>916</v>
      </c>
      <c r="CK136" s="713"/>
      <c r="CL136" s="713"/>
      <c r="CM136" s="706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3"/>
      <c r="DF136" s="713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.75" thickBot="1" x14ac:dyDescent="0.3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5"/>
      <c r="AD137" s="715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5"/>
      <c r="AX137" s="715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5"/>
      <c r="BR137" s="715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5"/>
      <c r="CL137" s="715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25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2+1+6+3+2+10+5+12+1+12</f>
        <v>54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x14ac:dyDescent="0.25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3"/>
      <c r="AD139" s="713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3"/>
      <c r="AX139" s="713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3"/>
      <c r="BR139" s="713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54</v>
      </c>
      <c r="BY139" s="231">
        <f>BT139+BW139-BX139</f>
        <v>1050</v>
      </c>
      <c r="BZ139" s="121"/>
      <c r="CA139" s="6"/>
      <c r="CB139" s="35"/>
      <c r="CC139" s="612"/>
      <c r="CD139" s="121"/>
      <c r="CE139" s="6"/>
      <c r="CF139" s="625" t="s">
        <v>927</v>
      </c>
      <c r="CG139" s="787"/>
      <c r="CH139" s="21"/>
      <c r="CI139" s="6"/>
      <c r="CJ139" s="35"/>
      <c r="CK139" s="713"/>
      <c r="CL139" s="713"/>
      <c r="CM139" s="394">
        <f>SUM(M139,AG139,BA139,BU139,CO139)-SUM(O139,AI139,BC139,BW139,CQ139)-L139</f>
        <v>-953</v>
      </c>
      <c r="CN139" s="29">
        <f t="shared" ref="CN139:CN145" si="295">BY139</f>
        <v>1050</v>
      </c>
      <c r="CO139" s="298">
        <f>CO138</f>
        <v>0</v>
      </c>
      <c r="CP139" s="5">
        <f t="shared" ref="CP139:CP141" si="296">CO139-CN139</f>
        <v>-1050</v>
      </c>
      <c r="CQ139" s="256"/>
      <c r="CR139" s="303">
        <f>CR138</f>
        <v>0</v>
      </c>
      <c r="CS139" s="231">
        <f>CN139+CQ139-CR139</f>
        <v>1050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3"/>
      <c r="DF139" s="713"/>
      <c r="DG139" s="394">
        <f>SUM(M139,AG139,BA139,BU139,DI139)-SUM(O139,AI139,BC139,BW139,CQ139)-L139</f>
        <v>-953</v>
      </c>
      <c r="DH139" s="29">
        <f>BY139</f>
        <v>1050</v>
      </c>
      <c r="DI139" s="298">
        <f>DI138</f>
        <v>0</v>
      </c>
      <c r="DJ139" s="5">
        <f t="shared" ref="DJ139:DJ141" si="297">DI139-DH139</f>
        <v>-1050</v>
      </c>
      <c r="DK139" s="240"/>
      <c r="DL139" s="303">
        <f>DL138</f>
        <v>0</v>
      </c>
      <c r="DM139" s="231">
        <f>DH139+DK139-DL139</f>
        <v>1050</v>
      </c>
    </row>
    <row r="140" spans="1:117" ht="30" x14ac:dyDescent="0.25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30"/>
      <c r="Z140" s="21"/>
      <c r="AA140" s="6"/>
      <c r="AB140" s="35"/>
      <c r="AC140" s="713"/>
      <c r="AD140" s="713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13"/>
      <c r="AX140" s="713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3"/>
      <c r="BR140" s="713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54</v>
      </c>
      <c r="BY140" s="231">
        <f t="shared" ref="BY140:BY145" si="301">BT140+BW140-BX140</f>
        <v>1054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790"/>
      <c r="CH140" s="21"/>
      <c r="CI140" s="199"/>
      <c r="CJ140" s="35"/>
      <c r="CK140" s="713"/>
      <c r="CL140" s="713"/>
      <c r="CM140" s="394">
        <f>SUM(M140,AG140,BA140,BU140,CO140)-SUM(O140,AI140,BC140,BW140,CQ140)-L140</f>
        <v>-957</v>
      </c>
      <c r="CN140" s="29">
        <f t="shared" si="295"/>
        <v>1054</v>
      </c>
      <c r="CO140" s="298">
        <f>CO138</f>
        <v>0</v>
      </c>
      <c r="CP140" s="5">
        <f t="shared" si="296"/>
        <v>-1054</v>
      </c>
      <c r="CQ140" s="256"/>
      <c r="CR140" s="303">
        <f>CR138</f>
        <v>0</v>
      </c>
      <c r="CS140" s="231">
        <f t="shared" ref="CS140:CS145" si="302">CN140+CQ140-CR140</f>
        <v>1054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13"/>
      <c r="DF140" s="713"/>
      <c r="DG140" s="394">
        <f>SUM(M140,AG140,BA140,BU140,DI140)-SUM(O140,AI140,BC140,BW140,CQ140)-L140</f>
        <v>-957</v>
      </c>
      <c r="DH140" s="29">
        <f t="shared" ref="DH140:DH141" si="303">BY140</f>
        <v>1054</v>
      </c>
      <c r="DI140" s="298">
        <f>DI138</f>
        <v>0</v>
      </c>
      <c r="DJ140" s="5">
        <f t="shared" si="297"/>
        <v>-1054</v>
      </c>
      <c r="DK140" s="240"/>
      <c r="DL140" s="303">
        <f>DL138</f>
        <v>0</v>
      </c>
      <c r="DM140" s="231">
        <f t="shared" ref="DM140:DM141" si="304">DH140+DK140-DL140</f>
        <v>1054</v>
      </c>
    </row>
    <row r="141" spans="1:117" ht="30" x14ac:dyDescent="0.25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13"/>
      <c r="AD141" s="713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3"/>
      <c r="AX141" s="713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3"/>
      <c r="BR141" s="713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54</v>
      </c>
      <c r="BY141" s="231">
        <f t="shared" si="301"/>
        <v>1047</v>
      </c>
      <c r="BZ141" s="121"/>
      <c r="CA141" s="6"/>
      <c r="CD141" s="215"/>
      <c r="CE141" s="199"/>
      <c r="CF141" s="240"/>
      <c r="CG141" s="789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1047</v>
      </c>
      <c r="CO141" s="298">
        <f>CO138</f>
        <v>0</v>
      </c>
      <c r="CP141" s="5">
        <f t="shared" si="296"/>
        <v>-1047</v>
      </c>
      <c r="CQ141" s="240"/>
      <c r="CR141" s="303">
        <f>CR138</f>
        <v>0</v>
      </c>
      <c r="CS141" s="231">
        <f t="shared" si="302"/>
        <v>1047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3"/>
      <c r="DF141" s="713"/>
      <c r="DG141" s="394">
        <f>SUM(M141,AG141,BA141,BU141,DI141)-SUM(O141,AI141,BC141,BW141,CQ141)-L141</f>
        <v>-959</v>
      </c>
      <c r="DH141" s="29">
        <f t="shared" si="303"/>
        <v>1047</v>
      </c>
      <c r="DI141" s="298">
        <f>DI138</f>
        <v>0</v>
      </c>
      <c r="DJ141" s="5">
        <f t="shared" si="297"/>
        <v>-1047</v>
      </c>
      <c r="DK141" s="240"/>
      <c r="DL141" s="303">
        <f>DL138</f>
        <v>0</v>
      </c>
      <c r="DM141" s="231">
        <f t="shared" si="304"/>
        <v>1047</v>
      </c>
    </row>
    <row r="142" spans="1:117" x14ac:dyDescent="0.25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18"/>
      <c r="V142" s="366"/>
      <c r="W142" s="367"/>
      <c r="X142" s="368"/>
      <c r="Y142" s="718"/>
      <c r="Z142" s="369"/>
      <c r="AA142" s="367"/>
      <c r="AB142" s="368"/>
      <c r="AC142" s="726"/>
      <c r="AD142" s="726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18"/>
      <c r="AP142" s="366"/>
      <c r="AQ142" s="367"/>
      <c r="AR142" s="368"/>
      <c r="AS142" s="718"/>
      <c r="AT142" s="369"/>
      <c r="AU142" s="367"/>
      <c r="AV142" s="368"/>
      <c r="AW142" s="726"/>
      <c r="AX142" s="726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18"/>
      <c r="BJ142" s="366"/>
      <c r="BK142" s="367"/>
      <c r="BL142" s="368"/>
      <c r="BM142" s="718"/>
      <c r="BN142" s="369"/>
      <c r="BO142" s="367"/>
      <c r="BP142" s="368"/>
      <c r="BQ142" s="726"/>
      <c r="BR142" s="726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18"/>
      <c r="CD142" s="366"/>
      <c r="CE142" s="367"/>
      <c r="CF142" s="368"/>
      <c r="CG142" s="718"/>
      <c r="CH142" s="369"/>
      <c r="CI142" s="369"/>
      <c r="CJ142" s="369"/>
      <c r="CK142" s="805"/>
      <c r="CL142" s="805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18"/>
      <c r="CX142" s="366"/>
      <c r="CY142" s="367"/>
      <c r="CZ142" s="368"/>
      <c r="DA142" s="718"/>
      <c r="DB142" s="369"/>
      <c r="DC142" s="367"/>
      <c r="DD142" s="368"/>
      <c r="DE142" s="726"/>
      <c r="DF142" s="726"/>
      <c r="DG142" s="351"/>
      <c r="DH142" s="364"/>
      <c r="DI142" s="374"/>
      <c r="DJ142" s="374"/>
      <c r="DK142" s="375"/>
      <c r="DL142" s="375"/>
      <c r="DM142" s="365"/>
    </row>
    <row r="143" spans="1:117" x14ac:dyDescent="0.25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13"/>
      <c r="AD143" s="713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13"/>
      <c r="AX143" s="713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3"/>
      <c r="BR143" s="713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54</v>
      </c>
      <c r="BY143" s="231">
        <f>BT143+BW143-BX143</f>
        <v>1049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1049</v>
      </c>
      <c r="CO143" s="298">
        <f>CO138</f>
        <v>0</v>
      </c>
      <c r="CP143" s="5">
        <f>CO143-CN143</f>
        <v>-1049</v>
      </c>
      <c r="CQ143" s="256"/>
      <c r="CR143" s="303">
        <f>CR138</f>
        <v>0</v>
      </c>
      <c r="CS143" s="231">
        <f>CN143+CQ143-CR143</f>
        <v>1049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13"/>
      <c r="DF143" s="713"/>
      <c r="DG143" s="394">
        <f>SUM(M143,AG143,BA143,BU143,DI143)-SUM(O143,AI143,BC143,BW143,CQ143)-L143</f>
        <v>-952</v>
      </c>
      <c r="DH143" s="29">
        <f>BY143</f>
        <v>1049</v>
      </c>
      <c r="DI143" s="298">
        <f>DI138</f>
        <v>0</v>
      </c>
      <c r="DJ143" s="5">
        <f>DI143-DH143</f>
        <v>-1049</v>
      </c>
      <c r="DK143" s="5"/>
      <c r="DL143" s="303">
        <f>DL138</f>
        <v>0</v>
      </c>
      <c r="DM143" s="231">
        <f>DH143+DK143-DL143</f>
        <v>1049</v>
      </c>
    </row>
    <row r="144" spans="1:117" x14ac:dyDescent="0.25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13"/>
      <c r="AD144" s="713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13"/>
      <c r="AX144" s="713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3"/>
      <c r="BR144" s="713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54</v>
      </c>
      <c r="BY144" s="231">
        <f>BT144+BW144-BX144</f>
        <v>1049</v>
      </c>
      <c r="BZ144" s="121"/>
      <c r="CA144" s="6"/>
      <c r="CB144" s="5" t="s">
        <v>648</v>
      </c>
      <c r="CC144" s="409"/>
      <c r="CD144" s="235"/>
      <c r="CE144" s="6"/>
      <c r="CF144" s="240"/>
      <c r="CG144" s="789"/>
      <c r="CH144" s="215">
        <v>95550</v>
      </c>
      <c r="CI144" s="6"/>
      <c r="CJ144" s="240" t="s">
        <v>807</v>
      </c>
      <c r="CK144" s="797"/>
      <c r="CL144" s="797"/>
      <c r="CM144" s="394">
        <f>SUM(M144,AG144,BA144,BU144,CO144)-SUM(O144,AI144,BC144,BW144,CQ144)-L144</f>
        <v>-952</v>
      </c>
      <c r="CN144" s="29">
        <f>BY144</f>
        <v>1049</v>
      </c>
      <c r="CO144" s="298">
        <f>CO138</f>
        <v>0</v>
      </c>
      <c r="CP144" s="5">
        <f>CO144-CN144</f>
        <v>-1049</v>
      </c>
      <c r="CQ144" s="256"/>
      <c r="CR144" s="303">
        <f>CR138</f>
        <v>0</v>
      </c>
      <c r="CS144" s="231">
        <f>CN144+CQ144-CR144</f>
        <v>1049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13"/>
      <c r="DF144" s="713"/>
      <c r="DG144" s="394">
        <f>SUM(M144,AG144,BA144,BU144,DI144)-SUM(O144,AI144,BC144,BW144,CQ144)-L144</f>
        <v>-952</v>
      </c>
      <c r="DH144" s="29">
        <f t="shared" ref="DH144:DH145" si="305">BY144</f>
        <v>1049</v>
      </c>
      <c r="DI144" s="298">
        <f>DI138</f>
        <v>0</v>
      </c>
      <c r="DJ144" s="5">
        <f>DI144-DH144</f>
        <v>-1049</v>
      </c>
      <c r="DK144" s="5"/>
      <c r="DL144" s="303">
        <f>DL138</f>
        <v>0</v>
      </c>
      <c r="DM144" s="231">
        <f>DH144+DK144-DL144</f>
        <v>1049</v>
      </c>
    </row>
    <row r="145" spans="1:117" ht="15.75" thickBot="1" x14ac:dyDescent="0.3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2"/>
      <c r="AD145" s="712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2"/>
      <c r="AX145" s="712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2"/>
      <c r="BR145" s="712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2"/>
      <c r="CL145" s="712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2"/>
      <c r="DF145" s="712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25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x14ac:dyDescent="0.25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3"/>
      <c r="AD147" s="713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3"/>
      <c r="AX147" s="713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3"/>
      <c r="BR147" s="713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3"/>
      <c r="CL147" s="713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3"/>
      <c r="DF147" s="713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25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13"/>
      <c r="AD148" s="713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3"/>
      <c r="AX148" s="713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3"/>
      <c r="BR148" s="713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3"/>
      <c r="CL148" s="713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3"/>
      <c r="DF148" s="713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15" customHeight="1" x14ac:dyDescent="0.25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3"/>
      <c r="AD149" s="713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3"/>
      <c r="AX149" s="713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3"/>
      <c r="BR149" s="713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3"/>
      <c r="CL149" s="713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3"/>
      <c r="DF149" s="713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25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18"/>
      <c r="V150" s="366"/>
      <c r="W150" s="367"/>
      <c r="X150" s="368"/>
      <c r="Y150" s="718"/>
      <c r="Z150" s="369"/>
      <c r="AA150" s="367"/>
      <c r="AB150" s="368"/>
      <c r="AC150" s="726"/>
      <c r="AD150" s="726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18"/>
      <c r="AP150" s="366"/>
      <c r="AQ150" s="367"/>
      <c r="AR150" s="368"/>
      <c r="AS150" s="718"/>
      <c r="AT150" s="369"/>
      <c r="AU150" s="367"/>
      <c r="AV150" s="368"/>
      <c r="AW150" s="726"/>
      <c r="AX150" s="726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18"/>
      <c r="BJ150" s="366"/>
      <c r="BK150" s="367"/>
      <c r="BL150" s="368"/>
      <c r="BM150" s="718"/>
      <c r="BN150" s="369"/>
      <c r="BO150" s="367"/>
      <c r="BP150" s="368"/>
      <c r="BQ150" s="726"/>
      <c r="BR150" s="726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18"/>
      <c r="CD150" s="366"/>
      <c r="CE150" s="367"/>
      <c r="CF150" s="368"/>
      <c r="CG150" s="718"/>
      <c r="CH150" s="369"/>
      <c r="CI150" s="367"/>
      <c r="CJ150" s="368"/>
      <c r="CK150" s="726"/>
      <c r="CL150" s="726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18"/>
      <c r="CX150" s="366"/>
      <c r="CY150" s="367"/>
      <c r="CZ150" s="368"/>
      <c r="DA150" s="718"/>
      <c r="DB150" s="369"/>
      <c r="DC150" s="367"/>
      <c r="DD150" s="368"/>
      <c r="DE150" s="726"/>
      <c r="DF150" s="726"/>
      <c r="DG150" s="351"/>
      <c r="DH150" s="364"/>
      <c r="DI150" s="374"/>
      <c r="DJ150" s="374"/>
      <c r="DK150" s="375"/>
      <c r="DL150" s="375"/>
      <c r="DM150" s="365"/>
    </row>
    <row r="151" spans="1:117" x14ac:dyDescent="0.25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28"/>
      <c r="AD151" s="728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3"/>
      <c r="AX151" s="713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3"/>
      <c r="BR151" s="713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3"/>
      <c r="CL151" s="713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3"/>
      <c r="DF151" s="713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25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28"/>
      <c r="AD152" s="728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3"/>
      <c r="AX152" s="713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3"/>
      <c r="BR152" s="713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3"/>
      <c r="CL152" s="713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3"/>
      <c r="DF152" s="713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.75" thickBot="1" x14ac:dyDescent="0.3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2"/>
      <c r="AD153" s="712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2"/>
      <c r="AX153" s="712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2"/>
      <c r="BR153" s="712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2"/>
      <c r="CL153" s="712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2"/>
      <c r="DF153" s="712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25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x14ac:dyDescent="0.25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3"/>
      <c r="AD155" s="713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3"/>
      <c r="AX155" s="713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3"/>
      <c r="BR155" s="713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3"/>
      <c r="CL155" s="713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3"/>
      <c r="DF155" s="713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25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3"/>
      <c r="AD156" s="713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3"/>
      <c r="AX156" s="713"/>
      <c r="AY156" s="394">
        <f>SUM(M156,AG156,BA156)-SUM(O156,AI156,BC156)-L156</f>
        <v>-47</v>
      </c>
      <c r="AZ156" s="607">
        <v>41</v>
      </c>
      <c r="BA156" s="298">
        <f>BA154</f>
        <v>0</v>
      </c>
      <c r="BB156" s="5">
        <f t="shared" si="329"/>
        <v>-41</v>
      </c>
      <c r="BC156" s="256"/>
      <c r="BD156" s="303">
        <f>BD154</f>
        <v>11</v>
      </c>
      <c r="BE156" s="231">
        <f t="shared" ref="BE156:BE162" si="335">AZ156+BC156-BD156</f>
        <v>30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3"/>
      <c r="BR156" s="713"/>
      <c r="BS156" s="394">
        <f>SUM(M156,AG156,BA156,BU156)-SUM(O156,AI156,BC156,BW156)-L156</f>
        <v>-43</v>
      </c>
      <c r="BT156" s="29">
        <f>BE156</f>
        <v>30</v>
      </c>
      <c r="BU156" s="298">
        <f>BU154</f>
        <v>4</v>
      </c>
      <c r="BV156" s="5">
        <f t="shared" si="330"/>
        <v>-26</v>
      </c>
      <c r="BW156" s="256"/>
      <c r="BX156" s="303">
        <f>BX154</f>
        <v>1</v>
      </c>
      <c r="BY156" s="231">
        <f t="shared" ref="BY156:BY162" si="336">BT156+BW156-BX156</f>
        <v>29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3"/>
      <c r="CL156" s="713"/>
      <c r="CM156" s="394">
        <f>SUM(M156,AG156,BA156,BU156,CO156)-SUM(O156,AI156,BC156,BW156,CQ156)-L156</f>
        <v>-43</v>
      </c>
      <c r="CN156" s="29">
        <f t="shared" ref="CN156:CN162" si="337">BY156</f>
        <v>29</v>
      </c>
      <c r="CO156" s="298">
        <f>CO154</f>
        <v>0</v>
      </c>
      <c r="CP156" s="5">
        <f t="shared" si="331"/>
        <v>-29</v>
      </c>
      <c r="CQ156" s="240"/>
      <c r="CR156" s="303">
        <f>CR154</f>
        <v>0</v>
      </c>
      <c r="CS156" s="231">
        <f t="shared" ref="CS156:CS162" si="338">CN156+CQ156-CR156</f>
        <v>29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3"/>
      <c r="DF156" s="713"/>
      <c r="DG156" s="394">
        <f>SUM(M156,AG156,BA156,BU156,DI156)-SUM(O156,AI156,BC156,BW156,CQ156)-L156</f>
        <v>-43</v>
      </c>
      <c r="DH156" s="29">
        <f t="shared" ref="DH156:DH158" si="339">BY156</f>
        <v>29</v>
      </c>
      <c r="DI156" s="298">
        <f>DI154</f>
        <v>0</v>
      </c>
      <c r="DJ156" s="5">
        <f t="shared" si="332"/>
        <v>-29</v>
      </c>
      <c r="DK156" s="240"/>
      <c r="DL156" s="303">
        <f>DL154</f>
        <v>0</v>
      </c>
      <c r="DM156" s="231">
        <f t="shared" ref="DM156:DM158" si="340">DH156+DK156-DL156</f>
        <v>29</v>
      </c>
    </row>
    <row r="157" spans="1:117" x14ac:dyDescent="0.25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3"/>
      <c r="AD157" s="713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3"/>
      <c r="AX157" s="713"/>
      <c r="AY157" s="394">
        <f>SUM(M157,AG157,BA157)-SUM(O157,AI157,BC157)-L157</f>
        <v>-47</v>
      </c>
      <c r="AZ157" s="29">
        <f t="shared" ref="AZ157:AZ162" si="341">AK157</f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5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3"/>
      <c r="BR157" s="713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6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3"/>
      <c r="CL157" s="713"/>
      <c r="CM157" s="394">
        <f>SUM(M157,AG157,BA157,BU157,CO157)-SUM(O157,AI157,BC157,BW157,CQ157)-L157</f>
        <v>-43</v>
      </c>
      <c r="CN157" s="29">
        <f t="shared" si="337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8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3"/>
      <c r="DF157" s="713"/>
      <c r="DG157" s="394">
        <f>SUM(M157,AG157,BA157,BU157,DI157)-SUM(O157,AI157,BC157,BW157,CQ157)-L157</f>
        <v>-43</v>
      </c>
      <c r="DH157" s="29">
        <f t="shared" si="339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0"/>
        <v>35</v>
      </c>
    </row>
    <row r="158" spans="1:117" x14ac:dyDescent="0.25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3"/>
      <c r="AD158" s="713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3"/>
      <c r="AX158" s="713"/>
      <c r="AY158" s="394">
        <f>SUM(M158,AG158,BA158)-SUM(O158,AI158,BC158)-L158</f>
        <v>-50</v>
      </c>
      <c r="AZ158" s="29">
        <f t="shared" si="341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5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3"/>
      <c r="BR158" s="713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6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3"/>
      <c r="CL158" s="713"/>
      <c r="CM158" s="394">
        <f>SUM(M158,AG158,BA158,BU158,CO158)-SUM(O158,AI158,BC158,BW158,CQ158)-L158</f>
        <v>-46</v>
      </c>
      <c r="CN158" s="29">
        <f t="shared" si="337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8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3"/>
      <c r="DF158" s="713"/>
      <c r="DG158" s="394">
        <f>SUM(M158,AG158,BA158,BU158,DI158)-SUM(O158,AI158,BC158,BW158,CQ158)-L158</f>
        <v>-46</v>
      </c>
      <c r="DH158" s="29">
        <f t="shared" si="339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0"/>
        <v>38</v>
      </c>
    </row>
    <row r="159" spans="1:117" x14ac:dyDescent="0.25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18"/>
      <c r="V159" s="366"/>
      <c r="W159" s="367"/>
      <c r="X159" s="368"/>
      <c r="Y159" s="718"/>
      <c r="Z159" s="369"/>
      <c r="AA159" s="367"/>
      <c r="AB159" s="368"/>
      <c r="AC159" s="726"/>
      <c r="AD159" s="726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18"/>
      <c r="AP159" s="366"/>
      <c r="AQ159" s="367"/>
      <c r="AR159" s="368"/>
      <c r="AS159" s="718"/>
      <c r="AT159" s="369"/>
      <c r="AU159" s="367"/>
      <c r="AV159" s="368"/>
      <c r="AW159" s="726"/>
      <c r="AX159" s="726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18"/>
      <c r="BJ159" s="366"/>
      <c r="BK159" s="367"/>
      <c r="BL159" s="368"/>
      <c r="BM159" s="718"/>
      <c r="BN159" s="369"/>
      <c r="BO159" s="367"/>
      <c r="BP159" s="368"/>
      <c r="BQ159" s="726"/>
      <c r="BR159" s="726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18"/>
      <c r="CD159" s="366"/>
      <c r="CE159" s="367"/>
      <c r="CF159" s="368"/>
      <c r="CG159" s="718"/>
      <c r="CH159" s="369"/>
      <c r="CI159" s="367"/>
      <c r="CJ159" s="368"/>
      <c r="CK159" s="726"/>
      <c r="CL159" s="726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18"/>
      <c r="CX159" s="366"/>
      <c r="CY159" s="367"/>
      <c r="CZ159" s="368"/>
      <c r="DA159" s="718"/>
      <c r="DB159" s="369"/>
      <c r="DC159" s="367"/>
      <c r="DD159" s="368"/>
      <c r="DE159" s="726"/>
      <c r="DF159" s="726"/>
      <c r="DG159" s="351"/>
      <c r="DH159" s="364"/>
      <c r="DI159" s="374"/>
      <c r="DJ159" s="374"/>
      <c r="DK159" s="375"/>
      <c r="DL159" s="375"/>
      <c r="DM159" s="365"/>
    </row>
    <row r="160" spans="1:117" x14ac:dyDescent="0.25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3"/>
      <c r="AD160" s="713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3"/>
      <c r="AX160" s="713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3"/>
      <c r="BR160" s="713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3"/>
      <c r="CL160" s="713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3"/>
      <c r="DF160" s="713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25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3"/>
      <c r="AD161" s="713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3"/>
      <c r="AX161" s="713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3"/>
      <c r="BR161" s="713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3"/>
      <c r="CL161" s="713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3"/>
      <c r="DF161" s="713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.75" thickBot="1" x14ac:dyDescent="0.3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2"/>
      <c r="AD162" s="712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2"/>
      <c r="AX162" s="712"/>
      <c r="AY162" s="77"/>
      <c r="AZ162" s="29">
        <f t="shared" si="341"/>
        <v>0</v>
      </c>
      <c r="BA162" s="31"/>
      <c r="BB162" s="31">
        <f t="shared" si="329"/>
        <v>0</v>
      </c>
      <c r="BC162" s="284"/>
      <c r="BD162" s="241"/>
      <c r="BE162" s="232">
        <f t="shared" si="335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2"/>
      <c r="BR162" s="712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6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2"/>
      <c r="CL162" s="712"/>
      <c r="CM162" s="77"/>
      <c r="CN162" s="29">
        <f t="shared" si="337"/>
        <v>0</v>
      </c>
      <c r="CO162" s="31"/>
      <c r="CP162" s="31">
        <f t="shared" si="331"/>
        <v>0</v>
      </c>
      <c r="CQ162" s="284"/>
      <c r="CR162" s="241"/>
      <c r="CS162" s="232">
        <f t="shared" si="338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2"/>
      <c r="DF162" s="712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25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x14ac:dyDescent="0.25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7"/>
      <c r="V164" s="570"/>
      <c r="W164" s="6"/>
      <c r="X164" s="216"/>
      <c r="Y164" s="707"/>
      <c r="Z164" s="121"/>
      <c r="AA164" s="6"/>
      <c r="AB164" s="211"/>
      <c r="AC164" s="735"/>
      <c r="AD164" s="735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7"/>
      <c r="AP164" s="121"/>
      <c r="AQ164" s="6"/>
      <c r="AR164" s="216"/>
      <c r="AS164" s="707"/>
      <c r="AT164" s="121"/>
      <c r="AU164" s="6"/>
      <c r="AV164" s="216"/>
      <c r="AW164" s="739"/>
      <c r="AX164" s="739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7"/>
      <c r="BJ164" s="121"/>
      <c r="BK164" s="6"/>
      <c r="BL164" s="211"/>
      <c r="BM164" s="708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7"/>
      <c r="CD164" s="121"/>
      <c r="CE164" s="6"/>
      <c r="CF164" s="625" t="s">
        <v>876</v>
      </c>
      <c r="CG164" s="787"/>
      <c r="CH164" s="121"/>
      <c r="CI164" s="6"/>
      <c r="CJ164" s="216"/>
      <c r="CK164" s="739"/>
      <c r="CL164" s="739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7"/>
      <c r="CX164" s="121"/>
      <c r="CY164" s="6"/>
      <c r="CZ164" s="216"/>
      <c r="DA164" s="707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5" customHeight="1" x14ac:dyDescent="0.25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7"/>
      <c r="V165" s="570"/>
      <c r="W165" s="6"/>
      <c r="X165" s="216"/>
      <c r="Y165" s="707"/>
      <c r="Z165" s="121"/>
      <c r="AA165" s="6"/>
      <c r="AB165" s="211"/>
      <c r="AC165" s="735"/>
      <c r="AD165" s="735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7"/>
      <c r="AP165" s="121"/>
      <c r="AQ165" s="6"/>
      <c r="AR165" s="216"/>
      <c r="AS165" s="707"/>
      <c r="AT165" s="121"/>
      <c r="AU165" s="6"/>
      <c r="AV165" s="216"/>
      <c r="AW165" s="739"/>
      <c r="AX165" s="739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7"/>
      <c r="BJ165" s="121"/>
      <c r="BK165" s="6"/>
      <c r="BL165" s="211"/>
      <c r="BM165" s="708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7"/>
      <c r="CD165" s="121"/>
      <c r="CE165" s="6"/>
      <c r="CF165" s="625" t="s">
        <v>876</v>
      </c>
      <c r="CG165" s="787"/>
      <c r="CH165" s="121"/>
      <c r="CI165" s="6"/>
      <c r="CJ165" s="216"/>
      <c r="CK165" s="739"/>
      <c r="CL165" s="739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7"/>
      <c r="CX165" s="121"/>
      <c r="CY165" s="6"/>
      <c r="CZ165" s="216"/>
      <c r="DA165" s="707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" customHeight="1" x14ac:dyDescent="0.25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7"/>
      <c r="V166" s="570"/>
      <c r="W166" s="6"/>
      <c r="X166" s="216"/>
      <c r="Y166" s="707"/>
      <c r="Z166" s="121"/>
      <c r="AA166" s="6"/>
      <c r="AB166" s="211"/>
      <c r="AC166" s="735"/>
      <c r="AD166" s="735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7"/>
      <c r="AP166" s="121"/>
      <c r="AQ166" s="6"/>
      <c r="AR166" s="216"/>
      <c r="AS166" s="707"/>
      <c r="AT166" s="121"/>
      <c r="AU166" s="6"/>
      <c r="AV166" s="216"/>
      <c r="AW166" s="739"/>
      <c r="AX166" s="739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7"/>
      <c r="BJ166" s="121"/>
      <c r="BK166" s="6"/>
      <c r="BL166" s="211"/>
      <c r="BM166" s="708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884</v>
      </c>
      <c r="CC166" s="708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39"/>
      <c r="CL166" s="739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7"/>
      <c r="CX166" s="121"/>
      <c r="CY166" s="6"/>
      <c r="CZ166" s="216"/>
      <c r="DA166" s="707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30" x14ac:dyDescent="0.25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7"/>
      <c r="V167" s="570">
        <f>F167*100%*5000</f>
        <v>125580</v>
      </c>
      <c r="W167" s="6"/>
      <c r="X167" s="216" t="s">
        <v>708</v>
      </c>
      <c r="Y167" s="707"/>
      <c r="Z167" s="121"/>
      <c r="AA167" s="6"/>
      <c r="AB167" s="211"/>
      <c r="AC167" s="735"/>
      <c r="AD167" s="735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7"/>
      <c r="AP167" s="121"/>
      <c r="AQ167" s="6"/>
      <c r="AR167" s="216"/>
      <c r="AS167" s="707"/>
      <c r="AT167" s="121"/>
      <c r="AU167" s="6"/>
      <c r="AV167" s="216"/>
      <c r="AW167" s="739"/>
      <c r="AX167" s="739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7"/>
      <c r="BJ167" s="121"/>
      <c r="BK167" s="6"/>
      <c r="BL167" s="211"/>
      <c r="BM167" s="708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7"/>
      <c r="CD167" s="668">
        <f>F167*BW167</f>
        <v>125831.16</v>
      </c>
      <c r="CE167" s="663"/>
      <c r="CF167" s="664" t="s">
        <v>964</v>
      </c>
      <c r="CG167" s="773"/>
      <c r="CH167" s="121"/>
      <c r="CI167" s="6"/>
      <c r="CJ167" s="216"/>
      <c r="CK167" s="739"/>
      <c r="CL167" s="739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1"/>
      <c r="CX167" s="121"/>
      <c r="CY167" s="6"/>
      <c r="CZ167" s="216"/>
      <c r="DA167" s="707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30" x14ac:dyDescent="0.25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7"/>
      <c r="V168" s="21"/>
      <c r="W168" s="6"/>
      <c r="X168" s="216"/>
      <c r="Y168" s="707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08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683</v>
      </c>
      <c r="BI168" s="708"/>
      <c r="BJ168" s="21"/>
      <c r="BK168" s="6"/>
      <c r="BL168" s="211"/>
      <c r="BM168" s="708"/>
      <c r="BN168" s="21"/>
      <c r="BO168" s="6"/>
      <c r="BP168" s="211"/>
      <c r="BQ168" s="735"/>
      <c r="BR168" s="735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7"/>
      <c r="CD168" s="215"/>
      <c r="CE168" s="199"/>
      <c r="CF168" s="148"/>
      <c r="CG168" s="711"/>
      <c r="CH168" s="630">
        <f>$F$168*$BW168/2</f>
        <v>175000</v>
      </c>
      <c r="CI168" s="629"/>
      <c r="CJ168" s="625" t="s">
        <v>809</v>
      </c>
      <c r="CK168" s="806"/>
      <c r="CL168" s="806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810</v>
      </c>
      <c r="CW168" s="787"/>
      <c r="CX168" s="21"/>
      <c r="CY168" s="6"/>
      <c r="CZ168" s="216"/>
      <c r="DA168" s="707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25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7"/>
      <c r="V169" s="121"/>
      <c r="W169" s="6"/>
      <c r="X169" s="216"/>
      <c r="Y169" s="707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08"/>
      <c r="AT169" s="21"/>
      <c r="AU169" s="6"/>
      <c r="AV169" s="211"/>
      <c r="AW169" s="735"/>
      <c r="AX169" s="735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08"/>
      <c r="BJ169" s="21"/>
      <c r="BK169" s="6"/>
      <c r="BL169" s="211"/>
      <c r="BM169" s="708"/>
      <c r="BN169" s="21"/>
      <c r="BO169" s="6"/>
      <c r="BP169" s="216"/>
      <c r="BQ169" s="739"/>
      <c r="BR169" s="739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925</v>
      </c>
      <c r="BY169" s="231">
        <f t="shared" si="357"/>
        <v>7608</v>
      </c>
      <c r="BZ169" s="310"/>
      <c r="CA169" s="6"/>
      <c r="CB169" s="216"/>
      <c r="CC169" s="707"/>
      <c r="CD169" s="668">
        <f>136800/2</f>
        <v>68400</v>
      </c>
      <c r="CE169" s="663"/>
      <c r="CF169" s="664" t="s">
        <v>809</v>
      </c>
      <c r="CG169" s="773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64"/>
        <v>7608</v>
      </c>
      <c r="CO169" s="298">
        <f>SUM(CO92,CO102,CO106,CO110,CO96,CO138,CO146,CO154)</f>
        <v>0</v>
      </c>
      <c r="CP169" s="5">
        <f t="shared" si="358"/>
        <v>-7608</v>
      </c>
      <c r="CQ169" s="240"/>
      <c r="CR169" s="303">
        <f>SUM(CR92,CR102,CR106,CR110,CR96,CR138,CR146,CR154)</f>
        <v>0</v>
      </c>
      <c r="CS169" s="231">
        <f t="shared" si="359"/>
        <v>7608</v>
      </c>
      <c r="CT169" s="21"/>
      <c r="CU169" s="630">
        <f>136800/2</f>
        <v>68400</v>
      </c>
      <c r="CV169" s="625" t="s">
        <v>810</v>
      </c>
      <c r="CW169" s="787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7608</v>
      </c>
      <c r="DI169" s="298">
        <f>SUM(DI92,DI102,DI106,DI110,DI96,DI138,DI146,DI154)</f>
        <v>0</v>
      </c>
      <c r="DJ169" s="5">
        <f t="shared" si="360"/>
        <v>-7608</v>
      </c>
      <c r="DK169" s="240"/>
      <c r="DL169" s="303">
        <f>SUM(DL92,DL102,DL106,DL110,DL96,DL138,DL146,DL154)</f>
        <v>0</v>
      </c>
      <c r="DM169" s="231">
        <f t="shared" si="361"/>
        <v>7608</v>
      </c>
    </row>
    <row r="170" spans="1:117" x14ac:dyDescent="0.25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56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19"/>
      <c r="V170" s="366"/>
      <c r="W170" s="367"/>
      <c r="X170" s="368"/>
      <c r="Y170" s="718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59"/>
      <c r="AP170" s="366"/>
      <c r="AQ170" s="367"/>
      <c r="AR170" s="484"/>
      <c r="AS170" s="765"/>
      <c r="AT170" s="369"/>
      <c r="AU170" s="367"/>
      <c r="AV170" s="484"/>
      <c r="AW170" s="766"/>
      <c r="AX170" s="766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65"/>
      <c r="BJ170" s="366"/>
      <c r="BK170" s="367"/>
      <c r="BL170" s="368"/>
      <c r="BM170" s="718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19"/>
      <c r="CD170" s="366"/>
      <c r="CE170" s="367"/>
      <c r="CF170" s="368"/>
      <c r="CG170" s="718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19"/>
      <c r="CX170" s="366"/>
      <c r="CY170" s="367"/>
      <c r="CZ170" s="368"/>
      <c r="DA170" s="718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90" x14ac:dyDescent="0.25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0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07"/>
      <c r="CL171" s="807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30" x14ac:dyDescent="0.25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06"/>
      <c r="CL172" s="806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812</v>
      </c>
      <c r="CW172" s="787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30" x14ac:dyDescent="0.25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06"/>
      <c r="CL173" s="806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812</v>
      </c>
      <c r="CW173" s="787"/>
      <c r="CX173" s="121"/>
      <c r="CY173" s="6"/>
      <c r="CZ173" s="35"/>
      <c r="DA173" s="713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30" x14ac:dyDescent="0.25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06"/>
      <c r="CL174" s="806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812</v>
      </c>
      <c r="CW174" s="787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30" x14ac:dyDescent="0.25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3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07"/>
      <c r="CL175" s="807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5" x14ac:dyDescent="0.25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7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6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06"/>
      <c r="CL176" s="806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812</v>
      </c>
      <c r="CW176" s="787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25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3"/>
      <c r="V177" s="123"/>
      <c r="W177" s="8"/>
      <c r="X177" s="34"/>
      <c r="Y177" s="713"/>
      <c r="Z177" s="21"/>
      <c r="AA177" s="8"/>
      <c r="AB177" s="35"/>
      <c r="AC177" s="713"/>
      <c r="AD177" s="713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1"/>
      <c r="AP177" s="8"/>
      <c r="AQ177" s="8"/>
      <c r="AR177" s="35"/>
      <c r="AS177" s="612"/>
      <c r="AT177" s="21"/>
      <c r="AU177" s="21"/>
      <c r="AV177" s="35"/>
      <c r="AW177" s="713"/>
      <c r="AX177" s="713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3"/>
      <c r="BJ177" s="123"/>
      <c r="BK177" s="8"/>
      <c r="BL177" s="34"/>
      <c r="BM177" s="713"/>
      <c r="BN177" s="123"/>
      <c r="BO177" s="8"/>
      <c r="BP177" s="34"/>
      <c r="BQ177" s="713"/>
      <c r="BR177" s="713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3"/>
      <c r="CD177" s="123"/>
      <c r="CE177" s="8"/>
      <c r="CF177" s="34"/>
      <c r="CG177" s="713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3"/>
      <c r="CX177" s="123"/>
      <c r="CY177" s="8"/>
      <c r="CZ177" s="34"/>
      <c r="DA177" s="713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25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5" x14ac:dyDescent="0.25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3"/>
      <c r="V179" s="123"/>
      <c r="W179" s="8"/>
      <c r="X179" s="34"/>
      <c r="Y179" s="713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1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3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80</v>
      </c>
      <c r="BY179" s="234">
        <f t="shared" si="357"/>
        <v>866</v>
      </c>
      <c r="BZ179" s="123"/>
      <c r="CA179" s="8"/>
      <c r="CB179" s="34"/>
      <c r="CC179" s="713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06"/>
      <c r="CL179" s="806"/>
      <c r="CM179" s="395">
        <f t="shared" si="372"/>
        <v>-745</v>
      </c>
      <c r="CN179" s="32">
        <f t="shared" si="364"/>
        <v>866</v>
      </c>
      <c r="CO179" s="302">
        <f>SUM(CO138,CO146)</f>
        <v>0</v>
      </c>
      <c r="CP179" s="7">
        <f t="shared" si="358"/>
        <v>-866</v>
      </c>
      <c r="CQ179" s="258"/>
      <c r="CR179" s="304">
        <f>SUM(CR138,CR146)</f>
        <v>0</v>
      </c>
      <c r="CS179" s="234">
        <f t="shared" si="359"/>
        <v>866</v>
      </c>
      <c r="CT179" s="123"/>
      <c r="CU179" s="628">
        <f t="shared" si="377"/>
        <v>10500</v>
      </c>
      <c r="CV179" s="625" t="s">
        <v>812</v>
      </c>
      <c r="CW179" s="782"/>
      <c r="CX179" s="123"/>
      <c r="CY179" s="8"/>
      <c r="CZ179" s="34"/>
      <c r="DA179" s="713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866</v>
      </c>
      <c r="DI179" s="302">
        <f>SUM(DI138,DI146)</f>
        <v>0</v>
      </c>
      <c r="DJ179" s="7">
        <f t="shared" ref="DJ179:DJ180" si="379">DI179-DH179</f>
        <v>-866</v>
      </c>
      <c r="DK179" s="258"/>
      <c r="DL179" s="304">
        <f>SUM(DL138,DL146)</f>
        <v>0</v>
      </c>
      <c r="DM179" s="234">
        <f t="shared" ref="DM179:DM180" si="380">DH179+DK179-DL179</f>
        <v>866</v>
      </c>
    </row>
    <row r="180" spans="1:117" x14ac:dyDescent="0.25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x14ac:dyDescent="0.25">
      <c r="A181" s="360"/>
      <c r="B181" s="361"/>
      <c r="C181" s="360"/>
      <c r="D181" s="373"/>
      <c r="E181" s="373"/>
      <c r="F181" s="362"/>
      <c r="G181" s="361"/>
      <c r="H181" s="485"/>
      <c r="I181" s="757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18"/>
      <c r="V181" s="366"/>
      <c r="W181" s="367"/>
      <c r="X181" s="368"/>
      <c r="Y181" s="718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18"/>
      <c r="AP181" s="366"/>
      <c r="AQ181" s="367"/>
      <c r="AR181" s="368"/>
      <c r="AS181" s="718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18"/>
      <c r="BJ181" s="366"/>
      <c r="BK181" s="367"/>
      <c r="BL181" s="368"/>
      <c r="BM181" s="718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18"/>
      <c r="CD181" s="366"/>
      <c r="CE181" s="367"/>
      <c r="CF181" s="368"/>
      <c r="CG181" s="718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18"/>
      <c r="CX181" s="366"/>
      <c r="CY181" s="367"/>
      <c r="CZ181" s="368"/>
      <c r="DA181" s="718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25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x14ac:dyDescent="0.25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30.75" thickBot="1" x14ac:dyDescent="0.3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5"/>
      <c r="V184" s="126"/>
      <c r="W184" s="127"/>
      <c r="X184" s="66"/>
      <c r="Y184" s="715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5"/>
      <c r="AP184" s="126"/>
      <c r="AQ184" s="127"/>
      <c r="AR184" s="66"/>
      <c r="AS184" s="715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5"/>
      <c r="BJ184" s="126"/>
      <c r="BK184" s="127"/>
      <c r="BL184" s="66"/>
      <c r="BM184" s="715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5"/>
      <c r="CD184" s="697">
        <v>13200</v>
      </c>
      <c r="CE184" s="702">
        <v>13200</v>
      </c>
      <c r="CF184" s="703" t="s">
        <v>897</v>
      </c>
      <c r="CG184" s="792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5"/>
      <c r="CX184" s="126"/>
      <c r="CY184" s="127"/>
      <c r="CZ184" s="66"/>
      <c r="DA184" s="715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.75" thickBot="1" x14ac:dyDescent="0.3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.75" thickBot="1" x14ac:dyDescent="0.3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.75" thickBot="1" x14ac:dyDescent="0.3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0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0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0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0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08"/>
      <c r="CL187" s="808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0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x14ac:dyDescent="0.25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x14ac:dyDescent="0.25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1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1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1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1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1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.75" thickBot="1" x14ac:dyDescent="0.3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1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1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1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1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1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.75" thickBot="1" x14ac:dyDescent="0.3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30" x14ac:dyDescent="0.25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.75" thickBot="1" x14ac:dyDescent="0.3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45.75" thickBot="1" x14ac:dyDescent="0.3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3"/>
      <c r="AD194" s="713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5" t="s">
        <v>898</v>
      </c>
      <c r="CG194" s="793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17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x14ac:dyDescent="0.25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3"/>
      <c r="V195" s="123"/>
      <c r="W195" s="8"/>
      <c r="X195" s="34"/>
      <c r="Y195" s="713"/>
      <c r="Z195" s="20"/>
      <c r="AA195" s="8"/>
      <c r="AB195" s="34"/>
      <c r="AC195" s="713"/>
      <c r="AD195" s="713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3"/>
      <c r="AP195" s="123"/>
      <c r="AQ195" s="8"/>
      <c r="AR195" s="34"/>
      <c r="AS195" s="713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3"/>
      <c r="BJ195" s="123"/>
      <c r="BK195" s="8"/>
      <c r="BL195" s="34"/>
      <c r="BM195" s="713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3"/>
      <c r="CD195" s="123"/>
      <c r="CE195" s="8"/>
      <c r="CF195" s="34"/>
      <c r="CG195" s="713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3"/>
      <c r="CX195" s="123"/>
      <c r="CY195" s="8"/>
      <c r="CZ195" s="34"/>
      <c r="DA195" s="713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30.75" thickBot="1" x14ac:dyDescent="0.3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3"/>
      <c r="V196" s="123"/>
      <c r="W196" s="8"/>
      <c r="X196" s="34"/>
      <c r="Y196" s="713"/>
      <c r="Z196" s="20"/>
      <c r="AA196" s="8"/>
      <c r="AB196" s="35"/>
      <c r="AC196" s="713"/>
      <c r="AD196" s="713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P196" s="123"/>
      <c r="AQ196" s="8"/>
      <c r="AR196" s="34"/>
      <c r="AS196" s="713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3"/>
      <c r="BJ196" s="123"/>
      <c r="BK196" s="8"/>
      <c r="BL196" s="34"/>
      <c r="BM196" s="713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3"/>
      <c r="CD196" s="123"/>
      <c r="CE196" s="8"/>
      <c r="CF196" s="34"/>
      <c r="CG196" s="713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3"/>
      <c r="CX196" s="123"/>
      <c r="CY196" s="8"/>
      <c r="CZ196" s="34"/>
      <c r="DA196" s="713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30.75" thickBot="1" x14ac:dyDescent="0.3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t="15.75" thickBot="1" x14ac:dyDescent="0.3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1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1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1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848</v>
      </c>
      <c r="CC198" s="721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1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x14ac:dyDescent="0.25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248"/>
      <c r="V199" s="433"/>
      <c r="W199" s="416"/>
      <c r="X199" s="415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248"/>
      <c r="AP199" s="433"/>
      <c r="AQ199" s="416"/>
      <c r="AR199" s="415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248"/>
      <c r="BJ199" s="433"/>
      <c r="BK199" s="416"/>
      <c r="BL199" s="415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848</v>
      </c>
      <c r="CC199" s="248"/>
      <c r="CD199" s="433"/>
      <c r="CE199" s="416"/>
      <c r="CF199" s="415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248"/>
      <c r="CX199" s="433"/>
      <c r="CY199" s="416"/>
      <c r="CZ199" s="415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.75" thickBot="1" x14ac:dyDescent="0.3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2"/>
      <c r="V200" s="126"/>
      <c r="W200" s="127"/>
      <c r="X200" s="66"/>
      <c r="Y200" s="715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2"/>
      <c r="AP200" s="126"/>
      <c r="AQ200" s="127"/>
      <c r="AR200" s="66"/>
      <c r="AS200" s="715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2"/>
      <c r="BJ200" s="470"/>
      <c r="BK200" s="127">
        <v>2500</v>
      </c>
      <c r="BL200" s="66" t="s">
        <v>789</v>
      </c>
      <c r="BM200" s="715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2"/>
      <c r="CD200" s="126"/>
      <c r="CE200" s="127"/>
      <c r="CF200" s="66"/>
      <c r="CG200" s="715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2"/>
      <c r="CX200" s="126"/>
      <c r="CY200" s="127"/>
      <c r="CZ200" s="66"/>
      <c r="DA200" s="715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.75" thickBot="1" x14ac:dyDescent="0.3">
      <c r="P201" s="248"/>
      <c r="AJ201" s="248"/>
      <c r="BD201" s="248"/>
      <c r="BX201" s="248"/>
      <c r="CR201" s="248"/>
      <c r="DL201" s="248"/>
    </row>
    <row r="202" spans="1:117" ht="15.75" thickBot="1" x14ac:dyDescent="0.3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36"/>
      <c r="AD202" s="736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36"/>
      <c r="AX202" s="736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36"/>
      <c r="BR202" s="736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36"/>
      <c r="CL202" s="736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36"/>
      <c r="DF202" s="736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25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3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3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3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3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3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30" x14ac:dyDescent="0.25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25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2"/>
      <c r="V205" s="129"/>
      <c r="W205" s="130"/>
      <c r="X205" s="79"/>
      <c r="Y205" s="712"/>
      <c r="Z205" s="131"/>
      <c r="AA205" s="130"/>
      <c r="AB205" s="79"/>
      <c r="AC205" s="712"/>
      <c r="AD205" s="712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2"/>
      <c r="AP205" s="129"/>
      <c r="AQ205" s="130"/>
      <c r="AR205" s="79"/>
      <c r="AS205" s="712"/>
      <c r="AT205" s="131"/>
      <c r="AU205" s="130"/>
      <c r="AV205" s="79"/>
      <c r="AW205" s="712"/>
      <c r="AX205" s="712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2"/>
      <c r="BJ205" s="129"/>
      <c r="BK205" s="130"/>
      <c r="BL205" s="79"/>
      <c r="BM205" s="712"/>
      <c r="BN205" s="131"/>
      <c r="BO205" s="130"/>
      <c r="BP205" s="79"/>
      <c r="BQ205" s="712"/>
      <c r="BR205" s="712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2"/>
      <c r="CD205" s="129"/>
      <c r="CE205" s="130"/>
      <c r="CF205" s="79"/>
      <c r="CG205" s="712"/>
      <c r="CH205" s="131"/>
      <c r="CI205" s="130"/>
      <c r="CJ205" s="79"/>
      <c r="CK205" s="712"/>
      <c r="CL205" s="712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2"/>
      <c r="CX205" s="129"/>
      <c r="CY205" s="130"/>
      <c r="CZ205" s="79"/>
      <c r="DA205" s="712"/>
      <c r="DB205" s="131"/>
      <c r="DC205" s="130"/>
      <c r="DD205" s="79"/>
      <c r="DE205" s="712"/>
      <c r="DF205" s="712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25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18"/>
      <c r="V206" s="366"/>
      <c r="W206" s="367"/>
      <c r="X206" s="368"/>
      <c r="Y206" s="718"/>
      <c r="Z206" s="369"/>
      <c r="AA206" s="367"/>
      <c r="AB206" s="368"/>
      <c r="AC206" s="718"/>
      <c r="AD206" s="718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18"/>
      <c r="AP206" s="366"/>
      <c r="AQ206" s="367"/>
      <c r="AR206" s="368"/>
      <c r="AS206" s="718"/>
      <c r="AT206" s="369"/>
      <c r="AU206" s="367"/>
      <c r="AV206" s="368"/>
      <c r="AW206" s="718"/>
      <c r="AX206" s="718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18"/>
      <c r="BJ206" s="366"/>
      <c r="BK206" s="367"/>
      <c r="BL206" s="368"/>
      <c r="BM206" s="718"/>
      <c r="BN206" s="369"/>
      <c r="BO206" s="367"/>
      <c r="BP206" s="368"/>
      <c r="BQ206" s="718"/>
      <c r="BR206" s="718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18"/>
      <c r="CD206" s="366"/>
      <c r="CE206" s="367"/>
      <c r="CF206" s="368"/>
      <c r="CG206" s="718"/>
      <c r="CH206" s="369"/>
      <c r="CI206" s="367"/>
      <c r="CJ206" s="368"/>
      <c r="CK206" s="718"/>
      <c r="CL206" s="718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18"/>
      <c r="CX206" s="366"/>
      <c r="CY206" s="367"/>
      <c r="CZ206" s="368"/>
      <c r="DA206" s="718"/>
      <c r="DB206" s="369"/>
      <c r="DC206" s="367"/>
      <c r="DD206" s="368"/>
      <c r="DE206" s="718"/>
      <c r="DF206" s="718"/>
      <c r="DG206" s="363"/>
      <c r="DH206" s="364"/>
      <c r="DI206" s="374"/>
      <c r="DJ206" s="374"/>
      <c r="DK206" s="375"/>
      <c r="DL206" s="375"/>
      <c r="DM206" s="365"/>
    </row>
    <row r="207" spans="1:117" x14ac:dyDescent="0.25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2"/>
      <c r="V207" s="129"/>
      <c r="W207" s="130"/>
      <c r="X207" s="79"/>
      <c r="Y207" s="712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2"/>
      <c r="AP207" s="129"/>
      <c r="AQ207" s="130"/>
      <c r="AR207" s="79"/>
      <c r="AS207" s="712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2"/>
      <c r="BJ207" s="129"/>
      <c r="BK207" s="130"/>
      <c r="BL207" s="79"/>
      <c r="BM207" s="712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2"/>
      <c r="CD207" s="129"/>
      <c r="CE207" s="130"/>
      <c r="CF207" s="79"/>
      <c r="CG207" s="712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2"/>
      <c r="CX207" s="129"/>
      <c r="CY207" s="130"/>
      <c r="CZ207" s="79"/>
      <c r="DA207" s="712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25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2"/>
      <c r="V208" s="129"/>
      <c r="W208" s="130"/>
      <c r="X208" s="79"/>
      <c r="Y208" s="712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2"/>
      <c r="AP208" s="129"/>
      <c r="AQ208" s="130"/>
      <c r="AR208" s="79"/>
      <c r="AS208" s="712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2"/>
      <c r="BJ208" s="129"/>
      <c r="BK208" s="130"/>
      <c r="BL208" s="79"/>
      <c r="BM208" s="712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2"/>
      <c r="CD208" s="129"/>
      <c r="CE208" s="130"/>
      <c r="CF208" s="79"/>
      <c r="CG208" s="712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2"/>
      <c r="CX208" s="129"/>
      <c r="CY208" s="130"/>
      <c r="CZ208" s="79"/>
      <c r="DA208" s="712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25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2"/>
      <c r="V209" s="129"/>
      <c r="W209" s="130"/>
      <c r="X209" s="79"/>
      <c r="Y209" s="712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2"/>
      <c r="AP209" s="129"/>
      <c r="AQ209" s="130"/>
      <c r="AR209" s="79"/>
      <c r="AS209" s="712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2"/>
      <c r="BJ209" s="129"/>
      <c r="BK209" s="130"/>
      <c r="BL209" s="79"/>
      <c r="BM209" s="712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2"/>
      <c r="CD209" s="129"/>
      <c r="CE209" s="130"/>
      <c r="CF209" s="79"/>
      <c r="CG209" s="712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2"/>
      <c r="CX209" s="129"/>
      <c r="CY209" s="130"/>
      <c r="CZ209" s="79"/>
      <c r="DA209" s="712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.75" thickBot="1" x14ac:dyDescent="0.3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.75" thickBot="1" x14ac:dyDescent="0.3">
      <c r="P211" s="248"/>
      <c r="AJ211" s="248"/>
      <c r="BD211" s="248"/>
      <c r="BX211" s="248"/>
      <c r="CR211" s="248"/>
      <c r="DL211" s="248"/>
    </row>
    <row r="212" spans="1:117" ht="15.75" thickBot="1" x14ac:dyDescent="0.3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25">
      <c r="A213" s="17"/>
      <c r="B213" s="10" t="s">
        <v>568</v>
      </c>
      <c r="C213" s="24">
        <v>1</v>
      </c>
      <c r="D213" s="44"/>
      <c r="E213" s="742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3"/>
      <c r="V213" s="312"/>
      <c r="W213" s="8"/>
      <c r="X213" s="34"/>
      <c r="Y213" s="713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3"/>
      <c r="AP213" s="312"/>
      <c r="AQ213" s="8"/>
      <c r="AR213" s="34"/>
      <c r="AS213" s="713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3"/>
      <c r="BJ213" s="20"/>
      <c r="BK213" s="8"/>
      <c r="BL213" s="34"/>
      <c r="BM213" s="713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3"/>
      <c r="CD213" s="20"/>
      <c r="CE213" s="8"/>
      <c r="CF213" s="34"/>
      <c r="CG213" s="713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3"/>
      <c r="CX213" s="312"/>
      <c r="CY213" s="8"/>
      <c r="CZ213" s="34"/>
      <c r="DA213" s="713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25">
      <c r="A214" s="18"/>
      <c r="B214" s="11" t="s">
        <v>277</v>
      </c>
      <c r="C214" s="25">
        <v>1</v>
      </c>
      <c r="D214" s="274"/>
      <c r="E214" s="743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25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2"/>
      <c r="CX215" s="129"/>
      <c r="CY215" s="130"/>
      <c r="CZ215" s="79"/>
      <c r="DA215" s="712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x14ac:dyDescent="0.25">
      <c r="A216" s="17"/>
      <c r="B216" s="10" t="s">
        <v>420</v>
      </c>
      <c r="C216" s="24">
        <v>1</v>
      </c>
      <c r="D216" s="419"/>
      <c r="E216" s="744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3"/>
      <c r="V216" s="20"/>
      <c r="W216" s="8"/>
      <c r="X216" s="34"/>
      <c r="Y216" s="713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3"/>
      <c r="AP216" s="20"/>
      <c r="AQ216" s="8"/>
      <c r="AR216" s="34"/>
      <c r="AS216" s="713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3"/>
      <c r="BJ216" s="20"/>
      <c r="BK216" s="8"/>
      <c r="BL216" s="34"/>
      <c r="BM216" s="713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3"/>
      <c r="CD216" s="20"/>
      <c r="CE216" s="8"/>
      <c r="CF216" s="34"/>
      <c r="CG216" s="713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3"/>
      <c r="CX216" s="20"/>
      <c r="CY216" s="8"/>
      <c r="CZ216" s="34"/>
      <c r="DA216" s="713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x14ac:dyDescent="0.25">
      <c r="A217" s="17"/>
      <c r="B217" s="10" t="s">
        <v>421</v>
      </c>
      <c r="C217" s="24">
        <v>1</v>
      </c>
      <c r="D217" s="274"/>
      <c r="E217" s="744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3"/>
      <c r="V217" s="20"/>
      <c r="W217" s="8"/>
      <c r="X217" s="34"/>
      <c r="Y217" s="713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3"/>
      <c r="AP217" s="20"/>
      <c r="AQ217" s="8"/>
      <c r="AR217" s="34"/>
      <c r="AS217" s="713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3"/>
      <c r="BJ217" s="20"/>
      <c r="BK217" s="8"/>
      <c r="BL217" s="34"/>
      <c r="BM217" s="713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3"/>
      <c r="CD217" s="20"/>
      <c r="CE217" s="8"/>
      <c r="CF217" s="34"/>
      <c r="CG217" s="713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3"/>
      <c r="CX217" s="20"/>
      <c r="CY217" s="8"/>
      <c r="CZ217" s="34"/>
      <c r="DA217" s="713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x14ac:dyDescent="0.25">
      <c r="A218" s="17"/>
      <c r="B218" s="10" t="s">
        <v>422</v>
      </c>
      <c r="C218" s="24">
        <v>1</v>
      </c>
      <c r="D218" s="274"/>
      <c r="E218" s="744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3"/>
      <c r="V218" s="20"/>
      <c r="W218" s="8"/>
      <c r="X218" s="34"/>
      <c r="Y218" s="713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3"/>
      <c r="AP218" s="20"/>
      <c r="AQ218" s="8"/>
      <c r="AR218" s="34"/>
      <c r="AS218" s="713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3"/>
      <c r="BJ218" s="20"/>
      <c r="BK218" s="8"/>
      <c r="BL218" s="34"/>
      <c r="BM218" s="713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3"/>
      <c r="CD218" s="20"/>
      <c r="CE218" s="8"/>
      <c r="CF218" s="34"/>
      <c r="CG218" s="713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3"/>
      <c r="CX218" s="20"/>
      <c r="CY218" s="8"/>
      <c r="CZ218" s="34"/>
      <c r="DA218" s="713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x14ac:dyDescent="0.25">
      <c r="A219" s="17"/>
      <c r="B219" s="10" t="s">
        <v>428</v>
      </c>
      <c r="C219" s="24">
        <v>1</v>
      </c>
      <c r="D219" s="274"/>
      <c r="E219" s="744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3"/>
      <c r="V219" s="20"/>
      <c r="W219" s="8"/>
      <c r="X219" s="34"/>
      <c r="Y219" s="713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3"/>
      <c r="AP219" s="20"/>
      <c r="AQ219" s="8"/>
      <c r="AR219" s="34"/>
      <c r="AS219" s="713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3"/>
      <c r="BJ219" s="20"/>
      <c r="BK219" s="8"/>
      <c r="BL219" s="34"/>
      <c r="BM219" s="713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3"/>
      <c r="CD219" s="20"/>
      <c r="CE219" s="8"/>
      <c r="CF219" s="34"/>
      <c r="CG219" s="713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3"/>
      <c r="CX219" s="20"/>
      <c r="CY219" s="8"/>
      <c r="CZ219" s="34"/>
      <c r="DA219" s="713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x14ac:dyDescent="0.25">
      <c r="A220" s="17"/>
      <c r="B220" s="10" t="s">
        <v>423</v>
      </c>
      <c r="C220" s="24">
        <v>1</v>
      </c>
      <c r="D220" s="274"/>
      <c r="E220" s="744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3"/>
      <c r="V220" s="20"/>
      <c r="W220" s="8"/>
      <c r="X220" s="34"/>
      <c r="Y220" s="713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3"/>
      <c r="AP220" s="20"/>
      <c r="AQ220" s="8"/>
      <c r="AR220" s="34"/>
      <c r="AS220" s="713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3"/>
      <c r="BJ220" s="20"/>
      <c r="BK220" s="8"/>
      <c r="BL220" s="34"/>
      <c r="BM220" s="713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3"/>
      <c r="CD220" s="20"/>
      <c r="CE220" s="8"/>
      <c r="CF220" s="34"/>
      <c r="CG220" s="713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3"/>
      <c r="CX220" s="20"/>
      <c r="CY220" s="8"/>
      <c r="CZ220" s="34"/>
      <c r="DA220" s="713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x14ac:dyDescent="0.25">
      <c r="A221" s="17"/>
      <c r="B221" s="10" t="s">
        <v>424</v>
      </c>
      <c r="C221" s="24">
        <v>1</v>
      </c>
      <c r="D221" s="274"/>
      <c r="E221" s="744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3"/>
      <c r="V221" s="20"/>
      <c r="W221" s="8"/>
      <c r="X221" s="34"/>
      <c r="Y221" s="713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3"/>
      <c r="AP221" s="20"/>
      <c r="AQ221" s="8"/>
      <c r="AR221" s="34"/>
      <c r="AS221" s="713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3"/>
      <c r="BJ221" s="20"/>
      <c r="BK221" s="8"/>
      <c r="BL221" s="34"/>
      <c r="BM221" s="713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3"/>
      <c r="CD221" s="20"/>
      <c r="CE221" s="8"/>
      <c r="CF221" s="34"/>
      <c r="CG221" s="713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3"/>
      <c r="CX221" s="20"/>
      <c r="CY221" s="8"/>
      <c r="CZ221" s="34"/>
      <c r="DA221" s="713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x14ac:dyDescent="0.25">
      <c r="A222" s="17"/>
      <c r="B222" s="10" t="s">
        <v>425</v>
      </c>
      <c r="C222" s="24">
        <v>1</v>
      </c>
      <c r="D222" s="274"/>
      <c r="E222" s="744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3"/>
      <c r="V222" s="20"/>
      <c r="W222" s="8"/>
      <c r="X222" s="34"/>
      <c r="Y222" s="713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3"/>
      <c r="AP222" s="20"/>
      <c r="AQ222" s="8"/>
      <c r="AR222" s="34"/>
      <c r="AS222" s="713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3"/>
      <c r="BJ222" s="20"/>
      <c r="BK222" s="8"/>
      <c r="BL222" s="34"/>
      <c r="BM222" s="713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3"/>
      <c r="CD222" s="20"/>
      <c r="CE222" s="8"/>
      <c r="CF222" s="34"/>
      <c r="CG222" s="713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3"/>
      <c r="CX222" s="20"/>
      <c r="CY222" s="8"/>
      <c r="CZ222" s="34"/>
      <c r="DA222" s="713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x14ac:dyDescent="0.25">
      <c r="A223" s="17"/>
      <c r="B223" s="10" t="s">
        <v>429</v>
      </c>
      <c r="C223" s="24"/>
      <c r="D223" s="274"/>
      <c r="E223" s="744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3"/>
      <c r="V223" s="20"/>
      <c r="W223" s="8"/>
      <c r="X223" s="34"/>
      <c r="Y223" s="713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3"/>
      <c r="AP223" s="20"/>
      <c r="AQ223" s="8"/>
      <c r="AR223" s="34"/>
      <c r="AS223" s="713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3"/>
      <c r="BJ223" s="20"/>
      <c r="BK223" s="8"/>
      <c r="BL223" s="34"/>
      <c r="BM223" s="713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3"/>
      <c r="CD223" s="20"/>
      <c r="CE223" s="8"/>
      <c r="CF223" s="34"/>
      <c r="CG223" s="713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3"/>
      <c r="CX223" s="20"/>
      <c r="CY223" s="8"/>
      <c r="CZ223" s="34"/>
      <c r="DA223" s="713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30" x14ac:dyDescent="0.25">
      <c r="A224" s="17"/>
      <c r="B224" s="80" t="s">
        <v>430</v>
      </c>
      <c r="C224" s="24">
        <v>1</v>
      </c>
      <c r="D224" s="274"/>
      <c r="E224" s="744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3"/>
      <c r="V224" s="20"/>
      <c r="W224" s="8"/>
      <c r="X224" s="34"/>
      <c r="Y224" s="713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3"/>
      <c r="AP224" s="20"/>
      <c r="AQ224" s="8"/>
      <c r="AR224" s="34"/>
      <c r="AS224" s="713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3"/>
      <c r="BJ224" s="20"/>
      <c r="BK224" s="8"/>
      <c r="BL224" s="34"/>
      <c r="BM224" s="713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3"/>
      <c r="CD224" s="20"/>
      <c r="CE224" s="8"/>
      <c r="CF224" s="34"/>
      <c r="CG224" s="713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3"/>
      <c r="CX224" s="20"/>
      <c r="CY224" s="8"/>
      <c r="CZ224" s="34"/>
      <c r="DA224" s="713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x14ac:dyDescent="0.25">
      <c r="A225" s="75"/>
      <c r="B225" s="74" t="s">
        <v>355</v>
      </c>
      <c r="C225" s="77">
        <v>1</v>
      </c>
      <c r="D225" s="274"/>
      <c r="E225" s="743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2"/>
      <c r="V225" s="129"/>
      <c r="W225" s="130"/>
      <c r="X225" s="79"/>
      <c r="Y225" s="712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2"/>
      <c r="AP225" s="129"/>
      <c r="AQ225" s="130"/>
      <c r="AR225" s="79"/>
      <c r="AS225" s="712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2"/>
      <c r="BJ225" s="129"/>
      <c r="BK225" s="130"/>
      <c r="BL225" s="79"/>
      <c r="BM225" s="712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2"/>
      <c r="CD225" s="129"/>
      <c r="CE225" s="130"/>
      <c r="CF225" s="79"/>
      <c r="CG225" s="712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2"/>
      <c r="CX225" s="129"/>
      <c r="CY225" s="130"/>
      <c r="CZ225" s="79"/>
      <c r="DA225" s="712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30" x14ac:dyDescent="0.25">
      <c r="A226" s="75"/>
      <c r="B226" s="74" t="s">
        <v>590</v>
      </c>
      <c r="C226" s="77">
        <v>1</v>
      </c>
      <c r="D226" s="525" t="s">
        <v>633</v>
      </c>
      <c r="E226" s="745"/>
      <c r="F226" s="430">
        <v>6.21</v>
      </c>
      <c r="G226" s="23" t="s">
        <v>757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2"/>
      <c r="V226" s="129"/>
      <c r="W226" s="130"/>
      <c r="X226" s="79"/>
      <c r="Y226" s="712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2"/>
      <c r="AP226" s="129"/>
      <c r="AQ226" s="130"/>
      <c r="AR226" s="79"/>
      <c r="AS226" s="712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2"/>
      <c r="BJ226" s="129"/>
      <c r="BK226" s="130"/>
      <c r="BL226" s="79"/>
      <c r="BM226" s="712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2"/>
      <c r="CD226" s="129"/>
      <c r="CE226" s="130"/>
      <c r="CF226" s="79"/>
      <c r="CG226" s="712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2"/>
      <c r="CX226" s="129"/>
      <c r="CY226" s="130"/>
      <c r="CZ226" s="79"/>
      <c r="DA226" s="712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x14ac:dyDescent="0.25">
      <c r="A227" s="75"/>
      <c r="B227" s="74" t="s">
        <v>344</v>
      </c>
      <c r="C227" s="77">
        <v>1</v>
      </c>
      <c r="D227" s="274"/>
      <c r="E227" s="743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2"/>
      <c r="V227" s="129"/>
      <c r="W227" s="130"/>
      <c r="X227" s="79"/>
      <c r="Y227" s="712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2"/>
      <c r="AP227" s="129"/>
      <c r="AQ227" s="130"/>
      <c r="AR227" s="79"/>
      <c r="AS227" s="712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2"/>
      <c r="BJ227" s="129"/>
      <c r="BK227" s="130"/>
      <c r="BL227" s="79"/>
      <c r="BM227" s="712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2"/>
      <c r="CD227" s="129"/>
      <c r="CE227" s="130"/>
      <c r="CF227" s="79"/>
      <c r="CG227" s="712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2"/>
      <c r="CX227" s="129"/>
      <c r="CY227" s="130"/>
      <c r="CZ227" s="79"/>
      <c r="DA227" s="712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x14ac:dyDescent="0.25">
      <c r="A228" s="18"/>
      <c r="B228" s="11" t="s">
        <v>357</v>
      </c>
      <c r="C228" s="25">
        <v>2</v>
      </c>
      <c r="D228" s="15"/>
      <c r="E228" s="746"/>
      <c r="F228" s="577">
        <v>6</v>
      </c>
      <c r="G228" s="23" t="s">
        <v>763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2"/>
      <c r="CX228" s="129"/>
      <c r="CY228" s="130"/>
      <c r="CZ228" s="79"/>
      <c r="DA228" s="712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x14ac:dyDescent="0.25">
      <c r="A229" s="17"/>
      <c r="B229" s="10" t="s">
        <v>426</v>
      </c>
      <c r="C229" s="24">
        <v>1</v>
      </c>
      <c r="D229" s="10"/>
      <c r="E229" s="742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3"/>
      <c r="V229" s="312"/>
      <c r="W229" s="8"/>
      <c r="X229" s="34"/>
      <c r="Y229" s="713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3"/>
      <c r="AP229" s="312"/>
      <c r="AQ229" s="8"/>
      <c r="AR229" s="34"/>
      <c r="AS229" s="713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3"/>
      <c r="BJ229" s="312"/>
      <c r="BK229" s="8"/>
      <c r="BL229" s="34"/>
      <c r="BM229" s="713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3"/>
      <c r="CD229" s="123"/>
      <c r="CE229" s="213"/>
      <c r="CF229" s="34"/>
      <c r="CG229" s="713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3"/>
      <c r="CX229" s="312"/>
      <c r="CY229" s="8"/>
      <c r="CZ229" s="34"/>
      <c r="DA229" s="713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25">
      <c r="A230" s="17"/>
      <c r="B230" s="10" t="s">
        <v>453</v>
      </c>
      <c r="C230" s="24">
        <v>1</v>
      </c>
      <c r="D230" s="11"/>
      <c r="E230" s="742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3"/>
      <c r="V230" s="312"/>
      <c r="W230" s="8"/>
      <c r="X230" s="34"/>
      <c r="Y230" s="713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3"/>
      <c r="AP230" s="312"/>
      <c r="AQ230" s="8"/>
      <c r="AR230" s="34"/>
      <c r="AS230" s="713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3"/>
      <c r="BJ230" s="312"/>
      <c r="BK230" s="8"/>
      <c r="BL230" s="34"/>
      <c r="BM230" s="713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3"/>
      <c r="CD230" s="123"/>
      <c r="CE230" s="213"/>
      <c r="CF230" s="34"/>
      <c r="CG230" s="713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3"/>
      <c r="CX230" s="312"/>
      <c r="CY230" s="8"/>
      <c r="CZ230" s="34"/>
      <c r="DA230" s="713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25">
      <c r="A231" s="75"/>
      <c r="B231" s="74" t="s">
        <v>346</v>
      </c>
      <c r="C231" s="77">
        <v>1</v>
      </c>
      <c r="D231" s="274"/>
      <c r="E231" s="743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2"/>
      <c r="V231" s="129"/>
      <c r="W231" s="130"/>
      <c r="X231" s="79"/>
      <c r="Y231" s="712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2"/>
      <c r="AP231" s="131"/>
      <c r="AQ231" s="130"/>
      <c r="AR231" s="79"/>
      <c r="AS231" s="712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2"/>
      <c r="BJ231" s="129"/>
      <c r="BK231" s="130"/>
      <c r="BL231" s="467"/>
      <c r="BM231" s="762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2"/>
      <c r="CD231" s="131"/>
      <c r="CE231" s="130"/>
      <c r="CF231" s="79"/>
      <c r="CG231" s="712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2"/>
      <c r="CX231" s="129"/>
      <c r="CY231" s="130"/>
      <c r="CZ231" s="79"/>
      <c r="DA231" s="712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x14ac:dyDescent="0.25">
      <c r="A232" s="75"/>
      <c r="B232" s="74" t="s">
        <v>360</v>
      </c>
      <c r="C232" s="77">
        <v>1</v>
      </c>
      <c r="D232" s="274"/>
      <c r="E232" s="743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2"/>
      <c r="V232" s="129"/>
      <c r="W232" s="130"/>
      <c r="X232" s="79"/>
      <c r="Y232" s="712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2"/>
      <c r="AP232" s="129"/>
      <c r="AQ232" s="130"/>
      <c r="AR232" s="79"/>
      <c r="AS232" s="712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2"/>
      <c r="BJ232" s="129"/>
      <c r="BK232" s="130"/>
      <c r="BL232" s="79"/>
      <c r="BM232" s="712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2"/>
      <c r="CD232" s="131"/>
      <c r="CE232" s="130"/>
      <c r="CF232" s="79"/>
      <c r="CG232" s="712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2"/>
      <c r="CX232" s="129"/>
      <c r="CY232" s="130"/>
      <c r="CZ232" s="79"/>
      <c r="DA232" s="712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x14ac:dyDescent="0.25">
      <c r="A233" s="75"/>
      <c r="B233" s="74" t="s">
        <v>358</v>
      </c>
      <c r="C233" s="77" t="s">
        <v>51</v>
      </c>
      <c r="D233" s="274"/>
      <c r="E233" s="743"/>
      <c r="F233" s="430">
        <v>22.5</v>
      </c>
      <c r="G233" s="74" t="s">
        <v>761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2"/>
      <c r="V233" s="129"/>
      <c r="W233" s="130"/>
      <c r="X233" s="79"/>
      <c r="Y233" s="712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2"/>
      <c r="AP233" s="129"/>
      <c r="AQ233" s="130"/>
      <c r="AR233" s="79"/>
      <c r="AS233" s="712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2"/>
      <c r="BJ233" s="129"/>
      <c r="BK233" s="130"/>
      <c r="BL233" s="79"/>
      <c r="BM233" s="712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2"/>
      <c r="CD233" s="129"/>
      <c r="CE233" s="130"/>
      <c r="CF233" s="79"/>
      <c r="CG233" s="712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2"/>
      <c r="CX233" s="129"/>
      <c r="CY233" s="130"/>
      <c r="CZ233" s="79"/>
      <c r="DA233" s="712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x14ac:dyDescent="0.25">
      <c r="A234" s="75"/>
      <c r="B234" s="74" t="s">
        <v>417</v>
      </c>
      <c r="C234" s="77">
        <v>1</v>
      </c>
      <c r="D234" s="525" t="s">
        <v>493</v>
      </c>
      <c r="E234" s="745"/>
      <c r="F234" s="430">
        <v>2.5</v>
      </c>
      <c r="G234" s="74" t="s">
        <v>761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2"/>
      <c r="V234" s="129"/>
      <c r="W234" s="130"/>
      <c r="X234" s="79"/>
      <c r="Y234" s="712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2"/>
      <c r="AP234" s="129"/>
      <c r="AQ234" s="130"/>
      <c r="AR234" s="79"/>
      <c r="AS234" s="712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2"/>
      <c r="BJ234" s="129"/>
      <c r="BK234" s="130"/>
      <c r="BL234" s="79"/>
      <c r="BM234" s="712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2"/>
      <c r="CD234" s="129"/>
      <c r="CE234" s="130"/>
      <c r="CF234" s="79"/>
      <c r="CG234" s="712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2"/>
      <c r="CX234" s="129"/>
      <c r="CY234" s="130"/>
      <c r="CZ234" s="79"/>
      <c r="DA234" s="712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x14ac:dyDescent="0.25">
      <c r="A235" s="75"/>
      <c r="B235" s="74" t="s">
        <v>418</v>
      </c>
      <c r="C235" s="77">
        <v>1</v>
      </c>
      <c r="D235" s="274"/>
      <c r="E235" s="743"/>
      <c r="F235" s="430">
        <v>2.5</v>
      </c>
      <c r="G235" s="74" t="s">
        <v>761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2"/>
      <c r="V235" s="129"/>
      <c r="W235" s="130"/>
      <c r="X235" s="79"/>
      <c r="Y235" s="712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2"/>
      <c r="AP235" s="129"/>
      <c r="AQ235" s="130"/>
      <c r="AR235" s="79"/>
      <c r="AS235" s="712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2"/>
      <c r="BJ235" s="129"/>
      <c r="BK235" s="130"/>
      <c r="BL235" s="79"/>
      <c r="BM235" s="712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2"/>
      <c r="CD235" s="129"/>
      <c r="CE235" s="130"/>
      <c r="CF235" s="79"/>
      <c r="CG235" s="712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2"/>
      <c r="CX235" s="129"/>
      <c r="CY235" s="130"/>
      <c r="CZ235" s="79"/>
      <c r="DA235" s="712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x14ac:dyDescent="0.25">
      <c r="A236" s="75"/>
      <c r="B236" s="453" t="s">
        <v>347</v>
      </c>
      <c r="C236" s="77">
        <v>1</v>
      </c>
      <c r="D236" s="74"/>
      <c r="E236" s="747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2"/>
      <c r="V236" s="129"/>
      <c r="W236" s="130"/>
      <c r="X236" s="79"/>
      <c r="Y236" s="712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2"/>
      <c r="AP236" s="129"/>
      <c r="AQ236" s="130"/>
      <c r="AR236" s="79"/>
      <c r="AS236" s="712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2"/>
      <c r="BJ236" s="129"/>
      <c r="BK236" s="130"/>
      <c r="BL236" s="79"/>
      <c r="BM236" s="712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2"/>
      <c r="CD236" s="129"/>
      <c r="CE236" s="130"/>
      <c r="CF236" s="79"/>
      <c r="CG236" s="712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2"/>
      <c r="CX236" s="129"/>
      <c r="CY236" s="130"/>
      <c r="CZ236" s="79"/>
      <c r="DA236" s="712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.75" thickBot="1" x14ac:dyDescent="0.3">
      <c r="A237" s="19"/>
      <c r="B237" s="12" t="s">
        <v>348</v>
      </c>
      <c r="C237" s="28">
        <v>1</v>
      </c>
      <c r="D237" s="12"/>
      <c r="E237" s="748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.75" thickBot="1" x14ac:dyDescent="0.3">
      <c r="P238" s="248"/>
      <c r="AJ238" s="248"/>
      <c r="BD238" s="248"/>
      <c r="BX238" s="248"/>
      <c r="CR238" s="248"/>
      <c r="DL238" s="248"/>
    </row>
    <row r="239" spans="1:117" ht="15.75" thickBot="1" x14ac:dyDescent="0.3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36"/>
      <c r="AD239" s="736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36"/>
      <c r="AX239" s="736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36"/>
      <c r="BR239" s="736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36"/>
      <c r="CL239" s="736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36"/>
      <c r="DF239" s="736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25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3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3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3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3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3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25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25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2"/>
      <c r="V242" s="129"/>
      <c r="W242" s="130"/>
      <c r="X242" s="79"/>
      <c r="Y242" s="712"/>
      <c r="Z242" s="131"/>
      <c r="AA242" s="130"/>
      <c r="AB242" s="79"/>
      <c r="AC242" s="712"/>
      <c r="AD242" s="712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2"/>
      <c r="AP242" s="129"/>
      <c r="AQ242" s="130"/>
      <c r="AR242" s="79"/>
      <c r="AS242" s="712"/>
      <c r="AT242" s="131"/>
      <c r="AU242" s="130"/>
      <c r="AV242" s="79"/>
      <c r="AW242" s="712"/>
      <c r="AX242" s="712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2"/>
      <c r="BJ242" s="129"/>
      <c r="BK242" s="130"/>
      <c r="BL242" s="79"/>
      <c r="BM242" s="712"/>
      <c r="BN242" s="131"/>
      <c r="BO242" s="130"/>
      <c r="BP242" s="79"/>
      <c r="BQ242" s="712"/>
      <c r="BR242" s="712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2"/>
      <c r="CD242" s="129"/>
      <c r="CE242" s="130"/>
      <c r="CF242" s="79"/>
      <c r="CG242" s="712"/>
      <c r="CH242" s="131"/>
      <c r="CI242" s="130"/>
      <c r="CJ242" s="79"/>
      <c r="CK242" s="712"/>
      <c r="CL242" s="712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2"/>
      <c r="CX242" s="129"/>
      <c r="CY242" s="130"/>
      <c r="CZ242" s="79"/>
      <c r="DA242" s="712"/>
      <c r="DB242" s="131"/>
      <c r="DC242" s="130"/>
      <c r="DD242" s="79"/>
      <c r="DE242" s="712"/>
      <c r="DF242" s="712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25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2"/>
      <c r="V243" s="129"/>
      <c r="W243" s="130"/>
      <c r="X243" s="79"/>
      <c r="Y243" s="712"/>
      <c r="Z243" s="131"/>
      <c r="AA243" s="130"/>
      <c r="AB243" s="79"/>
      <c r="AC243" s="712"/>
      <c r="AD243" s="712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2"/>
      <c r="AP243" s="129"/>
      <c r="AQ243" s="130"/>
      <c r="AR243" s="79"/>
      <c r="AS243" s="712"/>
      <c r="AT243" s="131"/>
      <c r="AU243" s="130"/>
      <c r="AV243" s="79"/>
      <c r="AW243" s="712"/>
      <c r="AX243" s="712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2"/>
      <c r="BJ243" s="129"/>
      <c r="BK243" s="130"/>
      <c r="BL243" s="79"/>
      <c r="BM243" s="712"/>
      <c r="BN243" s="131"/>
      <c r="BO243" s="130"/>
      <c r="BP243" s="79"/>
      <c r="BQ243" s="712"/>
      <c r="BR243" s="712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2"/>
      <c r="CD243" s="129"/>
      <c r="CE243" s="130"/>
      <c r="CF243" s="79"/>
      <c r="CG243" s="712"/>
      <c r="CH243" s="131"/>
      <c r="CI243" s="130"/>
      <c r="CJ243" s="79"/>
      <c r="CK243" s="712"/>
      <c r="CL243" s="712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2"/>
      <c r="CX243" s="129"/>
      <c r="CY243" s="130"/>
      <c r="CZ243" s="79"/>
      <c r="DA243" s="712"/>
      <c r="DB243" s="131"/>
      <c r="DC243" s="130"/>
      <c r="DD243" s="79"/>
      <c r="DE243" s="712"/>
      <c r="DF243" s="712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.75" thickBot="1" x14ac:dyDescent="0.3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.75" thickBot="1" x14ac:dyDescent="0.3">
      <c r="P245" s="248"/>
      <c r="AJ245" s="248"/>
      <c r="BD245" s="248"/>
      <c r="BX245" s="248"/>
      <c r="CR245" s="248"/>
      <c r="DL245" s="248"/>
    </row>
    <row r="246" spans="1:117" ht="15.75" thickBot="1" x14ac:dyDescent="0.3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25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3"/>
      <c r="V247" s="123"/>
      <c r="W247" s="8"/>
      <c r="X247" s="34"/>
      <c r="Y247" s="713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3"/>
      <c r="AP247" s="123"/>
      <c r="AQ247" s="8"/>
      <c r="AR247" s="34"/>
      <c r="AS247" s="713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3"/>
      <c r="BJ247" s="123"/>
      <c r="BK247" s="8"/>
      <c r="BL247" s="34"/>
      <c r="BM247" s="713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3"/>
      <c r="CD247" s="123"/>
      <c r="CE247" s="8"/>
      <c r="CF247" s="34"/>
      <c r="CG247" s="713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3"/>
      <c r="CX247" s="123"/>
      <c r="CY247" s="8"/>
      <c r="CZ247" s="34"/>
      <c r="DA247" s="713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x14ac:dyDescent="0.25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3"/>
      <c r="V248" s="123"/>
      <c r="W248" s="8"/>
      <c r="X248" s="34"/>
      <c r="Y248" s="713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3"/>
      <c r="AP248" s="123"/>
      <c r="AQ248" s="8"/>
      <c r="AR248" s="34"/>
      <c r="AS248" s="713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3"/>
      <c r="BJ248" s="123"/>
      <c r="BK248" s="8"/>
      <c r="BL248" s="34"/>
      <c r="BM248" s="713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3"/>
      <c r="CD248" s="123"/>
      <c r="CE248" s="8"/>
      <c r="CF248" s="34"/>
      <c r="CG248" s="713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3"/>
      <c r="CX248" s="123"/>
      <c r="CY248" s="8"/>
      <c r="CZ248" s="34"/>
      <c r="DA248" s="713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25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x14ac:dyDescent="0.25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x14ac:dyDescent="0.25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x14ac:dyDescent="0.25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x14ac:dyDescent="0.25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.75" thickBot="1" x14ac:dyDescent="0.3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2"/>
      <c r="V254" s="129"/>
      <c r="W254" s="130"/>
      <c r="X254" s="79"/>
      <c r="Y254" s="712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2"/>
      <c r="AP254" s="129"/>
      <c r="AQ254" s="130"/>
      <c r="AR254" s="79"/>
      <c r="AS254" s="712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2"/>
      <c r="BJ254" s="129"/>
      <c r="BK254" s="130"/>
      <c r="BL254" s="79"/>
      <c r="BM254" s="712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2"/>
      <c r="CD254" s="129"/>
      <c r="CE254" s="130"/>
      <c r="CF254" s="79"/>
      <c r="CG254" s="712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2"/>
      <c r="CX254" s="129"/>
      <c r="CY254" s="130"/>
      <c r="CZ254" s="79"/>
      <c r="DA254" s="712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x14ac:dyDescent="0.25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x14ac:dyDescent="0.25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3"/>
      <c r="V256" s="123"/>
      <c r="W256" s="8"/>
      <c r="X256" s="34"/>
      <c r="Y256" s="713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3"/>
      <c r="AP256" s="123"/>
      <c r="AQ256" s="8"/>
      <c r="AR256" s="34"/>
      <c r="AS256" s="713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3"/>
      <c r="BJ256" s="123"/>
      <c r="BK256" s="8"/>
      <c r="BL256" s="34"/>
      <c r="BM256" s="713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3"/>
      <c r="CD256" s="123"/>
      <c r="CE256" s="8"/>
      <c r="CF256" s="34"/>
      <c r="CG256" s="713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3"/>
      <c r="CX256" s="123"/>
      <c r="CY256" s="8"/>
      <c r="CZ256" s="34"/>
      <c r="DA256" s="713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x14ac:dyDescent="0.25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3"/>
      <c r="V257" s="123"/>
      <c r="W257" s="8"/>
      <c r="X257" s="34"/>
      <c r="Y257" s="713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3"/>
      <c r="AP257" s="123"/>
      <c r="AQ257" s="8"/>
      <c r="AR257" s="34"/>
      <c r="AS257" s="713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3"/>
      <c r="BJ257" s="123"/>
      <c r="BK257" s="8"/>
      <c r="BL257" s="34"/>
      <c r="BM257" s="713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3"/>
      <c r="CD257" s="123"/>
      <c r="CE257" s="8"/>
      <c r="CF257" s="34"/>
      <c r="CG257" s="713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3"/>
      <c r="CX257" s="123"/>
      <c r="CY257" s="8"/>
      <c r="CZ257" s="34"/>
      <c r="DA257" s="713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x14ac:dyDescent="0.25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3"/>
      <c r="V258" s="123"/>
      <c r="W258" s="8"/>
      <c r="X258" s="34"/>
      <c r="Y258" s="713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3"/>
      <c r="AP258" s="123"/>
      <c r="AQ258" s="8"/>
      <c r="AR258" s="34"/>
      <c r="AS258" s="713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3"/>
      <c r="BJ258" s="123"/>
      <c r="BK258" s="8"/>
      <c r="BL258" s="34"/>
      <c r="BM258" s="713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3"/>
      <c r="CD258" s="123"/>
      <c r="CE258" s="8"/>
      <c r="CF258" s="34"/>
      <c r="CG258" s="713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3"/>
      <c r="CX258" s="123"/>
      <c r="CY258" s="8"/>
      <c r="CZ258" s="34"/>
      <c r="DA258" s="713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x14ac:dyDescent="0.25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3"/>
      <c r="V259" s="123"/>
      <c r="W259" s="8"/>
      <c r="X259" s="34"/>
      <c r="Y259" s="713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3"/>
      <c r="AP259" s="123"/>
      <c r="AQ259" s="8"/>
      <c r="AR259" s="34"/>
      <c r="AS259" s="713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3"/>
      <c r="BJ259" s="123"/>
      <c r="BK259" s="8"/>
      <c r="BL259" s="34"/>
      <c r="BM259" s="713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3"/>
      <c r="CD259" s="123"/>
      <c r="CE259" s="8"/>
      <c r="CF259" s="34"/>
      <c r="CG259" s="713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3"/>
      <c r="CX259" s="123"/>
      <c r="CY259" s="8"/>
      <c r="CZ259" s="34"/>
      <c r="DA259" s="713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.75" thickBot="1" x14ac:dyDescent="0.3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3"/>
      <c r="V260" s="123"/>
      <c r="W260" s="8"/>
      <c r="X260" s="34"/>
      <c r="Y260" s="713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3"/>
      <c r="AP260" s="123"/>
      <c r="AQ260" s="8"/>
      <c r="AR260" s="34"/>
      <c r="AS260" s="713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3"/>
      <c r="BJ260" s="123"/>
      <c r="BK260" s="8"/>
      <c r="BL260" s="34"/>
      <c r="BM260" s="713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3"/>
      <c r="CD260" s="123"/>
      <c r="CE260" s="8"/>
      <c r="CF260" s="34"/>
      <c r="CG260" s="713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3"/>
      <c r="CX260" s="123"/>
      <c r="CY260" s="8"/>
      <c r="CZ260" s="34"/>
      <c r="DA260" s="713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30" x14ac:dyDescent="0.25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25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3"/>
      <c r="V262" s="123"/>
      <c r="W262" s="8"/>
      <c r="X262" s="34"/>
      <c r="Y262" s="713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3"/>
      <c r="AP262" s="123"/>
      <c r="AQ262" s="8"/>
      <c r="AR262" s="34"/>
      <c r="AS262" s="713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3"/>
      <c r="BJ262" s="123"/>
      <c r="BK262" s="8"/>
      <c r="BL262" s="34"/>
      <c r="BM262" s="713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3"/>
      <c r="CD262" s="123"/>
      <c r="CE262" s="8"/>
      <c r="CF262" s="34"/>
      <c r="CG262" s="713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3"/>
      <c r="CX262" s="123"/>
      <c r="CY262" s="8"/>
      <c r="CZ262" s="34"/>
      <c r="DA262" s="713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25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.75" thickBot="1" x14ac:dyDescent="0.3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.75" thickBot="1" x14ac:dyDescent="0.3">
      <c r="P265" s="248"/>
      <c r="AJ265" s="248"/>
      <c r="BD265" s="248"/>
      <c r="BX265" s="248"/>
      <c r="CR265" s="248"/>
      <c r="DL265" s="248"/>
    </row>
    <row r="266" spans="1:117" ht="15.75" thickBot="1" x14ac:dyDescent="0.3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25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25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3"/>
      <c r="V268" s="123"/>
      <c r="W268" s="8"/>
      <c r="X268" s="34"/>
      <c r="Y268" s="713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3"/>
      <c r="AP268" s="123"/>
      <c r="AQ268" s="8"/>
      <c r="AR268" s="34"/>
      <c r="AS268" s="713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3"/>
      <c r="BJ268" s="123"/>
      <c r="BK268" s="8"/>
      <c r="BL268" s="34"/>
      <c r="BM268" s="713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3"/>
      <c r="CD268" s="123"/>
      <c r="CE268" s="8"/>
      <c r="CF268" s="34"/>
      <c r="CG268" s="713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3"/>
      <c r="CX268" s="123"/>
      <c r="CY268" s="8"/>
      <c r="CZ268" s="34"/>
      <c r="DA268" s="713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25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3"/>
      <c r="V269" s="123"/>
      <c r="W269" s="8"/>
      <c r="X269" s="34"/>
      <c r="Y269" s="713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3"/>
      <c r="AP269" s="123"/>
      <c r="AQ269" s="8"/>
      <c r="AR269" s="34"/>
      <c r="AS269" s="713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3"/>
      <c r="BJ269" s="123"/>
      <c r="BK269" s="8"/>
      <c r="BL269" s="34"/>
      <c r="BM269" s="713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3"/>
      <c r="CD269" s="123"/>
      <c r="CE269" s="8"/>
      <c r="CF269" s="34"/>
      <c r="CG269" s="713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3"/>
      <c r="CX269" s="123"/>
      <c r="CY269" s="8"/>
      <c r="CZ269" s="34"/>
      <c r="DA269" s="713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.75" thickBot="1" x14ac:dyDescent="0.3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5"/>
      <c r="V270" s="126"/>
      <c r="W270" s="127"/>
      <c r="X270" s="66"/>
      <c r="Y270" s="715"/>
      <c r="Z270" s="126"/>
      <c r="AA270" s="127"/>
      <c r="AB270" s="66"/>
      <c r="AC270" s="715"/>
      <c r="AD270" s="715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5"/>
      <c r="AP270" s="126"/>
      <c r="AQ270" s="127"/>
      <c r="AR270" s="66"/>
      <c r="AS270" s="715"/>
      <c r="AT270" s="126"/>
      <c r="AU270" s="127"/>
      <c r="AV270" s="66"/>
      <c r="AW270" s="715"/>
      <c r="AX270" s="715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5"/>
      <c r="BJ270" s="126"/>
      <c r="BK270" s="127"/>
      <c r="BL270" s="66"/>
      <c r="BM270" s="715"/>
      <c r="BN270" s="126"/>
      <c r="BO270" s="127"/>
      <c r="BP270" s="66"/>
      <c r="BQ270" s="715"/>
      <c r="BR270" s="715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5"/>
      <c r="CD270" s="126"/>
      <c r="CE270" s="127"/>
      <c r="CF270" s="66"/>
      <c r="CG270" s="715"/>
      <c r="CH270" s="126"/>
      <c r="CI270" s="127"/>
      <c r="CJ270" s="66"/>
      <c r="CK270" s="715"/>
      <c r="CL270" s="715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5"/>
      <c r="CX270" s="126"/>
      <c r="CY270" s="127"/>
      <c r="CZ270" s="66"/>
      <c r="DA270" s="715"/>
      <c r="DB270" s="126"/>
      <c r="DC270" s="127"/>
      <c r="DD270" s="66"/>
      <c r="DE270" s="715"/>
      <c r="DF270" s="715"/>
      <c r="DG270" s="311"/>
      <c r="DH270" s="30"/>
      <c r="DI270" s="65"/>
      <c r="DJ270" s="65"/>
      <c r="DK270" s="286"/>
      <c r="DL270" s="250"/>
      <c r="DM270" s="232"/>
    </row>
    <row r="271" spans="1:117" ht="15.75" thickBot="1" x14ac:dyDescent="0.3">
      <c r="P271" s="248"/>
      <c r="AJ271" s="248"/>
      <c r="BD271" s="248"/>
      <c r="BX271" s="248"/>
      <c r="CR271" s="248"/>
      <c r="DL271" s="248"/>
    </row>
    <row r="272" spans="1:117" ht="15.75" thickBot="1" x14ac:dyDescent="0.3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36"/>
      <c r="AD272" s="736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36"/>
      <c r="AX272" s="736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36"/>
      <c r="BR272" s="736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36"/>
      <c r="CL272" s="736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36"/>
      <c r="DF272" s="736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.75" thickBot="1" x14ac:dyDescent="0.3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36"/>
      <c r="AD273" s="736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36"/>
      <c r="AX273" s="736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36"/>
      <c r="BR273" s="736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36"/>
      <c r="CL273" s="736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36"/>
      <c r="DF273" s="736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.75" thickBot="1" x14ac:dyDescent="0.3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36"/>
      <c r="AD274" s="736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36"/>
      <c r="AX274" s="736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36"/>
      <c r="BR274" s="736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36"/>
      <c r="CL274" s="736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36"/>
      <c r="DF274" s="736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5" customHeight="1" thickBot="1" x14ac:dyDescent="0.3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36"/>
      <c r="AD275" s="736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25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3"/>
      <c r="V276" s="123"/>
      <c r="W276" s="8"/>
      <c r="X276" s="34"/>
      <c r="Y276" s="713"/>
      <c r="Z276" s="20"/>
      <c r="AA276" s="8"/>
      <c r="AB276" s="34"/>
      <c r="AC276" s="713"/>
      <c r="AD276" s="713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3"/>
      <c r="AP276" s="123"/>
      <c r="AQ276" s="8"/>
      <c r="AR276" s="34"/>
      <c r="AS276" s="713"/>
      <c r="AT276" s="20"/>
      <c r="AU276" s="8"/>
      <c r="AV276" s="34"/>
      <c r="AW276" s="713"/>
      <c r="AX276" s="713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3"/>
      <c r="BJ276" s="123"/>
      <c r="BK276" s="8"/>
      <c r="BL276" s="34"/>
      <c r="BM276" s="713"/>
      <c r="BN276" s="20"/>
      <c r="BO276" s="8"/>
      <c r="BP276" s="34"/>
      <c r="BQ276" s="713"/>
      <c r="BR276" s="713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3"/>
      <c r="CD276" s="123"/>
      <c r="CE276" s="8"/>
      <c r="CF276" s="642" t="s">
        <v>947</v>
      </c>
      <c r="CG276" s="782"/>
      <c r="CH276" s="20"/>
      <c r="CI276" s="8"/>
      <c r="CJ276" s="34"/>
      <c r="CK276" s="713"/>
      <c r="CL276" s="713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3"/>
      <c r="CX276" s="123"/>
      <c r="CY276" s="8"/>
      <c r="CZ276" s="34"/>
      <c r="DA276" s="713"/>
      <c r="DB276" s="20"/>
      <c r="DC276" s="8"/>
      <c r="DD276" s="34"/>
      <c r="DE276" s="713"/>
      <c r="DF276" s="713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45" x14ac:dyDescent="0.25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08"/>
      <c r="V277" s="310"/>
      <c r="W277" s="210"/>
      <c r="X277" s="211"/>
      <c r="Y277" s="708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2"/>
      <c r="AP277" s="215"/>
      <c r="AQ277" s="413"/>
      <c r="AR277" s="414"/>
      <c r="AS277" s="709"/>
      <c r="AT277" s="121"/>
      <c r="AU277" s="210"/>
      <c r="AV277" s="257"/>
      <c r="AW277" s="767"/>
      <c r="AX277" s="767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30"/>
      <c r="BN277" s="310">
        <f>20*F277/2</f>
        <v>43030</v>
      </c>
      <c r="BO277" s="121">
        <f>73152/2+43030</f>
        <v>79606</v>
      </c>
      <c r="BP277" s="257" t="s">
        <v>830</v>
      </c>
      <c r="BQ277" s="767"/>
      <c r="BR277" s="767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778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78"/>
      <c r="CX277" s="215"/>
      <c r="CY277" s="199"/>
      <c r="CZ277" s="271"/>
      <c r="DA277" s="778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5" x14ac:dyDescent="0.25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09"/>
      <c r="V278" s="448"/>
      <c r="W278" s="413"/>
      <c r="X278" s="414"/>
      <c r="Y278" s="709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2"/>
      <c r="AP278" s="291"/>
      <c r="AQ278" s="413"/>
      <c r="AR278" s="414"/>
      <c r="AS278" s="709"/>
      <c r="AT278" s="129"/>
      <c r="AU278" s="413"/>
      <c r="AV278" s="467"/>
      <c r="AW278" s="768"/>
      <c r="AX278" s="768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2"/>
      <c r="BJ278" s="129"/>
      <c r="BK278" s="413"/>
      <c r="BL278" s="467"/>
      <c r="BM278" s="762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2"/>
      <c r="CD278" s="291"/>
      <c r="CE278" s="292"/>
      <c r="CF278" s="642" t="s">
        <v>947</v>
      </c>
      <c r="CG278" s="635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4"/>
      <c r="CX278" s="291"/>
      <c r="CY278" s="292"/>
      <c r="CZ278" s="293"/>
      <c r="DA278" s="724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30" x14ac:dyDescent="0.25">
      <c r="A279" s="75"/>
      <c r="B279" s="274" t="s">
        <v>604</v>
      </c>
      <c r="C279" s="75">
        <v>1</v>
      </c>
      <c r="D279" s="476" t="s">
        <v>463</v>
      </c>
      <c r="E279" s="749"/>
      <c r="F279" s="275">
        <v>32.5</v>
      </c>
      <c r="G279" s="76" t="s">
        <v>757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09"/>
      <c r="V279" s="448"/>
      <c r="W279" s="413"/>
      <c r="X279" s="414"/>
      <c r="Y279" s="709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2"/>
      <c r="AP279" s="291"/>
      <c r="AQ279" s="413"/>
      <c r="AR279" s="414"/>
      <c r="AS279" s="709"/>
      <c r="AT279" s="129"/>
      <c r="AU279" s="413"/>
      <c r="AV279" s="467"/>
      <c r="AW279" s="768"/>
      <c r="AX279" s="768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2"/>
      <c r="BJ279" s="129"/>
      <c r="BK279" s="413"/>
      <c r="BL279" s="467"/>
      <c r="BM279" s="762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2"/>
      <c r="CD279" s="291"/>
      <c r="CE279" s="292"/>
      <c r="CF279" s="293"/>
      <c r="CG279" s="724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4"/>
      <c r="CX279" s="291"/>
      <c r="CY279" s="292"/>
      <c r="CZ279" s="293"/>
      <c r="DA279" s="724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30" x14ac:dyDescent="0.25">
      <c r="A280" s="75"/>
      <c r="B280" s="274" t="s">
        <v>462</v>
      </c>
      <c r="C280" s="75">
        <v>1</v>
      </c>
      <c r="D280" s="476" t="s">
        <v>463</v>
      </c>
      <c r="E280" s="749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09"/>
      <c r="V280" s="448"/>
      <c r="W280" s="413"/>
      <c r="X280" s="414"/>
      <c r="Y280" s="709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2"/>
      <c r="AP280" s="291"/>
      <c r="AQ280" s="413"/>
      <c r="AR280" s="414"/>
      <c r="AS280" s="709"/>
      <c r="AT280" s="129"/>
      <c r="AU280" s="413"/>
      <c r="AV280" s="467"/>
      <c r="AW280" s="768"/>
      <c r="AX280" s="768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2"/>
      <c r="BJ280" s="129"/>
      <c r="BK280" s="413"/>
      <c r="BL280" s="467"/>
      <c r="BM280" s="762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2"/>
      <c r="CD280" s="291"/>
      <c r="CE280" s="292"/>
      <c r="CF280" s="642" t="s">
        <v>947</v>
      </c>
      <c r="CG280" s="635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4"/>
      <c r="CX280" s="291"/>
      <c r="CY280" s="292"/>
      <c r="CZ280" s="293"/>
      <c r="DA280" s="724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30" x14ac:dyDescent="0.25">
      <c r="A281" s="75"/>
      <c r="B281" s="274" t="s">
        <v>465</v>
      </c>
      <c r="C281" s="75">
        <v>1</v>
      </c>
      <c r="D281" s="476" t="s">
        <v>463</v>
      </c>
      <c r="E281" s="749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09"/>
      <c r="V281" s="448"/>
      <c r="W281" s="413"/>
      <c r="X281" s="414"/>
      <c r="Y281" s="709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2"/>
      <c r="AP281" s="291"/>
      <c r="AQ281" s="413"/>
      <c r="AR281" s="414"/>
      <c r="AS281" s="709"/>
      <c r="AT281" s="129"/>
      <c r="AU281" s="413"/>
      <c r="AV281" s="467"/>
      <c r="AW281" s="768"/>
      <c r="AX281" s="768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2"/>
      <c r="BJ281" s="129"/>
      <c r="BK281" s="413"/>
      <c r="BL281" s="467"/>
      <c r="BM281" s="762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2"/>
      <c r="CD281" s="291"/>
      <c r="CE281" s="292"/>
      <c r="CF281" s="642" t="s">
        <v>947</v>
      </c>
      <c r="CG281" s="635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4"/>
      <c r="CX281" s="291"/>
      <c r="CY281" s="292"/>
      <c r="CZ281" s="293"/>
      <c r="DA281" s="724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x14ac:dyDescent="0.25">
      <c r="A282" s="75"/>
      <c r="B282" s="74" t="s">
        <v>466</v>
      </c>
      <c r="C282" s="75">
        <v>1</v>
      </c>
      <c r="D282" s="476" t="s">
        <v>463</v>
      </c>
      <c r="E282" s="749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09"/>
      <c r="V282" s="448"/>
      <c r="W282" s="413"/>
      <c r="X282" s="414"/>
      <c r="Y282" s="709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2"/>
      <c r="AP282" s="291"/>
      <c r="AQ282" s="413"/>
      <c r="AR282" s="414"/>
      <c r="AS282" s="709"/>
      <c r="AT282" s="129"/>
      <c r="AU282" s="413"/>
      <c r="AV282" s="467"/>
      <c r="AW282" s="768"/>
      <c r="AX282" s="768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2"/>
      <c r="BJ282" s="129"/>
      <c r="BK282" s="413"/>
      <c r="BL282" s="467"/>
      <c r="BM282" s="762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2"/>
      <c r="CD282" s="291"/>
      <c r="CE282" s="292"/>
      <c r="CF282" s="642" t="s">
        <v>947</v>
      </c>
      <c r="CG282" s="635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4"/>
      <c r="CX282" s="291"/>
      <c r="CY282" s="292"/>
      <c r="CZ282" s="293"/>
      <c r="DA282" s="724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30" x14ac:dyDescent="0.25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09"/>
      <c r="V283" s="448"/>
      <c r="W283" s="413"/>
      <c r="X283" s="414"/>
      <c r="Y283" s="709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2"/>
      <c r="AP283" s="291"/>
      <c r="AQ283" s="413"/>
      <c r="AR283" s="414"/>
      <c r="AS283" s="709"/>
      <c r="AT283" s="129"/>
      <c r="AU283" s="413"/>
      <c r="AV283" s="467"/>
      <c r="AW283" s="768"/>
      <c r="AX283" s="768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2"/>
      <c r="BJ283" s="129"/>
      <c r="BK283" s="413"/>
      <c r="BL283" s="467"/>
      <c r="BM283" s="762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2"/>
      <c r="CD283" s="291"/>
      <c r="CE283" s="292"/>
      <c r="CF283" s="642" t="s">
        <v>947</v>
      </c>
      <c r="CG283" s="635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4"/>
      <c r="CX283" s="291"/>
      <c r="CY283" s="292"/>
      <c r="CZ283" s="293"/>
      <c r="DA283" s="724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30" x14ac:dyDescent="0.25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09"/>
      <c r="V284" s="448"/>
      <c r="W284" s="413"/>
      <c r="X284" s="414"/>
      <c r="Y284" s="709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2"/>
      <c r="AP284" s="291"/>
      <c r="AQ284" s="413"/>
      <c r="AR284" s="414"/>
      <c r="AS284" s="709"/>
      <c r="AT284" s="129"/>
      <c r="AU284" s="413"/>
      <c r="AV284" s="467"/>
      <c r="AW284" s="768"/>
      <c r="AX284" s="768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2"/>
      <c r="BJ284" s="129"/>
      <c r="BK284" s="413"/>
      <c r="BL284" s="467"/>
      <c r="BM284" s="762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2"/>
      <c r="CD284" s="291"/>
      <c r="CE284" s="292"/>
      <c r="CF284" s="642" t="s">
        <v>947</v>
      </c>
      <c r="CG284" s="635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4"/>
      <c r="CX284" s="291"/>
      <c r="CY284" s="292"/>
      <c r="CZ284" s="293"/>
      <c r="DA284" s="724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5" x14ac:dyDescent="0.25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4"/>
      <c r="V285" s="291"/>
      <c r="W285" s="292"/>
      <c r="X285" s="293"/>
      <c r="Y285" s="724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4"/>
      <c r="AP285" s="291"/>
      <c r="AQ285" s="292"/>
      <c r="AR285" s="293"/>
      <c r="AS285" s="724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4"/>
      <c r="BJ285" s="291"/>
      <c r="BK285" s="292"/>
      <c r="BL285" s="293"/>
      <c r="BM285" s="724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4"/>
      <c r="CD285" s="291"/>
      <c r="CE285" s="292"/>
      <c r="CF285" s="642" t="s">
        <v>947</v>
      </c>
      <c r="CG285" s="635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4"/>
      <c r="CX285" s="291"/>
      <c r="CY285" s="292"/>
      <c r="CZ285" s="293"/>
      <c r="DA285" s="724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30" x14ac:dyDescent="0.25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4"/>
      <c r="V286" s="291"/>
      <c r="W286" s="292"/>
      <c r="X286" s="293"/>
      <c r="Y286" s="724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4"/>
      <c r="AP286" s="291"/>
      <c r="AQ286" s="292"/>
      <c r="AR286" s="293"/>
      <c r="AS286" s="724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4"/>
      <c r="BJ286" s="291"/>
      <c r="BK286" s="292"/>
      <c r="BL286" s="293"/>
      <c r="BM286" s="724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4"/>
      <c r="CD286" s="291"/>
      <c r="CE286" s="292"/>
      <c r="CF286" s="293"/>
      <c r="CG286" s="724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4"/>
      <c r="CX286" s="291"/>
      <c r="CY286" s="292"/>
      <c r="CZ286" s="293"/>
      <c r="DA286" s="724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5" x14ac:dyDescent="0.25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4"/>
      <c r="V287" s="291"/>
      <c r="W287" s="292"/>
      <c r="X287" s="293"/>
      <c r="Y287" s="724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4"/>
      <c r="AP287" s="448"/>
      <c r="AQ287" s="292"/>
      <c r="AR287" s="414"/>
      <c r="AS287" s="709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09"/>
      <c r="BJ287" s="448"/>
      <c r="BK287" s="413"/>
      <c r="BL287" s="414"/>
      <c r="BM287" s="709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4"/>
      <c r="CD287" s="291"/>
      <c r="CE287" s="292"/>
      <c r="CF287" s="293"/>
      <c r="CG287" s="724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4"/>
      <c r="CX287" s="291"/>
      <c r="CY287" s="292"/>
      <c r="CZ287" s="293"/>
      <c r="DA287" s="724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45.75" thickBot="1" x14ac:dyDescent="0.3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09"/>
      <c r="V288" s="448"/>
      <c r="W288" s="413"/>
      <c r="X288" s="211"/>
      <c r="Y288" s="709"/>
      <c r="Z288" s="448"/>
      <c r="AA288" s="413"/>
      <c r="AB288" s="211"/>
      <c r="AC288" s="735"/>
      <c r="AD288" s="735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09"/>
      <c r="AP288" s="291"/>
      <c r="AQ288" s="413"/>
      <c r="AR288" s="414"/>
      <c r="AS288" s="709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2"/>
      <c r="BJ288" s="129"/>
      <c r="BK288" s="413"/>
      <c r="BL288" s="467"/>
      <c r="BM288" s="762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2"/>
      <c r="CD288" s="156">
        <f>F288*BW288/2</f>
        <v>34035</v>
      </c>
      <c r="CE288" s="157"/>
      <c r="CF288" s="687" t="s">
        <v>813</v>
      </c>
      <c r="CG288" s="794"/>
      <c r="CH288" s="292"/>
      <c r="CI288" s="660">
        <v>34035</v>
      </c>
      <c r="CJ288" s="654" t="s">
        <v>903</v>
      </c>
      <c r="CK288" s="809"/>
      <c r="CL288" s="809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4"/>
      <c r="CX288" s="291"/>
      <c r="CY288" s="292"/>
      <c r="CZ288" s="293"/>
      <c r="DA288" s="724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.75" thickBot="1" x14ac:dyDescent="0.3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5"/>
      <c r="V289" s="464"/>
      <c r="W289" s="465"/>
      <c r="X289" s="463"/>
      <c r="Y289" s="675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5"/>
      <c r="AP289" s="464"/>
      <c r="AQ289" s="465"/>
      <c r="AR289" s="463"/>
      <c r="AS289" s="675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5"/>
      <c r="BJ289" s="464"/>
      <c r="BK289" s="465"/>
      <c r="BL289" s="463"/>
      <c r="BM289" s="675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5"/>
      <c r="CD289" s="464"/>
      <c r="CE289" s="465"/>
      <c r="CF289" s="463"/>
      <c r="CG289" s="675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5"/>
      <c r="CX289" s="464"/>
      <c r="CY289" s="465"/>
      <c r="CZ289" s="463"/>
      <c r="DA289" s="675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5" x14ac:dyDescent="0.25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30.75" thickBot="1" x14ac:dyDescent="0.3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2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4" t="s">
        <v>931</v>
      </c>
      <c r="CG291" s="795"/>
      <c r="CH291" s="21"/>
      <c r="CI291" s="630">
        <f t="shared" ref="CI291:CI298" si="595">F291*BW291/2</f>
        <v>17722.5</v>
      </c>
      <c r="CJ291" s="625" t="s">
        <v>935</v>
      </c>
      <c r="CK291" s="806"/>
      <c r="CL291" s="806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30.75" thickBot="1" x14ac:dyDescent="0.3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2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4" t="s">
        <v>931</v>
      </c>
      <c r="CG292" s="795"/>
      <c r="CH292" s="21"/>
      <c r="CI292" s="630">
        <f t="shared" si="595"/>
        <v>3705</v>
      </c>
      <c r="CJ292" s="625" t="s">
        <v>935</v>
      </c>
      <c r="CK292" s="806"/>
      <c r="CL292" s="806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30.75" thickBot="1" x14ac:dyDescent="0.3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2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4" t="s">
        <v>931</v>
      </c>
      <c r="CG293" s="795"/>
      <c r="CH293" s="21"/>
      <c r="CI293" s="630">
        <f t="shared" si="595"/>
        <v>5790</v>
      </c>
      <c r="CJ293" s="625" t="s">
        <v>935</v>
      </c>
      <c r="CK293" s="806"/>
      <c r="CL293" s="806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30.75" thickBot="1" x14ac:dyDescent="0.3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2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4" t="s">
        <v>931</v>
      </c>
      <c r="CG294" s="795"/>
      <c r="CH294" s="21"/>
      <c r="CI294" s="630">
        <f t="shared" si="595"/>
        <v>3532.5</v>
      </c>
      <c r="CJ294" s="625" t="s">
        <v>935</v>
      </c>
      <c r="CK294" s="806"/>
      <c r="CL294" s="806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30.75" thickBot="1" x14ac:dyDescent="0.3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2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4" t="s">
        <v>932</v>
      </c>
      <c r="CG295" s="795"/>
      <c r="CH295" s="21"/>
      <c r="CI295" s="630">
        <f t="shared" si="595"/>
        <v>2020</v>
      </c>
      <c r="CJ295" s="625" t="s">
        <v>935</v>
      </c>
      <c r="CK295" s="806"/>
      <c r="CL295" s="806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30.75" thickBot="1" x14ac:dyDescent="0.3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2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4" t="s">
        <v>933</v>
      </c>
      <c r="CG296" s="795"/>
      <c r="CH296" s="21"/>
      <c r="CI296" s="630">
        <f t="shared" si="595"/>
        <v>3740</v>
      </c>
      <c r="CJ296" s="625" t="s">
        <v>935</v>
      </c>
      <c r="CK296" s="806"/>
      <c r="CL296" s="806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30.75" thickBot="1" x14ac:dyDescent="0.3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2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4" t="s">
        <v>934</v>
      </c>
      <c r="CG297" s="795"/>
      <c r="CH297" s="21"/>
      <c r="CI297" s="630">
        <f t="shared" si="595"/>
        <v>9280</v>
      </c>
      <c r="CJ297" s="625" t="s">
        <v>935</v>
      </c>
      <c r="CK297" s="806"/>
      <c r="CL297" s="806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30.75" thickBot="1" x14ac:dyDescent="0.3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2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4" t="s">
        <v>934</v>
      </c>
      <c r="CG298" s="795"/>
      <c r="CH298" s="21"/>
      <c r="CI298" s="630">
        <f t="shared" si="595"/>
        <v>1455</v>
      </c>
      <c r="CJ298" s="625" t="s">
        <v>935</v>
      </c>
      <c r="CK298" s="806"/>
      <c r="CL298" s="806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25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18"/>
      <c r="V299" s="366"/>
      <c r="W299" s="367"/>
      <c r="X299" s="368"/>
      <c r="Y299" s="718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18"/>
      <c r="AP299" s="366"/>
      <c r="AQ299" s="367"/>
      <c r="AR299" s="368"/>
      <c r="AS299" s="718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18"/>
      <c r="BJ299" s="366"/>
      <c r="BK299" s="367"/>
      <c r="BL299" s="368"/>
      <c r="BM299" s="718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18"/>
      <c r="CD299" s="366"/>
      <c r="CE299" s="367"/>
      <c r="CF299" s="368"/>
      <c r="CG299" s="718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18"/>
      <c r="CX299" s="366"/>
      <c r="CY299" s="367"/>
      <c r="CZ299" s="368"/>
      <c r="DA299" s="718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30.75" thickBot="1" x14ac:dyDescent="0.3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2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2"/>
      <c r="CD300" s="215"/>
      <c r="CE300" s="199"/>
      <c r="CF300" s="502"/>
      <c r="CG300" s="786"/>
      <c r="CH300" s="215">
        <v>10697.5</v>
      </c>
      <c r="CI300" s="199"/>
      <c r="CJ300" s="502" t="s">
        <v>813</v>
      </c>
      <c r="CK300" s="810"/>
      <c r="CL300" s="810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814</v>
      </c>
      <c r="CW300" s="786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30.75" thickBot="1" x14ac:dyDescent="0.3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2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2"/>
      <c r="CD301" s="215"/>
      <c r="CE301" s="199"/>
      <c r="CF301" s="502"/>
      <c r="CG301" s="786"/>
      <c r="CH301" s="215">
        <v>5472.5</v>
      </c>
      <c r="CI301" s="199"/>
      <c r="CJ301" s="502" t="s">
        <v>813</v>
      </c>
      <c r="CK301" s="810"/>
      <c r="CL301" s="810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814</v>
      </c>
      <c r="CW301" s="786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30.75" thickBot="1" x14ac:dyDescent="0.3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2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2"/>
      <c r="CD302" s="215"/>
      <c r="CE302" s="199"/>
      <c r="CF302" s="502"/>
      <c r="CG302" s="786"/>
      <c r="CH302" s="215">
        <v>1410</v>
      </c>
      <c r="CI302" s="199"/>
      <c r="CJ302" s="502" t="s">
        <v>813</v>
      </c>
      <c r="CK302" s="810"/>
      <c r="CL302" s="810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814</v>
      </c>
      <c r="CW302" s="786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30.75" thickBot="1" x14ac:dyDescent="0.3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2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2"/>
      <c r="CD303" s="215"/>
      <c r="CE303" s="199"/>
      <c r="CF303" s="502"/>
      <c r="CG303" s="786"/>
      <c r="CH303" s="215">
        <v>1410</v>
      </c>
      <c r="CI303" s="199"/>
      <c r="CJ303" s="502" t="s">
        <v>813</v>
      </c>
      <c r="CK303" s="810"/>
      <c r="CL303" s="810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814</v>
      </c>
      <c r="CW303" s="786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x14ac:dyDescent="0.25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18"/>
      <c r="V304" s="366"/>
      <c r="W304" s="367"/>
      <c r="X304" s="368"/>
      <c r="Y304" s="718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18"/>
      <c r="AP304" s="366"/>
      <c r="AQ304" s="367"/>
      <c r="AR304" s="368"/>
      <c r="AS304" s="718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18"/>
      <c r="BJ304" s="369"/>
      <c r="BK304" s="367"/>
      <c r="BL304" s="368"/>
      <c r="BM304" s="718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18"/>
      <c r="CD304" s="366"/>
      <c r="CE304" s="367"/>
      <c r="CF304" s="368"/>
      <c r="CG304" s="718"/>
      <c r="CH304" s="369"/>
      <c r="CI304" s="638"/>
      <c r="CJ304" s="639"/>
      <c r="CK304" s="811"/>
      <c r="CL304" s="811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18"/>
      <c r="CX304" s="366"/>
      <c r="CY304" s="367"/>
      <c r="CZ304" s="368"/>
      <c r="DA304" s="718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30.75" thickBot="1" x14ac:dyDescent="0.3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2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2"/>
      <c r="CD305" s="668">
        <f>F305*BW305</f>
        <v>2000</v>
      </c>
      <c r="CE305" s="663"/>
      <c r="CF305" s="687" t="s">
        <v>900</v>
      </c>
      <c r="CG305" s="772"/>
      <c r="CH305" s="21"/>
      <c r="CI305" s="199"/>
      <c r="CJ305" s="502"/>
      <c r="CK305" s="810"/>
      <c r="CL305" s="810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30.75" thickBot="1" x14ac:dyDescent="0.3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2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2"/>
      <c r="CD306" s="215"/>
      <c r="CE306" s="199"/>
      <c r="CF306" s="502"/>
      <c r="CG306" s="786"/>
      <c r="CH306" s="21"/>
      <c r="CI306" s="199">
        <v>540</v>
      </c>
      <c r="CJ306" s="502" t="s">
        <v>822</v>
      </c>
      <c r="CK306" s="810"/>
      <c r="CL306" s="810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30.75" thickBot="1" x14ac:dyDescent="0.3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2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2"/>
      <c r="CD307" s="215"/>
      <c r="CE307" s="199"/>
      <c r="CF307" s="502"/>
      <c r="CG307" s="786"/>
      <c r="CH307" s="21"/>
      <c r="CI307" s="199">
        <f>F307*BW307</f>
        <v>1850</v>
      </c>
      <c r="CJ307" s="502" t="s">
        <v>900</v>
      </c>
      <c r="CK307" s="810"/>
      <c r="CL307" s="810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30.75" thickBot="1" x14ac:dyDescent="0.3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2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2"/>
      <c r="CD308" s="215"/>
      <c r="CE308" s="199"/>
      <c r="CF308" s="502"/>
      <c r="CG308" s="786"/>
      <c r="CH308" s="21"/>
      <c r="CI308" s="199">
        <f>F308*BW308</f>
        <v>2020</v>
      </c>
      <c r="CJ308" s="502" t="s">
        <v>900</v>
      </c>
      <c r="CK308" s="810"/>
      <c r="CL308" s="810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5.75" thickBot="1" x14ac:dyDescent="0.3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0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2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2"/>
      <c r="CD309" s="668">
        <f>F309*BW309/2</f>
        <v>785</v>
      </c>
      <c r="CE309" s="663"/>
      <c r="CF309" s="687" t="s">
        <v>813</v>
      </c>
      <c r="CG309" s="772"/>
      <c r="CH309" s="121"/>
      <c r="CI309" s="629">
        <v>785</v>
      </c>
      <c r="CJ309" s="654" t="s">
        <v>814</v>
      </c>
      <c r="CK309" s="809"/>
      <c r="CL309" s="809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0"/>
      <c r="CX309" s="121"/>
      <c r="CY309" s="6"/>
      <c r="CZ309" s="257"/>
      <c r="DA309" s="730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5.75" thickBot="1" x14ac:dyDescent="0.3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3"/>
      <c r="V310" s="474"/>
      <c r="W310" s="6"/>
      <c r="X310" s="35"/>
      <c r="Y310" s="713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3"/>
      <c r="AP310" s="123"/>
      <c r="AQ310" s="8"/>
      <c r="AR310" s="447"/>
      <c r="AS310" s="728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3"/>
      <c r="BJ310" s="123"/>
      <c r="BK310" s="8"/>
      <c r="BL310" s="34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D310" s="632"/>
      <c r="CE310" s="213"/>
      <c r="CF310" s="502"/>
      <c r="CG310" s="248"/>
      <c r="CH310" s="123"/>
      <c r="CI310" s="199">
        <f>F310*BW310</f>
        <v>250</v>
      </c>
      <c r="CJ310" s="502" t="s">
        <v>822</v>
      </c>
      <c r="CK310" s="810"/>
      <c r="CL310" s="810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28"/>
      <c r="CX310" s="123"/>
      <c r="CY310" s="8"/>
      <c r="CZ310" s="447"/>
      <c r="DA310" s="728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x14ac:dyDescent="0.25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5"/>
      <c r="V311" s="505"/>
      <c r="W311" s="506"/>
      <c r="X311" s="507"/>
      <c r="Y311" s="725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3"/>
      <c r="AP311" s="356"/>
      <c r="AQ311" s="357"/>
      <c r="AR311" s="508"/>
      <c r="AS311" s="763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26"/>
      <c r="BJ311" s="356"/>
      <c r="BK311" s="357"/>
      <c r="BL311" s="358"/>
      <c r="BM311" s="726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3"/>
      <c r="CD311" s="356"/>
      <c r="CE311" s="357"/>
      <c r="CF311" s="508"/>
      <c r="CG311" s="763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3"/>
      <c r="CX311" s="356"/>
      <c r="CY311" s="357"/>
      <c r="CZ311" s="508"/>
      <c r="DA311" s="763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30" x14ac:dyDescent="0.25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3"/>
      <c r="V312" s="123"/>
      <c r="W312" s="8"/>
      <c r="X312" s="34"/>
      <c r="Y312" s="713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3"/>
      <c r="AP312" s="123"/>
      <c r="AQ312" s="8"/>
      <c r="AR312" s="34"/>
      <c r="AS312" s="713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3"/>
      <c r="BJ312" s="123"/>
      <c r="BK312" s="8"/>
      <c r="BL312" s="34"/>
      <c r="BM312" s="713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3"/>
      <c r="CD312" s="123"/>
      <c r="CE312" s="8"/>
      <c r="CF312" s="34"/>
      <c r="CG312" s="713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3"/>
      <c r="CX312" s="123"/>
      <c r="CY312" s="8"/>
      <c r="CZ312" s="34"/>
      <c r="DA312" s="713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5.75" thickBot="1" x14ac:dyDescent="0.3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2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0"/>
      <c r="CD313" s="199"/>
      <c r="CE313" s="199"/>
      <c r="CF313" s="502"/>
      <c r="CG313" s="786"/>
      <c r="CH313" s="235"/>
      <c r="CI313" s="199">
        <v>50</v>
      </c>
      <c r="CJ313" s="148" t="s">
        <v>818</v>
      </c>
      <c r="CK313" s="807"/>
      <c r="CL313" s="807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.75" thickBot="1" x14ac:dyDescent="0.3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2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0"/>
      <c r="CD314" s="199"/>
      <c r="CE314" s="199"/>
      <c r="CF314" s="502"/>
      <c r="CG314" s="786"/>
      <c r="CH314" s="235"/>
      <c r="CI314" s="199"/>
      <c r="CJ314" s="148"/>
      <c r="CK314" s="807"/>
      <c r="CL314" s="807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.75" thickBot="1" x14ac:dyDescent="0.3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2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0"/>
      <c r="BJ315" s="121"/>
      <c r="BK315" s="6"/>
      <c r="BL315" s="35"/>
      <c r="BM315" s="712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0"/>
      <c r="CD315" s="199"/>
      <c r="CE315" s="663">
        <f>F315*BW315</f>
        <v>8550</v>
      </c>
      <c r="CF315" s="687" t="s">
        <v>941</v>
      </c>
      <c r="CG315" s="772"/>
      <c r="CH315" s="235"/>
      <c r="CI315" s="199"/>
      <c r="CJ315" s="148"/>
      <c r="CK315" s="807"/>
      <c r="CL315" s="807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30.75" thickBot="1" x14ac:dyDescent="0.3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2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2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0"/>
      <c r="CD316" s="199"/>
      <c r="CE316" s="663">
        <f>F316*BW316</f>
        <v>7400</v>
      </c>
      <c r="CF316" s="687" t="s">
        <v>941</v>
      </c>
      <c r="CG316" s="772"/>
      <c r="CH316" s="235"/>
      <c r="CI316" s="199"/>
      <c r="CJ316" s="148"/>
      <c r="CK316" s="807"/>
      <c r="CL316" s="807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30.75" thickBot="1" x14ac:dyDescent="0.3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2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2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0"/>
      <c r="CD317" s="199"/>
      <c r="CE317" s="663">
        <f>F317*BW317</f>
        <v>1800</v>
      </c>
      <c r="CF317" s="687" t="s">
        <v>941</v>
      </c>
      <c r="CG317" s="772"/>
      <c r="CH317" s="235"/>
      <c r="CI317" s="199"/>
      <c r="CJ317" s="148"/>
      <c r="CK317" s="807"/>
      <c r="CL317" s="807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25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18"/>
      <c r="V318" s="366"/>
      <c r="W318" s="367"/>
      <c r="X318" s="368"/>
      <c r="Y318" s="718"/>
      <c r="Z318" s="369"/>
      <c r="AA318" s="367"/>
      <c r="AB318" s="368"/>
      <c r="AC318" s="718"/>
      <c r="AD318" s="718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18"/>
      <c r="AP318" s="366"/>
      <c r="AQ318" s="367"/>
      <c r="AR318" s="368"/>
      <c r="AS318" s="718"/>
      <c r="AT318" s="369"/>
      <c r="AU318" s="367"/>
      <c r="AV318" s="368"/>
      <c r="AW318" s="718"/>
      <c r="AX318" s="718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18"/>
      <c r="BJ318" s="366"/>
      <c r="BK318" s="367"/>
      <c r="BL318" s="368"/>
      <c r="BM318" s="718"/>
      <c r="BN318" s="369"/>
      <c r="BO318" s="367"/>
      <c r="BP318" s="368"/>
      <c r="BQ318" s="718"/>
      <c r="BR318" s="718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18"/>
      <c r="CD318" s="366"/>
      <c r="CE318" s="367"/>
      <c r="CF318" s="368"/>
      <c r="CG318" s="718"/>
      <c r="CH318" s="369"/>
      <c r="CI318" s="367"/>
      <c r="CJ318" s="368"/>
      <c r="CK318" s="718"/>
      <c r="CL318" s="718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18"/>
      <c r="CX318" s="366"/>
      <c r="CY318" s="367"/>
      <c r="CZ318" s="368"/>
      <c r="DA318" s="718"/>
      <c r="DB318" s="369"/>
      <c r="DC318" s="367"/>
      <c r="DD318" s="368"/>
      <c r="DE318" s="718"/>
      <c r="DF318" s="718"/>
      <c r="DG318" s="363"/>
      <c r="DH318" s="364"/>
      <c r="DI318" s="374"/>
      <c r="DJ318" s="374"/>
      <c r="DK318" s="375"/>
      <c r="DL318" s="375"/>
      <c r="DM318" s="365"/>
    </row>
    <row r="319" spans="1:117" x14ac:dyDescent="0.25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2"/>
      <c r="V319" s="129"/>
      <c r="W319" s="130"/>
      <c r="X319" s="79"/>
      <c r="Y319" s="712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2"/>
      <c r="AP319" s="129"/>
      <c r="AQ319" s="130"/>
      <c r="AR319" s="79"/>
      <c r="AS319" s="712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2"/>
      <c r="BJ319" s="129"/>
      <c r="BK319" s="130"/>
      <c r="BL319" s="79"/>
      <c r="BM319" s="712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2"/>
      <c r="CD319" s="129"/>
      <c r="CE319" s="130"/>
      <c r="CF319" s="79"/>
      <c r="CG319" s="712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2"/>
      <c r="CX319" s="129"/>
      <c r="CY319" s="130"/>
      <c r="CZ319" s="79"/>
      <c r="DA319" s="712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25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2"/>
      <c r="V320" s="129"/>
      <c r="W320" s="130"/>
      <c r="X320" s="79"/>
      <c r="Y320" s="712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2"/>
      <c r="AP320" s="129"/>
      <c r="AQ320" s="130"/>
      <c r="AR320" s="79"/>
      <c r="AS320" s="712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2"/>
      <c r="BJ320" s="129"/>
      <c r="BK320" s="130"/>
      <c r="BL320" s="79"/>
      <c r="BM320" s="712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2"/>
      <c r="CD320" s="129"/>
      <c r="CE320" s="130"/>
      <c r="CF320" s="79"/>
      <c r="CG320" s="712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2"/>
      <c r="CX320" s="129"/>
      <c r="CY320" s="130"/>
      <c r="CZ320" s="79"/>
      <c r="DA320" s="712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25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25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.75" thickBot="1" x14ac:dyDescent="0.3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2"/>
      <c r="V323" s="129"/>
      <c r="W323" s="130"/>
      <c r="X323" s="79"/>
      <c r="Y323" s="712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2"/>
      <c r="AP323" s="129"/>
      <c r="AQ323" s="130"/>
      <c r="AR323" s="79"/>
      <c r="AS323" s="712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2"/>
      <c r="BJ323" s="129"/>
      <c r="BK323" s="130"/>
      <c r="BL323" s="79"/>
      <c r="BM323" s="712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962</v>
      </c>
      <c r="CC323" s="760"/>
      <c r="CD323" s="292"/>
      <c r="CE323" s="292"/>
      <c r="CF323" s="502"/>
      <c r="CG323" s="786"/>
      <c r="CH323" s="680">
        <f>F323*1.2*BW323</f>
        <v>16617.599999999999</v>
      </c>
      <c r="CI323" s="292"/>
      <c r="CJ323" s="654" t="s">
        <v>900</v>
      </c>
      <c r="CK323" s="809"/>
      <c r="CL323" s="809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2"/>
      <c r="CX323" s="129"/>
      <c r="CY323" s="130"/>
      <c r="CZ323" s="79"/>
      <c r="DA323" s="712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.75" thickBot="1" x14ac:dyDescent="0.3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2"/>
      <c r="V324" s="129"/>
      <c r="W324" s="130"/>
      <c r="X324" s="79"/>
      <c r="Y324" s="712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2"/>
      <c r="AP324" s="129"/>
      <c r="AQ324" s="130"/>
      <c r="AR324" s="79"/>
      <c r="AS324" s="712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2"/>
      <c r="BJ324" s="129"/>
      <c r="BK324" s="130"/>
      <c r="BL324" s="79"/>
      <c r="BM324" s="712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962</v>
      </c>
      <c r="CC324" s="760"/>
      <c r="CD324" s="292"/>
      <c r="CE324" s="292"/>
      <c r="CF324" s="502"/>
      <c r="CG324" s="786"/>
      <c r="CH324" s="680">
        <f>F324*1.2*BW324</f>
        <v>7012.5599999999995</v>
      </c>
      <c r="CI324" s="292"/>
      <c r="CJ324" s="654" t="s">
        <v>900</v>
      </c>
      <c r="CK324" s="809"/>
      <c r="CL324" s="809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2"/>
      <c r="CX324" s="129"/>
      <c r="CY324" s="130"/>
      <c r="CZ324" s="79"/>
      <c r="DA324" s="712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.75" thickBot="1" x14ac:dyDescent="0.3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2"/>
      <c r="BJ325" s="121"/>
      <c r="BK325" s="6"/>
      <c r="BL325" s="35"/>
      <c r="BM325" s="712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60"/>
      <c r="CD325" s="199"/>
      <c r="CE325" s="199"/>
      <c r="CF325" s="502"/>
      <c r="CG325" s="786"/>
      <c r="CH325" s="680">
        <f>F325*1.2*BW325</f>
        <v>52647</v>
      </c>
      <c r="CI325" s="199"/>
      <c r="CJ325" s="654" t="s">
        <v>900</v>
      </c>
      <c r="CK325" s="809"/>
      <c r="CL325" s="809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.75" thickBot="1" x14ac:dyDescent="0.3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0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786"/>
      <c r="CH326" s="272"/>
      <c r="CI326" s="217"/>
      <c r="CJ326" s="502"/>
      <c r="CK326" s="810"/>
      <c r="CL326" s="810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5" x14ac:dyDescent="0.25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30" x14ac:dyDescent="0.25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30" x14ac:dyDescent="0.25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30" x14ac:dyDescent="0.25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25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07"/>
      <c r="CL331" s="807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25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07"/>
      <c r="CL332" s="807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30" x14ac:dyDescent="0.25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25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18"/>
      <c r="V334" s="366"/>
      <c r="W334" s="367"/>
      <c r="X334" s="368"/>
      <c r="Y334" s="718"/>
      <c r="Z334" s="369"/>
      <c r="AA334" s="367"/>
      <c r="AB334" s="368"/>
      <c r="AC334" s="718"/>
      <c r="AD334" s="718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18"/>
      <c r="AP334" s="366"/>
      <c r="AQ334" s="367"/>
      <c r="AR334" s="368"/>
      <c r="AS334" s="718"/>
      <c r="AT334" s="369"/>
      <c r="AU334" s="367"/>
      <c r="AV334" s="368"/>
      <c r="AW334" s="718"/>
      <c r="AX334" s="718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18"/>
      <c r="BJ334" s="366"/>
      <c r="BK334" s="367"/>
      <c r="BL334" s="368"/>
      <c r="BM334" s="718"/>
      <c r="BN334" s="369"/>
      <c r="BO334" s="367"/>
      <c r="BP334" s="368"/>
      <c r="BQ334" s="718"/>
      <c r="BR334" s="718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18"/>
      <c r="CD334" s="366"/>
      <c r="CE334" s="367"/>
      <c r="CF334" s="368"/>
      <c r="CG334" s="718"/>
      <c r="CH334" s="369"/>
      <c r="CI334" s="367"/>
      <c r="CJ334" s="368"/>
      <c r="CK334" s="718"/>
      <c r="CL334" s="718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18"/>
      <c r="CX334" s="366"/>
      <c r="CY334" s="367"/>
      <c r="CZ334" s="368"/>
      <c r="DA334" s="718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30" x14ac:dyDescent="0.25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2"/>
      <c r="V335" s="129"/>
      <c r="W335" s="130"/>
      <c r="X335" s="79"/>
      <c r="Y335" s="712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2"/>
      <c r="AP335" s="129"/>
      <c r="AQ335" s="130"/>
      <c r="AR335" s="79"/>
      <c r="AS335" s="712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2"/>
      <c r="BJ335" s="129"/>
      <c r="BK335" s="130"/>
      <c r="BL335" s="79"/>
      <c r="BM335" s="712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2"/>
      <c r="CD335" s="129"/>
      <c r="CE335" s="130"/>
      <c r="CF335" s="79"/>
      <c r="CG335" s="712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2"/>
      <c r="CX335" s="129"/>
      <c r="CY335" s="130"/>
      <c r="CZ335" s="79"/>
      <c r="DA335" s="712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30.75" thickBot="1" x14ac:dyDescent="0.3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x14ac:dyDescent="0.25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.75" thickBot="1" x14ac:dyDescent="0.3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.75" thickBot="1" x14ac:dyDescent="0.3">
      <c r="P339" s="248"/>
      <c r="AJ339" s="248"/>
      <c r="BD339" s="248"/>
      <c r="BX339" s="248"/>
      <c r="CR339" s="248"/>
      <c r="DL339" s="248"/>
    </row>
    <row r="340" spans="1:117" ht="15.75" thickBot="1" x14ac:dyDescent="0.3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36"/>
      <c r="BR340" s="736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25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3"/>
      <c r="V341" s="123"/>
      <c r="W341" s="8"/>
      <c r="X341" s="34"/>
      <c r="Y341" s="713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3"/>
      <c r="AP341" s="123"/>
      <c r="AQ341" s="8"/>
      <c r="AR341" s="34"/>
      <c r="AS341" s="713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3"/>
      <c r="BJ341" s="123"/>
      <c r="BK341" s="8"/>
      <c r="BL341" s="34"/>
      <c r="BM341" s="713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3"/>
      <c r="CD341" s="123"/>
      <c r="CE341" s="8"/>
      <c r="CF341" s="34"/>
      <c r="CG341" s="713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3"/>
      <c r="CX341" s="123"/>
      <c r="CY341" s="8"/>
      <c r="CZ341" s="34"/>
      <c r="DA341" s="713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.75" thickBot="1" x14ac:dyDescent="0.3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4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4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4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4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4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.75" thickBot="1" x14ac:dyDescent="0.3">
      <c r="P343" s="248"/>
      <c r="AJ343" s="248"/>
      <c r="BD343" s="248"/>
      <c r="BX343" s="248"/>
      <c r="CR343" s="248"/>
      <c r="DL343" s="248"/>
    </row>
    <row r="344" spans="1:117" x14ac:dyDescent="0.25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.75" thickBot="1" x14ac:dyDescent="0.3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5"/>
      <c r="AX345" s="715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25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37"/>
      <c r="AD346" s="737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25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25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773"/>
      <c r="CH348" s="21"/>
      <c r="CI348" s="629">
        <v>78427.5</v>
      </c>
      <c r="CJ348" s="625" t="s">
        <v>985</v>
      </c>
      <c r="CK348" s="806"/>
      <c r="CL348" s="806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1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25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25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30.75" thickBot="1" x14ac:dyDescent="0.3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.75" thickBot="1" x14ac:dyDescent="0.3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25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25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787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3"/>
      <c r="CX354" s="123"/>
      <c r="CY354" s="8"/>
      <c r="CZ354" s="34"/>
      <c r="DA354" s="713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45" x14ac:dyDescent="0.25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7"/>
      <c r="V355" s="236"/>
      <c r="W355" s="210"/>
      <c r="X355" s="216"/>
      <c r="Y355" s="707"/>
      <c r="Z355" s="236"/>
      <c r="AA355" s="210"/>
      <c r="AB355" s="216"/>
      <c r="AC355" s="738"/>
      <c r="AD355" s="738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7"/>
      <c r="AP355" s="236"/>
      <c r="AQ355" s="210"/>
      <c r="AR355" s="216"/>
      <c r="AS355" s="707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7"/>
      <c r="BJ355" s="236"/>
      <c r="BK355" s="210"/>
      <c r="BL355" s="216"/>
      <c r="BM355" s="707"/>
      <c r="BN355" s="21"/>
      <c r="BO355" s="6"/>
      <c r="BP355" s="216"/>
      <c r="BQ355" s="739"/>
      <c r="BR355" s="739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7"/>
      <c r="CD355" s="666">
        <f>F355*BW355/2</f>
        <v>269000</v>
      </c>
      <c r="CE355" s="663"/>
      <c r="CF355" s="664" t="s">
        <v>813</v>
      </c>
      <c r="CG355" s="773"/>
      <c r="CH355" s="235"/>
      <c r="CI355" s="629">
        <f>538000/2</f>
        <v>269000</v>
      </c>
      <c r="CJ355" s="625" t="s">
        <v>922</v>
      </c>
      <c r="CK355" s="806"/>
      <c r="CL355" s="806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7"/>
      <c r="CX355" s="21"/>
      <c r="CY355" s="6"/>
      <c r="CZ355" s="216"/>
      <c r="DA355" s="707"/>
      <c r="DB355" s="21"/>
      <c r="DC355" s="199">
        <v>244625</v>
      </c>
      <c r="DD355" s="148" t="s">
        <v>817</v>
      </c>
      <c r="DE355" s="807"/>
      <c r="DF355" s="807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x14ac:dyDescent="0.25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1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1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1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787"/>
      <c r="CH356" s="235"/>
      <c r="CI356" s="199"/>
      <c r="CJ356" s="148"/>
      <c r="CK356" s="807"/>
      <c r="CL356" s="807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1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x14ac:dyDescent="0.25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1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1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1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1"/>
      <c r="CH357" s="235"/>
      <c r="CI357" s="199"/>
      <c r="CJ357" s="148"/>
      <c r="CK357" s="807"/>
      <c r="CL357" s="807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1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x14ac:dyDescent="0.25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1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1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1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787"/>
      <c r="CH358" s="235"/>
      <c r="CI358" s="199"/>
      <c r="CJ358" s="148"/>
      <c r="CK358" s="807"/>
      <c r="CL358" s="807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1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25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773"/>
      <c r="CH359" s="235"/>
      <c r="CI359" s="629">
        <v>2855</v>
      </c>
      <c r="CJ359" s="625" t="s">
        <v>818</v>
      </c>
      <c r="CK359" s="806"/>
      <c r="CL359" s="806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x14ac:dyDescent="0.25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2"/>
      <c r="V360" s="129"/>
      <c r="W360" s="130"/>
      <c r="X360" s="79"/>
      <c r="Y360" s="712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2"/>
      <c r="AP360" s="129"/>
      <c r="AQ360" s="130"/>
      <c r="AR360" s="79"/>
      <c r="AS360" s="712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2"/>
      <c r="BJ360" s="129"/>
      <c r="BK360" s="130"/>
      <c r="BL360" s="79"/>
      <c r="BM360" s="712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2"/>
      <c r="CD360" s="129"/>
      <c r="CE360" s="130"/>
      <c r="CF360" s="79"/>
      <c r="CG360" s="712"/>
      <c r="CH360" s="235">
        <f>BW360*F360</f>
        <v>66.5</v>
      </c>
      <c r="CI360" s="292"/>
      <c r="CJ360" s="148" t="s">
        <v>818</v>
      </c>
      <c r="CK360" s="807"/>
      <c r="CL360" s="807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2"/>
      <c r="CX360" s="129"/>
      <c r="CY360" s="130"/>
      <c r="CZ360" s="79"/>
      <c r="DA360" s="712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30.75" thickBot="1" x14ac:dyDescent="0.3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2"/>
      <c r="CH361" s="235">
        <f>BW361*F361</f>
        <v>119</v>
      </c>
      <c r="CI361" s="217"/>
      <c r="CJ361" s="148" t="s">
        <v>818</v>
      </c>
      <c r="CK361" s="810"/>
      <c r="CL361" s="810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.75" thickBot="1" x14ac:dyDescent="0.3">
      <c r="P362" s="248"/>
      <c r="AJ362" s="248"/>
      <c r="BD362" s="248"/>
      <c r="BX362" s="248"/>
      <c r="CR362" s="248"/>
      <c r="DL362" s="248"/>
    </row>
    <row r="363" spans="1:117" x14ac:dyDescent="0.25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25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3"/>
      <c r="V364" s="474"/>
      <c r="W364" s="412"/>
      <c r="X364" s="313"/>
      <c r="Y364" s="716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3"/>
      <c r="AP364" s="123"/>
      <c r="AQ364" s="8"/>
      <c r="AR364" s="34"/>
      <c r="AS364" s="713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3"/>
      <c r="BJ364" s="123"/>
      <c r="BK364" s="8"/>
      <c r="BL364" s="34"/>
      <c r="BM364" s="713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3"/>
      <c r="CD364" s="123"/>
      <c r="CE364" s="8"/>
      <c r="CF364" s="34"/>
      <c r="CG364" s="713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3"/>
      <c r="CX364" s="123"/>
      <c r="CY364" s="8"/>
      <c r="CZ364" s="34"/>
      <c r="DA364" s="713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25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699</v>
      </c>
      <c r="U365" s="716"/>
      <c r="V365" s="444"/>
      <c r="W365" s="412"/>
      <c r="X365" s="313"/>
      <c r="Y365" s="716"/>
      <c r="Z365" s="444"/>
      <c r="AA365" s="6"/>
      <c r="AB365" s="446"/>
      <c r="AC365" s="735"/>
      <c r="AD365" s="735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6"/>
      <c r="AP365" s="444"/>
      <c r="AQ365" s="412"/>
      <c r="AR365" s="313"/>
      <c r="AS365" s="716"/>
      <c r="AT365" s="444"/>
      <c r="AU365" s="412"/>
      <c r="AV365" s="313"/>
      <c r="AW365" s="739"/>
      <c r="AX365" s="739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6"/>
      <c r="BJ365" s="444"/>
      <c r="BK365" s="412"/>
      <c r="BL365" s="313"/>
      <c r="BM365" s="716"/>
      <c r="BN365" s="444">
        <f>+BC365*F365/2</f>
        <v>58875</v>
      </c>
      <c r="BO365" s="412"/>
      <c r="BP365" s="313" t="s">
        <v>819</v>
      </c>
      <c r="BQ365" s="739"/>
      <c r="BR365" s="739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857</v>
      </c>
      <c r="CC365" s="783"/>
      <c r="CD365" s="213"/>
      <c r="CE365" s="6"/>
      <c r="CF365" s="446"/>
      <c r="CG365" s="733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814</v>
      </c>
      <c r="CW365" s="797"/>
      <c r="CX365" s="312"/>
      <c r="CY365" s="213"/>
      <c r="CZ365" s="212"/>
      <c r="DA365" s="797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25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698</v>
      </c>
      <c r="U366" s="716"/>
      <c r="V366" s="444"/>
      <c r="W366" s="412"/>
      <c r="X366" s="313"/>
      <c r="Y366" s="716"/>
      <c r="Z366" s="444"/>
      <c r="AA366" s="579">
        <f>$F$366*50%*5</f>
        <v>184067.5</v>
      </c>
      <c r="AB366" s="313" t="s">
        <v>700</v>
      </c>
      <c r="AC366" s="739"/>
      <c r="AD366" s="739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6"/>
      <c r="AP366" s="444"/>
      <c r="AQ366" s="6"/>
      <c r="AR366" s="446"/>
      <c r="AS366" s="733"/>
      <c r="AT366" s="444"/>
      <c r="AU366" s="6"/>
      <c r="AV366" s="446"/>
      <c r="AW366" s="735"/>
      <c r="AX366" s="735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28"/>
      <c r="BJ366" s="444"/>
      <c r="BK366" s="412"/>
      <c r="BL366" s="257"/>
      <c r="BM366" s="728"/>
      <c r="BN366" s="672">
        <f>220881</f>
        <v>220881</v>
      </c>
      <c r="BO366" s="663"/>
      <c r="BP366" s="656" t="s">
        <v>819</v>
      </c>
      <c r="BQ366" s="775"/>
      <c r="BR366" s="775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84"/>
      <c r="CD366" s="412"/>
      <c r="CE366" s="210"/>
      <c r="CF366" s="446"/>
      <c r="CG366" s="733"/>
      <c r="CH366" s="444"/>
      <c r="CI366" s="629">
        <v>220881</v>
      </c>
      <c r="CJ366" s="673" t="s">
        <v>857</v>
      </c>
      <c r="CK366" s="812"/>
      <c r="CL366" s="812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814</v>
      </c>
      <c r="CW366" s="797"/>
      <c r="CX366" s="312"/>
      <c r="CY366" s="213"/>
      <c r="CZ366" s="212"/>
      <c r="DA366" s="797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30" x14ac:dyDescent="0.25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6"/>
      <c r="V367" s="444"/>
      <c r="W367" s="412"/>
      <c r="X367" s="313"/>
      <c r="Y367" s="716"/>
      <c r="Z367" s="236"/>
      <c r="AA367" s="6"/>
      <c r="AB367" s="446"/>
      <c r="AC367" s="735"/>
      <c r="AD367" s="735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3"/>
      <c r="AP367" s="444"/>
      <c r="AQ367" s="412"/>
      <c r="AR367" s="313"/>
      <c r="AS367" s="716"/>
      <c r="AT367" s="444"/>
      <c r="AU367" s="412"/>
      <c r="AV367" s="313"/>
      <c r="AW367" s="739"/>
      <c r="AX367" s="739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3"/>
      <c r="BJ367" s="444"/>
      <c r="BK367" s="8"/>
      <c r="BL367" s="257"/>
      <c r="BM367" s="728"/>
      <c r="BN367" s="444"/>
      <c r="BO367" s="8"/>
      <c r="BP367" s="313"/>
      <c r="BQ367" s="739"/>
      <c r="BR367" s="739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84"/>
      <c r="CD367" s="213"/>
      <c r="CE367" s="154">
        <v>2500</v>
      </c>
      <c r="CF367" s="658" t="s">
        <v>899</v>
      </c>
      <c r="CG367" s="796"/>
      <c r="CH367" s="21"/>
      <c r="CI367" s="6"/>
      <c r="CJ367" s="35" t="s">
        <v>916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814</v>
      </c>
      <c r="CW367" s="797"/>
      <c r="CX367" s="312"/>
      <c r="CY367" s="213"/>
      <c r="CZ367" s="212"/>
      <c r="DA367" s="797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30" x14ac:dyDescent="0.25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6"/>
      <c r="V368" s="444"/>
      <c r="W368" s="412"/>
      <c r="X368" s="313"/>
      <c r="Y368" s="716"/>
      <c r="Z368" s="236"/>
      <c r="AA368" s="6"/>
      <c r="AB368" s="446"/>
      <c r="AC368" s="735"/>
      <c r="AD368" s="735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3"/>
      <c r="AP368" s="444"/>
      <c r="AQ368" s="412"/>
      <c r="AR368" s="313"/>
      <c r="AS368" s="716"/>
      <c r="AT368" s="444"/>
      <c r="AU368" s="412"/>
      <c r="AV368" s="313"/>
      <c r="AW368" s="739"/>
      <c r="AX368" s="739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3"/>
      <c r="BJ368" s="444"/>
      <c r="BK368" s="8"/>
      <c r="BL368" s="257"/>
      <c r="BM368" s="728"/>
      <c r="BN368" s="444"/>
      <c r="BO368" s="8"/>
      <c r="BP368" s="313"/>
      <c r="BQ368" s="739"/>
      <c r="BR368" s="739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84"/>
      <c r="CD368" s="213"/>
      <c r="CE368" s="154">
        <v>2500</v>
      </c>
      <c r="CF368" s="658" t="s">
        <v>899</v>
      </c>
      <c r="CG368" s="796"/>
      <c r="CH368" s="21"/>
      <c r="CI368" s="6"/>
      <c r="CJ368" s="35" t="s">
        <v>916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814</v>
      </c>
      <c r="CW368" s="797"/>
      <c r="CX368" s="312"/>
      <c r="CY368" s="213"/>
      <c r="CZ368" s="212"/>
      <c r="DA368" s="797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25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6"/>
      <c r="AT369" s="21"/>
      <c r="AU369" s="6"/>
      <c r="AV369" s="313"/>
      <c r="AW369" s="739"/>
      <c r="AX369" s="739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3"/>
      <c r="BJ369" s="444"/>
      <c r="BK369" s="6"/>
      <c r="BL369" s="35"/>
      <c r="BM369" s="713"/>
      <c r="BN369" s="444">
        <v>120000</v>
      </c>
      <c r="BO369" s="6"/>
      <c r="BP369" s="313" t="s">
        <v>827</v>
      </c>
      <c r="BQ369" s="739"/>
      <c r="BR369" s="739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85"/>
      <c r="CD369" s="6"/>
      <c r="CE369" s="6"/>
      <c r="CF369" s="446"/>
      <c r="CG369" s="733"/>
      <c r="CH369" s="121"/>
      <c r="CI369" s="629">
        <v>50830</v>
      </c>
      <c r="CJ369" s="625" t="s">
        <v>904</v>
      </c>
      <c r="CK369" s="806"/>
      <c r="CL369" s="806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797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25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7"/>
      <c r="Z370" s="310"/>
      <c r="AA370" s="210"/>
      <c r="AB370" s="216"/>
      <c r="AC370" s="738"/>
      <c r="AD370" s="738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3"/>
      <c r="BN370" s="444">
        <v>8504</v>
      </c>
      <c r="BO370" s="6"/>
      <c r="BP370" s="313" t="s">
        <v>845</v>
      </c>
      <c r="BQ370" s="739"/>
      <c r="BR370" s="739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3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814</v>
      </c>
      <c r="CW370" s="797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30" x14ac:dyDescent="0.25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7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3"/>
      <c r="BN371" s="444">
        <f t="shared" ref="BN371:BN376" si="871">+BC371*F371/2</f>
        <v>301.75</v>
      </c>
      <c r="BO371" s="6"/>
      <c r="BP371" s="313" t="s">
        <v>819</v>
      </c>
      <c r="BQ371" s="739"/>
      <c r="BR371" s="739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x14ac:dyDescent="0.25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7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3"/>
      <c r="BN372" s="444">
        <f t="shared" si="871"/>
        <v>45</v>
      </c>
      <c r="BO372" s="6"/>
      <c r="BP372" s="313" t="s">
        <v>819</v>
      </c>
      <c r="BQ372" s="739"/>
      <c r="BR372" s="739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x14ac:dyDescent="0.25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7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3"/>
      <c r="BN373" s="444">
        <f t="shared" si="871"/>
        <v>50</v>
      </c>
      <c r="BO373" s="6"/>
      <c r="BP373" s="313" t="s">
        <v>819</v>
      </c>
      <c r="BQ373" s="739"/>
      <c r="BR373" s="739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x14ac:dyDescent="0.25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7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3"/>
      <c r="BN374" s="444">
        <f t="shared" si="871"/>
        <v>50</v>
      </c>
      <c r="BO374" s="6"/>
      <c r="BP374" s="313" t="s">
        <v>819</v>
      </c>
      <c r="BQ374" s="739"/>
      <c r="BR374" s="739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x14ac:dyDescent="0.25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7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3"/>
      <c r="BN375" s="444">
        <f t="shared" si="871"/>
        <v>50</v>
      </c>
      <c r="BO375" s="6"/>
      <c r="BP375" s="313" t="s">
        <v>819</v>
      </c>
      <c r="BQ375" s="739"/>
      <c r="BR375" s="739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25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7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3"/>
      <c r="BN376" s="444">
        <f t="shared" si="871"/>
        <v>159.5</v>
      </c>
      <c r="BO376" s="6"/>
      <c r="BP376" s="313" t="s">
        <v>819</v>
      </c>
      <c r="BQ376" s="739"/>
      <c r="BR376" s="739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25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7"/>
      <c r="Z377" s="578">
        <f>$F$377*50%*4</f>
        <v>54269.64</v>
      </c>
      <c r="AA377" s="569">
        <f>$F$377*50%*4</f>
        <v>54269.64</v>
      </c>
      <c r="AB377" s="216" t="s">
        <v>752</v>
      </c>
      <c r="AC377" s="738"/>
      <c r="AD377" s="738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3"/>
      <c r="BN377" s="444">
        <f>BC377*F377/2</f>
        <v>67837.05</v>
      </c>
      <c r="BO377" s="6">
        <v>67837.05</v>
      </c>
      <c r="BP377" s="313" t="s">
        <v>820</v>
      </c>
      <c r="BQ377" s="739"/>
      <c r="BR377" s="739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.75" thickBot="1" x14ac:dyDescent="0.3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5"/>
      <c r="V378" s="470"/>
      <c r="W378" s="469"/>
      <c r="X378" s="472"/>
      <c r="Y378" s="731"/>
      <c r="Z378" s="470"/>
      <c r="AA378" s="469"/>
      <c r="AB378" s="472"/>
      <c r="AC378" s="740"/>
      <c r="AD378" s="740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5"/>
      <c r="AP378" s="126"/>
      <c r="AQ378" s="127"/>
      <c r="AR378" s="66"/>
      <c r="AS378" s="715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5"/>
      <c r="BJ378" s="126"/>
      <c r="BK378" s="127"/>
      <c r="BL378" s="66"/>
      <c r="BM378" s="715"/>
      <c r="BN378" s="126"/>
      <c r="BO378" s="127"/>
      <c r="BP378" s="471"/>
      <c r="BQ378" s="776"/>
      <c r="BR378" s="776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5"/>
      <c r="CD378" s="126"/>
      <c r="CE378" s="127"/>
      <c r="CF378" s="66"/>
      <c r="CG378" s="715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5"/>
      <c r="CX378" s="126"/>
      <c r="CY378" s="127"/>
      <c r="CZ378" s="66"/>
      <c r="DA378" s="715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.75" thickBot="1" x14ac:dyDescent="0.3">
      <c r="P379" s="248"/>
      <c r="AJ379" s="248"/>
      <c r="BD379" s="248"/>
      <c r="BX379" s="248"/>
      <c r="CR379" s="248"/>
      <c r="DL379" s="248"/>
    </row>
    <row r="380" spans="1:117" ht="15.75" thickBot="1" x14ac:dyDescent="0.3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25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3"/>
      <c r="V381" s="123"/>
      <c r="W381" s="8"/>
      <c r="X381" s="34"/>
      <c r="Y381" s="713"/>
      <c r="Z381" s="20"/>
      <c r="AA381" s="8"/>
      <c r="AB381" s="34"/>
      <c r="AC381" s="713"/>
      <c r="AD381" s="713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3"/>
      <c r="AP381" s="123"/>
      <c r="AQ381" s="8"/>
      <c r="AR381" s="34"/>
      <c r="AS381" s="713"/>
      <c r="AT381" s="20"/>
      <c r="AU381" s="8"/>
      <c r="AV381" s="34"/>
      <c r="AW381" s="713"/>
      <c r="AX381" s="713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3"/>
      <c r="BJ381" s="123"/>
      <c r="BK381" s="8"/>
      <c r="BL381" s="34"/>
      <c r="BM381" s="713"/>
      <c r="BN381" s="20"/>
      <c r="BO381" s="8"/>
      <c r="BP381" s="34"/>
      <c r="BQ381" s="713"/>
      <c r="BR381" s="713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3"/>
      <c r="CD381" s="123"/>
      <c r="CE381" s="8"/>
      <c r="CF381" s="34"/>
      <c r="CG381" s="713"/>
      <c r="CH381" s="20"/>
      <c r="CI381" s="8"/>
      <c r="CJ381" s="34"/>
      <c r="CK381" s="713"/>
      <c r="CL381" s="713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3"/>
      <c r="CX381" s="123"/>
      <c r="CY381" s="8"/>
      <c r="CZ381" s="34"/>
      <c r="DA381" s="713"/>
      <c r="DB381" s="20"/>
      <c r="DC381" s="8"/>
      <c r="DD381" s="34"/>
      <c r="DE381" s="713"/>
      <c r="DF381" s="713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30" x14ac:dyDescent="0.25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V382" s="433"/>
      <c r="W382" s="416"/>
      <c r="X382" s="415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P382" s="433"/>
      <c r="AQ382" s="416"/>
      <c r="AR382" s="415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J382" s="421"/>
      <c r="BK382" s="416"/>
      <c r="BL382" s="415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D382" s="433"/>
      <c r="CE382" s="416"/>
      <c r="CF382" s="450" t="s">
        <v>914</v>
      </c>
      <c r="CG382" s="248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X382" s="433"/>
      <c r="CY382" s="416"/>
      <c r="CZ382" s="415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.75" thickBot="1" x14ac:dyDescent="0.3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4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4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4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4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4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.75" thickBot="1" x14ac:dyDescent="0.3">
      <c r="P384" s="248"/>
      <c r="AJ384" s="248"/>
      <c r="BD384" s="248"/>
      <c r="BX384" s="248"/>
      <c r="CR384" s="248"/>
      <c r="DL384" s="248"/>
    </row>
    <row r="385" spans="1:117" ht="15.75" thickBot="1" x14ac:dyDescent="0.3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36"/>
      <c r="AD385" s="736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36"/>
      <c r="AX385" s="736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36"/>
      <c r="BR385" s="736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36"/>
      <c r="CL385" s="736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36"/>
      <c r="DF385" s="736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25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25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3"/>
      <c r="V387" s="123"/>
      <c r="W387" s="8"/>
      <c r="X387" s="34"/>
      <c r="Y387" s="713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3"/>
      <c r="AP387" s="123"/>
      <c r="AQ387" s="8"/>
      <c r="AR387" s="34"/>
      <c r="AS387" s="713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3"/>
      <c r="BJ387" s="123"/>
      <c r="BK387" s="8"/>
      <c r="BL387" s="34"/>
      <c r="BM387" s="713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3"/>
      <c r="CD387" s="123"/>
      <c r="CE387" s="8"/>
      <c r="CF387" s="34"/>
      <c r="CG387" s="713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3"/>
      <c r="CX387" s="123"/>
      <c r="CY387" s="8"/>
      <c r="CZ387" s="34"/>
      <c r="DA387" s="713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x14ac:dyDescent="0.25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26"/>
      <c r="V388" s="356"/>
      <c r="W388" s="357"/>
      <c r="X388" s="358"/>
      <c r="Y388" s="726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26"/>
      <c r="AP388" s="356"/>
      <c r="AQ388" s="357"/>
      <c r="AR388" s="358"/>
      <c r="AS388" s="726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26"/>
      <c r="BJ388" s="356"/>
      <c r="BK388" s="357"/>
      <c r="BL388" s="358"/>
      <c r="BM388" s="726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26"/>
      <c r="CD388" s="356"/>
      <c r="CE388" s="357"/>
      <c r="CF388" s="358"/>
      <c r="CG388" s="726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26"/>
      <c r="CX388" s="356"/>
      <c r="CY388" s="357"/>
      <c r="CZ388" s="358"/>
      <c r="DA388" s="726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25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3"/>
      <c r="V389" s="123"/>
      <c r="W389" s="8"/>
      <c r="X389" s="34"/>
      <c r="Y389" s="713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3"/>
      <c r="AP389" s="123"/>
      <c r="AQ389" s="8"/>
      <c r="AR389" s="34"/>
      <c r="AS389" s="713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3"/>
      <c r="BJ389" s="123"/>
      <c r="BK389" s="8"/>
      <c r="BL389" s="34"/>
      <c r="BM389" s="713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3"/>
      <c r="CD389" s="123"/>
      <c r="CE389" s="8"/>
      <c r="CF389" s="34"/>
      <c r="CG389" s="713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3"/>
      <c r="CX389" s="123"/>
      <c r="CY389" s="8"/>
      <c r="CZ389" s="34"/>
      <c r="DA389" s="713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x14ac:dyDescent="0.25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3"/>
      <c r="V390" s="123"/>
      <c r="W390" s="8"/>
      <c r="X390" s="34"/>
      <c r="Y390" s="713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3"/>
      <c r="AP390" s="123"/>
      <c r="AQ390" s="8"/>
      <c r="AR390" s="34"/>
      <c r="AS390" s="713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3"/>
      <c r="BJ390" s="123"/>
      <c r="BK390" s="8"/>
      <c r="BL390" s="34"/>
      <c r="BM390" s="713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3"/>
      <c r="CD390" s="123"/>
      <c r="CE390" s="8"/>
      <c r="CF390" s="34"/>
      <c r="CG390" s="713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3"/>
      <c r="CX390" s="123"/>
      <c r="CY390" s="8"/>
      <c r="CZ390" s="34"/>
      <c r="DA390" s="713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x14ac:dyDescent="0.25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3"/>
      <c r="V391" s="123"/>
      <c r="W391" s="8"/>
      <c r="X391" s="34"/>
      <c r="Y391" s="713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3"/>
      <c r="AP391" s="123"/>
      <c r="AQ391" s="8"/>
      <c r="AR391" s="34"/>
      <c r="AS391" s="713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3"/>
      <c r="BJ391" s="123"/>
      <c r="BK391" s="8"/>
      <c r="BL391" s="34"/>
      <c r="BM391" s="713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3"/>
      <c r="CD391" s="123"/>
      <c r="CE391" s="8"/>
      <c r="CF391" s="34"/>
      <c r="CG391" s="713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3"/>
      <c r="CX391" s="123"/>
      <c r="CY391" s="8"/>
      <c r="CZ391" s="34"/>
      <c r="DA391" s="713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x14ac:dyDescent="0.25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3"/>
      <c r="V392" s="123"/>
      <c r="W392" s="8"/>
      <c r="X392" s="34"/>
      <c r="Y392" s="713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3"/>
      <c r="AP392" s="123"/>
      <c r="AQ392" s="8"/>
      <c r="AR392" s="34"/>
      <c r="AS392" s="713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3"/>
      <c r="BJ392" s="123"/>
      <c r="BK392" s="8"/>
      <c r="BL392" s="34"/>
      <c r="BM392" s="713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3"/>
      <c r="CD392" s="123"/>
      <c r="CE392" s="8"/>
      <c r="CF392" s="34"/>
      <c r="CG392" s="713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3"/>
      <c r="CX392" s="123"/>
      <c r="CY392" s="8"/>
      <c r="CZ392" s="34"/>
      <c r="DA392" s="713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x14ac:dyDescent="0.25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3"/>
      <c r="V393" s="123"/>
      <c r="W393" s="8"/>
      <c r="X393" s="34"/>
      <c r="Y393" s="713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3"/>
      <c r="AP393" s="123"/>
      <c r="AQ393" s="8"/>
      <c r="AR393" s="34"/>
      <c r="AS393" s="713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3"/>
      <c r="BJ393" s="123"/>
      <c r="BK393" s="8"/>
      <c r="BL393" s="34"/>
      <c r="BM393" s="713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3"/>
      <c r="CD393" s="123"/>
      <c r="CE393" s="8"/>
      <c r="CF393" s="34"/>
      <c r="CG393" s="713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3"/>
      <c r="CX393" s="123"/>
      <c r="CY393" s="8"/>
      <c r="CZ393" s="34"/>
      <c r="DA393" s="713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x14ac:dyDescent="0.25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3"/>
      <c r="V394" s="123"/>
      <c r="W394" s="8"/>
      <c r="X394" s="34"/>
      <c r="Y394" s="713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3"/>
      <c r="AP394" s="123"/>
      <c r="AQ394" s="8"/>
      <c r="AR394" s="34"/>
      <c r="AS394" s="713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3"/>
      <c r="BJ394" s="123"/>
      <c r="BK394" s="8"/>
      <c r="BL394" s="34"/>
      <c r="BM394" s="713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3"/>
      <c r="CD394" s="123"/>
      <c r="CE394" s="8"/>
      <c r="CF394" s="34"/>
      <c r="CG394" s="713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3"/>
      <c r="CX394" s="123"/>
      <c r="CY394" s="8"/>
      <c r="CZ394" s="34"/>
      <c r="DA394" s="713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x14ac:dyDescent="0.25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3"/>
      <c r="V395" s="123"/>
      <c r="W395" s="8"/>
      <c r="X395" s="34"/>
      <c r="Y395" s="713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3"/>
      <c r="AP395" s="123"/>
      <c r="AQ395" s="8"/>
      <c r="AR395" s="34"/>
      <c r="AS395" s="713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3"/>
      <c r="BJ395" s="123"/>
      <c r="BK395" s="8"/>
      <c r="BL395" s="34"/>
      <c r="BM395" s="713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3"/>
      <c r="CD395" s="123"/>
      <c r="CE395" s="8"/>
      <c r="CF395" s="34"/>
      <c r="CG395" s="713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3"/>
      <c r="CX395" s="123"/>
      <c r="CY395" s="8"/>
      <c r="CZ395" s="34"/>
      <c r="DA395" s="713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x14ac:dyDescent="0.25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3"/>
      <c r="V396" s="123"/>
      <c r="W396" s="8"/>
      <c r="X396" s="34"/>
      <c r="Y396" s="713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3"/>
      <c r="AP396" s="123"/>
      <c r="AQ396" s="8"/>
      <c r="AR396" s="34"/>
      <c r="AS396" s="713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3"/>
      <c r="BJ396" s="123"/>
      <c r="BK396" s="8"/>
      <c r="BL396" s="34"/>
      <c r="BM396" s="713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3"/>
      <c r="CD396" s="123"/>
      <c r="CE396" s="8"/>
      <c r="CF396" s="34"/>
      <c r="CG396" s="713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3"/>
      <c r="CX396" s="123"/>
      <c r="CY396" s="8"/>
      <c r="CZ396" s="34"/>
      <c r="DA396" s="713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x14ac:dyDescent="0.25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3"/>
      <c r="V397" s="123"/>
      <c r="W397" s="8"/>
      <c r="X397" s="34"/>
      <c r="Y397" s="713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3"/>
      <c r="AP397" s="123"/>
      <c r="AQ397" s="8"/>
      <c r="AR397" s="34"/>
      <c r="AS397" s="713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3"/>
      <c r="BJ397" s="123"/>
      <c r="BK397" s="8"/>
      <c r="BL397" s="34"/>
      <c r="BM397" s="713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3"/>
      <c r="CD397" s="123"/>
      <c r="CE397" s="8"/>
      <c r="CF397" s="34"/>
      <c r="CG397" s="713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3"/>
      <c r="CX397" s="123"/>
      <c r="CY397" s="8"/>
      <c r="CZ397" s="34"/>
      <c r="DA397" s="713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ht="30" x14ac:dyDescent="0.25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3"/>
      <c r="V398" s="123"/>
      <c r="W398" s="8"/>
      <c r="X398" s="34"/>
      <c r="Y398" s="713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3"/>
      <c r="AP398" s="123"/>
      <c r="AQ398" s="8"/>
      <c r="AR398" s="34"/>
      <c r="AS398" s="713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3"/>
      <c r="BJ398" s="123"/>
      <c r="BK398" s="8"/>
      <c r="BL398" s="34"/>
      <c r="BM398" s="713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3"/>
      <c r="CD398" s="123"/>
      <c r="CE398" s="8"/>
      <c r="CF398" s="34"/>
      <c r="CG398" s="713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3"/>
      <c r="CX398" s="123"/>
      <c r="CY398" s="8"/>
      <c r="CZ398" s="34"/>
      <c r="DA398" s="713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x14ac:dyDescent="0.25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3"/>
      <c r="V399" s="123"/>
      <c r="W399" s="8"/>
      <c r="X399" s="34"/>
      <c r="Y399" s="713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3"/>
      <c r="AP399" s="123"/>
      <c r="AQ399" s="8"/>
      <c r="AR399" s="34"/>
      <c r="AS399" s="713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3"/>
      <c r="BJ399" s="123"/>
      <c r="BK399" s="8"/>
      <c r="BL399" s="34"/>
      <c r="BM399" s="713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3"/>
      <c r="CD399" s="123"/>
      <c r="CE399" s="8"/>
      <c r="CF399" s="34"/>
      <c r="CG399" s="713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3"/>
      <c r="CX399" s="123"/>
      <c r="CY399" s="8"/>
      <c r="CZ399" s="34"/>
      <c r="DA399" s="713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ht="30" x14ac:dyDescent="0.25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3"/>
      <c r="V400" s="123"/>
      <c r="W400" s="8"/>
      <c r="X400" s="34"/>
      <c r="Y400" s="713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3"/>
      <c r="AP400" s="123"/>
      <c r="AQ400" s="8"/>
      <c r="AR400" s="34"/>
      <c r="AS400" s="713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3"/>
      <c r="BJ400" s="123"/>
      <c r="BK400" s="8"/>
      <c r="BL400" s="34"/>
      <c r="BM400" s="713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3"/>
      <c r="CD400" s="123"/>
      <c r="CE400" s="8"/>
      <c r="CF400" s="34"/>
      <c r="CG400" s="713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3"/>
      <c r="CX400" s="123"/>
      <c r="CY400" s="8"/>
      <c r="CZ400" s="34"/>
      <c r="DA400" s="713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x14ac:dyDescent="0.25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3"/>
      <c r="V401" s="123"/>
      <c r="W401" s="8"/>
      <c r="X401" s="34"/>
      <c r="Y401" s="713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3"/>
      <c r="AP401" s="123"/>
      <c r="AQ401" s="8"/>
      <c r="AR401" s="34"/>
      <c r="AS401" s="713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3"/>
      <c r="BJ401" s="123"/>
      <c r="BK401" s="8"/>
      <c r="BL401" s="34"/>
      <c r="BM401" s="713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3"/>
      <c r="CD401" s="123"/>
      <c r="CE401" s="8"/>
      <c r="CF401" s="34"/>
      <c r="CG401" s="713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3"/>
      <c r="CX401" s="123"/>
      <c r="CY401" s="8"/>
      <c r="CZ401" s="34"/>
      <c r="DA401" s="713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x14ac:dyDescent="0.25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3"/>
      <c r="V402" s="123"/>
      <c r="W402" s="8"/>
      <c r="X402" s="34"/>
      <c r="Y402" s="713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3"/>
      <c r="AP402" s="123"/>
      <c r="AQ402" s="8"/>
      <c r="AR402" s="34"/>
      <c r="AS402" s="713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3"/>
      <c r="BJ402" s="123"/>
      <c r="BK402" s="8"/>
      <c r="BL402" s="34"/>
      <c r="BM402" s="713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3"/>
      <c r="CD402" s="123"/>
      <c r="CE402" s="8"/>
      <c r="CF402" s="34"/>
      <c r="CG402" s="713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3"/>
      <c r="CX402" s="123"/>
      <c r="CY402" s="8"/>
      <c r="CZ402" s="34"/>
      <c r="DA402" s="713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30" x14ac:dyDescent="0.25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3"/>
      <c r="V403" s="123"/>
      <c r="W403" s="8"/>
      <c r="X403" s="34"/>
      <c r="Y403" s="713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3"/>
      <c r="AP403" s="123"/>
      <c r="AQ403" s="8"/>
      <c r="AR403" s="34"/>
      <c r="AS403" s="713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3"/>
      <c r="BJ403" s="123"/>
      <c r="BK403" s="8"/>
      <c r="BL403" s="34"/>
      <c r="BM403" s="713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3"/>
      <c r="CD403" s="123"/>
      <c r="CE403" s="8"/>
      <c r="CF403" s="34"/>
      <c r="CG403" s="713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3"/>
      <c r="CX403" s="123"/>
      <c r="CY403" s="8"/>
      <c r="CZ403" s="34"/>
      <c r="DA403" s="713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30" x14ac:dyDescent="0.25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3"/>
      <c r="V404" s="123"/>
      <c r="W404" s="8"/>
      <c r="X404" s="34"/>
      <c r="Y404" s="713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3"/>
      <c r="AP404" s="123"/>
      <c r="AQ404" s="8"/>
      <c r="AR404" s="34"/>
      <c r="AS404" s="713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3"/>
      <c r="BJ404" s="123"/>
      <c r="BK404" s="8"/>
      <c r="BL404" s="34"/>
      <c r="BM404" s="713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3"/>
      <c r="CD404" s="123"/>
      <c r="CE404" s="8"/>
      <c r="CF404" s="34"/>
      <c r="CG404" s="713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3"/>
      <c r="CX404" s="123"/>
      <c r="CY404" s="8"/>
      <c r="CZ404" s="34"/>
      <c r="DA404" s="713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x14ac:dyDescent="0.25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26"/>
      <c r="V405" s="356"/>
      <c r="W405" s="357"/>
      <c r="X405" s="358"/>
      <c r="Y405" s="726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26"/>
      <c r="AP405" s="356"/>
      <c r="AQ405" s="357"/>
      <c r="AR405" s="358"/>
      <c r="AS405" s="726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26"/>
      <c r="BJ405" s="356"/>
      <c r="BK405" s="357"/>
      <c r="BL405" s="358"/>
      <c r="BM405" s="726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26"/>
      <c r="CD405" s="356"/>
      <c r="CE405" s="357"/>
      <c r="CF405" s="358"/>
      <c r="CG405" s="726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26"/>
      <c r="CX405" s="356"/>
      <c r="CY405" s="357"/>
      <c r="CZ405" s="358"/>
      <c r="DA405" s="726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25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3"/>
      <c r="V406" s="123"/>
      <c r="W406" s="8"/>
      <c r="X406" s="34"/>
      <c r="Y406" s="713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3"/>
      <c r="AP406" s="123"/>
      <c r="AQ406" s="8"/>
      <c r="AR406" s="34"/>
      <c r="AS406" s="713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3"/>
      <c r="BJ406" s="123"/>
      <c r="BK406" s="8"/>
      <c r="BL406" s="34"/>
      <c r="BM406" s="713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3"/>
      <c r="CD406" s="123"/>
      <c r="CE406" s="8"/>
      <c r="CF406" s="34"/>
      <c r="CG406" s="713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3"/>
      <c r="CX406" s="123"/>
      <c r="CY406" s="8"/>
      <c r="CZ406" s="34"/>
      <c r="DA406" s="713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x14ac:dyDescent="0.25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3"/>
      <c r="V407" s="123"/>
      <c r="W407" s="8"/>
      <c r="X407" s="34"/>
      <c r="Y407" s="713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3"/>
      <c r="AP407" s="123"/>
      <c r="AQ407" s="8"/>
      <c r="AR407" s="34"/>
      <c r="AS407" s="713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3"/>
      <c r="BJ407" s="123"/>
      <c r="BK407" s="8"/>
      <c r="BL407" s="34"/>
      <c r="BM407" s="713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3"/>
      <c r="CD407" s="123"/>
      <c r="CE407" s="8"/>
      <c r="CF407" s="34"/>
      <c r="CG407" s="713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3"/>
      <c r="CX407" s="123"/>
      <c r="CY407" s="8"/>
      <c r="CZ407" s="34"/>
      <c r="DA407" s="713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x14ac:dyDescent="0.25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3"/>
      <c r="V408" s="123"/>
      <c r="W408" s="8"/>
      <c r="X408" s="34"/>
      <c r="Y408" s="713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3"/>
      <c r="AP408" s="123"/>
      <c r="AQ408" s="8"/>
      <c r="AR408" s="34"/>
      <c r="AS408" s="713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3"/>
      <c r="BJ408" s="123"/>
      <c r="BK408" s="8"/>
      <c r="BL408" s="34"/>
      <c r="BM408" s="713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3"/>
      <c r="CD408" s="123"/>
      <c r="CE408" s="8"/>
      <c r="CF408" s="34"/>
      <c r="CG408" s="713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3"/>
      <c r="CX408" s="123"/>
      <c r="CY408" s="8"/>
      <c r="CZ408" s="34"/>
      <c r="DA408" s="713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x14ac:dyDescent="0.25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3"/>
      <c r="V409" s="123"/>
      <c r="W409" s="8"/>
      <c r="X409" s="34"/>
      <c r="Y409" s="713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3"/>
      <c r="AP409" s="123"/>
      <c r="AQ409" s="8"/>
      <c r="AR409" s="34"/>
      <c r="AS409" s="713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3"/>
      <c r="BJ409" s="123"/>
      <c r="BK409" s="8"/>
      <c r="BL409" s="34"/>
      <c r="BM409" s="713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3"/>
      <c r="CD409" s="123"/>
      <c r="CE409" s="8"/>
      <c r="CF409" s="34"/>
      <c r="CG409" s="713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3"/>
      <c r="CX409" s="123"/>
      <c r="CY409" s="8"/>
      <c r="CZ409" s="34"/>
      <c r="DA409" s="713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x14ac:dyDescent="0.25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3"/>
      <c r="V410" s="123"/>
      <c r="W410" s="8"/>
      <c r="X410" s="34"/>
      <c r="Y410" s="713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3"/>
      <c r="AP410" s="123"/>
      <c r="AQ410" s="8"/>
      <c r="AR410" s="34"/>
      <c r="AS410" s="713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3"/>
      <c r="BJ410" s="123"/>
      <c r="BK410" s="8"/>
      <c r="BL410" s="34"/>
      <c r="BM410" s="713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3"/>
      <c r="CD410" s="123"/>
      <c r="CE410" s="8"/>
      <c r="CF410" s="34"/>
      <c r="CG410" s="713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3"/>
      <c r="CX410" s="123"/>
      <c r="CY410" s="8"/>
      <c r="CZ410" s="34"/>
      <c r="DA410" s="713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x14ac:dyDescent="0.25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3"/>
      <c r="V411" s="123"/>
      <c r="W411" s="8"/>
      <c r="X411" s="34"/>
      <c r="Y411" s="713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3"/>
      <c r="AP411" s="123"/>
      <c r="AQ411" s="8"/>
      <c r="AR411" s="34"/>
      <c r="AS411" s="713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3"/>
      <c r="BJ411" s="123"/>
      <c r="BK411" s="8"/>
      <c r="BL411" s="34"/>
      <c r="BM411" s="713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3"/>
      <c r="CD411" s="123"/>
      <c r="CE411" s="8"/>
      <c r="CF411" s="34"/>
      <c r="CG411" s="713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3"/>
      <c r="CX411" s="123"/>
      <c r="CY411" s="8"/>
      <c r="CZ411" s="34"/>
      <c r="DA411" s="713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x14ac:dyDescent="0.25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3"/>
      <c r="V412" s="123"/>
      <c r="W412" s="8"/>
      <c r="X412" s="34"/>
      <c r="Y412" s="713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3"/>
      <c r="AP412" s="123"/>
      <c r="AQ412" s="8"/>
      <c r="AR412" s="34"/>
      <c r="AS412" s="713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3"/>
      <c r="BJ412" s="123"/>
      <c r="BK412" s="8"/>
      <c r="BL412" s="34"/>
      <c r="BM412" s="713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3"/>
      <c r="CD412" s="123"/>
      <c r="CE412" s="8"/>
      <c r="CF412" s="34"/>
      <c r="CG412" s="713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3"/>
      <c r="CX412" s="123"/>
      <c r="CY412" s="8"/>
      <c r="CZ412" s="34"/>
      <c r="DA412" s="713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x14ac:dyDescent="0.25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18"/>
      <c r="V413" s="366"/>
      <c r="W413" s="367"/>
      <c r="X413" s="368"/>
      <c r="Y413" s="718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18"/>
      <c r="AP413" s="366"/>
      <c r="AQ413" s="367"/>
      <c r="AR413" s="368"/>
      <c r="AS413" s="718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18"/>
      <c r="BJ413" s="366"/>
      <c r="BK413" s="367"/>
      <c r="BL413" s="368"/>
      <c r="BM413" s="718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18"/>
      <c r="CD413" s="366"/>
      <c r="CE413" s="367"/>
      <c r="CF413" s="368"/>
      <c r="CG413" s="718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18"/>
      <c r="CX413" s="366"/>
      <c r="CY413" s="367"/>
      <c r="CZ413" s="368"/>
      <c r="DA413" s="718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25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x14ac:dyDescent="0.25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x14ac:dyDescent="0.25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x14ac:dyDescent="0.25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x14ac:dyDescent="0.25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x14ac:dyDescent="0.25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x14ac:dyDescent="0.25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x14ac:dyDescent="0.25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18"/>
      <c r="V421" s="366"/>
      <c r="W421" s="367"/>
      <c r="X421" s="368"/>
      <c r="Y421" s="718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18"/>
      <c r="AP421" s="366"/>
      <c r="AQ421" s="367"/>
      <c r="AR421" s="368"/>
      <c r="AS421" s="718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18"/>
      <c r="BJ421" s="366"/>
      <c r="BK421" s="367"/>
      <c r="BL421" s="368"/>
      <c r="BM421" s="718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18"/>
      <c r="CD421" s="366"/>
      <c r="CE421" s="367"/>
      <c r="CF421" s="368"/>
      <c r="CG421" s="718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18"/>
      <c r="CX421" s="366"/>
      <c r="CY421" s="367"/>
      <c r="CZ421" s="368"/>
      <c r="DA421" s="718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25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x14ac:dyDescent="0.25">
      <c r="A423" s="75"/>
      <c r="B423" s="74" t="s">
        <v>457</v>
      </c>
      <c r="C423" s="75"/>
      <c r="D423" s="13" t="s">
        <v>483</v>
      </c>
      <c r="E423" s="750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2"/>
      <c r="V423" s="129"/>
      <c r="W423" s="130"/>
      <c r="X423" s="79"/>
      <c r="Y423" s="712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2"/>
      <c r="AP423" s="129"/>
      <c r="AQ423" s="130"/>
      <c r="AR423" s="79"/>
      <c r="AS423" s="712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2"/>
      <c r="BJ423" s="129"/>
      <c r="BK423" s="130"/>
      <c r="BL423" s="79"/>
      <c r="BM423" s="712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2"/>
      <c r="CD423" s="129"/>
      <c r="CE423" s="130"/>
      <c r="CF423" s="79"/>
      <c r="CG423" s="712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2"/>
      <c r="CX423" s="129"/>
      <c r="CY423" s="130"/>
      <c r="CZ423" s="79"/>
      <c r="DA423" s="712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x14ac:dyDescent="0.25">
      <c r="A424" s="75"/>
      <c r="B424" s="11" t="s">
        <v>458</v>
      </c>
      <c r="C424" s="75"/>
      <c r="D424" s="13" t="s">
        <v>318</v>
      </c>
      <c r="E424" s="750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2"/>
      <c r="V424" s="129"/>
      <c r="W424" s="130"/>
      <c r="X424" s="79"/>
      <c r="Y424" s="712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2"/>
      <c r="AP424" s="129"/>
      <c r="AQ424" s="130"/>
      <c r="AR424" s="79"/>
      <c r="AS424" s="712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2"/>
      <c r="BJ424" s="129"/>
      <c r="BK424" s="130"/>
      <c r="BL424" s="79"/>
      <c r="BM424" s="712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2"/>
      <c r="CD424" s="129"/>
      <c r="CE424" s="130"/>
      <c r="CF424" s="79"/>
      <c r="CG424" s="712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2"/>
      <c r="CX424" s="129"/>
      <c r="CY424" s="130"/>
      <c r="CZ424" s="79"/>
      <c r="DA424" s="712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x14ac:dyDescent="0.25">
      <c r="A425" s="75"/>
      <c r="B425" s="11" t="s">
        <v>456</v>
      </c>
      <c r="C425" s="75"/>
      <c r="D425" s="13" t="s">
        <v>482</v>
      </c>
      <c r="E425" s="750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2"/>
      <c r="V425" s="129"/>
      <c r="W425" s="130"/>
      <c r="X425" s="79"/>
      <c r="Y425" s="712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2"/>
      <c r="AP425" s="129"/>
      <c r="AQ425" s="130"/>
      <c r="AR425" s="79"/>
      <c r="AS425" s="712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2"/>
      <c r="BJ425" s="129"/>
      <c r="BK425" s="130"/>
      <c r="BL425" s="79"/>
      <c r="BM425" s="712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2"/>
      <c r="CD425" s="129"/>
      <c r="CE425" s="130"/>
      <c r="CF425" s="79"/>
      <c r="CG425" s="712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2"/>
      <c r="CX425" s="129"/>
      <c r="CY425" s="130"/>
      <c r="CZ425" s="79"/>
      <c r="DA425" s="712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x14ac:dyDescent="0.25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18"/>
      <c r="V426" s="366"/>
      <c r="W426" s="367"/>
      <c r="X426" s="368"/>
      <c r="Y426" s="718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18"/>
      <c r="AP426" s="366"/>
      <c r="AQ426" s="367"/>
      <c r="AR426" s="368"/>
      <c r="AS426" s="718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18"/>
      <c r="BJ426" s="366"/>
      <c r="BK426" s="367"/>
      <c r="BL426" s="368"/>
      <c r="BM426" s="718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18"/>
      <c r="CD426" s="366"/>
      <c r="CE426" s="367"/>
      <c r="CF426" s="368"/>
      <c r="CG426" s="718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18"/>
      <c r="CX426" s="366"/>
      <c r="CY426" s="367"/>
      <c r="CZ426" s="368"/>
      <c r="DA426" s="718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25">
      <c r="A427" s="75"/>
      <c r="B427" s="74" t="s">
        <v>617</v>
      </c>
      <c r="C427" s="75"/>
      <c r="D427" s="13" t="s">
        <v>313</v>
      </c>
      <c r="E427" s="750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2"/>
      <c r="V427" s="129"/>
      <c r="W427" s="130"/>
      <c r="X427" s="79"/>
      <c r="Y427" s="712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2"/>
      <c r="AP427" s="129"/>
      <c r="AQ427" s="130"/>
      <c r="AR427" s="79"/>
      <c r="AS427" s="712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2"/>
      <c r="BJ427" s="129"/>
      <c r="BK427" s="130"/>
      <c r="BL427" s="79"/>
      <c r="BM427" s="712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2"/>
      <c r="CD427" s="129"/>
      <c r="CE427" s="130"/>
      <c r="CF427" s="79"/>
      <c r="CG427" s="712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2"/>
      <c r="CX427" s="129"/>
      <c r="CY427" s="130"/>
      <c r="CZ427" s="79"/>
      <c r="DA427" s="712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x14ac:dyDescent="0.25">
      <c r="A428" s="75"/>
      <c r="B428" s="74" t="s">
        <v>618</v>
      </c>
      <c r="C428" s="75"/>
      <c r="D428" s="13" t="s">
        <v>483</v>
      </c>
      <c r="E428" s="750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2"/>
      <c r="V428" s="129"/>
      <c r="W428" s="130"/>
      <c r="X428" s="79"/>
      <c r="Y428" s="712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2"/>
      <c r="AP428" s="129"/>
      <c r="AQ428" s="130"/>
      <c r="AR428" s="79"/>
      <c r="AS428" s="712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2"/>
      <c r="BJ428" s="129"/>
      <c r="BK428" s="130"/>
      <c r="BL428" s="79"/>
      <c r="BM428" s="712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2"/>
      <c r="CD428" s="129"/>
      <c r="CE428" s="130"/>
      <c r="CF428" s="79"/>
      <c r="CG428" s="712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2"/>
      <c r="CX428" s="129"/>
      <c r="CY428" s="130"/>
      <c r="CZ428" s="79"/>
      <c r="DA428" s="712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x14ac:dyDescent="0.25">
      <c r="A429" s="75"/>
      <c r="B429" s="11" t="s">
        <v>619</v>
      </c>
      <c r="C429" s="75"/>
      <c r="D429" s="13" t="s">
        <v>318</v>
      </c>
      <c r="E429" s="750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2"/>
      <c r="V429" s="129"/>
      <c r="W429" s="130"/>
      <c r="X429" s="79"/>
      <c r="Y429" s="712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2"/>
      <c r="AP429" s="129"/>
      <c r="AQ429" s="130"/>
      <c r="AR429" s="79"/>
      <c r="AS429" s="712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2"/>
      <c r="BJ429" s="129"/>
      <c r="BK429" s="130"/>
      <c r="BL429" s="79"/>
      <c r="BM429" s="712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2"/>
      <c r="CD429" s="129"/>
      <c r="CE429" s="130"/>
      <c r="CF429" s="79"/>
      <c r="CG429" s="712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2"/>
      <c r="CX429" s="129"/>
      <c r="CY429" s="130"/>
      <c r="CZ429" s="79"/>
      <c r="DA429" s="712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.75" thickBot="1" x14ac:dyDescent="0.3">
      <c r="A430" s="19"/>
      <c r="B430" s="12" t="s">
        <v>620</v>
      </c>
      <c r="C430" s="19"/>
      <c r="D430" s="13" t="s">
        <v>482</v>
      </c>
      <c r="E430" s="750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.75" thickBot="1" x14ac:dyDescent="0.3">
      <c r="G431" s="3"/>
      <c r="P431" s="248"/>
      <c r="AJ431" s="248"/>
      <c r="BD431" s="248"/>
      <c r="BX431" s="248"/>
      <c r="CR431" s="248"/>
      <c r="DL431" s="248"/>
    </row>
    <row r="432" spans="1:117" ht="15.75" thickBot="1" x14ac:dyDescent="0.3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36"/>
      <c r="AD432" s="736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36"/>
      <c r="AX432" s="736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36"/>
      <c r="BR432" s="736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36"/>
      <c r="CL432" s="736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36"/>
      <c r="DF432" s="736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25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25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3"/>
      <c r="V434" s="123"/>
      <c r="W434" s="8"/>
      <c r="X434" s="34"/>
      <c r="Y434" s="713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3"/>
      <c r="AP434" s="123"/>
      <c r="AQ434" s="8"/>
      <c r="AR434" s="34"/>
      <c r="AS434" s="713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3"/>
      <c r="BJ434" s="123"/>
      <c r="BK434" s="8"/>
      <c r="BL434" s="34"/>
      <c r="BM434" s="713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3"/>
      <c r="CD434" s="123"/>
      <c r="CE434" s="8"/>
      <c r="CF434" s="34"/>
      <c r="CG434" s="713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3"/>
      <c r="CX434" s="123"/>
      <c r="CY434" s="8"/>
      <c r="CZ434" s="34"/>
      <c r="DA434" s="713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x14ac:dyDescent="0.25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3"/>
      <c r="AD435" s="713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3"/>
      <c r="AX435" s="713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3"/>
      <c r="BR435" s="713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3"/>
      <c r="CL435" s="713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3"/>
      <c r="DF435" s="713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x14ac:dyDescent="0.25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3"/>
      <c r="AD436" s="713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3"/>
      <c r="AX436" s="713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3"/>
      <c r="BR436" s="713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3"/>
      <c r="CL436" s="713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3"/>
      <c r="DF436" s="713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x14ac:dyDescent="0.25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3"/>
      <c r="AD437" s="713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3"/>
      <c r="AX437" s="713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3"/>
      <c r="BR437" s="713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3"/>
      <c r="CL437" s="713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3"/>
      <c r="DF437" s="713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x14ac:dyDescent="0.25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3"/>
      <c r="AD438" s="713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3"/>
      <c r="AX438" s="713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3"/>
      <c r="BR438" s="713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3"/>
      <c r="CL438" s="713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3"/>
      <c r="DF438" s="713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.75" thickBot="1" x14ac:dyDescent="0.3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.75" thickBot="1" x14ac:dyDescent="0.3">
      <c r="G440" s="3"/>
      <c r="P440" s="248"/>
      <c r="AJ440" s="248"/>
      <c r="BD440" s="248"/>
      <c r="BX440" s="248"/>
      <c r="CR440" s="248"/>
      <c r="DL440" s="248"/>
    </row>
    <row r="441" spans="1:117" ht="15.75" thickBot="1" x14ac:dyDescent="0.3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36"/>
      <c r="AD441" s="736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36"/>
      <c r="AX441" s="736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36"/>
      <c r="BR441" s="736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36"/>
      <c r="CL441" s="736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36"/>
      <c r="DF441" s="736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25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x14ac:dyDescent="0.25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3"/>
      <c r="V443" s="123"/>
      <c r="W443" s="8"/>
      <c r="X443" s="34"/>
      <c r="Y443" s="713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3"/>
      <c r="AP443" s="123"/>
      <c r="AQ443" s="8"/>
      <c r="AR443" s="34"/>
      <c r="AS443" s="713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3"/>
      <c r="BJ443" s="123"/>
      <c r="BK443" s="8"/>
      <c r="BL443" s="34"/>
      <c r="BM443" s="713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3"/>
      <c r="CD443" s="123"/>
      <c r="CE443" s="8"/>
      <c r="CF443" s="34"/>
      <c r="CG443" s="713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3"/>
      <c r="CX443" s="123"/>
      <c r="CY443" s="8"/>
      <c r="CZ443" s="34"/>
      <c r="DA443" s="713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x14ac:dyDescent="0.25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3"/>
      <c r="V444" s="123"/>
      <c r="W444" s="8"/>
      <c r="X444" s="34"/>
      <c r="Y444" s="713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3"/>
      <c r="AP444" s="123"/>
      <c r="AQ444" s="8"/>
      <c r="AR444" s="34"/>
      <c r="AS444" s="713"/>
      <c r="AT444" s="20"/>
      <c r="AU444" s="8"/>
      <c r="AV444" s="34"/>
      <c r="AW444" s="713"/>
      <c r="AX444" s="713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3"/>
      <c r="BJ444" s="123"/>
      <c r="BK444" s="8"/>
      <c r="BL444" s="34"/>
      <c r="BM444" s="713"/>
      <c r="BN444" s="20"/>
      <c r="BO444" s="8"/>
      <c r="BP444" s="34"/>
      <c r="BQ444" s="713"/>
      <c r="BR444" s="713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3"/>
      <c r="CD444" s="123"/>
      <c r="CE444" s="8"/>
      <c r="CF444" s="34"/>
      <c r="CG444" s="713"/>
      <c r="CH444" s="20"/>
      <c r="CI444" s="8"/>
      <c r="CJ444" s="34"/>
      <c r="CK444" s="713"/>
      <c r="CL444" s="713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3"/>
      <c r="CX444" s="123"/>
      <c r="CY444" s="8"/>
      <c r="CZ444" s="34"/>
      <c r="DA444" s="713"/>
      <c r="DB444" s="20"/>
      <c r="DC444" s="8"/>
      <c r="DD444" s="34"/>
      <c r="DE444" s="713"/>
      <c r="DF444" s="713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25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3"/>
      <c r="V445" s="123"/>
      <c r="W445" s="8"/>
      <c r="X445" s="34"/>
      <c r="Y445" s="713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3"/>
      <c r="AP445" s="123"/>
      <c r="AQ445" s="8"/>
      <c r="AR445" s="34"/>
      <c r="AS445" s="713"/>
      <c r="AT445" s="20"/>
      <c r="AU445" s="8"/>
      <c r="AV445" s="34"/>
      <c r="AW445" s="713"/>
      <c r="AX445" s="713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3"/>
      <c r="BJ445" s="123"/>
      <c r="BK445" s="8"/>
      <c r="BL445" s="34"/>
      <c r="BM445" s="713"/>
      <c r="BN445" s="20"/>
      <c r="BO445" s="8"/>
      <c r="BP445" s="34"/>
      <c r="BQ445" s="713"/>
      <c r="BR445" s="713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3"/>
      <c r="CD445" s="123"/>
      <c r="CE445" s="8"/>
      <c r="CF445" s="34"/>
      <c r="CG445" s="713"/>
      <c r="CH445" s="20"/>
      <c r="CI445" s="8"/>
      <c r="CJ445" s="34"/>
      <c r="CK445" s="713"/>
      <c r="CL445" s="713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3"/>
      <c r="CX445" s="123"/>
      <c r="CY445" s="8"/>
      <c r="CZ445" s="34"/>
      <c r="DA445" s="713"/>
      <c r="DB445" s="20"/>
      <c r="DC445" s="8"/>
      <c r="DD445" s="34"/>
      <c r="DE445" s="713"/>
      <c r="DF445" s="713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x14ac:dyDescent="0.25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3"/>
      <c r="V446" s="123"/>
      <c r="W446" s="8"/>
      <c r="X446" s="34"/>
      <c r="Y446" s="713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3"/>
      <c r="AP446" s="123"/>
      <c r="AQ446" s="8"/>
      <c r="AR446" s="34"/>
      <c r="AS446" s="713"/>
      <c r="AT446" s="20"/>
      <c r="AU446" s="8"/>
      <c r="AV446" s="34"/>
      <c r="AW446" s="713"/>
      <c r="AX446" s="713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3"/>
      <c r="BJ446" s="123"/>
      <c r="BK446" s="8"/>
      <c r="BL446" s="34"/>
      <c r="BM446" s="713"/>
      <c r="BN446" s="20"/>
      <c r="BO446" s="8"/>
      <c r="BP446" s="34"/>
      <c r="BQ446" s="713"/>
      <c r="BR446" s="713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3"/>
      <c r="CD446" s="123"/>
      <c r="CE446" s="8"/>
      <c r="CF446" s="34"/>
      <c r="CG446" s="713"/>
      <c r="CH446" s="20"/>
      <c r="CI446" s="8"/>
      <c r="CJ446" s="34"/>
      <c r="CK446" s="713"/>
      <c r="CL446" s="713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3"/>
      <c r="CX446" s="123"/>
      <c r="CY446" s="8"/>
      <c r="CZ446" s="34"/>
      <c r="DA446" s="713"/>
      <c r="DB446" s="20"/>
      <c r="DC446" s="8"/>
      <c r="DD446" s="34"/>
      <c r="DE446" s="713"/>
      <c r="DF446" s="713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x14ac:dyDescent="0.25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3"/>
      <c r="AX447" s="713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3"/>
      <c r="BR447" s="713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3"/>
      <c r="CL447" s="713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3"/>
      <c r="DF447" s="713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x14ac:dyDescent="0.25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3"/>
      <c r="AX448" s="713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3"/>
      <c r="BR448" s="713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3"/>
      <c r="CL448" s="713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3"/>
      <c r="DF448" s="713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x14ac:dyDescent="0.25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3"/>
      <c r="AX449" s="713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3"/>
      <c r="BR449" s="713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3"/>
      <c r="CL449" s="713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3"/>
      <c r="DF449" s="713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x14ac:dyDescent="0.25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3"/>
      <c r="AX450" s="713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3"/>
      <c r="BR450" s="713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3"/>
      <c r="CL450" s="713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3"/>
      <c r="DF450" s="713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.75" thickBot="1" x14ac:dyDescent="0.3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.75" thickBot="1" x14ac:dyDescent="0.3">
      <c r="G452" s="3"/>
      <c r="P452" s="248"/>
      <c r="AJ452" s="248"/>
      <c r="BD452" s="248"/>
      <c r="BX452" s="248"/>
      <c r="CR452" s="248"/>
      <c r="DL452" s="248"/>
    </row>
    <row r="453" spans="1:117" ht="15.75" thickBot="1" x14ac:dyDescent="0.3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25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3"/>
      <c r="V454" s="123"/>
      <c r="W454" s="8"/>
      <c r="X454" s="34"/>
      <c r="Y454" s="713"/>
      <c r="Z454" s="20"/>
      <c r="AA454" s="8"/>
      <c r="AB454" s="34"/>
      <c r="AC454" s="713"/>
      <c r="AD454" s="713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3"/>
      <c r="AP454" s="123"/>
      <c r="AQ454" s="8"/>
      <c r="AR454" s="34"/>
      <c r="AS454" s="713"/>
      <c r="AT454" s="20"/>
      <c r="AU454" s="8"/>
      <c r="AV454" s="34"/>
      <c r="AW454" s="713"/>
      <c r="AX454" s="713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3"/>
      <c r="BJ454" s="123"/>
      <c r="BK454" s="8"/>
      <c r="BL454" s="34"/>
      <c r="BM454" s="713"/>
      <c r="BN454" s="20"/>
      <c r="BO454" s="8"/>
      <c r="BP454" s="34"/>
      <c r="BQ454" s="713"/>
      <c r="BR454" s="713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3"/>
      <c r="CD454" s="123"/>
      <c r="CE454" s="8"/>
      <c r="CF454" s="34"/>
      <c r="CG454" s="713"/>
      <c r="CH454" s="20"/>
      <c r="CI454" s="8"/>
      <c r="CJ454" s="34"/>
      <c r="CK454" s="713"/>
      <c r="CL454" s="713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3"/>
      <c r="CX454" s="123"/>
      <c r="CY454" s="8"/>
      <c r="CZ454" s="34"/>
      <c r="DA454" s="713"/>
      <c r="DB454" s="20"/>
      <c r="DC454" s="8"/>
      <c r="DD454" s="34"/>
      <c r="DE454" s="713"/>
      <c r="DF454" s="713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30" x14ac:dyDescent="0.25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3"/>
      <c r="V455" s="123"/>
      <c r="W455" s="8"/>
      <c r="X455" s="34"/>
      <c r="Y455" s="713"/>
      <c r="Z455" s="20"/>
      <c r="AA455" s="8"/>
      <c r="AB455" s="34"/>
      <c r="AC455" s="713"/>
      <c r="AD455" s="713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3"/>
      <c r="AP455" s="123"/>
      <c r="AQ455" s="8"/>
      <c r="AR455" s="34"/>
      <c r="AS455" s="713"/>
      <c r="AT455" s="20"/>
      <c r="AU455" s="8"/>
      <c r="AV455" s="34"/>
      <c r="AW455" s="713"/>
      <c r="AX455" s="713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3"/>
      <c r="BJ455" s="123"/>
      <c r="BK455" s="8"/>
      <c r="BL455" s="34"/>
      <c r="BM455" s="713"/>
      <c r="BN455" s="20"/>
      <c r="BO455" s="8"/>
      <c r="BP455" s="34"/>
      <c r="BQ455" s="713"/>
      <c r="BR455" s="713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3"/>
      <c r="CD455" s="123"/>
      <c r="CE455" s="8"/>
      <c r="CF455" s="34"/>
      <c r="CG455" s="713"/>
      <c r="CH455" s="20"/>
      <c r="CI455" s="8"/>
      <c r="CJ455" s="34"/>
      <c r="CK455" s="713"/>
      <c r="CL455" s="713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3"/>
      <c r="CX455" s="123"/>
      <c r="CY455" s="8"/>
      <c r="CZ455" s="34"/>
      <c r="DA455" s="713"/>
      <c r="DB455" s="20"/>
      <c r="DC455" s="8"/>
      <c r="DD455" s="34"/>
      <c r="DE455" s="713"/>
      <c r="DF455" s="713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ht="30" x14ac:dyDescent="0.25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3"/>
      <c r="V456" s="123"/>
      <c r="W456" s="8"/>
      <c r="X456" s="34"/>
      <c r="Y456" s="713"/>
      <c r="Z456" s="20"/>
      <c r="AA456" s="8"/>
      <c r="AB456" s="34"/>
      <c r="AC456" s="713"/>
      <c r="AD456" s="713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3"/>
      <c r="AP456" s="123"/>
      <c r="AQ456" s="8"/>
      <c r="AR456" s="34"/>
      <c r="AS456" s="713"/>
      <c r="AT456" s="20"/>
      <c r="AU456" s="8"/>
      <c r="AV456" s="34"/>
      <c r="AW456" s="713"/>
      <c r="AX456" s="713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3"/>
      <c r="BJ456" s="123"/>
      <c r="BK456" s="8"/>
      <c r="BL456" s="34"/>
      <c r="BM456" s="713"/>
      <c r="BN456" s="20"/>
      <c r="BO456" s="8"/>
      <c r="BP456" s="34"/>
      <c r="BQ456" s="713"/>
      <c r="BR456" s="713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3"/>
      <c r="CD456" s="123"/>
      <c r="CE456" s="8"/>
      <c r="CF456" s="34"/>
      <c r="CG456" s="713"/>
      <c r="CH456" s="20"/>
      <c r="CI456" s="8"/>
      <c r="CJ456" s="34"/>
      <c r="CK456" s="713"/>
      <c r="CL456" s="713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3"/>
      <c r="CX456" s="123"/>
      <c r="CY456" s="8"/>
      <c r="CZ456" s="34"/>
      <c r="DA456" s="713"/>
      <c r="DB456" s="20"/>
      <c r="DC456" s="8"/>
      <c r="DD456" s="34"/>
      <c r="DE456" s="713"/>
      <c r="DF456" s="713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x14ac:dyDescent="0.25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x14ac:dyDescent="0.25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x14ac:dyDescent="0.25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V459" s="433"/>
      <c r="W459" s="416"/>
      <c r="X459" s="415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J459" s="433"/>
      <c r="BK459" s="416"/>
      <c r="BL459" s="415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D459" s="433"/>
      <c r="CE459" s="416"/>
      <c r="CF459" s="415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X459" s="433"/>
      <c r="CY459" s="416"/>
      <c r="CZ459" s="415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x14ac:dyDescent="0.25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x14ac:dyDescent="0.25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V461" s="433"/>
      <c r="W461" s="416"/>
      <c r="X461" s="415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J461" s="433"/>
      <c r="BK461" s="416"/>
      <c r="BL461" s="415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D461" s="433"/>
      <c r="CE461" s="416"/>
      <c r="CF461" s="415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X461" s="433"/>
      <c r="CY461" s="416"/>
      <c r="CZ461" s="415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.75" thickBot="1" x14ac:dyDescent="0.3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4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4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4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4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4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.75" thickBot="1" x14ac:dyDescent="0.3">
      <c r="G463" s="3"/>
      <c r="P463" s="248"/>
      <c r="AJ463" s="248"/>
      <c r="BD463" s="248"/>
      <c r="BX463" s="248"/>
      <c r="CR463" s="248"/>
      <c r="DL463" s="248"/>
    </row>
    <row r="464" spans="1:117" ht="15.75" thickBot="1" x14ac:dyDescent="0.3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25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3"/>
      <c r="V465" s="123"/>
      <c r="W465" s="8"/>
      <c r="X465" s="34"/>
      <c r="Y465" s="713"/>
      <c r="Z465" s="20"/>
      <c r="AA465" s="8"/>
      <c r="AB465" s="34"/>
      <c r="AC465" s="713"/>
      <c r="AD465" s="713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3"/>
      <c r="AP465" s="123"/>
      <c r="AQ465" s="8"/>
      <c r="AR465" s="34"/>
      <c r="AS465" s="713"/>
      <c r="AT465" s="20"/>
      <c r="AU465" s="8"/>
      <c r="AV465" s="34"/>
      <c r="AW465" s="713"/>
      <c r="AX465" s="713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3"/>
      <c r="BJ465" s="123"/>
      <c r="BK465" s="8"/>
      <c r="BL465" s="34"/>
      <c r="BM465" s="713"/>
      <c r="BN465" s="20"/>
      <c r="BO465" s="8"/>
      <c r="BP465" s="34"/>
      <c r="BQ465" s="713"/>
      <c r="BR465" s="713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3"/>
      <c r="CD465" s="123"/>
      <c r="CE465" s="8"/>
      <c r="CF465" s="34"/>
      <c r="CG465" s="713"/>
      <c r="CH465" s="20"/>
      <c r="CI465" s="8"/>
      <c r="CJ465" s="34"/>
      <c r="CK465" s="713"/>
      <c r="CL465" s="713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3"/>
      <c r="CX465" s="123"/>
      <c r="CY465" s="8"/>
      <c r="CZ465" s="34"/>
      <c r="DA465" s="713"/>
      <c r="DB465" s="20"/>
      <c r="DC465" s="8"/>
      <c r="DD465" s="34"/>
      <c r="DE465" s="713"/>
      <c r="DF465" s="713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25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V466" s="433"/>
      <c r="W466" s="416"/>
      <c r="X466" s="415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P466" s="433"/>
      <c r="AQ466" s="416"/>
      <c r="AR466" s="415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J466" s="433"/>
      <c r="BK466" s="416"/>
      <c r="BL466" s="415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D466" s="433"/>
      <c r="CE466" s="416"/>
      <c r="CF466" s="415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X466" s="433"/>
      <c r="CY466" s="416"/>
      <c r="CZ466" s="415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.75" thickBot="1" x14ac:dyDescent="0.3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4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4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4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4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4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.75" thickBot="1" x14ac:dyDescent="0.3">
      <c r="P468" s="248"/>
      <c r="AJ468" s="248"/>
      <c r="BD468" s="248"/>
      <c r="BX468" s="248"/>
      <c r="CR468" s="248"/>
      <c r="DL468" s="248"/>
    </row>
    <row r="469" spans="1:117" ht="15.75" thickBot="1" x14ac:dyDescent="0.3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25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3"/>
      <c r="V470" s="123"/>
      <c r="W470" s="8"/>
      <c r="X470" s="34"/>
      <c r="Y470" s="713"/>
      <c r="Z470" s="20"/>
      <c r="AA470" s="8"/>
      <c r="AB470" s="34"/>
      <c r="AC470" s="713"/>
      <c r="AD470" s="713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3"/>
      <c r="AP470" s="123"/>
      <c r="AQ470" s="8"/>
      <c r="AR470" s="34"/>
      <c r="AS470" s="713"/>
      <c r="AT470" s="20"/>
      <c r="AU470" s="8"/>
      <c r="AV470" s="34"/>
      <c r="AW470" s="713"/>
      <c r="AX470" s="713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3"/>
      <c r="BJ470" s="123"/>
      <c r="BK470" s="8"/>
      <c r="BL470" s="34"/>
      <c r="BM470" s="713"/>
      <c r="BN470" s="20"/>
      <c r="BO470" s="8"/>
      <c r="BP470" s="34"/>
      <c r="BQ470" s="713"/>
      <c r="BR470" s="713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3"/>
      <c r="CD470" s="123"/>
      <c r="CE470" s="8"/>
      <c r="CF470" s="34"/>
      <c r="CG470" s="713"/>
      <c r="CH470" s="20"/>
      <c r="CI470" s="8"/>
      <c r="CJ470" s="34"/>
      <c r="CK470" s="713"/>
      <c r="CL470" s="713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3"/>
      <c r="CX470" s="123"/>
      <c r="CY470" s="8"/>
      <c r="CZ470" s="34"/>
      <c r="DA470" s="713"/>
      <c r="DB470" s="20"/>
      <c r="DC470" s="8"/>
      <c r="DD470" s="34"/>
      <c r="DE470" s="713"/>
      <c r="DF470" s="713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25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x14ac:dyDescent="0.25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x14ac:dyDescent="0.25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x14ac:dyDescent="0.25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.75" thickBot="1" x14ac:dyDescent="0.3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4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4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4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4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4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.75" thickBot="1" x14ac:dyDescent="0.3">
      <c r="P476" s="248"/>
      <c r="AJ476" s="248"/>
      <c r="BD476" s="248"/>
      <c r="BX476" s="248"/>
      <c r="CR476" s="248"/>
      <c r="DL476" s="248"/>
    </row>
    <row r="477" spans="1:117" ht="15.75" thickBot="1" x14ac:dyDescent="0.3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27"/>
      <c r="V477" s="267">
        <f>SUM(V478:V499)</f>
        <v>0</v>
      </c>
      <c r="W477" s="268">
        <f>SUM(W478:W499)</f>
        <v>0</v>
      </c>
      <c r="X477" s="269"/>
      <c r="Y477" s="727"/>
      <c r="Z477" s="267">
        <f>SUM(Z478:Z499)</f>
        <v>0</v>
      </c>
      <c r="AA477" s="268">
        <f>SUM(AA478:AA499)</f>
        <v>0</v>
      </c>
      <c r="AB477" s="269"/>
      <c r="AC477" s="727"/>
      <c r="AD477" s="727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27"/>
      <c r="AP477" s="267">
        <f>SUM(AP478:AP499)</f>
        <v>0</v>
      </c>
      <c r="AQ477" s="268">
        <f>SUM(AQ478:AQ499)</f>
        <v>0</v>
      </c>
      <c r="AR477" s="269"/>
      <c r="AS477" s="727"/>
      <c r="AT477" s="267">
        <f>SUM(AT478:AT499)</f>
        <v>0</v>
      </c>
      <c r="AU477" s="268">
        <f>SUM(AU478:AU499)</f>
        <v>0</v>
      </c>
      <c r="AV477" s="269"/>
      <c r="AW477" s="727"/>
      <c r="AX477" s="727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27"/>
      <c r="BJ477" s="267">
        <f>SUM(BJ478:BJ499)</f>
        <v>0</v>
      </c>
      <c r="BK477" s="268">
        <f>SUM(BK478:BK499)</f>
        <v>0</v>
      </c>
      <c r="BL477" s="269"/>
      <c r="BM477" s="727"/>
      <c r="BN477" s="267">
        <f>SUM(BN478:BN499)</f>
        <v>0</v>
      </c>
      <c r="BO477" s="268">
        <f>SUM(BO478:BO499)</f>
        <v>0</v>
      </c>
      <c r="BP477" s="269"/>
      <c r="BQ477" s="727"/>
      <c r="BR477" s="727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27"/>
      <c r="CD477" s="267">
        <f>SUM(CD478:CD499)</f>
        <v>284050</v>
      </c>
      <c r="CE477" s="268">
        <f>SUM(CE478:CE499)</f>
        <v>9569.57</v>
      </c>
      <c r="CF477" s="269"/>
      <c r="CG477" s="727"/>
      <c r="CH477" s="267">
        <f>SUM(CH478:CH499)</f>
        <v>0</v>
      </c>
      <c r="CI477" s="268">
        <f>SUM(CI478:CI499)</f>
        <v>0</v>
      </c>
      <c r="CJ477" s="269"/>
      <c r="CK477" s="727"/>
      <c r="CL477" s="727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27"/>
      <c r="CX477" s="267">
        <f>SUM(CX478:CX499)</f>
        <v>0</v>
      </c>
      <c r="CY477" s="268">
        <f>SUM(CY478:CY499)</f>
        <v>230000</v>
      </c>
      <c r="CZ477" s="269"/>
      <c r="DA477" s="727"/>
      <c r="DB477" s="267">
        <f>SUM(DB478:DB499)</f>
        <v>218500</v>
      </c>
      <c r="DC477" s="268">
        <f>SUM(DC478:DC499)</f>
        <v>0</v>
      </c>
      <c r="DD477" s="269"/>
      <c r="DE477" s="727"/>
      <c r="DF477" s="727"/>
      <c r="DG477" s="391"/>
      <c r="DH477" s="264"/>
      <c r="DI477" s="265"/>
      <c r="DJ477" s="265"/>
      <c r="DK477" s="265"/>
      <c r="DL477" s="270"/>
      <c r="DM477" s="266"/>
    </row>
    <row r="478" spans="1:117" ht="45" x14ac:dyDescent="0.25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75" x14ac:dyDescent="0.25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5" x14ac:dyDescent="0.25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30" x14ac:dyDescent="0.25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30" x14ac:dyDescent="0.25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773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5" x14ac:dyDescent="0.25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89.45" customHeight="1" x14ac:dyDescent="0.25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28"/>
      <c r="V484" s="123"/>
      <c r="W484" s="8"/>
      <c r="X484" s="313"/>
      <c r="Y484" s="716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3"/>
      <c r="AP484" s="123"/>
      <c r="AQ484" s="8"/>
      <c r="AR484" s="34"/>
      <c r="AS484" s="713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3"/>
      <c r="BJ484" s="123"/>
      <c r="BK484" s="8"/>
      <c r="BL484" s="447"/>
      <c r="BM484" s="728"/>
      <c r="BN484" s="20"/>
      <c r="BO484" s="8"/>
      <c r="BP484" s="447"/>
      <c r="BQ484" s="767"/>
      <c r="BR484" s="767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28"/>
      <c r="CD484" s="686">
        <v>284050</v>
      </c>
      <c r="CE484" s="154"/>
      <c r="CF484" s="658" t="s">
        <v>821</v>
      </c>
      <c r="CG484" s="796"/>
      <c r="CH484" s="123"/>
      <c r="CI484" s="8"/>
      <c r="CJ484" s="447" t="s">
        <v>916</v>
      </c>
      <c r="CK484" s="767"/>
      <c r="CL484" s="767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13"/>
      <c r="CX484" s="123"/>
      <c r="CY484" s="633">
        <v>230000</v>
      </c>
      <c r="CZ484" s="642" t="s">
        <v>822</v>
      </c>
      <c r="DA484" s="782"/>
      <c r="DB484" s="20">
        <v>218500</v>
      </c>
      <c r="DC484" s="8"/>
      <c r="DD484" s="34" t="s">
        <v>939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75" x14ac:dyDescent="0.25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3"/>
      <c r="V485" s="123"/>
      <c r="W485" s="8"/>
      <c r="X485" s="34"/>
      <c r="Y485" s="713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P485" s="123"/>
      <c r="AQ485" s="8"/>
      <c r="AR485" s="34"/>
      <c r="AS485" s="713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3"/>
      <c r="BJ485" s="123"/>
      <c r="BK485" s="8"/>
      <c r="BL485" s="34"/>
      <c r="BM485" s="713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3"/>
      <c r="CD485" s="123"/>
      <c r="CE485" s="213"/>
      <c r="CF485" s="212"/>
      <c r="CG485" s="797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797"/>
      <c r="CX485" s="123"/>
      <c r="CY485" s="8"/>
      <c r="CZ485" s="34"/>
      <c r="DA485" s="713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25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5" x14ac:dyDescent="0.25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x14ac:dyDescent="0.25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60" x14ac:dyDescent="0.25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60" x14ac:dyDescent="0.25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5" x14ac:dyDescent="0.25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30" x14ac:dyDescent="0.25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x14ac:dyDescent="0.25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3"/>
      <c r="V493" s="123"/>
      <c r="W493" s="8"/>
      <c r="X493" s="34"/>
      <c r="Y493" s="713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3"/>
      <c r="AP493" s="123"/>
      <c r="AQ493" s="8"/>
      <c r="AR493" s="34"/>
      <c r="AS493" s="713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3"/>
      <c r="BJ493" s="123"/>
      <c r="BK493" s="8"/>
      <c r="BL493" s="34"/>
      <c r="BM493" s="713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3"/>
      <c r="CD493" s="123"/>
      <c r="CE493" s="8"/>
      <c r="CF493" s="34"/>
      <c r="CG493" s="713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3"/>
      <c r="CX493" s="123"/>
      <c r="CY493" s="8"/>
      <c r="CZ493" s="34"/>
      <c r="DA493" s="713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x14ac:dyDescent="0.25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30" x14ac:dyDescent="0.25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x14ac:dyDescent="0.25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30" x14ac:dyDescent="0.25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x14ac:dyDescent="0.25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.75" thickBot="1" x14ac:dyDescent="0.3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.75" thickBot="1" x14ac:dyDescent="0.3">
      <c r="P500" s="248"/>
      <c r="AJ500" s="248"/>
      <c r="BD500" s="248"/>
      <c r="BX500" s="248"/>
      <c r="CR500" s="248"/>
      <c r="DL500" s="248"/>
    </row>
    <row r="501" spans="1:117" ht="15.75" thickBot="1" x14ac:dyDescent="0.3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5" x14ac:dyDescent="0.25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3"/>
      <c r="V502" s="123"/>
      <c r="W502" s="8"/>
      <c r="X502" s="34"/>
      <c r="Y502" s="713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3"/>
      <c r="AP502" s="123"/>
      <c r="AQ502" s="8"/>
      <c r="AR502" s="34"/>
      <c r="AS502" s="713"/>
      <c r="AT502" s="20"/>
      <c r="AU502" s="8"/>
      <c r="AV502" s="447"/>
      <c r="AW502" s="767"/>
      <c r="AX502" s="767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3"/>
      <c r="BJ502" s="123"/>
      <c r="BK502" s="8"/>
      <c r="BL502" s="34"/>
      <c r="BM502" s="713"/>
      <c r="BN502" s="123"/>
      <c r="BO502" s="8"/>
      <c r="BP502" s="447"/>
      <c r="BQ502" s="767"/>
      <c r="BR502" s="767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28"/>
      <c r="CD502" s="123"/>
      <c r="CE502" s="8"/>
      <c r="CF502" s="447"/>
      <c r="CG502" s="728"/>
      <c r="CH502" s="20"/>
      <c r="CI502" s="8"/>
      <c r="CJ502" s="447"/>
      <c r="CK502" s="767"/>
      <c r="CL502" s="767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3"/>
      <c r="CX502" s="123"/>
      <c r="CY502" s="8"/>
      <c r="CZ502" s="34"/>
      <c r="DA502" s="713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5" x14ac:dyDescent="0.25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7"/>
      <c r="V503" s="236"/>
      <c r="W503" s="210"/>
      <c r="X503" s="216"/>
      <c r="Y503" s="707"/>
      <c r="Z503" s="236"/>
      <c r="AA503" s="210"/>
      <c r="AB503" s="216"/>
      <c r="AC503" s="738"/>
      <c r="AD503" s="738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07"/>
      <c r="AP503" s="235"/>
      <c r="AQ503" s="210"/>
      <c r="AR503" s="216"/>
      <c r="AS503" s="707"/>
      <c r="AT503" s="21"/>
      <c r="AU503" s="210">
        <f>$F$503*40%*70</f>
        <v>89600</v>
      </c>
      <c r="AV503" s="216" t="s">
        <v>733</v>
      </c>
      <c r="AW503" s="739"/>
      <c r="AX503" s="739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7"/>
      <c r="BJ503" s="235"/>
      <c r="BK503" s="6"/>
      <c r="BL503" s="216"/>
      <c r="BM503" s="707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823</v>
      </c>
      <c r="CC503" s="773"/>
      <c r="CD503" s="236"/>
      <c r="CE503" s="199"/>
      <c r="CF503" s="148"/>
      <c r="CG503" s="711"/>
      <c r="CH503" s="21"/>
      <c r="CI503" s="629">
        <v>112000</v>
      </c>
      <c r="CJ503" s="625" t="s">
        <v>919</v>
      </c>
      <c r="CK503" s="806"/>
      <c r="CL503" s="806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248"/>
      <c r="CX503" s="449"/>
      <c r="CY503" s="416">
        <v>108500</v>
      </c>
      <c r="CZ503" s="450" t="s">
        <v>824</v>
      </c>
      <c r="DA503" s="248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30" x14ac:dyDescent="0.25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7"/>
      <c r="V504" s="236"/>
      <c r="W504" s="210"/>
      <c r="X504" s="216"/>
      <c r="Y504" s="707"/>
      <c r="Z504" s="236"/>
      <c r="AA504" s="210"/>
      <c r="AB504" s="216"/>
      <c r="AC504" s="738"/>
      <c r="AD504" s="738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08"/>
      <c r="AP504" s="235"/>
      <c r="AQ504" s="210"/>
      <c r="AR504" s="216"/>
      <c r="AS504" s="707"/>
      <c r="AT504" s="21"/>
      <c r="AU504" s="6"/>
      <c r="AV504" s="216"/>
      <c r="AW504" s="739"/>
      <c r="AX504" s="739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7"/>
      <c r="BJ504" s="236"/>
      <c r="BK504" s="6"/>
      <c r="BL504" s="216"/>
      <c r="BM504" s="707"/>
      <c r="BN504" s="235"/>
      <c r="BO504" s="6"/>
      <c r="BP504" s="216"/>
      <c r="BQ504" s="739"/>
      <c r="BR504" s="739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886</v>
      </c>
      <c r="CC504" s="773"/>
      <c r="CD504" s="236"/>
      <c r="CE504" s="663">
        <v>82000</v>
      </c>
      <c r="CF504" s="664" t="s">
        <v>901</v>
      </c>
      <c r="CG504" s="773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248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60" x14ac:dyDescent="0.25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7"/>
      <c r="V505" s="236"/>
      <c r="W505" s="6"/>
      <c r="X505" s="216"/>
      <c r="Y505" s="707"/>
      <c r="Z505" s="21"/>
      <c r="AA505" s="6"/>
      <c r="AB505" s="216"/>
      <c r="AC505" s="738"/>
      <c r="AD505" s="738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7"/>
      <c r="AP505" s="236"/>
      <c r="AQ505" s="6"/>
      <c r="AR505" s="216"/>
      <c r="AS505" s="707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7"/>
      <c r="BJ505" s="236"/>
      <c r="BK505" s="6"/>
      <c r="BL505" s="216"/>
      <c r="BM505" s="707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1"/>
      <c r="CD505" s="236"/>
      <c r="CE505" s="210"/>
      <c r="CF505" s="216"/>
      <c r="CG505" s="707"/>
      <c r="CH505" s="236"/>
      <c r="CI505" s="210"/>
      <c r="CJ505" s="216"/>
      <c r="CK505" s="739"/>
      <c r="CL505" s="739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1"/>
      <c r="CX505" s="235"/>
      <c r="CY505" s="6"/>
      <c r="CZ505" s="148"/>
      <c r="DA505" s="711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.75" thickBot="1" x14ac:dyDescent="0.3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5"/>
      <c r="V506" s="126"/>
      <c r="W506" s="127"/>
      <c r="X506" s="66"/>
      <c r="Y506" s="715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5"/>
      <c r="AP506" s="126"/>
      <c r="AQ506" s="127"/>
      <c r="AR506" s="66"/>
      <c r="AS506" s="715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5"/>
      <c r="BJ506" s="126"/>
      <c r="BK506" s="127"/>
      <c r="BL506" s="66"/>
      <c r="BM506" s="715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5"/>
      <c r="CD506" s="470"/>
      <c r="CE506" s="6"/>
      <c r="CF506" s="35"/>
      <c r="CH506" s="557"/>
      <c r="CI506" s="469"/>
      <c r="CJ506" s="472"/>
      <c r="CK506" s="740"/>
      <c r="CL506" s="740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248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.75" thickBot="1" x14ac:dyDescent="0.3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5"/>
      <c r="V507" s="126"/>
      <c r="W507" s="127"/>
      <c r="X507" s="66"/>
      <c r="Y507" s="715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5"/>
      <c r="AP507" s="126"/>
      <c r="AQ507" s="127"/>
      <c r="AR507" s="66"/>
      <c r="AS507" s="715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869</v>
      </c>
      <c r="BI507" s="715"/>
      <c r="BJ507" s="126"/>
      <c r="BK507" s="127"/>
      <c r="BL507" s="66"/>
      <c r="BM507" s="715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5"/>
      <c r="CD507" s="470"/>
      <c r="CE507" s="6"/>
      <c r="CF507" s="35"/>
      <c r="CH507" s="557"/>
      <c r="CI507" s="469"/>
      <c r="CJ507" s="472"/>
      <c r="CK507" s="740"/>
      <c r="CL507" s="740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248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65.75" thickBot="1" x14ac:dyDescent="0.3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5"/>
      <c r="V508" s="126"/>
      <c r="W508" s="127"/>
      <c r="X508" s="66"/>
      <c r="Y508" s="715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5"/>
      <c r="AP508" s="126"/>
      <c r="AQ508" s="127"/>
      <c r="AR508" s="66"/>
      <c r="AS508" s="715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5"/>
      <c r="BJ508" s="126"/>
      <c r="BK508" s="127"/>
      <c r="BL508" s="66"/>
      <c r="BM508" s="715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5"/>
      <c r="CD508" s="697">
        <v>22750</v>
      </c>
      <c r="CE508" s="663"/>
      <c r="CF508" s="664" t="s">
        <v>823</v>
      </c>
      <c r="CG508" s="689"/>
      <c r="CH508" s="557"/>
      <c r="CI508" s="631">
        <v>22750</v>
      </c>
      <c r="CJ508" s="651" t="s">
        <v>919</v>
      </c>
      <c r="CK508" s="777"/>
      <c r="CL508" s="813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248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.75" thickBot="1" x14ac:dyDescent="0.3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5" x14ac:dyDescent="0.25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25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30" x14ac:dyDescent="0.25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60" x14ac:dyDescent="0.25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25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18"/>
      <c r="V514" s="366"/>
      <c r="W514" s="367"/>
      <c r="X514" s="368"/>
      <c r="Y514" s="718"/>
      <c r="Z514" s="369"/>
      <c r="AA514" s="367"/>
      <c r="AB514" s="368"/>
      <c r="AC514" s="718"/>
      <c r="AD514" s="718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18"/>
      <c r="AP514" s="366"/>
      <c r="AQ514" s="367"/>
      <c r="AR514" s="368"/>
      <c r="AS514" s="718"/>
      <c r="AT514" s="369"/>
      <c r="AU514" s="367"/>
      <c r="AV514" s="368"/>
      <c r="AW514" s="718"/>
      <c r="AX514" s="718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18"/>
      <c r="BJ514" s="366"/>
      <c r="BK514" s="367"/>
      <c r="BL514" s="368"/>
      <c r="BM514" s="718"/>
      <c r="BN514" s="369"/>
      <c r="BO514" s="367"/>
      <c r="BP514" s="368"/>
      <c r="BQ514" s="718"/>
      <c r="BR514" s="718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18"/>
      <c r="CD514" s="366"/>
      <c r="CE514" s="367"/>
      <c r="CF514" s="368"/>
      <c r="CG514" s="718"/>
      <c r="CH514" s="369"/>
      <c r="CI514" s="367"/>
      <c r="CJ514" s="368"/>
      <c r="CK514" s="718"/>
      <c r="CL514" s="718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18"/>
      <c r="CX514" s="366"/>
      <c r="CY514" s="367"/>
      <c r="CZ514" s="368"/>
      <c r="DA514" s="718"/>
      <c r="DB514" s="369"/>
      <c r="DC514" s="367"/>
      <c r="DD514" s="368"/>
      <c r="DE514" s="718"/>
      <c r="DF514" s="718"/>
      <c r="DG514" s="363"/>
      <c r="DH514" s="364"/>
      <c r="DI514" s="374"/>
      <c r="DJ514" s="374"/>
      <c r="DK514" s="375"/>
      <c r="DL514" s="375"/>
      <c r="DM514" s="368"/>
    </row>
    <row r="515" spans="1:117" x14ac:dyDescent="0.25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x14ac:dyDescent="0.25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x14ac:dyDescent="0.25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x14ac:dyDescent="0.25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x14ac:dyDescent="0.25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x14ac:dyDescent="0.25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18"/>
      <c r="V520" s="366"/>
      <c r="W520" s="367"/>
      <c r="X520" s="368"/>
      <c r="Y520" s="718"/>
      <c r="Z520" s="369"/>
      <c r="AA520" s="367"/>
      <c r="AB520" s="368"/>
      <c r="AC520" s="718"/>
      <c r="AD520" s="718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18"/>
      <c r="AP520" s="366"/>
      <c r="AQ520" s="367"/>
      <c r="AR520" s="368"/>
      <c r="AS520" s="718"/>
      <c r="AT520" s="369"/>
      <c r="AU520" s="367"/>
      <c r="AV520" s="368"/>
      <c r="AW520" s="718"/>
      <c r="AX520" s="718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18"/>
      <c r="BJ520" s="366"/>
      <c r="BK520" s="367"/>
      <c r="BL520" s="368"/>
      <c r="BM520" s="718"/>
      <c r="BN520" s="369"/>
      <c r="BO520" s="367"/>
      <c r="BP520" s="368"/>
      <c r="BQ520" s="718"/>
      <c r="BR520" s="718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18"/>
      <c r="CD520" s="366"/>
      <c r="CE520" s="367"/>
      <c r="CF520" s="368"/>
      <c r="CG520" s="718"/>
      <c r="CH520" s="369"/>
      <c r="CI520" s="367"/>
      <c r="CJ520" s="368"/>
      <c r="CK520" s="718"/>
      <c r="CL520" s="718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18"/>
      <c r="CX520" s="366"/>
      <c r="CY520" s="367"/>
      <c r="CZ520" s="368"/>
      <c r="DA520" s="718"/>
      <c r="DB520" s="369"/>
      <c r="DC520" s="367"/>
      <c r="DD520" s="368"/>
      <c r="DE520" s="718"/>
      <c r="DF520" s="718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x14ac:dyDescent="0.25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x14ac:dyDescent="0.25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x14ac:dyDescent="0.25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x14ac:dyDescent="0.25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3"/>
      <c r="V524" s="123"/>
      <c r="W524" s="8"/>
      <c r="X524" s="34"/>
      <c r="Y524" s="713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3"/>
      <c r="AP524" s="123"/>
      <c r="AQ524" s="8"/>
      <c r="AR524" s="34"/>
      <c r="AS524" s="713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3"/>
      <c r="BJ524" s="123"/>
      <c r="BK524" s="8"/>
      <c r="BL524" s="34"/>
      <c r="BM524" s="713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3"/>
      <c r="CD524" s="123"/>
      <c r="CE524" s="8"/>
      <c r="CF524" s="34"/>
      <c r="CG524" s="713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3"/>
      <c r="CX524" s="123"/>
      <c r="CY524" s="8"/>
      <c r="CZ524" s="34"/>
      <c r="DA524" s="713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x14ac:dyDescent="0.25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.75" thickBot="1" x14ac:dyDescent="0.3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.75" thickBot="1" x14ac:dyDescent="0.3">
      <c r="P527" s="248"/>
      <c r="AJ527" s="248"/>
      <c r="BD527" s="248"/>
      <c r="BX527" s="248"/>
      <c r="CR527" s="248"/>
      <c r="DL527" s="248"/>
    </row>
    <row r="528" spans="1:117" ht="30" x14ac:dyDescent="0.25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.75" thickBot="1" x14ac:dyDescent="0.3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.75" thickBot="1" x14ac:dyDescent="0.3">
      <c r="P530" s="248"/>
      <c r="AJ530" s="248"/>
      <c r="BD530" s="248"/>
      <c r="BX530" s="248"/>
      <c r="CR530" s="248"/>
      <c r="DL530" s="248"/>
    </row>
    <row r="531" spans="1:117" ht="15.75" thickBot="1" x14ac:dyDescent="0.3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5"/>
      <c r="V531" s="464"/>
      <c r="W531" s="465"/>
      <c r="X531" s="463"/>
      <c r="Y531" s="675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5"/>
      <c r="AP531" s="464"/>
      <c r="AQ531" s="465"/>
      <c r="AR531" s="463"/>
      <c r="AS531" s="675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5"/>
      <c r="BJ531" s="464"/>
      <c r="BK531" s="465"/>
      <c r="BL531" s="463"/>
      <c r="BM531" s="675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5"/>
      <c r="CD531" s="464"/>
      <c r="CE531" s="465"/>
      <c r="CF531" s="463"/>
      <c r="CG531" s="675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5"/>
      <c r="CX531" s="464"/>
      <c r="CY531" s="465"/>
      <c r="CZ531" s="463"/>
      <c r="DA531" s="675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5" x14ac:dyDescent="0.25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25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787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30" x14ac:dyDescent="0.25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787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25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3"/>
      <c r="V535" s="121"/>
      <c r="W535" s="6"/>
      <c r="X535" s="34"/>
      <c r="Y535" s="713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3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0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0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07"/>
      <c r="CL535" s="807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11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25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07"/>
      <c r="CL536" s="807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1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5" x14ac:dyDescent="0.25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3"/>
      <c r="V537" s="121"/>
      <c r="W537" s="6"/>
      <c r="X537" s="34"/>
      <c r="Y537" s="713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3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0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0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07"/>
      <c r="CL537" s="807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1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25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3"/>
      <c r="V538" s="123"/>
      <c r="W538" s="8"/>
      <c r="X538" s="34"/>
      <c r="Y538" s="713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3"/>
      <c r="AP538" s="123"/>
      <c r="AQ538" s="8"/>
      <c r="AR538" s="34"/>
      <c r="AS538" s="713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0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28"/>
      <c r="CD538" s="123"/>
      <c r="CE538" s="8"/>
      <c r="CF538" s="35"/>
      <c r="CG538" s="761"/>
      <c r="CH538" s="213">
        <v>6250</v>
      </c>
      <c r="CI538" s="213"/>
      <c r="CJ538" s="148" t="s">
        <v>825</v>
      </c>
      <c r="CK538" s="807"/>
      <c r="CL538" s="807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797"/>
      <c r="CX538" s="123"/>
      <c r="CY538" s="8"/>
      <c r="CZ538" s="34"/>
      <c r="DA538" s="713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25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773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25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25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3"/>
      <c r="V541" s="123"/>
      <c r="W541" s="8"/>
      <c r="X541" s="34"/>
      <c r="Y541" s="713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3"/>
      <c r="AP541" s="123"/>
      <c r="AQ541" s="8"/>
      <c r="AR541" s="34"/>
      <c r="AS541" s="713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3"/>
      <c r="BJ541" s="123"/>
      <c r="BK541" s="8"/>
      <c r="BL541" s="34"/>
      <c r="BM541" s="713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3"/>
      <c r="CD541" s="123"/>
      <c r="CE541" s="8"/>
      <c r="CF541" s="35"/>
      <c r="CG541" s="713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3"/>
      <c r="CX541" s="123"/>
      <c r="CY541" s="8"/>
      <c r="CZ541" s="34"/>
      <c r="DA541" s="713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25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.75" thickBot="1" x14ac:dyDescent="0.3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798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.75" thickBot="1" x14ac:dyDescent="0.3">
      <c r="P544" s="248"/>
      <c r="AJ544" s="248"/>
      <c r="BD544" s="248"/>
      <c r="BX544" s="248"/>
      <c r="CR544" s="248"/>
      <c r="DL544" s="248"/>
    </row>
    <row r="545" spans="1:117" ht="45" x14ac:dyDescent="0.25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25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3"/>
      <c r="V546" s="123"/>
      <c r="W546" s="8"/>
      <c r="X546" s="34"/>
      <c r="Y546" s="713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3"/>
      <c r="AP546" s="123"/>
      <c r="AQ546" s="8"/>
      <c r="AR546" s="34"/>
      <c r="AS546" s="713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3"/>
      <c r="BJ546" s="123"/>
      <c r="BK546" s="8"/>
      <c r="BL546" s="34"/>
      <c r="BM546" s="713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3"/>
      <c r="CD546" s="123"/>
      <c r="CE546" s="8"/>
      <c r="CF546" s="34"/>
      <c r="CG546" s="713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3"/>
      <c r="CX546" s="123"/>
      <c r="CY546" s="8"/>
      <c r="CZ546" s="34"/>
      <c r="DA546" s="713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25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3"/>
      <c r="V547" s="20"/>
      <c r="W547" s="8"/>
      <c r="X547" s="34"/>
      <c r="Y547" s="713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3"/>
      <c r="AP547" s="20"/>
      <c r="AQ547" s="8"/>
      <c r="AR547" s="34"/>
      <c r="AS547" s="713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3"/>
      <c r="BJ547" s="20"/>
      <c r="BK547" s="8"/>
      <c r="BL547" s="34"/>
      <c r="BM547" s="713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3"/>
      <c r="CD547" s="20"/>
      <c r="CE547" s="8"/>
      <c r="CF547" s="34"/>
      <c r="CG547" s="713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3"/>
      <c r="CX547" s="20"/>
      <c r="CY547" s="8"/>
      <c r="CZ547" s="34"/>
      <c r="DA547" s="713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45" x14ac:dyDescent="0.25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7"/>
      <c r="V548" s="236"/>
      <c r="W548" s="210"/>
      <c r="X548" s="216"/>
      <c r="Y548" s="707"/>
      <c r="Z548" s="236"/>
      <c r="AA548" s="210"/>
      <c r="AB548" s="216"/>
      <c r="AC548" s="738"/>
      <c r="AD548" s="738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1"/>
      <c r="AP548" s="235"/>
      <c r="AQ548" s="6"/>
      <c r="AR548" s="148"/>
      <c r="AS548" s="711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7"/>
      <c r="BJ548" s="235"/>
      <c r="BK548" s="6"/>
      <c r="BL548" s="148"/>
      <c r="BM548" s="711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1"/>
      <c r="CD548" s="235"/>
      <c r="CE548" s="6"/>
      <c r="CF548" s="148"/>
      <c r="CG548" s="711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1"/>
      <c r="CX548" s="235"/>
      <c r="CY548" s="6"/>
      <c r="CZ548" s="148"/>
      <c r="DA548" s="711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5.75" thickBot="1" x14ac:dyDescent="0.3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0"/>
      <c r="V549" s="314"/>
      <c r="W549" s="408"/>
      <c r="X549" s="321"/>
      <c r="Y549" s="710"/>
      <c r="Z549" s="122"/>
      <c r="AA549" s="201"/>
      <c r="AB549" s="321"/>
      <c r="AC549" s="741"/>
      <c r="AD549" s="741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0"/>
      <c r="AP549" s="272"/>
      <c r="AQ549" s="201"/>
      <c r="AR549" s="273"/>
      <c r="AS549" s="714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4"/>
      <c r="BJ549" s="272"/>
      <c r="BK549" s="201"/>
      <c r="BL549" s="321"/>
      <c r="BM549" s="710"/>
      <c r="BN549" s="272"/>
      <c r="BO549" s="201"/>
      <c r="BP549" s="321"/>
      <c r="BQ549" s="740"/>
      <c r="BR549" s="740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0"/>
      <c r="CD549" s="272"/>
      <c r="CE549" s="201"/>
      <c r="CF549" s="273"/>
      <c r="CG549" s="714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4"/>
      <c r="CX549" s="272"/>
      <c r="CY549" s="201"/>
      <c r="CZ549" s="273"/>
      <c r="DA549" s="714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.75" thickBot="1" x14ac:dyDescent="0.3">
      <c r="P550" s="248"/>
      <c r="AJ550" s="248"/>
      <c r="BD550" s="248"/>
      <c r="BX550" s="248"/>
      <c r="CR550" s="248"/>
      <c r="DL550" s="248"/>
    </row>
    <row r="551" spans="1:117" ht="15.75" thickBot="1" x14ac:dyDescent="0.3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5"/>
      <c r="V551" s="464"/>
      <c r="W551" s="465"/>
      <c r="X551" s="463"/>
      <c r="Y551" s="675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5"/>
      <c r="AP551" s="464"/>
      <c r="AQ551" s="465"/>
      <c r="AR551" s="463"/>
      <c r="AS551" s="675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5"/>
      <c r="BJ551" s="464"/>
      <c r="BK551" s="465"/>
      <c r="BL551" s="463"/>
      <c r="BM551" s="675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5"/>
      <c r="CD551" s="464"/>
      <c r="CE551" s="465"/>
      <c r="CF551" s="463"/>
      <c r="CG551" s="675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5"/>
      <c r="CX551" s="464"/>
      <c r="CY551" s="465"/>
      <c r="CZ551" s="463"/>
      <c r="DA551" s="675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90" x14ac:dyDescent="0.25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25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3"/>
      <c r="V553" s="123"/>
      <c r="W553" s="8"/>
      <c r="X553" s="34"/>
      <c r="Y553" s="713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3"/>
      <c r="AP553" s="123"/>
      <c r="AQ553" s="8"/>
      <c r="AR553" s="34"/>
      <c r="AS553" s="713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1"/>
      <c r="BJ553" s="123"/>
      <c r="BK553" s="8"/>
      <c r="BL553" s="440"/>
      <c r="BM553" s="771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3"/>
      <c r="CD553" s="123"/>
      <c r="CE553" s="8"/>
      <c r="CF553" s="34"/>
      <c r="CG553" s="713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3"/>
      <c r="CX553" s="123"/>
      <c r="CY553" s="8"/>
      <c r="CZ553" s="34"/>
      <c r="DA553" s="713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25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V554" s="421"/>
      <c r="W554" s="416"/>
      <c r="X554" s="415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P554" s="421"/>
      <c r="AQ554" s="416"/>
      <c r="AR554" s="415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J554" s="421"/>
      <c r="BK554" s="416"/>
      <c r="BL554" s="415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D554" s="421"/>
      <c r="CE554" s="416"/>
      <c r="CF554" s="415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X554" s="421"/>
      <c r="CY554" s="416"/>
      <c r="CZ554" s="415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5.75" thickBot="1" x14ac:dyDescent="0.3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0"/>
      <c r="V555" s="272"/>
      <c r="W555" s="201"/>
      <c r="X555" s="321"/>
      <c r="Y555" s="710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0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777"/>
      <c r="BR555" s="777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0"/>
      <c r="CD555" s="698">
        <v>107727.5</v>
      </c>
      <c r="CE555" s="670">
        <f>323182.5+107727.5</f>
        <v>430910</v>
      </c>
      <c r="CF555" s="699" t="s">
        <v>942</v>
      </c>
      <c r="CG555" s="799"/>
      <c r="CH555" s="122"/>
      <c r="CI555" s="217"/>
      <c r="CJ555" s="273"/>
      <c r="CK555" s="813"/>
      <c r="CL555" s="813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4"/>
      <c r="CX555" s="272"/>
      <c r="CY555" s="201"/>
      <c r="CZ555" s="273"/>
      <c r="DA555" s="714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.75" thickBot="1" x14ac:dyDescent="0.3">
      <c r="P556" s="248"/>
      <c r="AJ556" s="248"/>
      <c r="BD556" s="248"/>
      <c r="BX556" s="248"/>
      <c r="CR556" s="248"/>
      <c r="DL556" s="248"/>
    </row>
    <row r="557" spans="1:117" ht="15.75" thickBot="1" x14ac:dyDescent="0.3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5"/>
      <c r="V557" s="464"/>
      <c r="W557" s="465"/>
      <c r="X557" s="463"/>
      <c r="Y557" s="675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5"/>
      <c r="AP557" s="464"/>
      <c r="AQ557" s="465"/>
      <c r="AR557" s="463"/>
      <c r="AS557" s="675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5"/>
      <c r="BJ557" s="464"/>
      <c r="BK557" s="465"/>
      <c r="BL557" s="463"/>
      <c r="BM557" s="675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5"/>
      <c r="CD557" s="464"/>
      <c r="CE557" s="465"/>
      <c r="CF557" s="463"/>
      <c r="CG557" s="675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5"/>
      <c r="CX557" s="464"/>
      <c r="CY557" s="465"/>
      <c r="CZ557" s="463"/>
      <c r="DA557" s="675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5" x14ac:dyDescent="0.25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x14ac:dyDescent="0.25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3"/>
      <c r="V559" s="123"/>
      <c r="W559" s="8"/>
      <c r="X559" s="34"/>
      <c r="Y559" s="713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3"/>
      <c r="AP559" s="123"/>
      <c r="AQ559" s="8"/>
      <c r="AR559" s="34"/>
      <c r="AS559" s="713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1"/>
      <c r="BJ559" s="123"/>
      <c r="BK559" s="8"/>
      <c r="BL559" s="440"/>
      <c r="BM559" s="771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3"/>
      <c r="CD559" s="123"/>
      <c r="CE559" s="8"/>
      <c r="CF559" s="34"/>
      <c r="CG559" s="713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3"/>
      <c r="CX559" s="123"/>
      <c r="CY559" s="8"/>
      <c r="CZ559" s="34"/>
      <c r="DA559" s="713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x14ac:dyDescent="0.25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3"/>
      <c r="V560" s="20"/>
      <c r="W560" s="8"/>
      <c r="X560" s="34"/>
      <c r="Y560" s="713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3"/>
      <c r="AP560" s="20"/>
      <c r="AQ560" s="8"/>
      <c r="AR560" s="34"/>
      <c r="AS560" s="713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1"/>
      <c r="BJ560" s="20"/>
      <c r="BK560" s="8"/>
      <c r="BL560" s="440"/>
      <c r="BM560" s="771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3"/>
      <c r="CD560" s="20"/>
      <c r="CE560" s="8"/>
      <c r="CF560" s="34"/>
      <c r="CG560" s="713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3"/>
      <c r="CX560" s="20"/>
      <c r="CY560" s="8"/>
      <c r="CZ560" s="34"/>
      <c r="DA560" s="713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x14ac:dyDescent="0.25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3"/>
      <c r="V561" s="20"/>
      <c r="W561" s="8"/>
      <c r="X561" s="34"/>
      <c r="Y561" s="713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3"/>
      <c r="AP561" s="20"/>
      <c r="AQ561" s="8"/>
      <c r="AR561" s="34"/>
      <c r="AS561" s="713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1"/>
      <c r="BJ561" s="20"/>
      <c r="BK561" s="8"/>
      <c r="BL561" s="440"/>
      <c r="BM561" s="771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3"/>
      <c r="CD561" s="20"/>
      <c r="CE561" s="8"/>
      <c r="CF561" s="642" t="s">
        <v>911</v>
      </c>
      <c r="CG561" s="782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3"/>
      <c r="CX561" s="20"/>
      <c r="CY561" s="8"/>
      <c r="CZ561" s="34"/>
      <c r="DA561" s="713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30" x14ac:dyDescent="0.25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30" x14ac:dyDescent="0.25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V563" s="421"/>
      <c r="W563" s="416"/>
      <c r="X563" s="415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P563" s="421"/>
      <c r="AQ563" s="416"/>
      <c r="AR563" s="415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J563" s="421"/>
      <c r="BK563" s="416"/>
      <c r="BL563" s="415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D563" s="421"/>
      <c r="CE563" s="416"/>
      <c r="CF563" s="415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X563" s="421"/>
      <c r="CY563" s="416"/>
      <c r="CZ563" s="415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25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18"/>
      <c r="V564" s="369"/>
      <c r="W564" s="367"/>
      <c r="X564" s="368"/>
      <c r="Y564" s="718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18"/>
      <c r="AP564" s="369"/>
      <c r="AQ564" s="367"/>
      <c r="AR564" s="368"/>
      <c r="AS564" s="718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18"/>
      <c r="BJ564" s="369"/>
      <c r="BK564" s="367"/>
      <c r="BL564" s="368"/>
      <c r="BM564" s="718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18"/>
      <c r="CD564" s="369"/>
      <c r="CE564" s="367"/>
      <c r="CF564" s="368"/>
      <c r="CG564" s="718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18"/>
      <c r="CX564" s="369"/>
      <c r="CY564" s="367"/>
      <c r="CZ564" s="368"/>
      <c r="DA564" s="718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25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25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25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V567" s="421"/>
      <c r="W567" s="416"/>
      <c r="X567" s="415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P567" s="421"/>
      <c r="AQ567" s="416"/>
      <c r="AR567" s="415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J567" s="121"/>
      <c r="BK567" s="416"/>
      <c r="BL567" s="35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D567" s="421"/>
      <c r="CE567" s="416"/>
      <c r="CF567" s="415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X567" s="421"/>
      <c r="CY567" s="416"/>
      <c r="CZ567" s="415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25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18"/>
      <c r="V568" s="369"/>
      <c r="W568" s="367"/>
      <c r="X568" s="368"/>
      <c r="Y568" s="718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18"/>
      <c r="AP568" s="369"/>
      <c r="AQ568" s="367"/>
      <c r="AR568" s="368"/>
      <c r="AS568" s="718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18"/>
      <c r="BJ568" s="369"/>
      <c r="BK568" s="367"/>
      <c r="BL568" s="368"/>
      <c r="BM568" s="718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18"/>
      <c r="CD568" s="369"/>
      <c r="CE568" s="367"/>
      <c r="CF568" s="368"/>
      <c r="CG568" s="718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18"/>
      <c r="CX568" s="369"/>
      <c r="CY568" s="367"/>
      <c r="CZ568" s="368"/>
      <c r="DA568" s="718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25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V569" s="421"/>
      <c r="W569" s="416"/>
      <c r="X569" s="415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P569" s="421"/>
      <c r="AQ569" s="416"/>
      <c r="AR569" s="415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J569" s="421"/>
      <c r="BK569" s="416"/>
      <c r="BL569" s="415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2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D569" s="421"/>
      <c r="CE569" s="690">
        <v>5640</v>
      </c>
      <c r="CF569" s="691" t="s">
        <v>920</v>
      </c>
      <c r="CG569" s="689"/>
      <c r="CH569" s="421"/>
      <c r="CI569" s="416"/>
      <c r="CJ569" s="694" t="s">
        <v>966</v>
      </c>
      <c r="CK569" s="814"/>
      <c r="CL569" s="814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X569" s="421"/>
      <c r="CY569" s="416"/>
      <c r="CZ569" s="415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25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3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773"/>
      <c r="CH570" s="21"/>
      <c r="CI570" s="6"/>
      <c r="CJ570" s="696" t="s">
        <v>966</v>
      </c>
      <c r="CK570" s="815"/>
      <c r="CL570" s="815"/>
      <c r="CM570" s="695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25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3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773"/>
      <c r="CH571" s="21"/>
      <c r="CI571" s="6"/>
      <c r="CJ571" s="696" t="s">
        <v>966</v>
      </c>
      <c r="CK571" s="815"/>
      <c r="CL571" s="815"/>
      <c r="CM571" s="695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25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V572" s="421"/>
      <c r="W572" s="416"/>
      <c r="X572" s="415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P572" s="421"/>
      <c r="AQ572" s="416"/>
      <c r="AR572" s="415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J572" s="421"/>
      <c r="BK572" s="416"/>
      <c r="BL572" s="415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2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D572" s="421"/>
      <c r="CE572" s="690">
        <v>2760</v>
      </c>
      <c r="CF572" s="691" t="s">
        <v>921</v>
      </c>
      <c r="CG572" s="689"/>
      <c r="CH572" s="421"/>
      <c r="CI572" s="416"/>
      <c r="CJ572" s="694" t="s">
        <v>966</v>
      </c>
      <c r="CK572" s="814"/>
      <c r="CL572" s="814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X572" s="421"/>
      <c r="CY572" s="416"/>
      <c r="CZ572" s="415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25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18"/>
      <c r="V573" s="369"/>
      <c r="W573" s="367"/>
      <c r="X573" s="368"/>
      <c r="Y573" s="718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18"/>
      <c r="AP573" s="369"/>
      <c r="AQ573" s="367"/>
      <c r="AR573" s="368"/>
      <c r="AS573" s="718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18"/>
      <c r="BJ573" s="369"/>
      <c r="BK573" s="367"/>
      <c r="BL573" s="368"/>
      <c r="BM573" s="718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18"/>
      <c r="CD573" s="369"/>
      <c r="CE573" s="367"/>
      <c r="CF573" s="368"/>
      <c r="CG573" s="718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18"/>
      <c r="CX573" s="369"/>
      <c r="CY573" s="367"/>
      <c r="CZ573" s="368"/>
      <c r="DA573" s="718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25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V574" s="421"/>
      <c r="W574" s="416"/>
      <c r="X574" s="415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P574" s="421"/>
      <c r="AQ574" s="416"/>
      <c r="AR574" s="415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J574" s="121"/>
      <c r="BK574" s="416"/>
      <c r="BL574" s="35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D574" s="421"/>
      <c r="CE574" s="416"/>
      <c r="CF574" s="415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X574" s="421"/>
      <c r="CY574" s="416"/>
      <c r="CZ574" s="415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x14ac:dyDescent="0.25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x14ac:dyDescent="0.25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V576" s="421"/>
      <c r="W576" s="416"/>
      <c r="X576" s="415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P576" s="421"/>
      <c r="AQ576" s="416"/>
      <c r="AR576" s="415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J576" s="121"/>
      <c r="BK576" s="416"/>
      <c r="BL576" s="35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D576" s="421"/>
      <c r="CE576" s="416"/>
      <c r="CF576" s="415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X576" s="421"/>
      <c r="CY576" s="416"/>
      <c r="CZ576" s="415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x14ac:dyDescent="0.25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x14ac:dyDescent="0.25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V578" s="421"/>
      <c r="W578" s="416"/>
      <c r="X578" s="415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P578" s="421"/>
      <c r="AQ578" s="416"/>
      <c r="AR578" s="415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J578" s="121"/>
      <c r="BK578" s="416"/>
      <c r="BL578" s="35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D578" s="421"/>
      <c r="CE578" s="416"/>
      <c r="CF578" s="415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X578" s="421"/>
      <c r="CY578" s="416"/>
      <c r="CZ578" s="415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x14ac:dyDescent="0.25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30" x14ac:dyDescent="0.25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V580" s="421"/>
      <c r="W580" s="416"/>
      <c r="X580" s="415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P580" s="421"/>
      <c r="AQ580" s="416"/>
      <c r="AR580" s="415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J580" s="421"/>
      <c r="BK580" s="416"/>
      <c r="BL580" s="35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D580" s="421"/>
      <c r="CE580" s="416"/>
      <c r="CF580" s="415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X580" s="421"/>
      <c r="CY580" s="416"/>
      <c r="CZ580" s="415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x14ac:dyDescent="0.25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18"/>
      <c r="V581" s="369"/>
      <c r="W581" s="367"/>
      <c r="X581" s="368"/>
      <c r="Y581" s="718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18"/>
      <c r="AP581" s="369"/>
      <c r="AQ581" s="367"/>
      <c r="AR581" s="368"/>
      <c r="AS581" s="718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18"/>
      <c r="BJ581" s="369"/>
      <c r="BK581" s="367"/>
      <c r="BL581" s="368"/>
      <c r="BM581" s="718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18"/>
      <c r="CD581" s="369"/>
      <c r="CE581" s="367"/>
      <c r="CF581" s="368"/>
      <c r="CG581" s="718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18"/>
      <c r="CX581" s="369"/>
      <c r="CY581" s="367"/>
      <c r="CZ581" s="368"/>
      <c r="DA581" s="718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5" x14ac:dyDescent="0.25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V582" s="421"/>
      <c r="W582" s="416"/>
      <c r="X582" s="415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P582" s="421"/>
      <c r="AQ582" s="416"/>
      <c r="AR582" s="415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J582" s="421"/>
      <c r="BK582" s="416"/>
      <c r="BL582" s="415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D582" s="421"/>
      <c r="CE582" s="416"/>
      <c r="CF582" s="415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X582" s="421"/>
      <c r="CY582" s="416"/>
      <c r="CZ582" s="415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25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25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V584" s="421"/>
      <c r="W584" s="416"/>
      <c r="X584" s="415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P584" s="421"/>
      <c r="AQ584" s="416"/>
      <c r="AR584" s="415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J584" s="421"/>
      <c r="BK584" s="416"/>
      <c r="BL584" s="415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D584" s="421"/>
      <c r="CE584" s="416"/>
      <c r="CF584" s="415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X584" s="421"/>
      <c r="CY584" s="416"/>
      <c r="CZ584" s="415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.75" thickBot="1" x14ac:dyDescent="0.3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0"/>
      <c r="V585" s="272"/>
      <c r="W585" s="201"/>
      <c r="X585" s="321"/>
      <c r="Y585" s="710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0"/>
      <c r="AP585" s="314"/>
      <c r="AQ585" s="201"/>
      <c r="AR585" s="321"/>
      <c r="AS585" s="710"/>
      <c r="AT585" s="314"/>
      <c r="AU585" s="201"/>
      <c r="AV585" s="321"/>
      <c r="AW585" s="740"/>
      <c r="AX585" s="740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0"/>
      <c r="BJ585" s="314"/>
      <c r="BK585" s="201"/>
      <c r="BL585" s="321"/>
      <c r="BM585" s="710"/>
      <c r="BN585" s="122"/>
      <c r="BO585" s="201"/>
      <c r="BP585" s="321"/>
      <c r="BQ585" s="740"/>
      <c r="BR585" s="740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0"/>
      <c r="CD585" s="122"/>
      <c r="CE585" s="201"/>
      <c r="CF585" s="321"/>
      <c r="CG585" s="710"/>
      <c r="CH585" s="122"/>
      <c r="CI585" s="201"/>
      <c r="CJ585" s="321"/>
      <c r="CK585" s="740"/>
      <c r="CL585" s="740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4"/>
      <c r="CX585" s="272"/>
      <c r="CY585" s="201"/>
      <c r="CZ585" s="273"/>
      <c r="DA585" s="714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.75" thickBot="1" x14ac:dyDescent="0.3">
      <c r="P586" s="248"/>
      <c r="AJ586" s="248"/>
      <c r="BD586" s="248"/>
      <c r="BX586" s="248"/>
      <c r="CR586" s="248"/>
      <c r="DL586" s="248"/>
    </row>
    <row r="587" spans="1:117" ht="15.75" thickBot="1" x14ac:dyDescent="0.3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25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3"/>
      <c r="AP588" s="288"/>
      <c r="AQ588" s="8"/>
      <c r="AR588" s="34"/>
      <c r="AS588" s="713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.75" thickBot="1" x14ac:dyDescent="0.3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.75" thickBot="1" x14ac:dyDescent="0.3">
      <c r="P590" s="248"/>
      <c r="AJ590" s="248"/>
      <c r="BD590" s="248"/>
      <c r="BX590" s="248"/>
      <c r="CR590" s="248"/>
      <c r="DL590" s="248"/>
    </row>
    <row r="591" spans="1:117" ht="15.75" thickBot="1" x14ac:dyDescent="0.3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36"/>
      <c r="AD591" s="736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36"/>
      <c r="AX591" s="736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36"/>
      <c r="BR591" s="736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25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3"/>
      <c r="V592" s="123"/>
      <c r="W592" s="8"/>
      <c r="X592" s="34"/>
      <c r="Y592" s="713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3"/>
      <c r="AP592" s="123"/>
      <c r="AQ592" s="8"/>
      <c r="AR592" s="34"/>
      <c r="AS592" s="713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3"/>
      <c r="BJ592" s="123"/>
      <c r="BK592" s="8"/>
      <c r="BL592" s="34"/>
      <c r="BM592" s="713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3"/>
      <c r="CD592" s="123"/>
      <c r="CE592" s="8"/>
      <c r="CF592" s="34"/>
      <c r="CG592" s="713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3"/>
      <c r="CX592" s="123"/>
      <c r="CY592" s="8"/>
      <c r="CZ592" s="34"/>
      <c r="DA592" s="713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25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.75" thickBot="1" x14ac:dyDescent="0.3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.75" thickBot="1" x14ac:dyDescent="0.3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764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769"/>
      <c r="AX595" s="769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772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798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.75" thickBot="1" x14ac:dyDescent="0.3">
      <c r="P596" s="248"/>
      <c r="AJ596" s="248"/>
      <c r="BD596" s="248"/>
      <c r="BX596" s="248"/>
      <c r="CR596" s="248"/>
      <c r="DL596" s="248"/>
    </row>
    <row r="597" spans="1:117" ht="15.75" thickBot="1" x14ac:dyDescent="0.3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25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3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3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3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3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3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30" x14ac:dyDescent="0.25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25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2"/>
      <c r="V600" s="129"/>
      <c r="W600" s="130"/>
      <c r="X600" s="79"/>
      <c r="Y600" s="712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2"/>
      <c r="AP600" s="129"/>
      <c r="AQ600" s="130"/>
      <c r="AR600" s="79"/>
      <c r="AS600" s="712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2"/>
      <c r="BJ600" s="129"/>
      <c r="BK600" s="130"/>
      <c r="BL600" s="79"/>
      <c r="BM600" s="712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2"/>
      <c r="CD600" s="129"/>
      <c r="CE600" s="130"/>
      <c r="CF600" s="79"/>
      <c r="CG600" s="712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2"/>
      <c r="CX600" s="129"/>
      <c r="CY600" s="130"/>
      <c r="CZ600" s="79"/>
      <c r="DA600" s="712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25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2"/>
      <c r="V601" s="129"/>
      <c r="W601" s="130"/>
      <c r="X601" s="79"/>
      <c r="Y601" s="712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2"/>
      <c r="AP601" s="129"/>
      <c r="AQ601" s="130"/>
      <c r="AR601" s="79"/>
      <c r="AS601" s="712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2"/>
      <c r="BJ601" s="129"/>
      <c r="BK601" s="130"/>
      <c r="BL601" s="79"/>
      <c r="BM601" s="712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2"/>
      <c r="CD601" s="129"/>
      <c r="CE601" s="130"/>
      <c r="CF601" s="79"/>
      <c r="CG601" s="712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2"/>
      <c r="CX601" s="129"/>
      <c r="CY601" s="130"/>
      <c r="CZ601" s="79"/>
      <c r="DA601" s="712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.75" thickBot="1" x14ac:dyDescent="0.3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.75" thickBot="1" x14ac:dyDescent="0.3">
      <c r="P603" s="248"/>
      <c r="AJ603" s="248"/>
      <c r="BD603" s="248"/>
      <c r="BX603" s="248"/>
      <c r="CR603" s="248"/>
      <c r="DL603" s="248"/>
    </row>
    <row r="604" spans="1:117" ht="15.75" thickBot="1" x14ac:dyDescent="0.3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4"/>
      <c r="AD604" s="674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4"/>
      <c r="AX604" s="674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4"/>
      <c r="BR604" s="674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4"/>
      <c r="CL604" s="674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4"/>
      <c r="DF604" s="674"/>
      <c r="DG604" s="487"/>
      <c r="DH604" s="491"/>
      <c r="DI604" s="492"/>
      <c r="DJ604" s="492"/>
      <c r="DK604" s="494"/>
      <c r="DL604" s="494"/>
      <c r="DM604" s="495"/>
    </row>
    <row r="605" spans="1:117" x14ac:dyDescent="0.25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25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3"/>
      <c r="V606" s="20"/>
      <c r="W606" s="8"/>
      <c r="X606" s="34"/>
      <c r="Y606" s="713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3"/>
      <c r="AP606" s="20"/>
      <c r="AQ606" s="8"/>
      <c r="AR606" s="34"/>
      <c r="AS606" s="713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3"/>
      <c r="BJ606" s="20"/>
      <c r="BK606" s="8"/>
      <c r="BL606" s="34"/>
      <c r="BM606" s="713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3"/>
      <c r="CD606" s="20"/>
      <c r="CE606" s="8"/>
      <c r="CF606" s="642" t="s">
        <v>948</v>
      </c>
      <c r="CG606" s="782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3"/>
      <c r="CX606" s="20"/>
      <c r="CY606" s="8"/>
      <c r="CZ606" s="34"/>
      <c r="DA606" s="713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x14ac:dyDescent="0.25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3"/>
      <c r="V607" s="575">
        <f>$F$607*40%*300</f>
        <v>121485.6</v>
      </c>
      <c r="W607" s="8"/>
      <c r="X607" s="34" t="s">
        <v>723</v>
      </c>
      <c r="Y607" s="713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3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3"/>
      <c r="BJ607" s="20"/>
      <c r="BK607" s="8">
        <f>$F$607*60%*300</f>
        <v>182228.4</v>
      </c>
      <c r="BL607" s="34" t="s">
        <v>724</v>
      </c>
      <c r="BM607" s="713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3"/>
      <c r="CD607" s="20"/>
      <c r="CE607" s="8"/>
      <c r="CF607" s="34"/>
      <c r="CG607" s="713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3"/>
      <c r="CX607" s="20"/>
      <c r="CY607" s="8"/>
      <c r="CZ607" s="34"/>
      <c r="DA607" s="713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30" x14ac:dyDescent="0.25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25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30" x14ac:dyDescent="0.25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x14ac:dyDescent="0.25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30" x14ac:dyDescent="0.25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1+1+1+1+1+1+1+1+1+1+1</f>
        <v>11</v>
      </c>
      <c r="BY612" s="35">
        <f t="shared" si="1283"/>
        <v>82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82</v>
      </c>
      <c r="CO612" s="298">
        <f>CO441</f>
        <v>0</v>
      </c>
      <c r="CP612" s="7">
        <f t="shared" si="1285"/>
        <v>-82</v>
      </c>
      <c r="CQ612" s="242"/>
      <c r="CR612" s="242"/>
      <c r="CS612" s="35">
        <f t="shared" si="1286"/>
        <v>82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82</v>
      </c>
      <c r="DI612" s="298">
        <f>DI441</f>
        <v>0</v>
      </c>
      <c r="DJ612" s="7">
        <f t="shared" si="1287"/>
        <v>-82</v>
      </c>
      <c r="DK612" s="242"/>
      <c r="DL612" s="242"/>
      <c r="DM612" s="35">
        <f t="shared" si="1288"/>
        <v>82</v>
      </c>
    </row>
    <row r="613" spans="1:117" x14ac:dyDescent="0.25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30" x14ac:dyDescent="0.25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1+1+1+1+1+1+1+1+1+1+1+4+1+1+1+1+1+1+1+1+1+1+1+1</f>
        <v>27</v>
      </c>
      <c r="BY614" s="35">
        <f t="shared" si="1283"/>
        <v>62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62</v>
      </c>
      <c r="CO614" s="298">
        <f>CO453</f>
        <v>0</v>
      </c>
      <c r="CP614" s="7">
        <f t="shared" si="1285"/>
        <v>-62</v>
      </c>
      <c r="CQ614" s="242"/>
      <c r="CR614" s="242"/>
      <c r="CS614" s="35">
        <f t="shared" si="1286"/>
        <v>62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62</v>
      </c>
      <c r="DI614" s="298">
        <f>DI453</f>
        <v>0</v>
      </c>
      <c r="DJ614" s="7">
        <f t="shared" si="1287"/>
        <v>-62</v>
      </c>
      <c r="DK614" s="242"/>
      <c r="DL614" s="242"/>
      <c r="DM614" s="35">
        <f t="shared" si="1288"/>
        <v>62</v>
      </c>
    </row>
    <row r="615" spans="1:117" x14ac:dyDescent="0.25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30" x14ac:dyDescent="0.25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1+1+1+1+1+1+1+1+9+1+1</f>
        <v>19</v>
      </c>
      <c r="BY616" s="35">
        <f t="shared" ref="BY616" si="1298">BT616+BW616-BX616</f>
        <v>60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60</v>
      </c>
      <c r="CO616" s="298">
        <f>CO266</f>
        <v>0</v>
      </c>
      <c r="CP616" s="7">
        <f t="shared" ref="CP616" si="1300">CO616-CN616</f>
        <v>-60</v>
      </c>
      <c r="CQ616" s="242"/>
      <c r="CR616" s="242"/>
      <c r="CS616" s="35">
        <f t="shared" ref="CS616" si="1301">CN616+CQ616-CR616</f>
        <v>60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60</v>
      </c>
      <c r="DI616" s="298">
        <f>DI266</f>
        <v>0</v>
      </c>
      <c r="DJ616" s="7">
        <f t="shared" ref="DJ616" si="1303">DI616-DH616</f>
        <v>-60</v>
      </c>
      <c r="DK616" s="242"/>
      <c r="DL616" s="242"/>
      <c r="DM616" s="35">
        <f t="shared" ref="DM616" si="1304">DH616+DK616-DL616</f>
        <v>60</v>
      </c>
    </row>
    <row r="617" spans="1:117" x14ac:dyDescent="0.25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25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2"/>
      <c r="V618" s="129"/>
      <c r="W618" s="130"/>
      <c r="X618" s="79"/>
      <c r="Y618" s="712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2"/>
      <c r="AP618" s="129"/>
      <c r="AQ618" s="130"/>
      <c r="AR618" s="79"/>
      <c r="AS618" s="712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2"/>
      <c r="BJ618" s="129"/>
      <c r="BK618" s="130"/>
      <c r="BL618" s="79"/>
      <c r="BM618" s="712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1+1+1+1+1+1</f>
        <v>6</v>
      </c>
      <c r="BY618" s="35"/>
      <c r="BZ618" s="131"/>
      <c r="CA618" s="130"/>
      <c r="CB618" s="79"/>
      <c r="CC618" s="712"/>
      <c r="CD618" s="129"/>
      <c r="CE618" s="130"/>
      <c r="CF618" s="79"/>
      <c r="CG618" s="712"/>
      <c r="CH618" s="131"/>
      <c r="CI618" s="130"/>
      <c r="CJ618" s="79"/>
      <c r="CK618" s="619"/>
      <c r="CL618" s="619"/>
      <c r="CM618" s="406"/>
      <c r="CN618" s="276"/>
      <c r="CO618" s="299"/>
      <c r="CP618" s="5"/>
      <c r="CQ618" s="240"/>
      <c r="CR618" s="240"/>
      <c r="CS618" s="79"/>
      <c r="CT618" s="131"/>
      <c r="CU618" s="130"/>
      <c r="CV618" s="79"/>
      <c r="CW618" s="712"/>
      <c r="CX618" s="129"/>
      <c r="CY618" s="130"/>
      <c r="CZ618" s="79"/>
      <c r="DA618" s="712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25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2"/>
      <c r="V619" s="129"/>
      <c r="W619" s="130"/>
      <c r="X619" s="79"/>
      <c r="Y619" s="712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2"/>
      <c r="AP619" s="129"/>
      <c r="AQ619" s="130"/>
      <c r="AR619" s="79"/>
      <c r="AS619" s="712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2"/>
      <c r="BJ619" s="129"/>
      <c r="BK619" s="130"/>
      <c r="BL619" s="79"/>
      <c r="BM619" s="712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4+1+1+1+1+1+1+1+1+1+1+1+1+1</f>
        <v>17</v>
      </c>
      <c r="BY619" s="35"/>
      <c r="BZ619" s="131"/>
      <c r="CA619" s="130"/>
      <c r="CB619" s="79"/>
      <c r="CC619" s="712"/>
      <c r="CD619" s="129"/>
      <c r="CE619" s="130"/>
      <c r="CF619" s="79"/>
      <c r="CG619" s="712"/>
      <c r="CH619" s="131"/>
      <c r="CI619" s="130"/>
      <c r="CJ619" s="79"/>
      <c r="CK619" s="619"/>
      <c r="CL619" s="619"/>
      <c r="CM619" s="406"/>
      <c r="CN619" s="276"/>
      <c r="CO619" s="299"/>
      <c r="CP619" s="5"/>
      <c r="CQ619" s="240"/>
      <c r="CR619" s="240"/>
      <c r="CS619" s="79"/>
      <c r="CT619" s="131"/>
      <c r="CU619" s="130"/>
      <c r="CV619" s="79"/>
      <c r="CW619" s="712"/>
      <c r="CX619" s="129"/>
      <c r="CY619" s="130"/>
      <c r="CZ619" s="79"/>
      <c r="DA619" s="712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25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2"/>
      <c r="V620" s="129"/>
      <c r="W620" s="130"/>
      <c r="X620" s="79"/>
      <c r="Y620" s="712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2"/>
      <c r="AP620" s="129"/>
      <c r="AQ620" s="130"/>
      <c r="AR620" s="79"/>
      <c r="AS620" s="712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2"/>
      <c r="BJ620" s="129"/>
      <c r="BK620" s="130"/>
      <c r="BL620" s="79"/>
      <c r="BM620" s="712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2"/>
      <c r="CD620" s="129"/>
      <c r="CE620" s="130"/>
      <c r="CF620" s="79"/>
      <c r="CG620" s="712"/>
      <c r="CH620" s="131"/>
      <c r="CI620" s="130"/>
      <c r="CJ620" s="79"/>
      <c r="CK620" s="619"/>
      <c r="CL620" s="619"/>
      <c r="CM620" s="406"/>
      <c r="CN620" s="276"/>
      <c r="CO620" s="299"/>
      <c r="CP620" s="5"/>
      <c r="CQ620" s="240"/>
      <c r="CR620" s="240"/>
      <c r="CS620" s="79"/>
      <c r="CT620" s="131"/>
      <c r="CU620" s="130"/>
      <c r="CV620" s="79"/>
      <c r="CW620" s="712"/>
      <c r="CX620" s="129"/>
      <c r="CY620" s="130"/>
      <c r="CZ620" s="79"/>
      <c r="DA620" s="712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25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2"/>
      <c r="V621" s="129"/>
      <c r="W621" s="130"/>
      <c r="X621" s="79"/>
      <c r="Y621" s="712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2"/>
      <c r="AP621" s="129"/>
      <c r="AQ621" s="130"/>
      <c r="AR621" s="79"/>
      <c r="AS621" s="712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2"/>
      <c r="BJ621" s="129"/>
      <c r="BK621" s="130"/>
      <c r="BL621" s="79"/>
      <c r="BM621" s="712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4+4+1+1+1+1+1+1+1+1+1</f>
        <v>17</v>
      </c>
      <c r="BY621" s="35"/>
      <c r="BZ621" s="131"/>
      <c r="CA621" s="130"/>
      <c r="CB621" s="79"/>
      <c r="CC621" s="712"/>
      <c r="CD621" s="129"/>
      <c r="CE621" s="130"/>
      <c r="CF621" s="79"/>
      <c r="CG621" s="712"/>
      <c r="CH621" s="131"/>
      <c r="CI621" s="130"/>
      <c r="CJ621" s="79"/>
      <c r="CK621" s="619"/>
      <c r="CL621" s="619"/>
      <c r="CM621" s="406"/>
      <c r="CN621" s="276"/>
      <c r="CO621" s="299"/>
      <c r="CP621" s="5"/>
      <c r="CQ621" s="240"/>
      <c r="CR621" s="240"/>
      <c r="CS621" s="79"/>
      <c r="CT621" s="131"/>
      <c r="CU621" s="130"/>
      <c r="CV621" s="79"/>
      <c r="CW621" s="712"/>
      <c r="CX621" s="129"/>
      <c r="CY621" s="130"/>
      <c r="CZ621" s="79"/>
      <c r="DA621" s="712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25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2"/>
      <c r="V622" s="129"/>
      <c r="W622" s="130"/>
      <c r="X622" s="79"/>
      <c r="Y622" s="712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2"/>
      <c r="AP622" s="129"/>
      <c r="AQ622" s="130"/>
      <c r="AR622" s="79"/>
      <c r="AS622" s="712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2"/>
      <c r="BJ622" s="129"/>
      <c r="BK622" s="130"/>
      <c r="BL622" s="79"/>
      <c r="BM622" s="712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1+1+2+1+1+1+1+1+1+1+1+1+1+1</f>
        <v>15</v>
      </c>
      <c r="BY622" s="35"/>
      <c r="BZ622" s="131"/>
      <c r="CA622" s="130"/>
      <c r="CB622" s="79"/>
      <c r="CC622" s="712"/>
      <c r="CD622" s="129"/>
      <c r="CE622" s="130"/>
      <c r="CF622" s="79"/>
      <c r="CG622" s="712"/>
      <c r="CH622" s="131"/>
      <c r="CI622" s="130"/>
      <c r="CJ622" s="79"/>
      <c r="CK622" s="619"/>
      <c r="CL622" s="619"/>
      <c r="CM622" s="406"/>
      <c r="CN622" s="276"/>
      <c r="CO622" s="299"/>
      <c r="CP622" s="5"/>
      <c r="CQ622" s="240"/>
      <c r="CR622" s="240"/>
      <c r="CS622" s="79"/>
      <c r="CT622" s="131"/>
      <c r="CU622" s="130"/>
      <c r="CV622" s="79"/>
      <c r="CW622" s="712"/>
      <c r="CX622" s="129"/>
      <c r="CY622" s="130"/>
      <c r="CZ622" s="79"/>
      <c r="DA622" s="712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25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2"/>
      <c r="V623" s="129"/>
      <c r="W623" s="130"/>
      <c r="X623" s="79"/>
      <c r="Y623" s="712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2"/>
      <c r="AP623" s="129"/>
      <c r="AQ623" s="130"/>
      <c r="AR623" s="79"/>
      <c r="AS623" s="712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2"/>
      <c r="BJ623" s="129"/>
      <c r="BK623" s="130"/>
      <c r="BL623" s="79"/>
      <c r="BM623" s="712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2"/>
      <c r="CD623" s="129"/>
      <c r="CE623" s="130"/>
      <c r="CF623" s="79"/>
      <c r="CG623" s="712"/>
      <c r="CH623" s="131"/>
      <c r="CI623" s="130"/>
      <c r="CJ623" s="79"/>
      <c r="CK623" s="619"/>
      <c r="CL623" s="619"/>
      <c r="CM623" s="406"/>
      <c r="CN623" s="276"/>
      <c r="CO623" s="299"/>
      <c r="CP623" s="5"/>
      <c r="CQ623" s="240"/>
      <c r="CR623" s="240"/>
      <c r="CS623" s="79"/>
      <c r="CT623" s="131"/>
      <c r="CU623" s="130"/>
      <c r="CV623" s="79"/>
      <c r="CW623" s="712"/>
      <c r="CX623" s="129"/>
      <c r="CY623" s="130"/>
      <c r="CZ623" s="79"/>
      <c r="DA623" s="712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25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2"/>
      <c r="V624" s="129"/>
      <c r="W624" s="130"/>
      <c r="X624" s="79"/>
      <c r="Y624" s="712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2"/>
      <c r="AP624" s="129"/>
      <c r="AQ624" s="130"/>
      <c r="AR624" s="79"/>
      <c r="AS624" s="712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2"/>
      <c r="BJ624" s="129"/>
      <c r="BK624" s="130"/>
      <c r="BL624" s="79"/>
      <c r="BM624" s="712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2"/>
      <c r="CD624" s="129"/>
      <c r="CE624" s="130"/>
      <c r="CF624" s="79"/>
      <c r="CG624" s="712"/>
      <c r="CH624" s="131"/>
      <c r="CI624" s="130"/>
      <c r="CJ624" s="79"/>
      <c r="CK624" s="619"/>
      <c r="CL624" s="619"/>
      <c r="CM624" s="406"/>
      <c r="CN624" s="276"/>
      <c r="CO624" s="299"/>
      <c r="CP624" s="5"/>
      <c r="CQ624" s="240"/>
      <c r="CR624" s="240"/>
      <c r="CS624" s="79"/>
      <c r="CT624" s="131"/>
      <c r="CU624" s="130"/>
      <c r="CV624" s="79"/>
      <c r="CW624" s="712"/>
      <c r="CX624" s="129"/>
      <c r="CY624" s="130"/>
      <c r="CZ624" s="79"/>
      <c r="DA624" s="712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25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2"/>
      <c r="V625" s="129"/>
      <c r="W625" s="130"/>
      <c r="X625" s="79"/>
      <c r="Y625" s="712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2"/>
      <c r="AP625" s="129"/>
      <c r="AQ625" s="130"/>
      <c r="AR625" s="79"/>
      <c r="AS625" s="712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2"/>
      <c r="BJ625" s="129"/>
      <c r="BK625" s="130"/>
      <c r="BL625" s="79"/>
      <c r="BM625" s="712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2"/>
      <c r="CD625" s="129"/>
      <c r="CE625" s="130"/>
      <c r="CF625" s="79"/>
      <c r="CG625" s="712"/>
      <c r="CH625" s="131"/>
      <c r="CI625" s="130"/>
      <c r="CJ625" s="79"/>
      <c r="CK625" s="619"/>
      <c r="CL625" s="619"/>
      <c r="CM625" s="406"/>
      <c r="CN625" s="276"/>
      <c r="CO625" s="299"/>
      <c r="CP625" s="5"/>
      <c r="CQ625" s="240"/>
      <c r="CR625" s="240"/>
      <c r="CS625" s="79"/>
      <c r="CT625" s="131"/>
      <c r="CU625" s="130"/>
      <c r="CV625" s="79"/>
      <c r="CW625" s="712"/>
      <c r="CX625" s="129"/>
      <c r="CY625" s="130"/>
      <c r="CZ625" s="79"/>
      <c r="DA625" s="712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25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2"/>
      <c r="V626" s="129"/>
      <c r="W626" s="130"/>
      <c r="X626" s="79"/>
      <c r="Y626" s="712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2"/>
      <c r="AP626" s="129"/>
      <c r="AQ626" s="130"/>
      <c r="AR626" s="79"/>
      <c r="AS626" s="712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2"/>
      <c r="BJ626" s="129"/>
      <c r="BK626" s="130"/>
      <c r="BL626" s="79"/>
      <c r="BM626" s="712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2"/>
      <c r="CD626" s="129"/>
      <c r="CE626" s="130"/>
      <c r="CF626" s="79"/>
      <c r="CG626" s="712"/>
      <c r="CH626" s="131"/>
      <c r="CI626" s="130"/>
      <c r="CJ626" s="79"/>
      <c r="CK626" s="619"/>
      <c r="CL626" s="619"/>
      <c r="CM626" s="406"/>
      <c r="CN626" s="276"/>
      <c r="CO626" s="299"/>
      <c r="CP626" s="5"/>
      <c r="CQ626" s="240"/>
      <c r="CR626" s="240"/>
      <c r="CS626" s="79"/>
      <c r="CT626" s="131"/>
      <c r="CU626" s="130"/>
      <c r="CV626" s="79"/>
      <c r="CW626" s="712"/>
      <c r="CX626" s="129"/>
      <c r="CY626" s="130"/>
      <c r="CZ626" s="79"/>
      <c r="DA626" s="712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25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2"/>
      <c r="V627" s="129"/>
      <c r="W627" s="130"/>
      <c r="X627" s="79"/>
      <c r="Y627" s="712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2"/>
      <c r="AP627" s="129"/>
      <c r="AQ627" s="130"/>
      <c r="AR627" s="79"/>
      <c r="AS627" s="712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2"/>
      <c r="BJ627" s="129"/>
      <c r="BK627" s="130"/>
      <c r="BL627" s="79"/>
      <c r="BM627" s="712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2"/>
      <c r="CD627" s="129"/>
      <c r="CE627" s="130"/>
      <c r="CF627" s="79"/>
      <c r="CG627" s="712"/>
      <c r="CH627" s="131"/>
      <c r="CI627" s="130"/>
      <c r="CJ627" s="79"/>
      <c r="CK627" s="619"/>
      <c r="CL627" s="619"/>
      <c r="CM627" s="406"/>
      <c r="CN627" s="276"/>
      <c r="CO627" s="299"/>
      <c r="CP627" s="5"/>
      <c r="CQ627" s="240"/>
      <c r="CR627" s="240"/>
      <c r="CS627" s="79"/>
      <c r="CT627" s="131"/>
      <c r="CU627" s="130"/>
      <c r="CV627" s="79"/>
      <c r="CW627" s="712"/>
      <c r="CX627" s="129"/>
      <c r="CY627" s="130"/>
      <c r="CZ627" s="79"/>
      <c r="DA627" s="712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25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2"/>
      <c r="V628" s="129"/>
      <c r="W628" s="130"/>
      <c r="X628" s="79"/>
      <c r="Y628" s="712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2"/>
      <c r="AP628" s="129"/>
      <c r="AQ628" s="130"/>
      <c r="AR628" s="79"/>
      <c r="AS628" s="712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2"/>
      <c r="BJ628" s="129"/>
      <c r="BK628" s="130"/>
      <c r="BL628" s="79"/>
      <c r="BM628" s="712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2"/>
      <c r="CD628" s="129"/>
      <c r="CE628" s="130"/>
      <c r="CF628" s="79"/>
      <c r="CG628" s="712"/>
      <c r="CH628" s="131"/>
      <c r="CI628" s="130"/>
      <c r="CJ628" s="79"/>
      <c r="CK628" s="619"/>
      <c r="CL628" s="619"/>
      <c r="CM628" s="406"/>
      <c r="CN628" s="276"/>
      <c r="CO628" s="299"/>
      <c r="CP628" s="5"/>
      <c r="CQ628" s="240"/>
      <c r="CR628" s="240"/>
      <c r="CS628" s="79"/>
      <c r="CT628" s="131"/>
      <c r="CU628" s="130"/>
      <c r="CV628" s="79"/>
      <c r="CW628" s="712"/>
      <c r="CX628" s="129"/>
      <c r="CY628" s="130"/>
      <c r="CZ628" s="79"/>
      <c r="DA628" s="712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25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2"/>
      <c r="V629" s="129"/>
      <c r="W629" s="130"/>
      <c r="X629" s="79"/>
      <c r="Y629" s="712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2"/>
      <c r="AP629" s="129"/>
      <c r="AQ629" s="130"/>
      <c r="AR629" s="79"/>
      <c r="AS629" s="712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2"/>
      <c r="BJ629" s="129"/>
      <c r="BK629" s="130"/>
      <c r="BL629" s="79"/>
      <c r="BM629" s="712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2"/>
      <c r="CD629" s="129"/>
      <c r="CE629" s="130"/>
      <c r="CF629" s="79"/>
      <c r="CG629" s="712"/>
      <c r="CH629" s="131"/>
      <c r="CI629" s="130"/>
      <c r="CJ629" s="79"/>
      <c r="CK629" s="619"/>
      <c r="CL629" s="619"/>
      <c r="CM629" s="406"/>
      <c r="CN629" s="276"/>
      <c r="CO629" s="299"/>
      <c r="CP629" s="5"/>
      <c r="CQ629" s="240"/>
      <c r="CR629" s="240"/>
      <c r="CS629" s="79"/>
      <c r="CT629" s="131"/>
      <c r="CU629" s="130"/>
      <c r="CV629" s="79"/>
      <c r="CW629" s="712"/>
      <c r="CX629" s="129"/>
      <c r="CY629" s="130"/>
      <c r="CZ629" s="79"/>
      <c r="DA629" s="712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25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2"/>
      <c r="V630" s="129"/>
      <c r="W630" s="130"/>
      <c r="X630" s="79"/>
      <c r="Y630" s="712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2"/>
      <c r="AP630" s="129"/>
      <c r="AQ630" s="130"/>
      <c r="AR630" s="79"/>
      <c r="AS630" s="712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2"/>
      <c r="BJ630" s="129"/>
      <c r="BK630" s="130"/>
      <c r="BL630" s="79"/>
      <c r="BM630" s="712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2"/>
      <c r="CD630" s="129"/>
      <c r="CE630" s="130"/>
      <c r="CF630" s="79"/>
      <c r="CG630" s="712"/>
      <c r="CH630" s="131"/>
      <c r="CI630" s="130"/>
      <c r="CJ630" s="79"/>
      <c r="CK630" s="619"/>
      <c r="CL630" s="619"/>
      <c r="CM630" s="406"/>
      <c r="CN630" s="276"/>
      <c r="CO630" s="299"/>
      <c r="CP630" s="5"/>
      <c r="CQ630" s="240"/>
      <c r="CR630" s="240"/>
      <c r="CS630" s="79"/>
      <c r="CT630" s="131"/>
      <c r="CU630" s="130"/>
      <c r="CV630" s="79"/>
      <c r="CW630" s="712"/>
      <c r="CX630" s="129"/>
      <c r="CY630" s="130"/>
      <c r="CZ630" s="79"/>
      <c r="DA630" s="712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.75" thickBot="1" x14ac:dyDescent="0.3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.75" thickBot="1" x14ac:dyDescent="0.3">
      <c r="P632" s="248"/>
      <c r="AJ632" s="248"/>
      <c r="BD632" s="248"/>
      <c r="BX632" s="248"/>
      <c r="CR632" s="248"/>
      <c r="DL632" s="248"/>
    </row>
    <row r="633" spans="1:117" ht="15.75" thickBot="1" x14ac:dyDescent="0.3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SUM(R634:R639)</f>
        <v>100000</v>
      </c>
      <c r="S633" s="134">
        <f>SUM(S634:S639)</f>
        <v>0</v>
      </c>
      <c r="T633" s="107"/>
      <c r="U633" s="222"/>
      <c r="V633" s="133">
        <f>SUM(V634:V639)</f>
        <v>100000</v>
      </c>
      <c r="W633" s="134">
        <f>SUM(W634:W639)</f>
        <v>0</v>
      </c>
      <c r="X633" s="107"/>
      <c r="Y633" s="222"/>
      <c r="Z633" s="133">
        <f>SUM(Z634:Z639)</f>
        <v>100000</v>
      </c>
      <c r="AA633" s="134">
        <f>SUM(AA634:AA639)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SUM(AL634:AL639)</f>
        <v>100000</v>
      </c>
      <c r="AM633" s="134">
        <f>SUM(AM634:AM639)</f>
        <v>0</v>
      </c>
      <c r="AN633" s="107"/>
      <c r="AO633" s="222"/>
      <c r="AP633" s="133">
        <f>SUM(AP634:AP639)</f>
        <v>100000</v>
      </c>
      <c r="AQ633" s="134">
        <f>SUM(AQ634:AQ639)</f>
        <v>0</v>
      </c>
      <c r="AR633" s="107"/>
      <c r="AS633" s="222"/>
      <c r="AT633" s="133">
        <f>SUM(AT634:AT639)</f>
        <v>100000</v>
      </c>
      <c r="AU633" s="134">
        <f>SUM(AU634:AU639)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SUM(BF634:BF639)</f>
        <v>100000</v>
      </c>
      <c r="BG633" s="134">
        <f>SUM(BG634:BG639)</f>
        <v>0</v>
      </c>
      <c r="BH633" s="107"/>
      <c r="BI633" s="222"/>
      <c r="BJ633" s="133">
        <f>SUM(BJ634:BJ639)</f>
        <v>100000</v>
      </c>
      <c r="BK633" s="134">
        <f>SUM(BK634:BK639)</f>
        <v>0</v>
      </c>
      <c r="BL633" s="107"/>
      <c r="BM633" s="222"/>
      <c r="BN633" s="133">
        <f>SUM(BN634:BN639)</f>
        <v>100000</v>
      </c>
      <c r="BO633" s="134">
        <f>SUM(BO634:BO639)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SUM(BZ634:BZ639)</f>
        <v>100000</v>
      </c>
      <c r="CA633" s="134">
        <f>SUM(CA634:CA639)</f>
        <v>0</v>
      </c>
      <c r="CB633" s="107"/>
      <c r="CC633" s="222"/>
      <c r="CD633" s="133">
        <f>SUM(CD634:CD639)</f>
        <v>100000</v>
      </c>
      <c r="CE633" s="134">
        <f>SUM(CE634:CE639)</f>
        <v>17800</v>
      </c>
      <c r="CF633" s="107"/>
      <c r="CG633" s="222"/>
      <c r="CH633" s="133">
        <f>SUM(CH634:CH639)</f>
        <v>100000</v>
      </c>
      <c r="CI633" s="134">
        <f>SUM(CI634:CI639)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SUM(CT634:CT639)</f>
        <v>100000</v>
      </c>
      <c r="CU633" s="134">
        <f>SUM(CU634:CU639)</f>
        <v>0</v>
      </c>
      <c r="CV633" s="107"/>
      <c r="CW633" s="222"/>
      <c r="CX633" s="133">
        <f>SUM(CX634:CX639)</f>
        <v>100000</v>
      </c>
      <c r="CY633" s="134">
        <f>SUM(CY634:CY639)</f>
        <v>0</v>
      </c>
      <c r="CZ633" s="107"/>
      <c r="DA633" s="222"/>
      <c r="DB633" s="133">
        <f>SUM(DB634:DB639)</f>
        <v>100000</v>
      </c>
      <c r="DC633" s="134">
        <f>SUM(DC634:DC639)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25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3"/>
      <c r="V634" s="123"/>
      <c r="W634" s="8"/>
      <c r="X634" s="34"/>
      <c r="Y634" s="713"/>
      <c r="Z634" s="20"/>
      <c r="AA634" s="8"/>
      <c r="AB634" s="34"/>
      <c r="AC634" s="713"/>
      <c r="AD634" s="713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3"/>
      <c r="AP634" s="123"/>
      <c r="AQ634" s="8"/>
      <c r="AR634" s="34"/>
      <c r="AS634" s="713"/>
      <c r="AT634" s="20"/>
      <c r="AU634" s="8"/>
      <c r="AV634" s="34"/>
      <c r="AW634" s="713"/>
      <c r="AX634" s="713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3"/>
      <c r="BJ634" s="123"/>
      <c r="BK634" s="8"/>
      <c r="BL634" s="34"/>
      <c r="BM634" s="713"/>
      <c r="BN634" s="20"/>
      <c r="BO634" s="8"/>
      <c r="BP634" s="34"/>
      <c r="BQ634" s="713"/>
      <c r="BR634" s="713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3"/>
      <c r="CD634" s="123"/>
      <c r="CE634" s="684">
        <v>17800</v>
      </c>
      <c r="CF634" s="685" t="s">
        <v>940</v>
      </c>
      <c r="CG634" s="800"/>
      <c r="CH634" s="20"/>
      <c r="CI634" s="8"/>
      <c r="CJ634" s="34"/>
      <c r="CK634" s="713"/>
      <c r="CL634" s="713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3"/>
      <c r="CX634" s="123"/>
      <c r="CY634" s="8"/>
      <c r="CZ634" s="34"/>
      <c r="DA634" s="713"/>
      <c r="DB634" s="20"/>
      <c r="DC634" s="8"/>
      <c r="DD634" s="34"/>
      <c r="DE634" s="713"/>
      <c r="DF634" s="713"/>
      <c r="DG634" s="24"/>
      <c r="DH634" s="32"/>
      <c r="DI634" s="7"/>
      <c r="DJ634" s="7"/>
      <c r="DK634" s="7"/>
      <c r="DL634" s="242"/>
      <c r="DM634" s="234"/>
    </row>
    <row r="635" spans="1:117" x14ac:dyDescent="0.25">
      <c r="A635" s="17"/>
      <c r="B635" s="10" t="s">
        <v>995</v>
      </c>
      <c r="C635" s="17"/>
      <c r="D635" s="10"/>
      <c r="E635" s="10"/>
      <c r="F635" s="337"/>
      <c r="G635" s="10"/>
      <c r="H635" s="24"/>
      <c r="I635" s="24"/>
      <c r="J635" s="24"/>
      <c r="K635" s="24"/>
      <c r="L635" s="32"/>
      <c r="M635" s="7"/>
      <c r="N635" s="7"/>
      <c r="O635" s="258"/>
      <c r="P635" s="242"/>
      <c r="Q635" s="234"/>
      <c r="R635" s="20"/>
      <c r="S635" s="8"/>
      <c r="T635" s="34"/>
      <c r="U635" s="713"/>
      <c r="V635" s="20"/>
      <c r="W635" s="8"/>
      <c r="X635" s="34"/>
      <c r="Y635" s="713"/>
      <c r="Z635" s="20"/>
      <c r="AA635" s="8"/>
      <c r="AB635" s="34"/>
      <c r="AC635" s="713"/>
      <c r="AD635" s="713"/>
      <c r="AE635" s="24"/>
      <c r="AF635" s="32"/>
      <c r="AG635" s="7"/>
      <c r="AH635" s="7"/>
      <c r="AI635" s="258"/>
      <c r="AJ635" s="242"/>
      <c r="AK635" s="234"/>
      <c r="AL635" s="20"/>
      <c r="AM635" s="8"/>
      <c r="AN635" s="34"/>
      <c r="AO635" s="713"/>
      <c r="AP635" s="20"/>
      <c r="AQ635" s="8"/>
      <c r="AR635" s="34"/>
      <c r="AS635" s="713"/>
      <c r="AT635" s="20"/>
      <c r="AU635" s="8"/>
      <c r="AV635" s="34"/>
      <c r="AW635" s="713"/>
      <c r="AX635" s="713"/>
      <c r="AY635" s="24"/>
      <c r="AZ635" s="32"/>
      <c r="BA635" s="7"/>
      <c r="BB635" s="7"/>
      <c r="BC635" s="7"/>
      <c r="BD635" s="242"/>
      <c r="BE635" s="234"/>
      <c r="BF635" s="20"/>
      <c r="BG635" s="8"/>
      <c r="BH635" s="34"/>
      <c r="BI635" s="713"/>
      <c r="BJ635" s="20"/>
      <c r="BK635" s="8"/>
      <c r="BL635" s="34"/>
      <c r="BM635" s="713"/>
      <c r="BN635" s="20"/>
      <c r="BO635" s="8"/>
      <c r="BP635" s="34"/>
      <c r="BQ635" s="713"/>
      <c r="BR635" s="713"/>
      <c r="BS635" s="24"/>
      <c r="BT635" s="32"/>
      <c r="BU635" s="7"/>
      <c r="BV635" s="7"/>
      <c r="BW635" s="242"/>
      <c r="BX635" s="623">
        <v>10</v>
      </c>
      <c r="BY635" s="234"/>
      <c r="BZ635" s="20"/>
      <c r="CA635" s="8"/>
      <c r="CB635" s="34"/>
      <c r="CC635" s="713"/>
      <c r="CD635" s="20"/>
      <c r="CE635" s="213"/>
      <c r="CF635" s="642" t="s">
        <v>996</v>
      </c>
      <c r="CG635" s="818"/>
      <c r="CH635" s="20"/>
      <c r="CI635" s="8"/>
      <c r="CJ635" s="34"/>
      <c r="CK635" s="713"/>
      <c r="CL635" s="713"/>
      <c r="CM635" s="24"/>
      <c r="CN635" s="32"/>
      <c r="CO635" s="7"/>
      <c r="CP635" s="7"/>
      <c r="CQ635" s="242">
        <v>10</v>
      </c>
      <c r="CR635" s="242"/>
      <c r="CS635" s="234"/>
      <c r="CT635" s="20"/>
      <c r="CU635" s="8"/>
      <c r="CV635" s="34"/>
      <c r="CW635" s="713"/>
      <c r="CX635" s="20"/>
      <c r="CY635" s="8"/>
      <c r="CZ635" s="34"/>
      <c r="DA635" s="713"/>
      <c r="DB635" s="20"/>
      <c r="DC635" s="8"/>
      <c r="DD635" s="212" t="s">
        <v>997</v>
      </c>
      <c r="DE635" s="713"/>
      <c r="DF635" s="713"/>
      <c r="DG635" s="24"/>
      <c r="DH635" s="32"/>
      <c r="DI635" s="7"/>
      <c r="DJ635" s="7"/>
      <c r="DK635" s="7"/>
      <c r="DL635" s="242"/>
      <c r="DM635" s="234"/>
    </row>
    <row r="636" spans="1:117" x14ac:dyDescent="0.25">
      <c r="A636" s="18"/>
      <c r="B636" s="11" t="s">
        <v>142</v>
      </c>
      <c r="C636" s="18"/>
      <c r="D636" s="11" t="s">
        <v>141</v>
      </c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>
        <v>100000</v>
      </c>
      <c r="S636" s="6"/>
      <c r="T636" s="35"/>
      <c r="U636" s="612"/>
      <c r="V636" s="21">
        <v>100000</v>
      </c>
      <c r="W636" s="6"/>
      <c r="X636" s="35"/>
      <c r="Y636" s="612"/>
      <c r="Z636" s="21">
        <v>100000</v>
      </c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>
        <v>100000</v>
      </c>
      <c r="AM636" s="6"/>
      <c r="AN636" s="35"/>
      <c r="AO636" s="612"/>
      <c r="AP636" s="21">
        <v>100000</v>
      </c>
      <c r="AQ636" s="6"/>
      <c r="AR636" s="35"/>
      <c r="AS636" s="612"/>
      <c r="AT636" s="21">
        <v>100000</v>
      </c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>
        <v>100000</v>
      </c>
      <c r="BG636" s="6"/>
      <c r="BH636" s="35"/>
      <c r="BI636" s="612"/>
      <c r="BJ636" s="21">
        <v>100000</v>
      </c>
      <c r="BK636" s="6"/>
      <c r="BL636" s="35"/>
      <c r="BM636" s="612"/>
      <c r="BN636" s="21">
        <v>100000</v>
      </c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>
        <v>100000</v>
      </c>
      <c r="CA636" s="6"/>
      <c r="CB636" s="35"/>
      <c r="CC636" s="612"/>
      <c r="CD636" s="21">
        <v>100000</v>
      </c>
      <c r="CE636" s="6"/>
      <c r="CF636" s="35"/>
      <c r="CG636" s="612"/>
      <c r="CH636" s="21">
        <v>100000</v>
      </c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>
        <v>100000</v>
      </c>
      <c r="CU636" s="6"/>
      <c r="CV636" s="35"/>
      <c r="CW636" s="612"/>
      <c r="CX636" s="21">
        <v>100000</v>
      </c>
      <c r="CY636" s="6"/>
      <c r="CZ636" s="35"/>
      <c r="DA636" s="612"/>
      <c r="DB636" s="21">
        <v>100000</v>
      </c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25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x14ac:dyDescent="0.25">
      <c r="A638" s="18"/>
      <c r="B638" s="11"/>
      <c r="C638" s="18"/>
      <c r="D638" s="11"/>
      <c r="E638" s="11"/>
      <c r="F638" s="149"/>
      <c r="G638" s="11"/>
      <c r="H638" s="25"/>
      <c r="I638" s="25"/>
      <c r="J638" s="25"/>
      <c r="K638" s="25"/>
      <c r="L638" s="29"/>
      <c r="M638" s="5"/>
      <c r="N638" s="5"/>
      <c r="O638" s="5"/>
      <c r="P638" s="240"/>
      <c r="Q638" s="231"/>
      <c r="R638" s="21"/>
      <c r="S638" s="6"/>
      <c r="T638" s="35"/>
      <c r="U638" s="612"/>
      <c r="V638" s="21"/>
      <c r="W638" s="6"/>
      <c r="X638" s="35"/>
      <c r="Y638" s="612"/>
      <c r="Z638" s="21"/>
      <c r="AA638" s="6"/>
      <c r="AB638" s="35"/>
      <c r="AC638" s="612"/>
      <c r="AD638" s="612"/>
      <c r="AE638" s="25"/>
      <c r="AF638" s="29"/>
      <c r="AG638" s="5"/>
      <c r="AH638" s="5"/>
      <c r="AI638" s="5"/>
      <c r="AJ638" s="240"/>
      <c r="AK638" s="231"/>
      <c r="AL638" s="21"/>
      <c r="AM638" s="6"/>
      <c r="AN638" s="35"/>
      <c r="AO638" s="612"/>
      <c r="AP638" s="21"/>
      <c r="AQ638" s="6"/>
      <c r="AR638" s="35"/>
      <c r="AS638" s="612"/>
      <c r="AT638" s="21"/>
      <c r="AU638" s="6"/>
      <c r="AV638" s="35"/>
      <c r="AW638" s="612"/>
      <c r="AX638" s="612"/>
      <c r="AY638" s="25"/>
      <c r="AZ638" s="29"/>
      <c r="BA638" s="5"/>
      <c r="BB638" s="5"/>
      <c r="BC638" s="5"/>
      <c r="BD638" s="240"/>
      <c r="BE638" s="231"/>
      <c r="BF638" s="21"/>
      <c r="BG638" s="6"/>
      <c r="BH638" s="35"/>
      <c r="BI638" s="612"/>
      <c r="BJ638" s="21"/>
      <c r="BK638" s="6"/>
      <c r="BL638" s="35"/>
      <c r="BM638" s="612"/>
      <c r="BN638" s="21"/>
      <c r="BO638" s="6"/>
      <c r="BP638" s="35"/>
      <c r="BQ638" s="612"/>
      <c r="BR638" s="612"/>
      <c r="BS638" s="25"/>
      <c r="BT638" s="29"/>
      <c r="BU638" s="5"/>
      <c r="BV638" s="5"/>
      <c r="BW638" s="5"/>
      <c r="BX638" s="240"/>
      <c r="BY638" s="231"/>
      <c r="BZ638" s="21"/>
      <c r="CA638" s="6"/>
      <c r="CB638" s="35"/>
      <c r="CC638" s="612"/>
      <c r="CD638" s="21"/>
      <c r="CE638" s="6"/>
      <c r="CF638" s="35"/>
      <c r="CG638" s="612"/>
      <c r="CH638" s="21"/>
      <c r="CI638" s="6"/>
      <c r="CJ638" s="35"/>
      <c r="CK638" s="612"/>
      <c r="CL638" s="612"/>
      <c r="CM638" s="25"/>
      <c r="CN638" s="29"/>
      <c r="CO638" s="5"/>
      <c r="CP638" s="5"/>
      <c r="CQ638" s="5"/>
      <c r="CR638" s="240"/>
      <c r="CS638" s="231"/>
      <c r="CT638" s="21"/>
      <c r="CU638" s="6"/>
      <c r="CV638" s="35"/>
      <c r="CW638" s="612"/>
      <c r="CX638" s="21"/>
      <c r="CY638" s="6"/>
      <c r="CZ638" s="35"/>
      <c r="DA638" s="612"/>
      <c r="DB638" s="21"/>
      <c r="DC638" s="6"/>
      <c r="DD638" s="35"/>
      <c r="DE638" s="612"/>
      <c r="DF638" s="612"/>
      <c r="DG638" s="25"/>
      <c r="DH638" s="29"/>
      <c r="DI638" s="5"/>
      <c r="DJ638" s="5"/>
      <c r="DK638" s="5"/>
      <c r="DL638" s="240"/>
      <c r="DM638" s="231"/>
    </row>
    <row r="639" spans="1:117" ht="15.75" thickBot="1" x14ac:dyDescent="0.3">
      <c r="A639" s="19"/>
      <c r="B639" s="12"/>
      <c r="C639" s="19"/>
      <c r="D639" s="12"/>
      <c r="E639" s="12"/>
      <c r="F639" s="146"/>
      <c r="G639" s="12"/>
      <c r="H639" s="28"/>
      <c r="I639" s="28"/>
      <c r="J639" s="28"/>
      <c r="K639" s="28"/>
      <c r="L639" s="30"/>
      <c r="M639" s="31"/>
      <c r="N639" s="31"/>
      <c r="O639" s="31"/>
      <c r="P639" s="241"/>
      <c r="Q639" s="232"/>
      <c r="R639" s="200"/>
      <c r="S639" s="201"/>
      <c r="T639" s="36"/>
      <c r="U639" s="220"/>
      <c r="V639" s="200"/>
      <c r="W639" s="201"/>
      <c r="X639" s="36"/>
      <c r="Y639" s="220"/>
      <c r="Z639" s="122"/>
      <c r="AA639" s="201"/>
      <c r="AB639" s="36"/>
      <c r="AC639" s="220"/>
      <c r="AD639" s="220"/>
      <c r="AE639" s="28"/>
      <c r="AF639" s="30"/>
      <c r="AG639" s="31"/>
      <c r="AH639" s="31"/>
      <c r="AI639" s="31"/>
      <c r="AJ639" s="241"/>
      <c r="AK639" s="232"/>
      <c r="AL639" s="200"/>
      <c r="AM639" s="201"/>
      <c r="AN639" s="36"/>
      <c r="AO639" s="220"/>
      <c r="AP639" s="200"/>
      <c r="AQ639" s="201"/>
      <c r="AR639" s="36"/>
      <c r="AS639" s="220"/>
      <c r="AT639" s="122"/>
      <c r="AU639" s="201"/>
      <c r="AV639" s="36"/>
      <c r="AW639" s="220"/>
      <c r="AX639" s="220"/>
      <c r="AY639" s="28"/>
      <c r="AZ639" s="30"/>
      <c r="BA639" s="31"/>
      <c r="BB639" s="31"/>
      <c r="BC639" s="31"/>
      <c r="BD639" s="241"/>
      <c r="BE639" s="232"/>
      <c r="BF639" s="200"/>
      <c r="BG639" s="201"/>
      <c r="BH639" s="36"/>
      <c r="BI639" s="220"/>
      <c r="BJ639" s="200"/>
      <c r="BK639" s="201"/>
      <c r="BL639" s="36"/>
      <c r="BM639" s="220"/>
      <c r="BN639" s="122"/>
      <c r="BO639" s="201"/>
      <c r="BP639" s="36"/>
      <c r="BQ639" s="220"/>
      <c r="BR639" s="220"/>
      <c r="BS639" s="28"/>
      <c r="BT639" s="30"/>
      <c r="BU639" s="31"/>
      <c r="BV639" s="31"/>
      <c r="BW639" s="31"/>
      <c r="BX639" s="241"/>
      <c r="BY639" s="232"/>
      <c r="BZ639" s="200"/>
      <c r="CA639" s="201"/>
      <c r="CB639" s="36"/>
      <c r="CC639" s="220"/>
      <c r="CD639" s="200"/>
      <c r="CE639" s="201"/>
      <c r="CF639" s="36"/>
      <c r="CG639" s="220"/>
      <c r="CH639" s="122"/>
      <c r="CI639" s="201"/>
      <c r="CJ639" s="36"/>
      <c r="CK639" s="220"/>
      <c r="CL639" s="220"/>
      <c r="CM639" s="28"/>
      <c r="CN639" s="30"/>
      <c r="CO639" s="31"/>
      <c r="CP639" s="31"/>
      <c r="CQ639" s="31"/>
      <c r="CR639" s="241"/>
      <c r="CS639" s="232"/>
      <c r="CT639" s="200"/>
      <c r="CU639" s="201"/>
      <c r="CV639" s="36"/>
      <c r="CW639" s="220"/>
      <c r="CX639" s="200"/>
      <c r="CY639" s="201"/>
      <c r="CZ639" s="36"/>
      <c r="DA639" s="220"/>
      <c r="DB639" s="122"/>
      <c r="DC639" s="201"/>
      <c r="DD639" s="36"/>
      <c r="DE639" s="220"/>
      <c r="DF639" s="220"/>
      <c r="DG639" s="28"/>
      <c r="DH639" s="30"/>
      <c r="DI639" s="31"/>
      <c r="DJ639" s="31"/>
      <c r="DK639" s="31"/>
      <c r="DL639" s="241"/>
      <c r="DM639" s="232"/>
    </row>
    <row r="640" spans="1:117" ht="15.75" thickBot="1" x14ac:dyDescent="0.3"/>
    <row r="641" spans="1:117" x14ac:dyDescent="0.25">
      <c r="A641" s="141"/>
      <c r="B641" s="140" t="s">
        <v>155</v>
      </c>
      <c r="C641" s="141"/>
      <c r="D641" s="139"/>
      <c r="E641" s="139"/>
      <c r="F641" s="566"/>
      <c r="G641" s="139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2" t="s">
        <v>340</v>
      </c>
      <c r="S641" s="143" t="s">
        <v>366</v>
      </c>
      <c r="T641" s="144" t="s">
        <v>157</v>
      </c>
      <c r="U641" s="729"/>
      <c r="V641" s="142" t="s">
        <v>340</v>
      </c>
      <c r="W641" s="143" t="s">
        <v>366</v>
      </c>
      <c r="X641" s="144" t="s">
        <v>157</v>
      </c>
      <c r="Y641" s="729"/>
      <c r="Z641" s="142" t="s">
        <v>340</v>
      </c>
      <c r="AA641" s="143" t="s">
        <v>366</v>
      </c>
      <c r="AB641" s="144" t="s">
        <v>157</v>
      </c>
      <c r="AC641" s="141"/>
      <c r="AD641" s="141"/>
      <c r="AE641" s="141"/>
      <c r="AF641" s="141"/>
      <c r="AG641" s="141"/>
      <c r="AH641" s="141"/>
      <c r="AI641" s="141"/>
      <c r="AJ641" s="141"/>
      <c r="AK641" s="141"/>
      <c r="AL641" s="142" t="s">
        <v>340</v>
      </c>
      <c r="AM641" s="143" t="s">
        <v>366</v>
      </c>
      <c r="AN641" s="144" t="s">
        <v>157</v>
      </c>
      <c r="AO641" s="729"/>
      <c r="AP641" s="142" t="s">
        <v>340</v>
      </c>
      <c r="AQ641" s="143" t="s">
        <v>366</v>
      </c>
      <c r="AR641" s="144" t="s">
        <v>157</v>
      </c>
      <c r="AS641" s="729"/>
      <c r="AT641" s="142" t="s">
        <v>340</v>
      </c>
      <c r="AU641" s="143" t="s">
        <v>366</v>
      </c>
      <c r="AV641" s="144" t="s">
        <v>157</v>
      </c>
      <c r="AW641" s="141"/>
      <c r="AX641" s="141"/>
      <c r="AY641" s="141"/>
      <c r="AZ641" s="141"/>
      <c r="BA641" s="141"/>
      <c r="BB641" s="141"/>
      <c r="BC641" s="141"/>
      <c r="BD641" s="141"/>
      <c r="BE641" s="141"/>
      <c r="BF641" s="142" t="s">
        <v>340</v>
      </c>
      <c r="BG641" s="143" t="s">
        <v>366</v>
      </c>
      <c r="BH641" s="144" t="s">
        <v>157</v>
      </c>
      <c r="BI641" s="729"/>
      <c r="BJ641" s="142" t="s">
        <v>340</v>
      </c>
      <c r="BK641" s="143" t="s">
        <v>366</v>
      </c>
      <c r="BL641" s="144" t="s">
        <v>157</v>
      </c>
      <c r="BM641" s="729"/>
      <c r="BN641" s="142" t="s">
        <v>340</v>
      </c>
      <c r="BO641" s="143" t="s">
        <v>366</v>
      </c>
      <c r="BP641" s="144" t="s">
        <v>157</v>
      </c>
      <c r="BQ641" s="141"/>
      <c r="BR641" s="141"/>
      <c r="BS641" s="141"/>
      <c r="BT641" s="141"/>
      <c r="BU641" s="141"/>
      <c r="BV641" s="141"/>
      <c r="BW641" s="141"/>
      <c r="BX641" s="141"/>
      <c r="BY641" s="141"/>
      <c r="BZ641" s="142" t="s">
        <v>340</v>
      </c>
      <c r="CA641" s="143" t="s">
        <v>366</v>
      </c>
      <c r="CB641" s="144" t="s">
        <v>157</v>
      </c>
      <c r="CC641" s="729"/>
      <c r="CD641" s="142" t="s">
        <v>340</v>
      </c>
      <c r="CE641" s="143" t="s">
        <v>366</v>
      </c>
      <c r="CF641" s="144" t="s">
        <v>157</v>
      </c>
      <c r="CG641" s="729"/>
      <c r="CH641" s="142" t="s">
        <v>340</v>
      </c>
      <c r="CI641" s="143" t="s">
        <v>366</v>
      </c>
      <c r="CJ641" s="144" t="s">
        <v>157</v>
      </c>
      <c r="CK641" s="141"/>
      <c r="CL641" s="141"/>
      <c r="CM641" s="141"/>
      <c r="CN641" s="141"/>
      <c r="CO641" s="141"/>
      <c r="CP641" s="141"/>
      <c r="CQ641" s="141"/>
      <c r="CR641" s="141"/>
      <c r="CS641" s="141"/>
      <c r="CT641" s="142" t="s">
        <v>340</v>
      </c>
      <c r="CU641" s="143" t="s">
        <v>366</v>
      </c>
      <c r="CV641" s="144" t="s">
        <v>157</v>
      </c>
      <c r="CW641" s="729"/>
      <c r="CX641" s="142" t="s">
        <v>340</v>
      </c>
      <c r="CY641" s="143" t="s">
        <v>366</v>
      </c>
      <c r="CZ641" s="144" t="s">
        <v>157</v>
      </c>
      <c r="DA641" s="729"/>
      <c r="DB641" s="142" t="s">
        <v>340</v>
      </c>
      <c r="DC641" s="143" t="s">
        <v>366</v>
      </c>
      <c r="DD641" s="144" t="s">
        <v>157</v>
      </c>
      <c r="DE641" s="141"/>
      <c r="DF641" s="141"/>
      <c r="DG641" s="141"/>
      <c r="DH641" s="141"/>
      <c r="DI641" s="141"/>
      <c r="DJ641" s="141"/>
      <c r="DK641" s="141"/>
      <c r="DL641" s="141"/>
      <c r="DM641" s="141"/>
    </row>
    <row r="642" spans="1:117" ht="15.75" thickBot="1" x14ac:dyDescent="0.3">
      <c r="R642" s="200">
        <f>SUM(R4,R81,R186,R202,R246,R266,R275,R340,R344,R363,R380,R385,R432,R441,R464,R477,R501,R510,R528,R532,R545,R552,R558,R587,R591,R597,R239,R212,R633,R604,R453)</f>
        <v>737082.5</v>
      </c>
      <c r="S642" s="201">
        <f>SUM(S4,S81,S186,S202,S246,S266,S275,S340,S344,S363,S380,S385,S432,S441,S464,S477,S501,S510,S528,S532,S545,S552,S558,S587,S591,S239,S212,S597,S633,S604,S453)</f>
        <v>123900</v>
      </c>
      <c r="T642" s="75" t="s">
        <v>156</v>
      </c>
      <c r="U642" s="77"/>
      <c r="V642" s="200">
        <f>SUM(V4,V81,V186,V202,V246,V266,V275,V340,V344,V363,V380,V385,V432,V441,V464,V477,V501,V510,V528,V532,V545,V552,V558,V587,V591,V597,V239,V212,V633,V604,V453)</f>
        <v>1758024.3</v>
      </c>
      <c r="W642" s="201">
        <f>SUM(W4,W81,W186,W202,W246,W266,W275,W340,W344,W363,W380,W385,W432,W441,W464,W477,W501,W510,W528,W532,W545,W552,W558,W587,W591,W239,W212,W597,W633,W604,W453)</f>
        <v>1652713</v>
      </c>
      <c r="X642" s="75" t="s">
        <v>156</v>
      </c>
      <c r="Y642" s="77"/>
      <c r="Z642" s="200">
        <f>SUM(Z4,Z81,Z186,Z202,Z246,Z266,Z275,Z340,Z344,Z363,Z380,Z385,Z432,Z441,Z464,Z477,Z501,Z510,Z528,Z532,Z545,Z552,Z558,Z587,Z591,Z597,Z239,Z212,Z633,Z604,Z453)</f>
        <v>623364.64</v>
      </c>
      <c r="AA642" s="201">
        <f>SUM(AA4,AA81,AA186,AA202,AA246,AA266,AA275,AA340,AA344,AA363,AA380,AA385,AA432,AA441,AA464,AA477,AA501,AA510,AA528,AA532,AA545,AA552,AA558,AA587,AA591,AA239,AA212,AA597,AA633,AA604,AA453)</f>
        <v>767954.64</v>
      </c>
      <c r="AB642" s="75" t="s">
        <v>156</v>
      </c>
      <c r="AL642" s="200">
        <f>SUM(AL4,AL81,AL186,AL202,AL246,AL266,AL275,AL340,AL344,AL363,AL380,AL385,AL432,AL441,AL464,AL477,AL501,AL510,AL528,AL532,AL545,AL552,AL558,AL587,AL591,AL597,AL239,AL212,AL633,AL604,AL453)</f>
        <v>454950</v>
      </c>
      <c r="AM642" s="201">
        <f>SUM(AM4,AM81,AM186,AM202,AM246,AM266,AM275,AM340,AM344,AM363,AM380,AM385,AM432,AM441,AM464,AM477,AM501,AM510,AM528,AM532,AM545,AM552,AM558,AM587,AM591,AM239,AM212,AM597,AM633,AM604,AM453)</f>
        <v>375837.6</v>
      </c>
      <c r="AN642" s="75" t="s">
        <v>156</v>
      </c>
      <c r="AO642" s="77"/>
      <c r="AP642" s="200">
        <f>SUM(AP4,AP81,AP186,AP202,AP246,AP266,AP275,AP340,AP344,AP363,AP380,AP385,AP432,AP441,AP464,AP477,AP501,AP510,AP528,AP532,AP545,AP552,AP558,AP587,AP591,AP597,AP239,AP212,AP633,AP604,AP453)</f>
        <v>197215</v>
      </c>
      <c r="AQ642" s="201">
        <f>SUM(AQ4,AQ81,AQ186,AQ202,AQ246,AQ266,AQ275,AQ340,AQ344,AQ363,AQ380,AQ385,AQ432,AQ441,AQ464,AQ477,AQ501,AQ510,AQ528,AQ532,AQ545,AQ552,AQ558,AQ587,AQ591,AQ239,AQ212,AQ597,AQ633,AQ604,AQ453)</f>
        <v>889350</v>
      </c>
      <c r="AR642" s="75" t="s">
        <v>156</v>
      </c>
      <c r="AS642" s="77"/>
      <c r="AT642" s="200">
        <f>SUM(AT4,AT81,AT186,AT202,AT246,AT266,AT275,AT340,AT344,AT363,AT380,AT385,AT432,AT441,AT464,AT477,AT501,AT510,AT528,AT532,AT545,AT552,AT558,AT587,AT591,AT597,AT239,AT212,AT633,AT604,AT453)</f>
        <v>1281576.3999999999</v>
      </c>
      <c r="AU642" s="201">
        <f>SUM(AU4,AU81,AU186,AU202,AU246,AU266,AU275,AU340,AU344,AU363,AU380,AU385,AU432,AU441,AU464,AU477,AU501,AU510,AU528,AU532,AU545,AU552,AU558,AU587,AU591,AU239,AU212,AU597,AU633,AU604,AU453)</f>
        <v>1022516.7999999999</v>
      </c>
      <c r="AV642" s="75" t="s">
        <v>156</v>
      </c>
      <c r="BF642" s="200">
        <f>SUM(BF4,BF81,BF186,BF202,BF246,BF266,BF275,BF340,BF344,BF363,BF380,BF385,BF432,BF441,BF464,BF477,BF501,BF510,BF528,BF532,BF545,BF552,BF558,BF587,BF591,BF597,BF239,BF212,BF633,BF604,BF453)</f>
        <v>192000</v>
      </c>
      <c r="BG642" s="201">
        <f>SUM(BG4,BG81,BG186,BG202,BG246,BG266,BG275,BG340,BG344,BG363,BG380,BG385,BG432,BG441,BG464,BG477,BG501,BG510,BG528,BG532,BG545,BG552,BG558,BG587,BG591,BG239,BG212,BG597,BG633,BG604,BG453)</f>
        <v>624710</v>
      </c>
      <c r="BH642" s="75" t="s">
        <v>156</v>
      </c>
      <c r="BI642" s="77"/>
      <c r="BJ642" s="200">
        <f>SUM(BJ4,BJ81,BJ186,BJ202,BJ246,BJ266,BJ275,BJ340,BJ344,BJ363,BJ380,BJ385,BJ432,BJ441,BJ464,BJ477,BJ501,BJ510,BJ528,BJ532,BJ545,BJ552,BJ558,BJ587,BJ591,BJ597,BJ239,BJ212,BJ633,BJ604,BJ453)</f>
        <v>781126.6</v>
      </c>
      <c r="BK642" s="201">
        <f>SUM(BK4,BK81,BK186,BK202,BK246,BK266,BK275,BK340,BK344,BK363,BK380,BK385,BK432,BK441,BK464,BK477,BK501,BK510,BK528,BK532,BK545,BK552,BK558,BK587,BK591,BK239,BK212,BK597,BK633,BK604,BK453)</f>
        <v>514234.4</v>
      </c>
      <c r="BL642" s="75" t="s">
        <v>156</v>
      </c>
      <c r="BM642" s="77"/>
      <c r="BN642" s="200">
        <f>SUM(BN4,BN81,BN186,BN202,BN246,BN266,BN275,BN340,BN344,BN363,BN380,BN385,BN432,BN441,BN464,BN477,BN501,BN510,BN528,BN532,BN545,BN552,BN558,BN587,BN591,BN597,BN239,BN212,BN633,BN604,BN453)</f>
        <v>956785.9</v>
      </c>
      <c r="BO642" s="201">
        <f>SUM(BO4,BO81,BO186,BO202,BO246,BO266,BO275,BO340,BO344,BO363,BO380,BO385,BO432,BO441,BO464,BO477,BO501,BO510,BO528,BO532,BO545,BO552,BO558,BO587,BO591,BO239,BO212,BO597,BO633,BO604,BO453)</f>
        <v>971179.45</v>
      </c>
      <c r="BP642" s="75" t="s">
        <v>156</v>
      </c>
      <c r="BZ642" s="200">
        <f>SUM(BZ4,BZ81,BZ186,BZ202,BZ246,BZ266,BZ275,BZ340,BZ344,BZ363,BZ380,BZ385,BZ432,BZ441,BZ464,BZ477,BZ501,BZ510,BZ528,BZ532,BZ545,BZ552,BZ558,BZ587,BZ591,BZ597,BZ239,BZ212,BZ633,BZ604,BZ453)</f>
        <v>743484</v>
      </c>
      <c r="CA642" s="201">
        <f>SUM(CA4,CA81,CA186,CA202,CA246,CA266,CA275,CA340,CA344,CA363,CA380,CA385,CA432,CA441,CA464,CA477,CA501,CA510,CA528,CA532,CA545,CA552,CA558,CA587,CA591,CA239,CA212,CA597,CA633,CA604,CA453)</f>
        <v>362214.6</v>
      </c>
      <c r="CB642" s="75" t="s">
        <v>156</v>
      </c>
      <c r="CC642" s="77"/>
      <c r="CD642" s="200">
        <f>SUM(CD4,CD81,CD186,CD202,CD246,CD266,CD275,CD340,CD344,CD363,CD380,CD385,CD432,CD441,CD464,CD477,CD501,CD510,CD528,CD532,CD545,CD552,CD558,CD587,CD591,CD597,CD239,CD212,CD633,CD604,CD453)</f>
        <v>4933619.26</v>
      </c>
      <c r="CE642" s="201">
        <f>SUM(CE4,CE81,CE186,CE202,CE246,CE266,CE275,CE340,CE344,CE363,CE380,CE385,CE432,CE441,CE464,CE477,CE501,CE510,CE528,CE532,CE545,CE552,CE558,CE587,CE591,CE239,CE212,CE597,CE633,CE604,CE453)</f>
        <v>696319.89</v>
      </c>
      <c r="CF642" s="75" t="s">
        <v>156</v>
      </c>
      <c r="CG642" s="77"/>
      <c r="CH642" s="200">
        <f>SUM(CH4,CH81,CH186,CH202,CH246,CH266,CH275,CH340,CH344,CH363,CH380,CH385,CH432,CH441,CH464,CH477,CH501,CH510,CH528,CH532,CH545,CH552,CH558,CH587,CH591,CH597,CH239,CH212,CH633,CH604,CH453)</f>
        <v>1811630.6600000001</v>
      </c>
      <c r="CI642" s="201">
        <f>SUM(CI4,CI81,CI186,CI202,CI246,CI266,CI275,CI340,CI344,CI363,CI380,CI385,CI432,CI441,CI464,CI477,CI501,CI510,CI528,CI532,CI545,CI552,CI558,CI587,CI591,CI239,CI212,CI597,CI633,CI604,CI453)</f>
        <v>6149251.5</v>
      </c>
      <c r="CJ642" s="75" t="s">
        <v>156</v>
      </c>
      <c r="CT642" s="200">
        <f>SUM(CT4,CT81,CT186,CT202,CT246,CT266,CT275,CT340,CT344,CT363,CT380,CT385,CT432,CT441,CT464,CT477,CT501,CT510,CT528,CT532,CT545,CT552,CT558,CT587,CT591,CT597,CT239,CT212,CT633,CT604,CT453)</f>
        <v>100000</v>
      </c>
      <c r="CU642" s="201">
        <f>SUM(CU4,CU81,CU186,CU202,CU246,CU266,CU275,CU340,CU344,CU363,CU380,CU385,CU432,CU441,CU464,CU477,CU501,CU510,CU528,CU532,CU545,CU552,CU558,CU587,CU591,CU239,CU212,CU597,CU633,CU604,CU453)</f>
        <v>1945367.075</v>
      </c>
      <c r="CV642" s="75" t="s">
        <v>156</v>
      </c>
      <c r="CW642" s="77"/>
      <c r="CX642" s="200">
        <f>SUM(CX4,CX81,CX186,CX202,CX246,CX266,CX275,CX340,CX344,CX363,CX380,CX385,CX432,CX441,CX464,CX477,CX501,CX510,CX528,CX532,CX545,CX552,CX558,CX587,CX591,CX597,CX239,CX212,CX633,CX604,CX453)</f>
        <v>100000</v>
      </c>
      <c r="CY642" s="201">
        <f>SUM(CY4,CY81,CY186,CY202,CY246,CY266,CY275,CY340,CY344,CY363,CY380,CY385,CY432,CY441,CY464,CY477,CY501,CY510,CY528,CY532,CY545,CY552,CY558,CY587,CY591,CY239,CY212,CY597,CY633,CY604,CY453)</f>
        <v>3199777.3</v>
      </c>
      <c r="CZ642" s="75" t="s">
        <v>156</v>
      </c>
      <c r="DA642" s="77"/>
      <c r="DB642" s="200">
        <f>SUM(DB4,DB81,DB186,DB202,DB246,DB266,DB275,DB340,DB344,DB363,DB380,DB385,DB432,DB441,DB464,DB477,DB501,DB510,DB528,DB532,DB545,DB552,DB558,DB587,DB591,DB597,DB239,DB212,DB633,DB604,DB453)</f>
        <v>1530500</v>
      </c>
      <c r="DC642" s="201">
        <f>SUM(DC4,DC81,DC186,DC202,DC246,DC266,DC275,DC340,DC344,DC363,DC380,DC385,DC432,DC441,DC464,DC477,DC501,DC510,DC528,DC532,DC545,DC552,DC558,DC587,DC591,DC239,DC212,DC597,DC633,DC604,DC453)</f>
        <v>364625</v>
      </c>
      <c r="DD642" s="75" t="s">
        <v>156</v>
      </c>
    </row>
    <row r="643" spans="1:117" ht="15.75" thickBot="1" x14ac:dyDescent="0.3">
      <c r="B643" s="438">
        <f>SUM(R643,V643,Z643,AL643,AP643,AT643,BF643,BJ643,BN643,BZ643,CD643,CH643)</f>
        <v>28621041.139999997</v>
      </c>
      <c r="M643" s="4"/>
      <c r="R643" s="834">
        <f>SUM(R642:S642)</f>
        <v>860982.5</v>
      </c>
      <c r="S643" s="835"/>
      <c r="T643" s="383" t="s">
        <v>158</v>
      </c>
      <c r="U643" s="676"/>
      <c r="V643" s="834">
        <f>SUM(V642:W642)</f>
        <v>3410737.3</v>
      </c>
      <c r="W643" s="835"/>
      <c r="X643" s="383" t="s">
        <v>158</v>
      </c>
      <c r="Y643" s="676"/>
      <c r="Z643" s="836">
        <f>SUM(Z642:AA642)</f>
        <v>1391319.28</v>
      </c>
      <c r="AA643" s="837"/>
      <c r="AB643" s="383" t="s">
        <v>158</v>
      </c>
      <c r="AC643" s="4"/>
      <c r="AD643" s="4"/>
      <c r="AG643" s="4"/>
      <c r="AL643" s="834">
        <f>SUM(AL642:AM642)</f>
        <v>830787.6</v>
      </c>
      <c r="AM643" s="835"/>
      <c r="AN643" s="383" t="s">
        <v>158</v>
      </c>
      <c r="AO643" s="676"/>
      <c r="AP643" s="834">
        <f>SUM(AP642:AQ642)</f>
        <v>1086565</v>
      </c>
      <c r="AQ643" s="835"/>
      <c r="AR643" s="383" t="s">
        <v>158</v>
      </c>
      <c r="AS643" s="676"/>
      <c r="AT643" s="834">
        <f>SUM(AT642:AU642)</f>
        <v>2304093.1999999997</v>
      </c>
      <c r="AU643" s="835"/>
      <c r="AV643" s="383" t="s">
        <v>158</v>
      </c>
      <c r="AW643" s="4"/>
      <c r="AX643" s="4"/>
      <c r="BA643" s="4"/>
      <c r="BF643" s="834">
        <f>SUM(BF642:BG642)</f>
        <v>816710</v>
      </c>
      <c r="BG643" s="835"/>
      <c r="BH643" s="383" t="s">
        <v>158</v>
      </c>
      <c r="BI643" s="676"/>
      <c r="BJ643" s="834">
        <f>SUM(BJ642:BK642)</f>
        <v>1295361</v>
      </c>
      <c r="BK643" s="835"/>
      <c r="BL643" s="383" t="s">
        <v>158</v>
      </c>
      <c r="BM643" s="676"/>
      <c r="BN643" s="834">
        <f>SUM(BN642:BO642)</f>
        <v>1927965.35</v>
      </c>
      <c r="BO643" s="835"/>
      <c r="BP643" s="383" t="s">
        <v>158</v>
      </c>
      <c r="BQ643" s="4"/>
      <c r="BR643" s="4"/>
      <c r="BU643" s="4"/>
      <c r="BZ643" s="836">
        <f>SUM(BZ642:CA642)</f>
        <v>1105698.6000000001</v>
      </c>
      <c r="CA643" s="837"/>
      <c r="CB643" s="383" t="s">
        <v>158</v>
      </c>
      <c r="CC643" s="676"/>
      <c r="CD643" s="834">
        <f>SUM(CD642:CE642)</f>
        <v>5629939.1499999994</v>
      </c>
      <c r="CE643" s="835"/>
      <c r="CF643" s="383" t="s">
        <v>158</v>
      </c>
      <c r="CG643" s="676"/>
      <c r="CH643" s="834">
        <f>SUM(CH642:CI642)</f>
        <v>7960882.1600000001</v>
      </c>
      <c r="CI643" s="835"/>
      <c r="CJ643" s="383" t="s">
        <v>158</v>
      </c>
      <c r="CK643" s="4"/>
      <c r="CL643" s="4"/>
      <c r="CO643" s="4"/>
      <c r="CT643" s="834">
        <f>SUM(CT642:CU642)</f>
        <v>2045367.075</v>
      </c>
      <c r="CU643" s="835"/>
      <c r="CV643" s="383" t="s">
        <v>158</v>
      </c>
      <c r="CW643" s="676"/>
      <c r="CX643" s="834">
        <f>SUM(CX642:CY642)</f>
        <v>3299777.3</v>
      </c>
      <c r="CY643" s="835"/>
      <c r="CZ643" s="383" t="s">
        <v>158</v>
      </c>
      <c r="DA643" s="676"/>
      <c r="DB643" s="834">
        <f>SUM(DB642:DC642)</f>
        <v>1895125</v>
      </c>
      <c r="DC643" s="835"/>
      <c r="DD643" s="383" t="s">
        <v>158</v>
      </c>
      <c r="DE643" s="4"/>
      <c r="DF643" s="4"/>
      <c r="DI643" s="4"/>
    </row>
    <row r="644" spans="1:117" x14ac:dyDescent="0.25">
      <c r="T644" s="4"/>
      <c r="U644" s="4"/>
      <c r="X644" s="4"/>
      <c r="Y644" s="4"/>
      <c r="AB644" s="4"/>
      <c r="AC644" s="4"/>
      <c r="AD644" s="4"/>
      <c r="AN644" s="4"/>
      <c r="AO644" s="4"/>
      <c r="AR644" s="4"/>
      <c r="AS644" s="4"/>
      <c r="AV644" s="4"/>
      <c r="AW644" s="4"/>
      <c r="AX644" s="4"/>
      <c r="BH644" s="4"/>
      <c r="BI644" s="4"/>
      <c r="BL644" s="4"/>
      <c r="BM644" s="4"/>
      <c r="BP644" s="4"/>
      <c r="BQ644" s="4"/>
      <c r="BR644" s="4"/>
      <c r="CB644" s="4"/>
      <c r="CC644" s="4"/>
      <c r="CF644" s="4"/>
      <c r="CG644" s="4"/>
      <c r="CJ644" s="4"/>
      <c r="CK644" s="4"/>
      <c r="CL644" s="4"/>
      <c r="CV644" s="4"/>
      <c r="CW644" s="4"/>
      <c r="CZ644" s="4"/>
      <c r="DA644" s="4"/>
      <c r="DD644" s="4"/>
      <c r="DE644" s="4"/>
      <c r="DF644" s="4"/>
    </row>
  </sheetData>
  <mergeCells count="65">
    <mergeCell ref="DH2:DM2"/>
    <mergeCell ref="CT643:CU643"/>
    <mergeCell ref="CX643:CY643"/>
    <mergeCell ref="DB643:DC643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  <mergeCell ref="BN643:BO643"/>
    <mergeCell ref="BZ643:CA643"/>
    <mergeCell ref="CD643:CE643"/>
    <mergeCell ref="CH643:CI643"/>
    <mergeCell ref="AX2:AX3"/>
    <mergeCell ref="BQ2:BQ3"/>
    <mergeCell ref="BR2:BR3"/>
    <mergeCell ref="AL643:AM643"/>
    <mergeCell ref="AP643:AQ643"/>
    <mergeCell ref="AT643:AU643"/>
    <mergeCell ref="BF643:BG643"/>
    <mergeCell ref="BJ643:BK643"/>
    <mergeCell ref="BF1:BP1"/>
    <mergeCell ref="AZ2:BE2"/>
    <mergeCell ref="BF2:BH2"/>
    <mergeCell ref="BJ2:BL2"/>
    <mergeCell ref="BN2:BP2"/>
    <mergeCell ref="BI2:BI3"/>
    <mergeCell ref="BM2:BM3"/>
    <mergeCell ref="AL1:AV1"/>
    <mergeCell ref="AF2:AK2"/>
    <mergeCell ref="AL2:AN2"/>
    <mergeCell ref="AP2:AR2"/>
    <mergeCell ref="AT2:AV2"/>
    <mergeCell ref="R643:S643"/>
    <mergeCell ref="V643:W643"/>
    <mergeCell ref="Z643:AA643"/>
    <mergeCell ref="R1:AB1"/>
    <mergeCell ref="L2:Q2"/>
    <mergeCell ref="R2:T2"/>
    <mergeCell ref="V2:X2"/>
    <mergeCell ref="Z2:AB2"/>
    <mergeCell ref="Y2:Y3"/>
    <mergeCell ref="F2:H2"/>
    <mergeCell ref="I2:I3"/>
    <mergeCell ref="E2:E3"/>
    <mergeCell ref="C2:D2"/>
    <mergeCell ref="U2:U3"/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64"/>
  <sheetViews>
    <sheetView workbookViewId="0">
      <selection activeCell="P8" sqref="P8"/>
    </sheetView>
  </sheetViews>
  <sheetFormatPr defaultRowHeight="15" x14ac:dyDescent="0.25"/>
  <cols>
    <col min="1" max="1" width="12.28515625" customWidth="1"/>
    <col min="2" max="2" width="6" bestFit="1" customWidth="1"/>
    <col min="3" max="9" width="11.42578125" bestFit="1" customWidth="1"/>
    <col min="10" max="10" width="12.42578125" bestFit="1" customWidth="1"/>
    <col min="11" max="12" width="11.42578125" bestFit="1" customWidth="1"/>
    <col min="13" max="14" width="12.42578125" bestFit="1" customWidth="1"/>
    <col min="15" max="15" width="11.42578125" bestFit="1" customWidth="1"/>
    <col min="16" max="16" width="12.42578125" bestFit="1" customWidth="1"/>
    <col min="17" max="17" width="11.42578125" bestFit="1" customWidth="1"/>
    <col min="18" max="19" width="12.42578125" bestFit="1" customWidth="1"/>
  </cols>
  <sheetData>
    <row r="1" spans="1:19" s="1" customFormat="1" ht="15.75" thickBot="1" x14ac:dyDescent="0.3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25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.75" thickBot="1" x14ac:dyDescent="0.3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.75" thickBot="1" x14ac:dyDescent="0.3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.75" thickBot="1" x14ac:dyDescent="0.3"/>
    <row r="7" spans="1:19" ht="15.75" thickBot="1" x14ac:dyDescent="0.3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25">
      <c r="A8" s="846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.75" thickBot="1" x14ac:dyDescent="0.3">
      <c r="A9" s="847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.75" thickBot="1" x14ac:dyDescent="0.3">
      <c r="A10" s="848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25">
      <c r="A11" s="846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.75" thickBot="1" x14ac:dyDescent="0.3">
      <c r="A12" s="847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.75" thickBot="1" x14ac:dyDescent="0.3">
      <c r="A13" s="848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25">
      <c r="A14" s="846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.75" thickBot="1" x14ac:dyDescent="0.3">
      <c r="A15" s="847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.75" thickBot="1" x14ac:dyDescent="0.3">
      <c r="A16" s="848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25">
      <c r="A17" s="846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.75" thickBot="1" x14ac:dyDescent="0.3">
      <c r="A18" s="847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.75" thickBot="1" x14ac:dyDescent="0.3">
      <c r="A19" s="848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25">
      <c r="A20" s="846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.75" thickBot="1" x14ac:dyDescent="0.3">
      <c r="A21" s="847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.75" thickBot="1" x14ac:dyDescent="0.3">
      <c r="A22" s="848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25">
      <c r="A23" s="846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.75" thickBot="1" x14ac:dyDescent="0.3">
      <c r="A24" s="847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.75" thickBot="1" x14ac:dyDescent="0.3">
      <c r="A25" s="848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25">
      <c r="A26" s="846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.75" thickBot="1" x14ac:dyDescent="0.3">
      <c r="A27" s="847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.75" thickBot="1" x14ac:dyDescent="0.3">
      <c r="A28" s="848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25">
      <c r="A29" s="846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.75" thickBot="1" x14ac:dyDescent="0.3">
      <c r="A30" s="847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.75" thickBot="1" x14ac:dyDescent="0.3">
      <c r="A31" s="848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25">
      <c r="A32" s="846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.75" thickBot="1" x14ac:dyDescent="0.3">
      <c r="A33" s="847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.75" thickBot="1" x14ac:dyDescent="0.3">
      <c r="A34" s="848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25">
      <c r="A35" s="846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.75" thickBot="1" x14ac:dyDescent="0.3">
      <c r="A36" s="847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.75" thickBot="1" x14ac:dyDescent="0.3">
      <c r="A37" s="848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25">
      <c r="A38" s="843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.75" thickBot="1" x14ac:dyDescent="0.3">
      <c r="A39" s="844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.75" thickBot="1" x14ac:dyDescent="0.3">
      <c r="A40" s="845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25">
      <c r="A41" s="843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.75" thickBot="1" x14ac:dyDescent="0.3">
      <c r="A42" s="844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.75" thickBot="1" x14ac:dyDescent="0.3">
      <c r="A43" s="845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25">
      <c r="A44" s="843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.75" thickBot="1" x14ac:dyDescent="0.3">
      <c r="A45" s="844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.75" thickBot="1" x14ac:dyDescent="0.3">
      <c r="A46" s="845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25">
      <c r="A47" s="843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.75" thickBot="1" x14ac:dyDescent="0.3">
      <c r="A48" s="844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.75" thickBot="1" x14ac:dyDescent="0.3">
      <c r="A49" s="845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25">
      <c r="A50" s="843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.75" thickBot="1" x14ac:dyDescent="0.3">
      <c r="A51" s="844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.75" thickBot="1" x14ac:dyDescent="0.3">
      <c r="A52" s="845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25">
      <c r="A53" s="843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.75" thickBot="1" x14ac:dyDescent="0.3">
      <c r="A54" s="844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.75" thickBot="1" x14ac:dyDescent="0.3">
      <c r="A55" s="845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25">
      <c r="A56" s="843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.75" thickBot="1" x14ac:dyDescent="0.3">
      <c r="A57" s="844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.75" thickBot="1" x14ac:dyDescent="0.3">
      <c r="A58" s="845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25">
      <c r="A59" s="843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.75" thickBot="1" x14ac:dyDescent="0.3">
      <c r="A60" s="844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.75" thickBot="1" x14ac:dyDescent="0.3">
      <c r="A61" s="845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25">
      <c r="A62" s="843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.75" thickBot="1" x14ac:dyDescent="0.3">
      <c r="A63" s="844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.75" thickBot="1" x14ac:dyDescent="0.3">
      <c r="A64" s="845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2:A64"/>
    <mergeCell ref="A44:A46"/>
    <mergeCell ref="A47:A49"/>
    <mergeCell ref="A50:A52"/>
    <mergeCell ref="A53:A55"/>
    <mergeCell ref="A56:A58"/>
    <mergeCell ref="A59:A6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8"/>
  <sheetViews>
    <sheetView workbookViewId="0">
      <selection activeCell="E26" sqref="E26"/>
    </sheetView>
  </sheetViews>
  <sheetFormatPr defaultRowHeight="15" x14ac:dyDescent="0.25"/>
  <cols>
    <col min="1" max="1" width="31" customWidth="1"/>
    <col min="2" max="2" width="13" customWidth="1"/>
  </cols>
  <sheetData>
    <row r="1" spans="1:3" x14ac:dyDescent="0.25">
      <c r="A1" s="259"/>
      <c r="B1" s="5"/>
      <c r="C1" s="597"/>
    </row>
    <row r="2" spans="1:3" x14ac:dyDescent="0.25">
      <c r="A2" s="15"/>
      <c r="B2" s="5"/>
      <c r="C2" s="597"/>
    </row>
    <row r="3" spans="1:3" x14ac:dyDescent="0.25">
      <c r="A3" s="80"/>
      <c r="B3" s="7"/>
      <c r="C3" s="597"/>
    </row>
    <row r="4" spans="1:3" x14ac:dyDescent="0.25">
      <c r="A4" s="15"/>
      <c r="B4" s="5"/>
      <c r="C4" s="597"/>
    </row>
    <row r="5" spans="1:3" x14ac:dyDescent="0.25">
      <c r="A5" s="11"/>
      <c r="B5" s="7"/>
      <c r="C5" s="597"/>
    </row>
    <row r="6" spans="1:3" x14ac:dyDescent="0.25">
      <c r="A6" s="23"/>
      <c r="B6" s="5"/>
      <c r="C6" s="597"/>
    </row>
    <row r="7" spans="1:3" x14ac:dyDescent="0.25">
      <c r="A7" s="15"/>
      <c r="B7" s="7"/>
      <c r="C7" s="597"/>
    </row>
    <row r="8" spans="1:3" x14ac:dyDescent="0.25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home</cp:lastModifiedBy>
  <cp:lastPrinted>2025-11-12T09:04:29Z</cp:lastPrinted>
  <dcterms:created xsi:type="dcterms:W3CDTF">2016-04-05T12:11:40Z</dcterms:created>
  <dcterms:modified xsi:type="dcterms:W3CDTF">2025-12-14T21:13:52Z</dcterms:modified>
</cp:coreProperties>
</file>