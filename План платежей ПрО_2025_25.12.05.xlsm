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MSK_AUTO\"/>
    </mc:Choice>
  </mc:AlternateContent>
  <bookViews>
    <workbookView xWindow="-105" yWindow="-105" windowWidth="23250" windowHeight="12450"/>
  </bookViews>
  <sheets>
    <sheet name="Детализация" sheetId="1" r:id="rId1"/>
    <sheet name="Итого" sheetId="2" r:id="rId2"/>
    <sheet name="Лист3" sheetId="3" r:id="rId3"/>
  </sheets>
  <calcPr calcId="162913"/>
</workbook>
</file>

<file path=xl/calcChain.xml><?xml version="1.0" encoding="utf-8"?>
<calcChain xmlns="http://schemas.openxmlformats.org/spreadsheetml/2006/main">
  <c r="BX138" i="1" l="1"/>
  <c r="BX48" i="1"/>
  <c r="BX55" i="1"/>
  <c r="BX5" i="1"/>
  <c r="BX24" i="1"/>
  <c r="BX622" i="1"/>
  <c r="BX621" i="1" l="1"/>
  <c r="BX619" i="1"/>
  <c r="BX618" i="1"/>
  <c r="BX614" i="1"/>
  <c r="BX612" i="1"/>
  <c r="BX616" i="1"/>
  <c r="BX73" i="1"/>
  <c r="BU5" i="1" l="1"/>
  <c r="CR78" i="1"/>
  <c r="BX16" i="1" l="1"/>
  <c r="Z5" i="1"/>
  <c r="Z24" i="1"/>
  <c r="Z38" i="1"/>
  <c r="Z47" i="1"/>
  <c r="Z50" i="1"/>
  <c r="Z53" i="1"/>
  <c r="Z55" i="1"/>
  <c r="Z60" i="1"/>
  <c r="Z64" i="1"/>
  <c r="Z71" i="1"/>
  <c r="Z69" i="1" s="1"/>
  <c r="Z76" i="1"/>
  <c r="Z87" i="1"/>
  <c r="Z88" i="1"/>
  <c r="Z89" i="1"/>
  <c r="Z95" i="1"/>
  <c r="Z92" i="1" s="1"/>
  <c r="Z98" i="1"/>
  <c r="Z96" i="1" s="1"/>
  <c r="Z100" i="1"/>
  <c r="Z104" i="1"/>
  <c r="Z105" i="1"/>
  <c r="Z106" i="1"/>
  <c r="Z112" i="1"/>
  <c r="Z110" i="1" s="1"/>
  <c r="Z118" i="1"/>
  <c r="Z113" i="1" s="1"/>
  <c r="Z120" i="1"/>
  <c r="Z119" i="1" s="1"/>
  <c r="Z127" i="1"/>
  <c r="Z136" i="1"/>
  <c r="Z134" i="1" s="1"/>
  <c r="Z141" i="1"/>
  <c r="Z138" i="1" s="1"/>
  <c r="Z146" i="1"/>
  <c r="Z154" i="1"/>
  <c r="Z169" i="1"/>
  <c r="Z163" i="1" s="1"/>
  <c r="Z186" i="1"/>
  <c r="Z202" i="1"/>
  <c r="Z212" i="1"/>
  <c r="Z239" i="1"/>
  <c r="Z255" i="1"/>
  <c r="Z261" i="1"/>
  <c r="Z266" i="1"/>
  <c r="Z290" i="1"/>
  <c r="Z327" i="1"/>
  <c r="Z337" i="1"/>
  <c r="Z340" i="1"/>
  <c r="Z350" i="1"/>
  <c r="Z351" i="1"/>
  <c r="Z353" i="1"/>
  <c r="Z377" i="1"/>
  <c r="Z363" i="1" s="1"/>
  <c r="Z380" i="1"/>
  <c r="Z385" i="1"/>
  <c r="Z432" i="1"/>
  <c r="Z441" i="1"/>
  <c r="Z453" i="1"/>
  <c r="Z464" i="1"/>
  <c r="Z473" i="1"/>
  <c r="Z474" i="1"/>
  <c r="Z477" i="1"/>
  <c r="Z508" i="1"/>
  <c r="Z501" i="1" s="1"/>
  <c r="Z510" i="1"/>
  <c r="Z528" i="1"/>
  <c r="Z532" i="1"/>
  <c r="Z545" i="1"/>
  <c r="Z552" i="1"/>
  <c r="Z558" i="1"/>
  <c r="Z587" i="1"/>
  <c r="Z591" i="1"/>
  <c r="Z597" i="1"/>
  <c r="Z604" i="1"/>
  <c r="Z633" i="1"/>
  <c r="CY594" i="1"/>
  <c r="CH594" i="1"/>
  <c r="CD539" i="1"/>
  <c r="CI141" i="1"/>
  <c r="CI310" i="1"/>
  <c r="CI308" i="1"/>
  <c r="CI307" i="1"/>
  <c r="Z346" i="1" l="1"/>
  <c r="Z344" i="1" s="1"/>
  <c r="Z469" i="1"/>
  <c r="Z246" i="1"/>
  <c r="Z82" i="1"/>
  <c r="Z102" i="1"/>
  <c r="Z275" i="1"/>
  <c r="Z4" i="1"/>
  <c r="CD123" i="1"/>
  <c r="CD120" i="1"/>
  <c r="CD94" i="1"/>
  <c r="Z81" i="1" l="1"/>
  <c r="Z642" i="1" s="1"/>
  <c r="F288" i="1"/>
  <c r="CD305" i="1"/>
  <c r="F85" i="1"/>
  <c r="CD85" i="1" s="1"/>
  <c r="F86" i="1"/>
  <c r="CD86" i="1" s="1"/>
  <c r="F167" i="1"/>
  <c r="CD167" i="1" s="1"/>
  <c r="F90" i="1"/>
  <c r="CH91" i="1"/>
  <c r="CH168" i="1"/>
  <c r="CH325" i="1" l="1"/>
  <c r="CH324" i="1"/>
  <c r="CH323" i="1"/>
  <c r="CU124" i="1"/>
  <c r="CI124" i="1"/>
  <c r="CH124" i="1"/>
  <c r="BW124" i="1"/>
  <c r="CI121" i="1"/>
  <c r="CH121" i="1"/>
  <c r="CU175" i="1" l="1"/>
  <c r="CU173" i="1"/>
  <c r="CU174" i="1"/>
  <c r="CU176" i="1"/>
  <c r="CU179" i="1"/>
  <c r="CU171" i="1"/>
  <c r="CU172" i="1"/>
  <c r="CH179" i="1"/>
  <c r="CH176" i="1"/>
  <c r="CH175" i="1"/>
  <c r="CH174" i="1"/>
  <c r="CH173" i="1"/>
  <c r="CH172" i="1"/>
  <c r="CH171" i="1"/>
  <c r="CI89" i="1" l="1"/>
  <c r="BX558" i="1"/>
  <c r="BX71" i="1" l="1"/>
  <c r="BX49" i="1"/>
  <c r="BN366" i="1" l="1"/>
  <c r="BX610" i="1"/>
  <c r="BX623" i="1"/>
  <c r="BX125" i="1" l="1"/>
  <c r="BX110" i="1"/>
  <c r="BX102" i="1"/>
  <c r="BX92" i="1"/>
  <c r="BX82" i="1"/>
  <c r="BX199" i="1"/>
  <c r="BX198" i="1"/>
  <c r="BX120" i="1" l="1"/>
  <c r="BX121" i="1"/>
  <c r="BX503" i="1" l="1"/>
  <c r="BX504" i="1"/>
  <c r="BX508" i="1"/>
  <c r="BX551" i="1"/>
  <c r="BX532" i="1"/>
  <c r="BX195" i="1" l="1"/>
  <c r="BX194" i="1"/>
  <c r="BX197" i="1"/>
  <c r="BT124" i="1" l="1"/>
  <c r="BX96" i="1" l="1"/>
  <c r="BX146" i="1"/>
  <c r="BX196" i="1"/>
  <c r="BX628" i="1"/>
  <c r="BX625" i="1"/>
  <c r="BX627" i="1"/>
  <c r="DB61" i="1" l="1"/>
  <c r="CD122" i="1" l="1"/>
  <c r="BX346" i="1"/>
  <c r="BX608" i="1" l="1"/>
  <c r="BX620" i="1"/>
  <c r="CD288" i="1" l="1"/>
  <c r="CD359" i="1"/>
  <c r="CD309" i="1"/>
  <c r="CE555" i="1"/>
  <c r="CE316" i="1" l="1"/>
  <c r="CE317" i="1"/>
  <c r="CE315" i="1"/>
  <c r="BW121" i="1"/>
  <c r="BT79" i="1"/>
  <c r="BT78" i="1"/>
  <c r="BW77" i="1"/>
  <c r="CD355" i="1" l="1"/>
  <c r="CD90" i="1"/>
  <c r="CD98" i="1"/>
  <c r="CD95" i="1"/>
  <c r="CD105" i="1"/>
  <c r="CD104" i="1"/>
  <c r="CD88" i="1"/>
  <c r="CD87" i="1"/>
  <c r="CI292" i="1"/>
  <c r="CI293" i="1"/>
  <c r="CI294" i="1"/>
  <c r="CI295" i="1"/>
  <c r="CI296" i="1"/>
  <c r="CI297" i="1"/>
  <c r="CI298" i="1"/>
  <c r="CI291" i="1"/>
  <c r="CD298" i="1"/>
  <c r="CD297" i="1"/>
  <c r="CD296" i="1"/>
  <c r="CD295" i="1"/>
  <c r="CD294" i="1"/>
  <c r="CD293" i="1"/>
  <c r="CD292" i="1"/>
  <c r="CD291" i="1"/>
  <c r="CI355" i="1" l="1"/>
  <c r="BW555" i="1" l="1"/>
  <c r="CD348" i="1"/>
  <c r="BX53" i="1" l="1"/>
  <c r="BX70" i="1"/>
  <c r="BX630" i="1"/>
  <c r="BX123" i="1" l="1"/>
  <c r="BX122" i="1"/>
  <c r="BX502" i="1" l="1"/>
  <c r="BX275" i="1"/>
  <c r="BX72" i="1"/>
  <c r="DC633" i="1" l="1"/>
  <c r="DB633" i="1"/>
  <c r="DC604" i="1"/>
  <c r="DB604" i="1"/>
  <c r="DC597" i="1"/>
  <c r="DB597" i="1"/>
  <c r="DC591" i="1"/>
  <c r="DB591" i="1"/>
  <c r="DC587" i="1"/>
  <c r="DB587" i="1"/>
  <c r="DC558" i="1"/>
  <c r="DB558" i="1"/>
  <c r="DC552" i="1"/>
  <c r="DB552" i="1"/>
  <c r="DC545" i="1"/>
  <c r="DB545" i="1"/>
  <c r="DC532" i="1"/>
  <c r="DB532" i="1"/>
  <c r="DC528" i="1"/>
  <c r="DB528" i="1"/>
  <c r="DC510" i="1"/>
  <c r="DB510" i="1"/>
  <c r="DC501" i="1"/>
  <c r="DB501" i="1"/>
  <c r="DC477" i="1"/>
  <c r="DB477" i="1"/>
  <c r="DC469" i="1"/>
  <c r="DB469" i="1"/>
  <c r="DC464" i="1"/>
  <c r="DB464" i="1"/>
  <c r="DC453" i="1"/>
  <c r="DB453" i="1"/>
  <c r="DC441" i="1"/>
  <c r="DB441" i="1"/>
  <c r="DC432" i="1"/>
  <c r="DB432" i="1"/>
  <c r="DC385" i="1"/>
  <c r="DB385" i="1"/>
  <c r="DC380" i="1"/>
  <c r="DB380" i="1"/>
  <c r="DC363" i="1"/>
  <c r="DB363" i="1"/>
  <c r="DC353" i="1"/>
  <c r="DB353" i="1"/>
  <c r="DC346" i="1"/>
  <c r="DB346" i="1"/>
  <c r="DC340" i="1"/>
  <c r="DB340" i="1"/>
  <c r="DC337" i="1"/>
  <c r="DB337" i="1"/>
  <c r="DC327" i="1"/>
  <c r="DB327" i="1"/>
  <c r="DC290" i="1"/>
  <c r="DB290" i="1"/>
  <c r="DC266" i="1"/>
  <c r="DB266" i="1"/>
  <c r="DC261" i="1"/>
  <c r="DB261" i="1"/>
  <c r="DC255" i="1"/>
  <c r="DB255" i="1"/>
  <c r="DC239" i="1"/>
  <c r="DB239" i="1"/>
  <c r="DC212" i="1"/>
  <c r="DB212" i="1"/>
  <c r="DC202" i="1"/>
  <c r="DB202" i="1"/>
  <c r="DC186" i="1"/>
  <c r="DB186" i="1"/>
  <c r="DC163" i="1"/>
  <c r="DB163" i="1"/>
  <c r="DC154" i="1"/>
  <c r="DB154" i="1"/>
  <c r="DC146" i="1"/>
  <c r="DB146" i="1"/>
  <c r="DC138" i="1"/>
  <c r="DB138" i="1"/>
  <c r="DC134" i="1"/>
  <c r="DB134" i="1"/>
  <c r="DC127" i="1"/>
  <c r="DB127" i="1"/>
  <c r="DC119" i="1"/>
  <c r="DB119" i="1"/>
  <c r="DC113" i="1"/>
  <c r="DB113" i="1"/>
  <c r="DC110" i="1"/>
  <c r="DB110" i="1"/>
  <c r="DC106" i="1"/>
  <c r="DB106" i="1"/>
  <c r="DC102" i="1"/>
  <c r="DB102" i="1"/>
  <c r="DC100" i="1"/>
  <c r="DB100" i="1"/>
  <c r="DC96" i="1"/>
  <c r="DB96" i="1"/>
  <c r="DC92" i="1"/>
  <c r="DB92" i="1"/>
  <c r="DC82" i="1"/>
  <c r="DB82" i="1"/>
  <c r="DC76" i="1"/>
  <c r="DB76" i="1"/>
  <c r="DC69" i="1"/>
  <c r="DB69" i="1"/>
  <c r="DC64" i="1"/>
  <c r="DB64" i="1"/>
  <c r="DC60" i="1"/>
  <c r="DB60" i="1"/>
  <c r="DC55" i="1"/>
  <c r="DB55" i="1"/>
  <c r="DC53" i="1"/>
  <c r="DB53" i="1"/>
  <c r="DC50" i="1"/>
  <c r="DB50" i="1"/>
  <c r="DC47" i="1"/>
  <c r="DB47" i="1"/>
  <c r="DC38" i="1"/>
  <c r="DB38" i="1"/>
  <c r="DC24" i="1"/>
  <c r="DB24" i="1"/>
  <c r="DC5" i="1"/>
  <c r="DB5" i="1"/>
  <c r="CY633" i="1"/>
  <c r="CX633" i="1"/>
  <c r="CY604" i="1"/>
  <c r="CX604" i="1"/>
  <c r="CY597" i="1"/>
  <c r="CX597" i="1"/>
  <c r="CY591" i="1"/>
  <c r="CX591" i="1"/>
  <c r="CY587" i="1"/>
  <c r="CX587" i="1"/>
  <c r="CY558" i="1"/>
  <c r="CX558" i="1"/>
  <c r="CY552" i="1"/>
  <c r="CX552" i="1"/>
  <c r="CY545" i="1"/>
  <c r="CX545" i="1"/>
  <c r="CY532" i="1"/>
  <c r="CX532" i="1"/>
  <c r="CY528" i="1"/>
  <c r="CX528" i="1"/>
  <c r="CY510" i="1"/>
  <c r="CX510" i="1"/>
  <c r="CY501" i="1"/>
  <c r="CX501" i="1"/>
  <c r="CY477" i="1"/>
  <c r="CX477" i="1"/>
  <c r="CY469" i="1"/>
  <c r="CX469" i="1"/>
  <c r="CY464" i="1"/>
  <c r="CX464" i="1"/>
  <c r="CY453" i="1"/>
  <c r="CX453" i="1"/>
  <c r="CY441" i="1"/>
  <c r="CX441" i="1"/>
  <c r="CY432" i="1"/>
  <c r="CX432" i="1"/>
  <c r="CY385" i="1"/>
  <c r="CX385" i="1"/>
  <c r="CY380" i="1"/>
  <c r="CX380" i="1"/>
  <c r="CY363" i="1"/>
  <c r="CX363" i="1"/>
  <c r="CY353" i="1"/>
  <c r="CX353" i="1"/>
  <c r="CY346" i="1"/>
  <c r="CX346" i="1"/>
  <c r="CY340" i="1"/>
  <c r="CX340" i="1"/>
  <c r="CY337" i="1"/>
  <c r="CX337" i="1"/>
  <c r="CY327" i="1"/>
  <c r="CX327" i="1"/>
  <c r="CY290" i="1"/>
  <c r="CX290" i="1"/>
  <c r="CY266" i="1"/>
  <c r="CX266" i="1"/>
  <c r="CY261" i="1"/>
  <c r="CX261" i="1"/>
  <c r="CY255" i="1"/>
  <c r="CX255" i="1"/>
  <c r="CY239" i="1"/>
  <c r="CX239" i="1"/>
  <c r="CY212" i="1"/>
  <c r="CX212" i="1"/>
  <c r="CY202" i="1"/>
  <c r="CX202" i="1"/>
  <c r="CY186" i="1"/>
  <c r="CX186" i="1"/>
  <c r="CY163" i="1"/>
  <c r="CX163" i="1"/>
  <c r="CY154" i="1"/>
  <c r="CX154" i="1"/>
  <c r="CY146" i="1"/>
  <c r="CX146" i="1"/>
  <c r="CY138" i="1"/>
  <c r="CX138" i="1"/>
  <c r="CY134" i="1"/>
  <c r="CX134" i="1"/>
  <c r="CY127" i="1"/>
  <c r="CX127" i="1"/>
  <c r="CY119" i="1"/>
  <c r="CX119" i="1"/>
  <c r="CY113" i="1"/>
  <c r="CX113" i="1"/>
  <c r="CY110" i="1"/>
  <c r="CX110" i="1"/>
  <c r="CY106" i="1"/>
  <c r="CX106" i="1"/>
  <c r="CY102" i="1"/>
  <c r="CX102" i="1"/>
  <c r="CY100" i="1"/>
  <c r="CX100" i="1"/>
  <c r="CY96" i="1"/>
  <c r="CX96" i="1"/>
  <c r="CY92" i="1"/>
  <c r="CX92" i="1"/>
  <c r="CY82" i="1"/>
  <c r="CX82" i="1"/>
  <c r="CY76" i="1"/>
  <c r="CX76" i="1"/>
  <c r="CY69" i="1"/>
  <c r="CX69" i="1"/>
  <c r="CY64" i="1"/>
  <c r="CX64" i="1"/>
  <c r="CY60" i="1"/>
  <c r="CX60" i="1"/>
  <c r="CY55" i="1"/>
  <c r="CX55" i="1"/>
  <c r="CY53" i="1"/>
  <c r="CX53" i="1"/>
  <c r="CY50" i="1"/>
  <c r="CX50" i="1"/>
  <c r="CY47" i="1"/>
  <c r="CX47" i="1"/>
  <c r="CY38" i="1"/>
  <c r="CX38" i="1"/>
  <c r="CY24" i="1"/>
  <c r="CX24" i="1"/>
  <c r="CY5" i="1"/>
  <c r="CX5" i="1"/>
  <c r="CU633" i="1"/>
  <c r="CT633" i="1"/>
  <c r="CU604" i="1"/>
  <c r="CT604" i="1"/>
  <c r="CU597" i="1"/>
  <c r="CT597" i="1"/>
  <c r="CU591" i="1"/>
  <c r="CT591" i="1"/>
  <c r="CU587" i="1"/>
  <c r="CT587" i="1"/>
  <c r="CU558" i="1"/>
  <c r="CT558" i="1"/>
  <c r="CU552" i="1"/>
  <c r="CT552" i="1"/>
  <c r="CU545" i="1"/>
  <c r="CT545" i="1"/>
  <c r="CU532" i="1"/>
  <c r="CT532" i="1"/>
  <c r="CU528" i="1"/>
  <c r="CT528" i="1"/>
  <c r="CU510" i="1"/>
  <c r="CT510" i="1"/>
  <c r="CU501" i="1"/>
  <c r="CT501" i="1"/>
  <c r="CU477" i="1"/>
  <c r="CT477" i="1"/>
  <c r="CU469" i="1"/>
  <c r="CT469" i="1"/>
  <c r="CU464" i="1"/>
  <c r="CT464" i="1"/>
  <c r="CU453" i="1"/>
  <c r="CT453" i="1"/>
  <c r="CU441" i="1"/>
  <c r="CT441" i="1"/>
  <c r="CU432" i="1"/>
  <c r="CT432" i="1"/>
  <c r="CU385" i="1"/>
  <c r="CT385" i="1"/>
  <c r="CU380" i="1"/>
  <c r="CT380" i="1"/>
  <c r="CU363" i="1"/>
  <c r="CT363" i="1"/>
  <c r="CU353" i="1"/>
  <c r="CT353" i="1"/>
  <c r="CU346" i="1"/>
  <c r="CT346" i="1"/>
  <c r="CU340" i="1"/>
  <c r="CT340" i="1"/>
  <c r="CU337" i="1"/>
  <c r="CT337" i="1"/>
  <c r="CU327" i="1"/>
  <c r="CT327" i="1"/>
  <c r="CU290" i="1"/>
  <c r="CT290" i="1"/>
  <c r="CU266" i="1"/>
  <c r="CT266" i="1"/>
  <c r="CU261" i="1"/>
  <c r="CT261" i="1"/>
  <c r="CU255" i="1"/>
  <c r="CT255" i="1"/>
  <c r="CU239" i="1"/>
  <c r="CT239" i="1"/>
  <c r="CU212" i="1"/>
  <c r="CT212" i="1"/>
  <c r="CU202" i="1"/>
  <c r="CT202" i="1"/>
  <c r="CU186" i="1"/>
  <c r="CT186" i="1"/>
  <c r="CU169" i="1"/>
  <c r="CU163" i="1" s="1"/>
  <c r="CT163" i="1"/>
  <c r="CU154" i="1"/>
  <c r="CT154" i="1"/>
  <c r="CU146" i="1"/>
  <c r="CT146" i="1"/>
  <c r="CU138" i="1"/>
  <c r="CT138" i="1"/>
  <c r="CU134" i="1"/>
  <c r="CT134" i="1"/>
  <c r="CU127" i="1"/>
  <c r="CT127" i="1"/>
  <c r="CU119" i="1"/>
  <c r="CT119" i="1"/>
  <c r="CU113" i="1"/>
  <c r="CT113" i="1"/>
  <c r="CU110" i="1"/>
  <c r="CT110" i="1"/>
  <c r="CU106" i="1"/>
  <c r="CT106" i="1"/>
  <c r="CU102" i="1"/>
  <c r="CT102" i="1"/>
  <c r="CU100" i="1"/>
  <c r="CT100" i="1"/>
  <c r="CU96" i="1"/>
  <c r="CT96" i="1"/>
  <c r="CU92" i="1"/>
  <c r="CT92" i="1"/>
  <c r="CU82" i="1"/>
  <c r="CT82" i="1"/>
  <c r="CU76" i="1"/>
  <c r="CT76" i="1"/>
  <c r="CU69" i="1"/>
  <c r="CT69" i="1"/>
  <c r="CU64" i="1"/>
  <c r="CT64" i="1"/>
  <c r="CU60" i="1"/>
  <c r="CT60" i="1"/>
  <c r="CU55" i="1"/>
  <c r="CT55" i="1"/>
  <c r="CU53" i="1"/>
  <c r="CT53" i="1"/>
  <c r="CU50" i="1"/>
  <c r="CT50" i="1"/>
  <c r="CU47" i="1"/>
  <c r="CT47" i="1"/>
  <c r="CU38" i="1"/>
  <c r="CT38" i="1"/>
  <c r="CU24" i="1"/>
  <c r="CT24" i="1"/>
  <c r="CU5" i="1"/>
  <c r="CT5" i="1"/>
  <c r="CI633" i="1"/>
  <c r="CH633" i="1"/>
  <c r="CI604" i="1"/>
  <c r="CH604" i="1"/>
  <c r="CI597" i="1"/>
  <c r="CH597" i="1"/>
  <c r="CI591" i="1"/>
  <c r="CH591" i="1"/>
  <c r="CI587" i="1"/>
  <c r="CH587" i="1"/>
  <c r="CI558" i="1"/>
  <c r="CH558" i="1"/>
  <c r="CI552" i="1"/>
  <c r="CH552" i="1"/>
  <c r="CI545" i="1"/>
  <c r="CH545" i="1"/>
  <c r="CI532" i="1"/>
  <c r="CH532" i="1"/>
  <c r="CI528" i="1"/>
  <c r="CH528" i="1"/>
  <c r="CI510" i="1"/>
  <c r="CH510" i="1"/>
  <c r="CI501" i="1"/>
  <c r="CH501" i="1"/>
  <c r="CI477" i="1"/>
  <c r="CH477" i="1"/>
  <c r="CI469" i="1"/>
  <c r="CI464" i="1"/>
  <c r="CH464" i="1"/>
  <c r="CI453" i="1"/>
  <c r="CH453" i="1"/>
  <c r="CI441" i="1"/>
  <c r="CH441" i="1"/>
  <c r="CI432" i="1"/>
  <c r="CH432" i="1"/>
  <c r="CI385" i="1"/>
  <c r="CH385" i="1"/>
  <c r="CI380" i="1"/>
  <c r="CH380" i="1"/>
  <c r="CI363" i="1"/>
  <c r="CH363" i="1"/>
  <c r="CH361" i="1"/>
  <c r="CH360" i="1"/>
  <c r="CI353" i="1"/>
  <c r="CI346" i="1"/>
  <c r="CH346" i="1"/>
  <c r="CI340" i="1"/>
  <c r="CH340" i="1"/>
  <c r="CI337" i="1"/>
  <c r="CH337" i="1"/>
  <c r="CI327" i="1"/>
  <c r="CH327" i="1"/>
  <c r="CI290" i="1"/>
  <c r="CH290" i="1"/>
  <c r="CI266" i="1"/>
  <c r="CH266" i="1"/>
  <c r="CI261" i="1"/>
  <c r="CH261" i="1"/>
  <c r="CI255" i="1"/>
  <c r="CH255" i="1"/>
  <c r="CI239" i="1"/>
  <c r="CH239" i="1"/>
  <c r="CI212" i="1"/>
  <c r="CH212" i="1"/>
  <c r="CI202" i="1"/>
  <c r="CH202" i="1"/>
  <c r="CI186" i="1"/>
  <c r="CH186" i="1"/>
  <c r="CI163" i="1"/>
  <c r="CI154" i="1"/>
  <c r="CH154" i="1"/>
  <c r="CI146" i="1"/>
  <c r="CH146" i="1"/>
  <c r="CI138" i="1"/>
  <c r="CH138" i="1"/>
  <c r="CI134" i="1"/>
  <c r="CH134" i="1"/>
  <c r="CI127" i="1"/>
  <c r="CH127" i="1"/>
  <c r="CI119" i="1"/>
  <c r="CH119" i="1"/>
  <c r="CI113" i="1"/>
  <c r="CH113" i="1"/>
  <c r="CI110" i="1"/>
  <c r="CH110" i="1"/>
  <c r="CI106" i="1"/>
  <c r="CH106" i="1"/>
  <c r="CI102" i="1"/>
  <c r="CH102" i="1"/>
  <c r="CI100" i="1"/>
  <c r="CH100" i="1"/>
  <c r="CI96" i="1"/>
  <c r="CH96" i="1"/>
  <c r="CI92" i="1"/>
  <c r="CH92" i="1"/>
  <c r="CI82" i="1"/>
  <c r="CH82" i="1"/>
  <c r="CI76" i="1"/>
  <c r="CH76" i="1"/>
  <c r="CI69" i="1"/>
  <c r="CH69" i="1"/>
  <c r="CI64" i="1"/>
  <c r="CH64" i="1"/>
  <c r="CI60" i="1"/>
  <c r="CH60" i="1"/>
  <c r="CI55" i="1"/>
  <c r="CH55" i="1"/>
  <c r="CI53" i="1"/>
  <c r="CH53" i="1"/>
  <c r="CI50" i="1"/>
  <c r="CH50" i="1"/>
  <c r="CI47" i="1"/>
  <c r="CH47" i="1"/>
  <c r="CI38" i="1"/>
  <c r="CH38" i="1"/>
  <c r="CI24" i="1"/>
  <c r="CH24" i="1"/>
  <c r="CI5" i="1"/>
  <c r="CH5" i="1"/>
  <c r="CE633" i="1"/>
  <c r="CD633" i="1"/>
  <c r="CE604" i="1"/>
  <c r="CD604" i="1"/>
  <c r="CE597" i="1"/>
  <c r="CD597" i="1"/>
  <c r="CD591" i="1"/>
  <c r="CE591" i="1"/>
  <c r="CE587" i="1"/>
  <c r="CD587" i="1"/>
  <c r="CE558" i="1"/>
  <c r="CD558" i="1"/>
  <c r="CE552" i="1"/>
  <c r="CD552" i="1"/>
  <c r="CE545" i="1"/>
  <c r="CD545" i="1"/>
  <c r="CE532" i="1"/>
  <c r="CD532" i="1"/>
  <c r="CE528" i="1"/>
  <c r="CD528" i="1"/>
  <c r="CE510" i="1"/>
  <c r="CD510" i="1"/>
  <c r="CE501" i="1"/>
  <c r="CD501" i="1"/>
  <c r="CE477" i="1"/>
  <c r="CD477" i="1"/>
  <c r="CE469" i="1"/>
  <c r="CD469" i="1"/>
  <c r="CE464" i="1"/>
  <c r="CD464" i="1"/>
  <c r="CE453" i="1"/>
  <c r="CD453" i="1"/>
  <c r="CE441" i="1"/>
  <c r="CD441" i="1"/>
  <c r="CE432" i="1"/>
  <c r="CD432" i="1"/>
  <c r="CE385" i="1"/>
  <c r="CD385" i="1"/>
  <c r="CE380" i="1"/>
  <c r="CD380" i="1"/>
  <c r="CE363" i="1"/>
  <c r="CD363" i="1"/>
  <c r="CE353" i="1"/>
  <c r="CD353" i="1"/>
  <c r="CD346" i="1"/>
  <c r="CE346" i="1"/>
  <c r="CE340" i="1"/>
  <c r="CD340" i="1"/>
  <c r="CE337" i="1"/>
  <c r="CD337" i="1"/>
  <c r="CE327" i="1"/>
  <c r="CD327" i="1"/>
  <c r="CE290" i="1"/>
  <c r="CD290" i="1"/>
  <c r="CE266" i="1"/>
  <c r="CD266" i="1"/>
  <c r="CE261" i="1"/>
  <c r="CD261" i="1"/>
  <c r="CE255" i="1"/>
  <c r="CD255" i="1"/>
  <c r="CE239" i="1"/>
  <c r="CD239" i="1"/>
  <c r="CE212" i="1"/>
  <c r="CD212" i="1"/>
  <c r="CE202" i="1"/>
  <c r="CD202" i="1"/>
  <c r="CE186" i="1"/>
  <c r="CD186" i="1"/>
  <c r="CD169" i="1"/>
  <c r="CD163" i="1" s="1"/>
  <c r="CE163" i="1"/>
  <c r="CE154" i="1"/>
  <c r="CD154" i="1"/>
  <c r="CE146" i="1"/>
  <c r="CD146" i="1"/>
  <c r="CE138" i="1"/>
  <c r="CD138" i="1"/>
  <c r="CE134" i="1"/>
  <c r="CD134" i="1"/>
  <c r="CE127" i="1"/>
  <c r="CD127" i="1"/>
  <c r="CE119" i="1"/>
  <c r="CD119" i="1"/>
  <c r="CE113" i="1"/>
  <c r="CD113" i="1"/>
  <c r="CE110" i="1"/>
  <c r="CD110" i="1"/>
  <c r="CE106" i="1"/>
  <c r="CD106" i="1"/>
  <c r="CE102" i="1"/>
  <c r="CD102" i="1"/>
  <c r="CE100" i="1"/>
  <c r="CD100" i="1"/>
  <c r="CE96" i="1"/>
  <c r="CD96" i="1"/>
  <c r="CE92" i="1"/>
  <c r="CD92" i="1"/>
  <c r="CE82" i="1"/>
  <c r="CD82" i="1"/>
  <c r="CE76" i="1"/>
  <c r="CD76" i="1"/>
  <c r="CE69" i="1"/>
  <c r="CD69" i="1"/>
  <c r="CE64" i="1"/>
  <c r="CD64" i="1"/>
  <c r="CE60" i="1"/>
  <c r="CD60" i="1"/>
  <c r="CE55" i="1"/>
  <c r="CD55" i="1"/>
  <c r="CE53" i="1"/>
  <c r="CD53" i="1"/>
  <c r="CE50" i="1"/>
  <c r="CD50" i="1"/>
  <c r="CE47" i="1"/>
  <c r="CD47" i="1"/>
  <c r="CE38" i="1"/>
  <c r="CD38" i="1"/>
  <c r="CE24" i="1"/>
  <c r="CD24" i="1"/>
  <c r="CE5" i="1"/>
  <c r="CD5" i="1"/>
  <c r="CA633" i="1"/>
  <c r="BZ633" i="1"/>
  <c r="CA604" i="1"/>
  <c r="BZ604" i="1"/>
  <c r="CA597" i="1"/>
  <c r="BZ597" i="1"/>
  <c r="CA591" i="1"/>
  <c r="BZ591" i="1"/>
  <c r="CA587" i="1"/>
  <c r="BZ587" i="1"/>
  <c r="CA558" i="1"/>
  <c r="BZ558" i="1"/>
  <c r="CA552" i="1"/>
  <c r="BZ552" i="1"/>
  <c r="CA545" i="1"/>
  <c r="BZ545" i="1"/>
  <c r="CA532" i="1"/>
  <c r="BZ532" i="1"/>
  <c r="CA528" i="1"/>
  <c r="BZ528" i="1"/>
  <c r="CA510" i="1"/>
  <c r="BZ510" i="1"/>
  <c r="CA501" i="1"/>
  <c r="BZ501" i="1"/>
  <c r="CA477" i="1"/>
  <c r="BZ477" i="1"/>
  <c r="CA469" i="1"/>
  <c r="BZ469" i="1"/>
  <c r="CA464" i="1"/>
  <c r="BZ464" i="1"/>
  <c r="CA453" i="1"/>
  <c r="BZ453" i="1"/>
  <c r="CA441" i="1"/>
  <c r="BZ441" i="1"/>
  <c r="CA432" i="1"/>
  <c r="BZ432" i="1"/>
  <c r="CA385" i="1"/>
  <c r="BZ385" i="1"/>
  <c r="CA380" i="1"/>
  <c r="BZ380" i="1"/>
  <c r="CA363" i="1"/>
  <c r="BZ363" i="1"/>
  <c r="CA353" i="1"/>
  <c r="BZ353" i="1"/>
  <c r="CA346" i="1"/>
  <c r="BZ346" i="1"/>
  <c r="CA340" i="1"/>
  <c r="BZ340" i="1"/>
  <c r="CA337" i="1"/>
  <c r="BZ337" i="1"/>
  <c r="CA327" i="1"/>
  <c r="BZ327" i="1"/>
  <c r="CA290" i="1"/>
  <c r="BZ290" i="1"/>
  <c r="CA266" i="1"/>
  <c r="BZ266" i="1"/>
  <c r="CA261" i="1"/>
  <c r="BZ261" i="1"/>
  <c r="CA255" i="1"/>
  <c r="BZ255" i="1"/>
  <c r="CA239" i="1"/>
  <c r="BZ239" i="1"/>
  <c r="CA212" i="1"/>
  <c r="BZ212" i="1"/>
  <c r="CA202" i="1"/>
  <c r="BZ202" i="1"/>
  <c r="CA186" i="1"/>
  <c r="BZ186" i="1"/>
  <c r="CA163" i="1"/>
  <c r="BZ163" i="1"/>
  <c r="CA154" i="1"/>
  <c r="BZ154" i="1"/>
  <c r="CA146" i="1"/>
  <c r="BZ146" i="1"/>
  <c r="CA138" i="1"/>
  <c r="BZ138" i="1"/>
  <c r="CA134" i="1"/>
  <c r="BZ134" i="1"/>
  <c r="CA127" i="1"/>
  <c r="BZ127" i="1"/>
  <c r="CA119" i="1"/>
  <c r="BZ119" i="1"/>
  <c r="CA113" i="1"/>
  <c r="BZ113" i="1"/>
  <c r="CA110" i="1"/>
  <c r="BZ110" i="1"/>
  <c r="CA106" i="1"/>
  <c r="BZ106" i="1"/>
  <c r="CA102" i="1"/>
  <c r="BZ102" i="1"/>
  <c r="CA100" i="1"/>
  <c r="BZ100" i="1"/>
  <c r="CA96" i="1"/>
  <c r="BZ96" i="1"/>
  <c r="CA92" i="1"/>
  <c r="BZ92" i="1"/>
  <c r="CA82" i="1"/>
  <c r="BZ82" i="1"/>
  <c r="CA76" i="1"/>
  <c r="BZ76" i="1"/>
  <c r="CA69" i="1"/>
  <c r="BZ69" i="1"/>
  <c r="CA64" i="1"/>
  <c r="BZ64" i="1"/>
  <c r="CA60" i="1"/>
  <c r="BZ60" i="1"/>
  <c r="CA55" i="1"/>
  <c r="BZ55" i="1"/>
  <c r="CA53" i="1"/>
  <c r="BZ53" i="1"/>
  <c r="CA50" i="1"/>
  <c r="BZ50" i="1"/>
  <c r="CA47" i="1"/>
  <c r="BZ47" i="1"/>
  <c r="CA38" i="1"/>
  <c r="BZ38" i="1"/>
  <c r="BZ24" i="1"/>
  <c r="CA24" i="1"/>
  <c r="CA5" i="1"/>
  <c r="BZ5" i="1"/>
  <c r="CI246" i="1" l="1"/>
  <c r="DC246" i="1"/>
  <c r="CY246" i="1"/>
  <c r="CT344" i="1"/>
  <c r="CA246" i="1"/>
  <c r="CI275" i="1"/>
  <c r="DC275" i="1"/>
  <c r="DC344" i="1"/>
  <c r="CU344" i="1"/>
  <c r="CY344" i="1"/>
  <c r="DB246" i="1"/>
  <c r="CI344" i="1"/>
  <c r="CU246" i="1"/>
  <c r="BZ246" i="1"/>
  <c r="CD275" i="1"/>
  <c r="DC4" i="1"/>
  <c r="DC81" i="1"/>
  <c r="DB344" i="1"/>
  <c r="CH4" i="1"/>
  <c r="CH246" i="1"/>
  <c r="CE4" i="1"/>
  <c r="CI4" i="1"/>
  <c r="CE275" i="1"/>
  <c r="CX275" i="1"/>
  <c r="CD246" i="1"/>
  <c r="CE81" i="1"/>
  <c r="BZ4" i="1"/>
  <c r="CA81" i="1"/>
  <c r="CD4" i="1"/>
  <c r="BZ344" i="1"/>
  <c r="CT275" i="1"/>
  <c r="CX81" i="1"/>
  <c r="DB81" i="1"/>
  <c r="CA344" i="1"/>
  <c r="CI81" i="1"/>
  <c r="CH275" i="1"/>
  <c r="CU275" i="1"/>
  <c r="CY4" i="1"/>
  <c r="BZ275" i="1"/>
  <c r="CD81" i="1"/>
  <c r="CU4" i="1"/>
  <c r="CE344" i="1"/>
  <c r="CH353" i="1"/>
  <c r="CH344" i="1" s="1"/>
  <c r="CX246" i="1"/>
  <c r="BZ81" i="1"/>
  <c r="CD344" i="1"/>
  <c r="CY81" i="1"/>
  <c r="DB275" i="1"/>
  <c r="CA4" i="1"/>
  <c r="CE246" i="1"/>
  <c r="CT81" i="1"/>
  <c r="CT246" i="1"/>
  <c r="CX4" i="1"/>
  <c r="DB4" i="1"/>
  <c r="CU81" i="1"/>
  <c r="CY275" i="1"/>
  <c r="CX344" i="1"/>
  <c r="CA275" i="1"/>
  <c r="CT4" i="1"/>
  <c r="CH469" i="1"/>
  <c r="CH163" i="1"/>
  <c r="CH81" i="1" s="1"/>
  <c r="DC642" i="1" l="1"/>
  <c r="CI642" i="1"/>
  <c r="CY642" i="1"/>
  <c r="DB642" i="1"/>
  <c r="BZ642" i="1"/>
  <c r="CU642" i="1"/>
  <c r="CD642" i="1"/>
  <c r="CX642" i="1"/>
  <c r="CE642" i="1"/>
  <c r="CT642" i="1"/>
  <c r="CA642" i="1"/>
  <c r="CH642" i="1"/>
  <c r="DB643" i="1" l="1"/>
  <c r="CH643" i="1"/>
  <c r="CX643" i="1"/>
  <c r="BZ643" i="1"/>
  <c r="CD643" i="1"/>
  <c r="CT643" i="1"/>
  <c r="BD621" i="1" l="1"/>
  <c r="BD618" i="1"/>
  <c r="BD619" i="1"/>
  <c r="BX106" i="1" l="1"/>
  <c r="BX124" i="1"/>
  <c r="BX126" i="1" s="1"/>
  <c r="BX134" i="1" l="1"/>
  <c r="BA146" i="1" l="1"/>
  <c r="BA134" i="1"/>
  <c r="BA127" i="1"/>
  <c r="BA122" i="1"/>
  <c r="BA121" i="1"/>
  <c r="BA120" i="1"/>
  <c r="BA110" i="1"/>
  <c r="BA106" i="1"/>
  <c r="BA102" i="1"/>
  <c r="BA96" i="1"/>
  <c r="BA92" i="1"/>
  <c r="BA82" i="1"/>
  <c r="BA73" i="1"/>
  <c r="BA72" i="1"/>
  <c r="BA70" i="1"/>
  <c r="BA55" i="1"/>
  <c r="BA53" i="1"/>
  <c r="BA49" i="1" l="1"/>
  <c r="BA48" i="1"/>
  <c r="BA71" i="1" s="1"/>
  <c r="BA24" i="1"/>
  <c r="BA27" i="1" s="1"/>
  <c r="BA5" i="1"/>
  <c r="AZ27" i="1"/>
  <c r="BV199" i="1"/>
  <c r="BB27" i="1" l="1"/>
  <c r="BY199" i="1"/>
  <c r="BU116" i="1"/>
  <c r="BV116" i="1" s="1"/>
  <c r="BX84" i="1"/>
  <c r="BX77" i="1" l="1"/>
  <c r="BY77" i="1" s="1"/>
  <c r="CN77" i="1" s="1"/>
  <c r="BX27" i="1"/>
  <c r="BX116" i="1"/>
  <c r="BY116" i="1" s="1"/>
  <c r="BX117" i="1"/>
  <c r="BY117" i="1" s="1"/>
  <c r="BX118" i="1"/>
  <c r="CS77" i="1" l="1"/>
  <c r="CP77" i="1"/>
  <c r="BT166" i="1"/>
  <c r="BV166" i="1" s="1"/>
  <c r="BT28" i="1"/>
  <c r="BO30" i="1"/>
  <c r="BJ30" i="1"/>
  <c r="BX595" i="1" l="1"/>
  <c r="BX594" i="1"/>
  <c r="BX97" i="1"/>
  <c r="BX191" i="1" l="1"/>
  <c r="BX188" i="1"/>
  <c r="BX187" i="1"/>
  <c r="BX606" i="1" s="1"/>
  <c r="BX28" i="1" l="1"/>
  <c r="BY28" i="1" s="1"/>
  <c r="BX26" i="1"/>
  <c r="BY26" i="1" s="1"/>
  <c r="BX488" i="1" l="1"/>
  <c r="BD487" i="1"/>
  <c r="BX487" i="1"/>
  <c r="BX505" i="1"/>
  <c r="BX486" i="1"/>
  <c r="BX485" i="1"/>
  <c r="BX484" i="1"/>
  <c r="BX482" i="1"/>
  <c r="BX481" i="1"/>
  <c r="BX478" i="1"/>
  <c r="BX507" i="1" l="1"/>
  <c r="BX506" i="1"/>
  <c r="BX154" i="1"/>
  <c r="BX8" i="1" l="1"/>
  <c r="BY8" i="1" s="1"/>
  <c r="BX9" i="1"/>
  <c r="BY9" i="1" s="1"/>
  <c r="BX7" i="1"/>
  <c r="BY7" i="1" s="1"/>
  <c r="BX626" i="1" l="1"/>
  <c r="BX629" i="1"/>
  <c r="BX624" i="1"/>
  <c r="BD122" i="1"/>
  <c r="BD92" i="1"/>
  <c r="BD82" i="1"/>
  <c r="BD377" i="1" l="1"/>
  <c r="BD363" i="1"/>
  <c r="BD138" i="1" l="1"/>
  <c r="BD125" i="1"/>
  <c r="BD121" i="1"/>
  <c r="BD120" i="1"/>
  <c r="BD102" i="1"/>
  <c r="BD96" i="1"/>
  <c r="BD49" i="1"/>
  <c r="BD127" i="1"/>
  <c r="BD110" i="1"/>
  <c r="BD134" i="1"/>
  <c r="BD503" i="1"/>
  <c r="BD504" i="1"/>
  <c r="BD505" i="1"/>
  <c r="BD508" i="1"/>
  <c r="BD532" i="1"/>
  <c r="BD552" i="1"/>
  <c r="BD630" i="1"/>
  <c r="BD629" i="1"/>
  <c r="BD628" i="1"/>
  <c r="BD627" i="1"/>
  <c r="BD608" i="1"/>
  <c r="BD622" i="1"/>
  <c r="BD620" i="1"/>
  <c r="BD614" i="1"/>
  <c r="BD616" i="1"/>
  <c r="BD610" i="1"/>
  <c r="BD612" i="1"/>
  <c r="BO277" i="1"/>
  <c r="BD506" i="1" l="1"/>
  <c r="BE506" i="1" s="1"/>
  <c r="BT506" i="1" s="1"/>
  <c r="BY506" i="1" s="1"/>
  <c r="BD507" i="1"/>
  <c r="BE507" i="1" s="1"/>
  <c r="BT507" i="1" s="1"/>
  <c r="BY507" i="1" s="1"/>
  <c r="BD488" i="1"/>
  <c r="BD486" i="1"/>
  <c r="BD485" i="1"/>
  <c r="BD484" i="1"/>
  <c r="BD482" i="1"/>
  <c r="BD481" i="1"/>
  <c r="BD478" i="1"/>
  <c r="BD290" i="1"/>
  <c r="BD275" i="1"/>
  <c r="BD48" i="1"/>
  <c r="BD71" i="1"/>
  <c r="BD5" i="1"/>
  <c r="BD24" i="1"/>
  <c r="BD55" i="1"/>
  <c r="BD346" i="1"/>
  <c r="BD606" i="1" l="1"/>
  <c r="BD31" i="1"/>
  <c r="BD27" i="1"/>
  <c r="BE27" i="1" s="1"/>
  <c r="BT27" i="1" s="1"/>
  <c r="BY27" i="1" s="1"/>
  <c r="DH506" i="1"/>
  <c r="DM506" i="1" s="1"/>
  <c r="CN506" i="1"/>
  <c r="CS506" i="1" s="1"/>
  <c r="BD32" i="1"/>
  <c r="BD609" i="1"/>
  <c r="BN377" i="1"/>
  <c r="BO24" i="1"/>
  <c r="BN555" i="1"/>
  <c r="BN371" i="1"/>
  <c r="BN372" i="1"/>
  <c r="BN373" i="1"/>
  <c r="BN374" i="1"/>
  <c r="BN375" i="1"/>
  <c r="BN376" i="1"/>
  <c r="BN365" i="1"/>
  <c r="BN277" i="1"/>
  <c r="BC277" i="1"/>
  <c r="BN98" i="1"/>
  <c r="BN94" i="1"/>
  <c r="BN95" i="1"/>
  <c r="BN93" i="1"/>
  <c r="BN33" i="1"/>
  <c r="BD73" i="1" l="1"/>
  <c r="BD123" i="1" l="1"/>
  <c r="BJ277" i="1" l="1"/>
  <c r="BJ36" i="1"/>
  <c r="BJ29" i="1"/>
  <c r="BJ31" i="1"/>
  <c r="BU55" i="1" l="1"/>
  <c r="BU127" i="1"/>
  <c r="BU191" i="1"/>
  <c r="BU188" i="1"/>
  <c r="BU197" i="1"/>
  <c r="BU195" i="1"/>
  <c r="BU198" i="1"/>
  <c r="BU212" i="1"/>
  <c r="BU239" i="1"/>
  <c r="BU275" i="1"/>
  <c r="BU346" i="1"/>
  <c r="BU380" i="1"/>
  <c r="BU441" i="1"/>
  <c r="BU453" i="1"/>
  <c r="BU469" i="1"/>
  <c r="BU595" i="1"/>
  <c r="BU594" i="1"/>
  <c r="BA591" i="1"/>
  <c r="BA557" i="1"/>
  <c r="BA531" i="1"/>
  <c r="BA469" i="1" l="1"/>
  <c r="BA464" i="1"/>
  <c r="BA453" i="1"/>
  <c r="BA380" i="1"/>
  <c r="BA363" i="1"/>
  <c r="BA353" i="1"/>
  <c r="BA275" i="1"/>
  <c r="BA239" i="1"/>
  <c r="BA212" i="1"/>
  <c r="BA198" i="1"/>
  <c r="BA154" i="1"/>
  <c r="BA138" i="1"/>
  <c r="BA125" i="1"/>
  <c r="BA124" i="1"/>
  <c r="BA123" i="1"/>
  <c r="BA197" i="1" l="1"/>
  <c r="BA195" i="1"/>
  <c r="BU194" i="1" l="1"/>
  <c r="BA194" i="1"/>
  <c r="BU187" i="1"/>
  <c r="BD353" i="1" l="1"/>
  <c r="P346" i="1" l="1"/>
  <c r="BD146" i="1"/>
  <c r="BD124" i="1" l="1"/>
  <c r="BD611" i="1" l="1"/>
  <c r="BD613" i="1"/>
  <c r="BU49" i="1" l="1"/>
  <c r="BU48" i="1"/>
  <c r="AJ508" i="1" l="1"/>
  <c r="BD154" i="1" l="1"/>
  <c r="AJ73" i="1"/>
  <c r="AJ72" i="1"/>
  <c r="AJ71" i="1"/>
  <c r="AJ70" i="1"/>
  <c r="AJ49" i="1"/>
  <c r="AJ48" i="1"/>
  <c r="AJ24" i="1"/>
  <c r="AJ5" i="1"/>
  <c r="BD53" i="1" l="1"/>
  <c r="BG84" i="1"/>
  <c r="BG97" i="1"/>
  <c r="BG349" i="1"/>
  <c r="AG469" i="1"/>
  <c r="AG432" i="1"/>
  <c r="AG410" i="1" s="1"/>
  <c r="AG380" i="1"/>
  <c r="AG363" i="1"/>
  <c r="AG353" i="1"/>
  <c r="AG346" i="1"/>
  <c r="AG344" i="1"/>
  <c r="AG212" i="1"/>
  <c r="AG198" i="1"/>
  <c r="AG197" i="1"/>
  <c r="AG195" i="1"/>
  <c r="AG194" i="1"/>
  <c r="AG191" i="1"/>
  <c r="AG188" i="1"/>
  <c r="AG187" i="1"/>
  <c r="AG154" i="1"/>
  <c r="AG146" i="1"/>
  <c r="AG138" i="1"/>
  <c r="AG134" i="1"/>
  <c r="AG127" i="1"/>
  <c r="AG125" i="1"/>
  <c r="AG124" i="1"/>
  <c r="AG123" i="1"/>
  <c r="AG122" i="1"/>
  <c r="AG121" i="1"/>
  <c r="AG120" i="1"/>
  <c r="AG110" i="1"/>
  <c r="AG106" i="1"/>
  <c r="AG102" i="1"/>
  <c r="AG96" i="1"/>
  <c r="AG92" i="1"/>
  <c r="AG82" i="1"/>
  <c r="AG73" i="1"/>
  <c r="AG72" i="1"/>
  <c r="AG49" i="1"/>
  <c r="AG48" i="1"/>
  <c r="AG71" i="1" s="1"/>
  <c r="AG70" i="1"/>
  <c r="AG55" i="1"/>
  <c r="AG53" i="1"/>
  <c r="AG24" i="1"/>
  <c r="BD70" i="1"/>
  <c r="AG196" i="1" l="1"/>
  <c r="BD85" i="1"/>
  <c r="BD106" i="1"/>
  <c r="BD615" i="1"/>
  <c r="BD617" i="1"/>
  <c r="BD169" i="1" l="1"/>
  <c r="BD168" i="1"/>
  <c r="AJ53" i="1"/>
  <c r="AJ363" i="1"/>
  <c r="AJ146" i="1"/>
  <c r="AJ110" i="1"/>
  <c r="AJ102" i="1"/>
  <c r="AJ82" i="1"/>
  <c r="AJ134" i="1"/>
  <c r="AJ123" i="1"/>
  <c r="AJ122" i="1"/>
  <c r="AJ120" i="1"/>
  <c r="AJ138" i="1"/>
  <c r="AJ96" i="1"/>
  <c r="AJ92" i="1"/>
  <c r="AJ121" i="1" l="1"/>
  <c r="AJ615" i="1" l="1"/>
  <c r="AJ614" i="1"/>
  <c r="AJ617" i="1"/>
  <c r="AJ616" i="1"/>
  <c r="AJ613" i="1"/>
  <c r="AJ612" i="1"/>
  <c r="AJ611" i="1"/>
  <c r="AJ610" i="1"/>
  <c r="AJ609" i="1"/>
  <c r="AJ608" i="1"/>
  <c r="AJ346" i="1"/>
  <c r="AM85" i="1"/>
  <c r="AU503" i="1"/>
  <c r="AJ552" i="1"/>
  <c r="AJ532" i="1"/>
  <c r="AJ505" i="1"/>
  <c r="AJ504" i="1"/>
  <c r="AJ503" i="1"/>
  <c r="AJ125" i="1"/>
  <c r="AJ124" i="1"/>
  <c r="AJ55" i="1"/>
  <c r="AJ198" i="1"/>
  <c r="AJ197" i="1"/>
  <c r="AJ196" i="1"/>
  <c r="AJ195" i="1"/>
  <c r="AJ194" i="1"/>
  <c r="AJ126" i="1" l="1"/>
  <c r="AU140" i="1"/>
  <c r="BG168" i="1"/>
  <c r="AT168" i="1"/>
  <c r="BG91" i="1"/>
  <c r="AT91" i="1"/>
  <c r="AJ154" i="1" l="1"/>
  <c r="AJ377" i="1"/>
  <c r="P508" i="1"/>
  <c r="P617" i="1"/>
  <c r="P615" i="1"/>
  <c r="P613" i="1"/>
  <c r="P612" i="1"/>
  <c r="P614" i="1"/>
  <c r="P616" i="1"/>
  <c r="P609" i="1"/>
  <c r="P608" i="1"/>
  <c r="P198" i="1"/>
  <c r="P197" i="1"/>
  <c r="P196" i="1"/>
  <c r="P195" i="1"/>
  <c r="P194" i="1"/>
  <c r="AP179" i="1" l="1"/>
  <c r="AP176" i="1"/>
  <c r="AP175" i="1"/>
  <c r="AP174" i="1"/>
  <c r="AP173" i="1"/>
  <c r="AP172" i="1"/>
  <c r="AP171" i="1"/>
  <c r="AU179" i="1"/>
  <c r="AU176" i="1"/>
  <c r="AU175" i="1"/>
  <c r="AU174" i="1"/>
  <c r="AU173" i="1"/>
  <c r="AU172" i="1"/>
  <c r="AU171" i="1"/>
  <c r="AQ123" i="1" l="1"/>
  <c r="AJ553" i="1" l="1"/>
  <c r="AJ488" i="1"/>
  <c r="AJ487" i="1"/>
  <c r="AJ486" i="1"/>
  <c r="AJ485" i="1"/>
  <c r="AJ484" i="1"/>
  <c r="AJ482" i="1"/>
  <c r="AJ483" i="1" s="1"/>
  <c r="AJ481" i="1"/>
  <c r="AJ275" i="1"/>
  <c r="AJ106" i="1"/>
  <c r="BX61" i="1"/>
  <c r="AJ61" i="1"/>
  <c r="BD61" i="1"/>
  <c r="BU266" i="1"/>
  <c r="BA266" i="1"/>
  <c r="BA532" i="1" s="1"/>
  <c r="BA533" i="1" s="1"/>
  <c r="AG266" i="1"/>
  <c r="AG464" i="1"/>
  <c r="BU464" i="1"/>
  <c r="BA441" i="1"/>
  <c r="BA432" i="1"/>
  <c r="BU385" i="1"/>
  <c r="BU363" i="1"/>
  <c r="BU353" i="1"/>
  <c r="BA346" i="1"/>
  <c r="BA191" i="1"/>
  <c r="BA188" i="1"/>
  <c r="BA187" i="1"/>
  <c r="BU146" i="1"/>
  <c r="BU138" i="1"/>
  <c r="BU120" i="1"/>
  <c r="BU123" i="1"/>
  <c r="BU122" i="1"/>
  <c r="BU121" i="1"/>
  <c r="BU96" i="1"/>
  <c r="BU92" i="1"/>
  <c r="BU82" i="1"/>
  <c r="BU53" i="1"/>
  <c r="BU24" i="1"/>
  <c r="BU27" i="1" s="1"/>
  <c r="BV27" i="1" s="1"/>
  <c r="AG453" i="1"/>
  <c r="AG441" i="1"/>
  <c r="AG275" i="1"/>
  <c r="AG290" i="1" s="1"/>
  <c r="AG189" i="1"/>
  <c r="BU606" i="1" l="1"/>
  <c r="AJ277" i="1"/>
  <c r="AJ606" i="1"/>
  <c r="BU77" i="1"/>
  <c r="BV77" i="1" s="1"/>
  <c r="BU78" i="1"/>
  <c r="BU7" i="1"/>
  <c r="BV7" i="1" s="1"/>
  <c r="BU8" i="1"/>
  <c r="BV8" i="1" s="1"/>
  <c r="BU9" i="1"/>
  <c r="BV9" i="1" s="1"/>
  <c r="BU28" i="1"/>
  <c r="BU26" i="1"/>
  <c r="BV26" i="1" s="1"/>
  <c r="AG606" i="1"/>
  <c r="BU532" i="1"/>
  <c r="AG552" i="1"/>
  <c r="AG532" i="1"/>
  <c r="BA114" i="1"/>
  <c r="M436" i="1"/>
  <c r="M435" i="1"/>
  <c r="M438" i="1" s="1"/>
  <c r="M531" i="1"/>
  <c r="M469" i="1"/>
  <c r="M464" i="1"/>
  <c r="M380" i="1"/>
  <c r="M363" i="1"/>
  <c r="M353" i="1"/>
  <c r="M354" i="1" s="1"/>
  <c r="M346" i="1"/>
  <c r="M344" i="1"/>
  <c r="M275" i="1"/>
  <c r="M330" i="1" s="1"/>
  <c r="M266" i="1"/>
  <c r="M212" i="1"/>
  <c r="M198" i="1"/>
  <c r="M197" i="1"/>
  <c r="M195" i="1"/>
  <c r="M194" i="1"/>
  <c r="M191" i="1"/>
  <c r="M188" i="1"/>
  <c r="M187" i="1"/>
  <c r="M154" i="1"/>
  <c r="M146" i="1"/>
  <c r="M138" i="1"/>
  <c r="M134" i="1"/>
  <c r="M127" i="1"/>
  <c r="M125" i="1"/>
  <c r="M124" i="1"/>
  <c r="M123" i="1"/>
  <c r="M122" i="1"/>
  <c r="M121" i="1"/>
  <c r="M120" i="1"/>
  <c r="M110" i="1"/>
  <c r="M106" i="1"/>
  <c r="M102" i="1"/>
  <c r="M96" i="1"/>
  <c r="M92" i="1"/>
  <c r="M82" i="1"/>
  <c r="M73" i="1"/>
  <c r="M72" i="1"/>
  <c r="M70" i="1"/>
  <c r="M55" i="1"/>
  <c r="M53" i="1"/>
  <c r="M49" i="1"/>
  <c r="M48" i="1"/>
  <c r="M24" i="1"/>
  <c r="M5" i="1"/>
  <c r="AJ169" i="1"/>
  <c r="AM120" i="1"/>
  <c r="AQ119" i="1"/>
  <c r="AQ144" i="1"/>
  <c r="AQ143" i="1"/>
  <c r="AL144" i="1"/>
  <c r="AL143" i="1"/>
  <c r="AI229" i="1"/>
  <c r="AJ229" i="1"/>
  <c r="M332" i="1" l="1"/>
  <c r="M333" i="1"/>
  <c r="M335" i="1"/>
  <c r="M61" i="1"/>
  <c r="M327" i="1"/>
  <c r="M328" i="1"/>
  <c r="AQ93" i="1"/>
  <c r="AQ115" i="1"/>
  <c r="AQ114" i="1"/>
  <c r="BK607" i="1"/>
  <c r="P5" i="1" l="1"/>
  <c r="P102" i="1" l="1"/>
  <c r="P92" i="1"/>
  <c r="P82" i="1"/>
  <c r="P120" i="1"/>
  <c r="P110" i="1"/>
  <c r="P106" i="1"/>
  <c r="AL349" i="1" l="1"/>
  <c r="AQ94" i="1"/>
  <c r="AM86" i="1"/>
  <c r="AL503" i="1" l="1"/>
  <c r="P611" i="1" l="1"/>
  <c r="P610" i="1"/>
  <c r="P552" i="1"/>
  <c r="P532" i="1"/>
  <c r="P505" i="1"/>
  <c r="P504" i="1"/>
  <c r="P503" i="1"/>
  <c r="P488" i="1"/>
  <c r="P487" i="1"/>
  <c r="P486" i="1"/>
  <c r="P485" i="1"/>
  <c r="P484" i="1"/>
  <c r="P482" i="1"/>
  <c r="P481" i="1"/>
  <c r="P478" i="1"/>
  <c r="P290" i="1"/>
  <c r="P275" i="1"/>
  <c r="AA474" i="1" l="1"/>
  <c r="AA473" i="1"/>
  <c r="P353" i="1" l="1"/>
  <c r="L126" i="1" l="1"/>
  <c r="P121" i="1" l="1"/>
  <c r="P96" i="1"/>
  <c r="P531" i="1"/>
  <c r="P533" i="1" s="1"/>
  <c r="P72" i="1" l="1"/>
  <c r="P191" i="1" l="1"/>
  <c r="P188" i="1"/>
  <c r="P187" i="1"/>
  <c r="AA11" i="1" l="1"/>
  <c r="P71" i="1" l="1"/>
  <c r="M71" i="1" s="1"/>
  <c r="P70" i="1"/>
  <c r="P73" i="1"/>
  <c r="P53" i="1"/>
  <c r="P49" i="1"/>
  <c r="P48" i="1"/>
  <c r="P24" i="1"/>
  <c r="AA377" i="1" l="1"/>
  <c r="AA71" i="1"/>
  <c r="P123" i="1" l="1"/>
  <c r="P122" i="1"/>
  <c r="P134" i="1"/>
  <c r="L73" i="1" l="1"/>
  <c r="L72" i="1"/>
  <c r="P138" i="1" l="1"/>
  <c r="O136" i="1" l="1"/>
  <c r="V472" i="1" l="1"/>
  <c r="V471" i="1"/>
  <c r="V607" i="1" l="1"/>
  <c r="AA126" i="1" l="1"/>
  <c r="AA125" i="1"/>
  <c r="AA124" i="1"/>
  <c r="AA29" i="1"/>
  <c r="AM472" i="1" l="1"/>
  <c r="AM471" i="1"/>
  <c r="DI474" i="1"/>
  <c r="DI473" i="1"/>
  <c r="DI472" i="1"/>
  <c r="DI471" i="1"/>
  <c r="CO474" i="1"/>
  <c r="CO473" i="1"/>
  <c r="CO472" i="1"/>
  <c r="CO471" i="1"/>
  <c r="BU474" i="1"/>
  <c r="BU473" i="1"/>
  <c r="BU472" i="1"/>
  <c r="BU471" i="1"/>
  <c r="BA474" i="1"/>
  <c r="BA473" i="1"/>
  <c r="BA472" i="1"/>
  <c r="BA471" i="1"/>
  <c r="AG474" i="1"/>
  <c r="AG473" i="1"/>
  <c r="AG472" i="1"/>
  <c r="AG471" i="1"/>
  <c r="M474" i="1"/>
  <c r="M473" i="1"/>
  <c r="N473" i="1" s="1"/>
  <c r="M472" i="1"/>
  <c r="N472" i="1" s="1"/>
  <c r="M471" i="1"/>
  <c r="N471" i="1" s="1"/>
  <c r="Q471" i="1"/>
  <c r="AF471" i="1" s="1"/>
  <c r="Q472" i="1"/>
  <c r="AF472" i="1" s="1"/>
  <c r="Q473" i="1"/>
  <c r="AF473" i="1" s="1"/>
  <c r="AK473" i="1" s="1"/>
  <c r="AZ473" i="1" s="1"/>
  <c r="BE473" i="1" s="1"/>
  <c r="BT473" i="1" s="1"/>
  <c r="K607" i="1"/>
  <c r="AE607" i="1"/>
  <c r="Q607" i="1"/>
  <c r="AF607" i="1" s="1"/>
  <c r="N607" i="1"/>
  <c r="DG474" i="1" l="1"/>
  <c r="AK472" i="1"/>
  <c r="AZ472" i="1" s="1"/>
  <c r="BE472" i="1" s="1"/>
  <c r="BT472" i="1" s="1"/>
  <c r="BY472" i="1" s="1"/>
  <c r="CN472" i="1" s="1"/>
  <c r="AH472" i="1"/>
  <c r="AK471" i="1"/>
  <c r="AZ471" i="1" s="1"/>
  <c r="BE471" i="1" s="1"/>
  <c r="BT471" i="1" s="1"/>
  <c r="AH471" i="1"/>
  <c r="K472" i="1"/>
  <c r="AY472" i="1"/>
  <c r="CM472" i="1"/>
  <c r="K473" i="1"/>
  <c r="AY473" i="1"/>
  <c r="CM473" i="1"/>
  <c r="K474" i="1"/>
  <c r="AY474" i="1"/>
  <c r="CM474" i="1"/>
  <c r="CM471" i="1"/>
  <c r="AE471" i="1"/>
  <c r="BS471" i="1"/>
  <c r="DG471" i="1"/>
  <c r="AE472" i="1"/>
  <c r="BS472" i="1"/>
  <c r="DG472" i="1"/>
  <c r="K471" i="1"/>
  <c r="AH473" i="1"/>
  <c r="AE473" i="1"/>
  <c r="BS473" i="1"/>
  <c r="DG473" i="1"/>
  <c r="AY471" i="1"/>
  <c r="AE474" i="1"/>
  <c r="BS474" i="1"/>
  <c r="BV473" i="1"/>
  <c r="BY473" i="1"/>
  <c r="BB473" i="1"/>
  <c r="AH607" i="1"/>
  <c r="AY607" i="1"/>
  <c r="AK607" i="1"/>
  <c r="AZ607" i="1" s="1"/>
  <c r="BE607" i="1" s="1"/>
  <c r="BT607" i="1" s="1"/>
  <c r="BB472" i="1" l="1"/>
  <c r="BV472" i="1"/>
  <c r="DH472" i="1"/>
  <c r="DM472" i="1" s="1"/>
  <c r="BB471" i="1"/>
  <c r="DH473" i="1"/>
  <c r="CN473" i="1"/>
  <c r="CS472" i="1"/>
  <c r="CP472" i="1"/>
  <c r="BV471" i="1"/>
  <c r="BY471" i="1"/>
  <c r="BS607" i="1"/>
  <c r="BB607" i="1"/>
  <c r="BY607" i="1"/>
  <c r="CN607" i="1" s="1"/>
  <c r="CM607" i="1"/>
  <c r="BV607" i="1"/>
  <c r="P55" i="1"/>
  <c r="P61" i="1" s="1"/>
  <c r="DJ472" i="1" l="1"/>
  <c r="CS473" i="1"/>
  <c r="CP473" i="1"/>
  <c r="DM473" i="1"/>
  <c r="DJ473" i="1"/>
  <c r="DH471" i="1"/>
  <c r="CN471" i="1"/>
  <c r="CS607" i="1"/>
  <c r="DH607" i="1" s="1"/>
  <c r="DG607" i="1"/>
  <c r="CP607" i="1"/>
  <c r="V123" i="1"/>
  <c r="DJ471" i="1" l="1"/>
  <c r="DM471" i="1"/>
  <c r="CP471" i="1"/>
  <c r="CS471" i="1"/>
  <c r="DM607" i="1"/>
  <c r="DJ607" i="1"/>
  <c r="P377" i="1" l="1"/>
  <c r="P363" i="1"/>
  <c r="P124" i="1" l="1"/>
  <c r="P146" i="1"/>
  <c r="DI532" i="1" l="1"/>
  <c r="CO532" i="1"/>
  <c r="DI508" i="1"/>
  <c r="CO508" i="1"/>
  <c r="BU508" i="1"/>
  <c r="AG508" i="1"/>
  <c r="O111" i="1"/>
  <c r="V86" i="1" l="1"/>
  <c r="V85" i="1"/>
  <c r="V140" i="1"/>
  <c r="AA348" i="1" l="1"/>
  <c r="V228" i="1" l="1"/>
  <c r="P545" i="1" l="1"/>
  <c r="O135" i="1" l="1"/>
  <c r="V167" i="1" l="1"/>
  <c r="AA135" i="1"/>
  <c r="V135" i="1"/>
  <c r="V94" i="1"/>
  <c r="V90" i="1" l="1"/>
  <c r="W11" i="1" l="1"/>
  <c r="W152" i="1"/>
  <c r="W151" i="1"/>
  <c r="W144" i="1"/>
  <c r="W143" i="1"/>
  <c r="L148" i="1" l="1"/>
  <c r="L140" i="1"/>
  <c r="W140" i="1" l="1"/>
  <c r="W148" i="1"/>
  <c r="V348" i="1" l="1"/>
  <c r="P510" i="1" l="1"/>
  <c r="P502" i="1"/>
  <c r="P432" i="1" l="1"/>
  <c r="P606" i="1" s="1"/>
  <c r="Q606" i="1" s="1"/>
  <c r="L356" i="1" l="1"/>
  <c r="L361" i="1"/>
  <c r="L360" i="1"/>
  <c r="L359" i="1"/>
  <c r="L358" i="1"/>
  <c r="L357" i="1"/>
  <c r="AA366" i="1" l="1"/>
  <c r="L169" i="1" l="1"/>
  <c r="R366" i="1" l="1"/>
  <c r="R365" i="1"/>
  <c r="W135" i="1"/>
  <c r="R135" i="1"/>
  <c r="R126" i="1" l="1"/>
  <c r="R125" i="1"/>
  <c r="R124" i="1"/>
  <c r="S29" i="1" l="1"/>
  <c r="R29" i="1"/>
  <c r="P29" i="1"/>
  <c r="Q29" i="1" s="1"/>
  <c r="R11" i="1"/>
  <c r="Q475" i="1" l="1"/>
  <c r="AF475" i="1" s="1"/>
  <c r="AK475" i="1" s="1"/>
  <c r="AZ475" i="1" s="1"/>
  <c r="N475" i="1"/>
  <c r="Q474" i="1"/>
  <c r="AF474" i="1" s="1"/>
  <c r="N474" i="1"/>
  <c r="Q470" i="1"/>
  <c r="AF470" i="1" s="1"/>
  <c r="AK470" i="1" s="1"/>
  <c r="AZ470" i="1" s="1"/>
  <c r="N470" i="1"/>
  <c r="DG469" i="1"/>
  <c r="CM469" i="1"/>
  <c r="BS469" i="1"/>
  <c r="BO469" i="1"/>
  <c r="BN469" i="1"/>
  <c r="BK469" i="1"/>
  <c r="BJ469" i="1"/>
  <c r="BG469" i="1"/>
  <c r="BF469" i="1"/>
  <c r="AY469" i="1"/>
  <c r="AU469" i="1"/>
  <c r="AT469" i="1"/>
  <c r="AQ469" i="1"/>
  <c r="AP469" i="1"/>
  <c r="AM469" i="1"/>
  <c r="AL469" i="1"/>
  <c r="AE469" i="1"/>
  <c r="AA469" i="1"/>
  <c r="W469" i="1"/>
  <c r="V469" i="1"/>
  <c r="S469" i="1"/>
  <c r="R469" i="1"/>
  <c r="J469" i="1"/>
  <c r="BE470" i="1" l="1"/>
  <c r="BT470" i="1" s="1"/>
  <c r="BB470" i="1"/>
  <c r="BE475" i="1"/>
  <c r="BT475" i="1" s="1"/>
  <c r="BB475" i="1"/>
  <c r="AK474" i="1"/>
  <c r="AZ474" i="1" s="1"/>
  <c r="AH474" i="1"/>
  <c r="AH470" i="1"/>
  <c r="AH475" i="1"/>
  <c r="BE474" i="1" l="1"/>
  <c r="BT474" i="1" s="1"/>
  <c r="BB474" i="1"/>
  <c r="BY475" i="1"/>
  <c r="BV475" i="1"/>
  <c r="BV470" i="1"/>
  <c r="BY470" i="1"/>
  <c r="DH470" i="1" l="1"/>
  <c r="CN470" i="1"/>
  <c r="DH475" i="1"/>
  <c r="CN475" i="1"/>
  <c r="BV474" i="1"/>
  <c r="BY474" i="1"/>
  <c r="DJ475" i="1" l="1"/>
  <c r="DM475" i="1"/>
  <c r="CS470" i="1"/>
  <c r="CP470" i="1"/>
  <c r="DH474" i="1"/>
  <c r="CN474" i="1"/>
  <c r="CS475" i="1"/>
  <c r="CP475" i="1"/>
  <c r="DM470" i="1"/>
  <c r="DJ470" i="1"/>
  <c r="CS474" i="1" l="1"/>
  <c r="CP474" i="1"/>
  <c r="DM474" i="1"/>
  <c r="DJ474" i="1"/>
  <c r="BU552" i="1" l="1"/>
  <c r="BU503" i="1" l="1"/>
  <c r="CO552" i="1" l="1"/>
  <c r="CO503" i="1"/>
  <c r="DI552" i="1"/>
  <c r="DI503" i="1"/>
  <c r="BA503" i="1" l="1"/>
  <c r="BA508" i="1"/>
  <c r="BA552" i="1"/>
  <c r="DL115" i="1" l="1"/>
  <c r="CR115" i="1"/>
  <c r="BX115" i="1"/>
  <c r="BD115" i="1"/>
  <c r="DI115" i="1"/>
  <c r="CO115" i="1"/>
  <c r="BU115" i="1"/>
  <c r="BA115" i="1"/>
  <c r="AG503" i="1" l="1"/>
  <c r="AG115" i="1" l="1"/>
  <c r="AJ115" i="1" l="1"/>
  <c r="DI617" i="1" l="1"/>
  <c r="DI616" i="1"/>
  <c r="CO617" i="1"/>
  <c r="CO616" i="1"/>
  <c r="BU617" i="1"/>
  <c r="BU616" i="1"/>
  <c r="BA617" i="1"/>
  <c r="BA616" i="1"/>
  <c r="AG617" i="1"/>
  <c r="AG616" i="1"/>
  <c r="M617" i="1"/>
  <c r="K617" i="1" s="1"/>
  <c r="M616" i="1"/>
  <c r="Q617" i="1"/>
  <c r="AF617" i="1" s="1"/>
  <c r="Q616" i="1"/>
  <c r="AF616" i="1" s="1"/>
  <c r="AK616" i="1" s="1"/>
  <c r="BE616" i="1" s="1"/>
  <c r="BT616" i="1" s="1"/>
  <c r="AE617" i="1" l="1"/>
  <c r="J617" i="1"/>
  <c r="CM617" i="1"/>
  <c r="N617" i="1"/>
  <c r="AY616" i="1"/>
  <c r="DG616" i="1"/>
  <c r="AH616" i="1"/>
  <c r="BB616" i="1"/>
  <c r="AH617" i="1"/>
  <c r="AK617" i="1"/>
  <c r="BE617" i="1" s="1"/>
  <c r="BT617" i="1" s="1"/>
  <c r="BY617" i="1" s="1"/>
  <c r="BV616" i="1"/>
  <c r="BY616" i="1"/>
  <c r="N616" i="1"/>
  <c r="CM616" i="1"/>
  <c r="AE616" i="1"/>
  <c r="BS617" i="1"/>
  <c r="DG617" i="1"/>
  <c r="BS616" i="1"/>
  <c r="J616" i="1"/>
  <c r="AY617" i="1"/>
  <c r="K616" i="1"/>
  <c r="CN616" i="1" l="1"/>
  <c r="DH616" i="1"/>
  <c r="DH617" i="1"/>
  <c r="CN617" i="1"/>
  <c r="BV617" i="1"/>
  <c r="BB617" i="1"/>
  <c r="DM616" i="1" l="1"/>
  <c r="DJ616" i="1"/>
  <c r="CS617" i="1"/>
  <c r="CP617" i="1"/>
  <c r="DJ617" i="1"/>
  <c r="DM617" i="1"/>
  <c r="CS616" i="1"/>
  <c r="CP616" i="1"/>
  <c r="M441" i="1" l="1"/>
  <c r="M532" i="1" l="1"/>
  <c r="M503" i="1" s="1"/>
  <c r="AY503" i="1" s="1"/>
  <c r="M508" i="1"/>
  <c r="BS508" i="1" s="1"/>
  <c r="M552" i="1"/>
  <c r="M115" i="1" l="1"/>
  <c r="N115" i="1" l="1"/>
  <c r="BS115" i="1"/>
  <c r="AY115" i="1"/>
  <c r="AE115" i="1"/>
  <c r="J115" i="1"/>
  <c r="DG115" i="1"/>
  <c r="K115" i="1"/>
  <c r="CM115" i="1"/>
  <c r="DL583" i="1" l="1"/>
  <c r="CR583" i="1"/>
  <c r="BX583" i="1"/>
  <c r="BD583" i="1"/>
  <c r="AJ583" i="1"/>
  <c r="P583" i="1"/>
  <c r="DI510" i="1" l="1"/>
  <c r="CO510" i="1"/>
  <c r="BU510" i="1"/>
  <c r="BA510" i="1"/>
  <c r="AG510" i="1"/>
  <c r="M510" i="1"/>
  <c r="M522" i="1" s="1"/>
  <c r="DI549" i="1" l="1"/>
  <c r="CO549" i="1"/>
  <c r="BU549" i="1"/>
  <c r="BA549" i="1"/>
  <c r="AG549" i="1"/>
  <c r="M549" i="1"/>
  <c r="DI545" i="1"/>
  <c r="CO545" i="1"/>
  <c r="BU545" i="1"/>
  <c r="BA545" i="1"/>
  <c r="AG545" i="1"/>
  <c r="M545" i="1"/>
  <c r="DI495" i="1"/>
  <c r="CO495" i="1"/>
  <c r="BU495" i="1"/>
  <c r="BA495" i="1"/>
  <c r="AG495" i="1"/>
  <c r="M495" i="1"/>
  <c r="DI478" i="1"/>
  <c r="CO478" i="1"/>
  <c r="BU478" i="1"/>
  <c r="BA478" i="1"/>
  <c r="AG478" i="1"/>
  <c r="M478" i="1"/>
  <c r="DI492" i="1"/>
  <c r="CO492" i="1"/>
  <c r="BU492" i="1"/>
  <c r="BA492" i="1"/>
  <c r="AG492" i="1"/>
  <c r="M492" i="1"/>
  <c r="DI481" i="1"/>
  <c r="DI482" i="1" s="1"/>
  <c r="CO481" i="1"/>
  <c r="CO482" i="1" s="1"/>
  <c r="BU481" i="1"/>
  <c r="BU482" i="1" s="1"/>
  <c r="BA481" i="1"/>
  <c r="BA482" i="1" s="1"/>
  <c r="AG481" i="1"/>
  <c r="AG482" i="1" s="1"/>
  <c r="M481" i="1"/>
  <c r="M482" i="1" s="1"/>
  <c r="DI502" i="1"/>
  <c r="CO502" i="1"/>
  <c r="BU502" i="1"/>
  <c r="BA502" i="1"/>
  <c r="AG502" i="1"/>
  <c r="M502" i="1"/>
  <c r="DI484" i="1"/>
  <c r="DI485" i="1" s="1"/>
  <c r="CO484" i="1"/>
  <c r="CO485" i="1" s="1"/>
  <c r="BU484" i="1"/>
  <c r="BU485" i="1" s="1"/>
  <c r="BA484" i="1"/>
  <c r="BA485" i="1" s="1"/>
  <c r="AG484" i="1"/>
  <c r="AG485" i="1" s="1"/>
  <c r="M484" i="1"/>
  <c r="M485" i="1" s="1"/>
  <c r="BA507" i="1" l="1"/>
  <c r="BB507" i="1" s="1"/>
  <c r="BA506" i="1"/>
  <c r="BB506" i="1" s="1"/>
  <c r="BA504" i="1"/>
  <c r="BU507" i="1"/>
  <c r="BV507" i="1" s="1"/>
  <c r="BU506" i="1"/>
  <c r="BV506" i="1" s="1"/>
  <c r="BU505" i="1"/>
  <c r="M504" i="1"/>
  <c r="M505" i="1"/>
  <c r="M483" i="1"/>
  <c r="AG483" i="1"/>
  <c r="P115" i="1" l="1"/>
  <c r="Q115" i="1" s="1"/>
  <c r="AF115" i="1" s="1"/>
  <c r="AK115" i="1" l="1"/>
  <c r="AZ115" i="1" s="1"/>
  <c r="AH115" i="1"/>
  <c r="BE115" i="1" l="1"/>
  <c r="BT115" i="1" s="1"/>
  <c r="BB115" i="1"/>
  <c r="BY115" i="1" l="1"/>
  <c r="BV115" i="1"/>
  <c r="CN115" i="1" l="1"/>
  <c r="DH115" i="1"/>
  <c r="DM115" i="1" l="1"/>
  <c r="DJ115" i="1"/>
  <c r="CS115" i="1"/>
  <c r="CP115" i="1"/>
  <c r="Q237" i="1" l="1"/>
  <c r="DI61" i="1" l="1"/>
  <c r="CO61" i="1"/>
  <c r="BU61" i="1"/>
  <c r="BA61" i="1"/>
  <c r="AG61" i="1"/>
  <c r="J61" i="1" l="1"/>
  <c r="DG61" i="1"/>
  <c r="K61" i="1"/>
  <c r="AE61" i="1"/>
  <c r="AY61" i="1"/>
  <c r="BS61" i="1"/>
  <c r="CM61" i="1"/>
  <c r="DI200" i="1" l="1"/>
  <c r="CO200" i="1"/>
  <c r="DL200" i="1"/>
  <c r="CR200" i="1"/>
  <c r="BX200" i="1"/>
  <c r="BD200" i="1"/>
  <c r="AJ200" i="1"/>
  <c r="P200" i="1"/>
  <c r="BU200" i="1"/>
  <c r="BA200" i="1"/>
  <c r="AG200" i="1"/>
  <c r="M200" i="1"/>
  <c r="BU347" i="1" l="1"/>
  <c r="DG631" i="1" l="1"/>
  <c r="DG605" i="1"/>
  <c r="DG593" i="1"/>
  <c r="DG594" i="1"/>
  <c r="DG595" i="1"/>
  <c r="DG592" i="1"/>
  <c r="DG584" i="1"/>
  <c r="DG585" i="1"/>
  <c r="DG511" i="1"/>
  <c r="DG377" i="1"/>
  <c r="DG378" i="1"/>
  <c r="DG336" i="1"/>
  <c r="DG192" i="1"/>
  <c r="DG193" i="1"/>
  <c r="DG137" i="1"/>
  <c r="DG74" i="1"/>
  <c r="DG75" i="1"/>
  <c r="DG63" i="1"/>
  <c r="DG37" i="1"/>
  <c r="DL434" i="1" l="1"/>
  <c r="CR434" i="1"/>
  <c r="BX434" i="1"/>
  <c r="BD434" i="1"/>
  <c r="P434" i="1"/>
  <c r="DL414" i="1"/>
  <c r="DI414" i="1"/>
  <c r="CR414" i="1"/>
  <c r="CO414" i="1"/>
  <c r="BX414" i="1"/>
  <c r="BU414" i="1"/>
  <c r="BD414" i="1"/>
  <c r="BA414" i="1"/>
  <c r="AJ414" i="1"/>
  <c r="AG414" i="1"/>
  <c r="P414" i="1"/>
  <c r="M414" i="1" l="1"/>
  <c r="DG414" i="1" s="1"/>
  <c r="DH601" i="1" l="1"/>
  <c r="DH364" i="1"/>
  <c r="DH243" i="1"/>
  <c r="DH40" i="1"/>
  <c r="DG5" i="1" l="1"/>
  <c r="DI615" i="1"/>
  <c r="DI614" i="1"/>
  <c r="DI613" i="1"/>
  <c r="DI612" i="1"/>
  <c r="DI611" i="1"/>
  <c r="DI610" i="1"/>
  <c r="DI609" i="1"/>
  <c r="DI608" i="1"/>
  <c r="DI606" i="1"/>
  <c r="DI601" i="1"/>
  <c r="DI600" i="1"/>
  <c r="DI599" i="1"/>
  <c r="DI598" i="1"/>
  <c r="DG597" i="1"/>
  <c r="DI588" i="1"/>
  <c r="DG587" i="1"/>
  <c r="DL582" i="1"/>
  <c r="DL580" i="1"/>
  <c r="DL579" i="1"/>
  <c r="DL578" i="1"/>
  <c r="DL577" i="1"/>
  <c r="DL576" i="1"/>
  <c r="DL575" i="1"/>
  <c r="DL574" i="1"/>
  <c r="DL572" i="1"/>
  <c r="DL571" i="1"/>
  <c r="DL570" i="1"/>
  <c r="DL569" i="1"/>
  <c r="DL567" i="1"/>
  <c r="DL566" i="1"/>
  <c r="DL565" i="1"/>
  <c r="DL563" i="1"/>
  <c r="DL562" i="1"/>
  <c r="DL559" i="1"/>
  <c r="DI558" i="1"/>
  <c r="DG557" i="1"/>
  <c r="DL555" i="1"/>
  <c r="DL554" i="1"/>
  <c r="DL553" i="1"/>
  <c r="DI554" i="1"/>
  <c r="DG551" i="1"/>
  <c r="DL547" i="1"/>
  <c r="DG545" i="1"/>
  <c r="DL542" i="1"/>
  <c r="DL541" i="1"/>
  <c r="DL540" i="1"/>
  <c r="DL539" i="1"/>
  <c r="DL538" i="1"/>
  <c r="DL537" i="1"/>
  <c r="DL536" i="1"/>
  <c r="DL535" i="1"/>
  <c r="DL534" i="1"/>
  <c r="DL533" i="1"/>
  <c r="DG531" i="1"/>
  <c r="DG528" i="1"/>
  <c r="DL525" i="1"/>
  <c r="DL524" i="1"/>
  <c r="DL523" i="1"/>
  <c r="DL521" i="1"/>
  <c r="DL520" i="1"/>
  <c r="DL519" i="1"/>
  <c r="DL518" i="1"/>
  <c r="DL517" i="1"/>
  <c r="DL516" i="1"/>
  <c r="DL515" i="1"/>
  <c r="DL513" i="1"/>
  <c r="DL512" i="1"/>
  <c r="DM511" i="1"/>
  <c r="DJ511" i="1"/>
  <c r="DI517" i="1"/>
  <c r="DJ499" i="1"/>
  <c r="DI497" i="1"/>
  <c r="DI496" i="1"/>
  <c r="DI494" i="1"/>
  <c r="DI493" i="1"/>
  <c r="DI491" i="1"/>
  <c r="DI490" i="1"/>
  <c r="DI489" i="1"/>
  <c r="DI488" i="1"/>
  <c r="DI487" i="1"/>
  <c r="DI486" i="1"/>
  <c r="DL483" i="1"/>
  <c r="DI483" i="1"/>
  <c r="DG464" i="1"/>
  <c r="DG453" i="1"/>
  <c r="DG441" i="1"/>
  <c r="DM439" i="1"/>
  <c r="DI438" i="1"/>
  <c r="DI437" i="1"/>
  <c r="DI435" i="1"/>
  <c r="DI434" i="1"/>
  <c r="DG432" i="1"/>
  <c r="DL430" i="1"/>
  <c r="DI430" i="1"/>
  <c r="DL429" i="1"/>
  <c r="DI429" i="1"/>
  <c r="DL428" i="1"/>
  <c r="DI428" i="1"/>
  <c r="DI427" i="1"/>
  <c r="DL425" i="1"/>
  <c r="DI425" i="1"/>
  <c r="DL424" i="1"/>
  <c r="DI424" i="1"/>
  <c r="DL423" i="1"/>
  <c r="DI423" i="1"/>
  <c r="DL422" i="1"/>
  <c r="DI422" i="1"/>
  <c r="DL420" i="1"/>
  <c r="DI420" i="1"/>
  <c r="DL419" i="1"/>
  <c r="DI419" i="1"/>
  <c r="DL418" i="1"/>
  <c r="DI418" i="1"/>
  <c r="DL417" i="1"/>
  <c r="DI417" i="1"/>
  <c r="DL416" i="1"/>
  <c r="DI416" i="1"/>
  <c r="DL415" i="1"/>
  <c r="DI415" i="1"/>
  <c r="DL412" i="1"/>
  <c r="DI412" i="1"/>
  <c r="DL411" i="1"/>
  <c r="DI411" i="1"/>
  <c r="DL410" i="1"/>
  <c r="DI410" i="1"/>
  <c r="DL409" i="1"/>
  <c r="DI409" i="1"/>
  <c r="DL408" i="1"/>
  <c r="DI408" i="1"/>
  <c r="DL407" i="1"/>
  <c r="DI407" i="1"/>
  <c r="DL406" i="1"/>
  <c r="DI406" i="1"/>
  <c r="DL404" i="1"/>
  <c r="DI404" i="1"/>
  <c r="DL403" i="1"/>
  <c r="DI403" i="1"/>
  <c r="DL402" i="1"/>
  <c r="DI402" i="1"/>
  <c r="DL401" i="1"/>
  <c r="DI401" i="1"/>
  <c r="DL400" i="1"/>
  <c r="DI400" i="1"/>
  <c r="DL399" i="1"/>
  <c r="DI399" i="1"/>
  <c r="DL398" i="1"/>
  <c r="DI398" i="1"/>
  <c r="DL397" i="1"/>
  <c r="DI397" i="1"/>
  <c r="DL396" i="1"/>
  <c r="DI396" i="1"/>
  <c r="DL395" i="1"/>
  <c r="DI395" i="1"/>
  <c r="DL394" i="1"/>
  <c r="DI394" i="1"/>
  <c r="DL393" i="1"/>
  <c r="DI393" i="1"/>
  <c r="DL392" i="1"/>
  <c r="DI392" i="1"/>
  <c r="DL391" i="1"/>
  <c r="DI391" i="1"/>
  <c r="DL390" i="1"/>
  <c r="DI390" i="1"/>
  <c r="DL389" i="1"/>
  <c r="DI389" i="1"/>
  <c r="DL387" i="1"/>
  <c r="DI387" i="1"/>
  <c r="DG385" i="1"/>
  <c r="DL382" i="1"/>
  <c r="DI382" i="1"/>
  <c r="DG380" i="1"/>
  <c r="DL376" i="1"/>
  <c r="DI376" i="1"/>
  <c r="DL375" i="1"/>
  <c r="DI375" i="1"/>
  <c r="DL374" i="1"/>
  <c r="DI374" i="1"/>
  <c r="DL373" i="1"/>
  <c r="DI373" i="1"/>
  <c r="DL372" i="1"/>
  <c r="DI372" i="1"/>
  <c r="DL371" i="1"/>
  <c r="DI371" i="1"/>
  <c r="DL370" i="1"/>
  <c r="DI370" i="1"/>
  <c r="DL369" i="1"/>
  <c r="DI369" i="1"/>
  <c r="DL368" i="1"/>
  <c r="DI368" i="1"/>
  <c r="DL367" i="1"/>
  <c r="DI367" i="1"/>
  <c r="DL366" i="1"/>
  <c r="DI366" i="1"/>
  <c r="DL365" i="1"/>
  <c r="DI365" i="1"/>
  <c r="DL364" i="1"/>
  <c r="DI364" i="1"/>
  <c r="DG363" i="1"/>
  <c r="DL361" i="1"/>
  <c r="DI361" i="1"/>
  <c r="DL360" i="1"/>
  <c r="DI360" i="1"/>
  <c r="DL359" i="1"/>
  <c r="DI359" i="1"/>
  <c r="DL358" i="1"/>
  <c r="DI358" i="1"/>
  <c r="DL357" i="1"/>
  <c r="DI357" i="1"/>
  <c r="DL356" i="1"/>
  <c r="DI356" i="1"/>
  <c r="DL355" i="1"/>
  <c r="DI355" i="1"/>
  <c r="DI354" i="1"/>
  <c r="DG353" i="1"/>
  <c r="DL351" i="1"/>
  <c r="DI351" i="1"/>
  <c r="DL350" i="1"/>
  <c r="DI350" i="1"/>
  <c r="DL349" i="1"/>
  <c r="DI349" i="1"/>
  <c r="DL348" i="1"/>
  <c r="DI348" i="1"/>
  <c r="DL347" i="1"/>
  <c r="DI347" i="1"/>
  <c r="DG346" i="1"/>
  <c r="DG344" i="1"/>
  <c r="DI342" i="1"/>
  <c r="DI341" i="1"/>
  <c r="DM340" i="1"/>
  <c r="DJ340" i="1"/>
  <c r="DG340" i="1" s="1"/>
  <c r="DL338" i="1"/>
  <c r="DI337" i="1"/>
  <c r="DJ336" i="1"/>
  <c r="DI335" i="1"/>
  <c r="DI333" i="1"/>
  <c r="DI332" i="1"/>
  <c r="DL331" i="1"/>
  <c r="DI331" i="1"/>
  <c r="DI330" i="1"/>
  <c r="DL329" i="1"/>
  <c r="DI329" i="1"/>
  <c r="DI328" i="1"/>
  <c r="DI327" i="1"/>
  <c r="DG327" i="1" s="1"/>
  <c r="DL326" i="1"/>
  <c r="DI326" i="1"/>
  <c r="DL325" i="1"/>
  <c r="DI325" i="1"/>
  <c r="DL324" i="1"/>
  <c r="DI324" i="1"/>
  <c r="DL323" i="1"/>
  <c r="DI323" i="1"/>
  <c r="DL322" i="1"/>
  <c r="DI322" i="1"/>
  <c r="DL321" i="1"/>
  <c r="DI321" i="1"/>
  <c r="DL320" i="1"/>
  <c r="DI320" i="1"/>
  <c r="DL319" i="1"/>
  <c r="DI319" i="1"/>
  <c r="DL317" i="1"/>
  <c r="DI317" i="1"/>
  <c r="DL316" i="1"/>
  <c r="DI316" i="1"/>
  <c r="DL315" i="1"/>
  <c r="DI315" i="1"/>
  <c r="DL314" i="1"/>
  <c r="DI314" i="1"/>
  <c r="DL313" i="1"/>
  <c r="DI313" i="1"/>
  <c r="DL312" i="1"/>
  <c r="DI312" i="1"/>
  <c r="DL310" i="1"/>
  <c r="DL309" i="1"/>
  <c r="DL308" i="1"/>
  <c r="DI308" i="1"/>
  <c r="DL307" i="1"/>
  <c r="DI307" i="1"/>
  <c r="DL306" i="1"/>
  <c r="DI306" i="1"/>
  <c r="DL305" i="1"/>
  <c r="DL303" i="1"/>
  <c r="DL302" i="1"/>
  <c r="DL301" i="1"/>
  <c r="DL300" i="1"/>
  <c r="DI300" i="1"/>
  <c r="DL298" i="1"/>
  <c r="DL297" i="1"/>
  <c r="DL296" i="1"/>
  <c r="DL295" i="1"/>
  <c r="DL294" i="1"/>
  <c r="DL293" i="1"/>
  <c r="DL292" i="1"/>
  <c r="DI292" i="1"/>
  <c r="DL291" i="1"/>
  <c r="DI291" i="1"/>
  <c r="DI290" i="1"/>
  <c r="DI303" i="1" s="1"/>
  <c r="DL288" i="1"/>
  <c r="DI288" i="1"/>
  <c r="DL287" i="1"/>
  <c r="DI287" i="1"/>
  <c r="DL286" i="1"/>
  <c r="DI286" i="1"/>
  <c r="DL285" i="1"/>
  <c r="DI285" i="1"/>
  <c r="DL284" i="1"/>
  <c r="DI284" i="1"/>
  <c r="DL283" i="1"/>
  <c r="DI283" i="1"/>
  <c r="DL282" i="1"/>
  <c r="DI282" i="1"/>
  <c r="DL281" i="1"/>
  <c r="DI281" i="1"/>
  <c r="DL280" i="1"/>
  <c r="DI280" i="1"/>
  <c r="DL279" i="1"/>
  <c r="DI279" i="1"/>
  <c r="DL278" i="1"/>
  <c r="DI278" i="1"/>
  <c r="DL277" i="1"/>
  <c r="DI277" i="1"/>
  <c r="DM276" i="1"/>
  <c r="DJ276" i="1"/>
  <c r="DG275" i="1"/>
  <c r="DG274" i="1"/>
  <c r="DG273" i="1"/>
  <c r="DG272" i="1"/>
  <c r="DG266" i="1"/>
  <c r="DI264" i="1"/>
  <c r="DI263" i="1"/>
  <c r="DI262" i="1"/>
  <c r="DL255" i="1"/>
  <c r="DL258" i="1" s="1"/>
  <c r="DI255" i="1"/>
  <c r="DL251" i="1"/>
  <c r="DI251" i="1"/>
  <c r="DL250" i="1"/>
  <c r="DI250" i="1"/>
  <c r="DL249" i="1"/>
  <c r="DI249" i="1"/>
  <c r="DL248" i="1"/>
  <c r="DI248" i="1"/>
  <c r="DG246" i="1"/>
  <c r="DI243" i="1"/>
  <c r="DJ243" i="1" s="1"/>
  <c r="DI242" i="1"/>
  <c r="DI241" i="1"/>
  <c r="DI240" i="1"/>
  <c r="DG239" i="1"/>
  <c r="DL237" i="1"/>
  <c r="DI237" i="1"/>
  <c r="DI236" i="1"/>
  <c r="DL235" i="1"/>
  <c r="DL234" i="1"/>
  <c r="DI234" i="1"/>
  <c r="DL233" i="1"/>
  <c r="DI233" i="1"/>
  <c r="DL232" i="1"/>
  <c r="DI232" i="1"/>
  <c r="DL231" i="1"/>
  <c r="DI231" i="1"/>
  <c r="DL230" i="1"/>
  <c r="DI230" i="1"/>
  <c r="DL229" i="1"/>
  <c r="DI229" i="1"/>
  <c r="DL228" i="1"/>
  <c r="DI228" i="1"/>
  <c r="DL227" i="1"/>
  <c r="DI227" i="1"/>
  <c r="DL226" i="1"/>
  <c r="DI226" i="1"/>
  <c r="DL225" i="1"/>
  <c r="DI225" i="1"/>
  <c r="DL215" i="1"/>
  <c r="DL218" i="1" s="1"/>
  <c r="DI215" i="1"/>
  <c r="DI218" i="1" s="1"/>
  <c r="DL214" i="1"/>
  <c r="DI214" i="1"/>
  <c r="DI217" i="1" s="1"/>
  <c r="DL213" i="1"/>
  <c r="DL216" i="1" s="1"/>
  <c r="DL219" i="1" s="1"/>
  <c r="DL222" i="1" s="1"/>
  <c r="DI213" i="1"/>
  <c r="DG212" i="1"/>
  <c r="DI209" i="1"/>
  <c r="DI208" i="1"/>
  <c r="DI207" i="1"/>
  <c r="DI205" i="1"/>
  <c r="DI204" i="1"/>
  <c r="DI203" i="1"/>
  <c r="DG202" i="1"/>
  <c r="DI196" i="1"/>
  <c r="DL190" i="1"/>
  <c r="DI190" i="1"/>
  <c r="DL189" i="1"/>
  <c r="DI189" i="1"/>
  <c r="DL184" i="1"/>
  <c r="DI184" i="1"/>
  <c r="DL182" i="1"/>
  <c r="DI182" i="1"/>
  <c r="DL180" i="1"/>
  <c r="DI180" i="1"/>
  <c r="DL179" i="1"/>
  <c r="DI179" i="1"/>
  <c r="DL178" i="1"/>
  <c r="DI178" i="1"/>
  <c r="DL177" i="1"/>
  <c r="DI177" i="1"/>
  <c r="DL176" i="1"/>
  <c r="DI176" i="1"/>
  <c r="DL175" i="1"/>
  <c r="DI175" i="1"/>
  <c r="DL174" i="1"/>
  <c r="DI174" i="1"/>
  <c r="DL173" i="1"/>
  <c r="DI173" i="1"/>
  <c r="DL172" i="1"/>
  <c r="DI172" i="1"/>
  <c r="DL171" i="1"/>
  <c r="DI171" i="1"/>
  <c r="DL169" i="1"/>
  <c r="DI169" i="1"/>
  <c r="DL168" i="1"/>
  <c r="DI168" i="1"/>
  <c r="DL167" i="1"/>
  <c r="DI167" i="1"/>
  <c r="DL161" i="1"/>
  <c r="DI161" i="1"/>
  <c r="DL160" i="1"/>
  <c r="DI160" i="1"/>
  <c r="DL158" i="1"/>
  <c r="DI158" i="1"/>
  <c r="DL157" i="1"/>
  <c r="DI157" i="1"/>
  <c r="DL156" i="1"/>
  <c r="DI156" i="1"/>
  <c r="DL155" i="1"/>
  <c r="DI155" i="1"/>
  <c r="DG154" i="1"/>
  <c r="DL152" i="1"/>
  <c r="DI152" i="1"/>
  <c r="DL151" i="1"/>
  <c r="DI151" i="1"/>
  <c r="DL149" i="1"/>
  <c r="DI149" i="1"/>
  <c r="DL148" i="1"/>
  <c r="DI148" i="1"/>
  <c r="DL147" i="1"/>
  <c r="DI147" i="1"/>
  <c r="DG146" i="1"/>
  <c r="DL144" i="1"/>
  <c r="DI144" i="1"/>
  <c r="DL143" i="1"/>
  <c r="DI143" i="1"/>
  <c r="DL141" i="1"/>
  <c r="DI141" i="1"/>
  <c r="DL140" i="1"/>
  <c r="DI140" i="1"/>
  <c r="DL139" i="1"/>
  <c r="DI139" i="1"/>
  <c r="DG138" i="1"/>
  <c r="DL136" i="1"/>
  <c r="DL135" i="1"/>
  <c r="DI135" i="1"/>
  <c r="DG134" i="1"/>
  <c r="DL133" i="1"/>
  <c r="DI133" i="1"/>
  <c r="DL132" i="1"/>
  <c r="DI132" i="1"/>
  <c r="DL131" i="1"/>
  <c r="DI131" i="1"/>
  <c r="DL130" i="1"/>
  <c r="DI130" i="1"/>
  <c r="DL129" i="1"/>
  <c r="DI129" i="1"/>
  <c r="DL128" i="1"/>
  <c r="DI128" i="1"/>
  <c r="DG127" i="1"/>
  <c r="DL126" i="1"/>
  <c r="DI126" i="1"/>
  <c r="DL118" i="1"/>
  <c r="DI118" i="1"/>
  <c r="DL114" i="1"/>
  <c r="DI114" i="1"/>
  <c r="DL112" i="1"/>
  <c r="DI112" i="1"/>
  <c r="DL111" i="1"/>
  <c r="DI111" i="1"/>
  <c r="DG110" i="1"/>
  <c r="DL109" i="1"/>
  <c r="DI109" i="1"/>
  <c r="DL108" i="1"/>
  <c r="DI108" i="1"/>
  <c r="DL107" i="1"/>
  <c r="DI107" i="1"/>
  <c r="DG106" i="1"/>
  <c r="DL105" i="1"/>
  <c r="DI105" i="1"/>
  <c r="DL104" i="1"/>
  <c r="DI104" i="1"/>
  <c r="DL103" i="1"/>
  <c r="DI103" i="1"/>
  <c r="DG102" i="1"/>
  <c r="DL101" i="1"/>
  <c r="DI101" i="1"/>
  <c r="DL98" i="1"/>
  <c r="DI98" i="1"/>
  <c r="DL97" i="1"/>
  <c r="DI97" i="1"/>
  <c r="DG96" i="1"/>
  <c r="DL95" i="1"/>
  <c r="DI95" i="1"/>
  <c r="DL94" i="1"/>
  <c r="DI94" i="1"/>
  <c r="DL93" i="1"/>
  <c r="DI93" i="1"/>
  <c r="DG92" i="1"/>
  <c r="DL91" i="1"/>
  <c r="DI91" i="1"/>
  <c r="DL90" i="1"/>
  <c r="DI90" i="1"/>
  <c r="DL89" i="1"/>
  <c r="DI89" i="1"/>
  <c r="DL88" i="1"/>
  <c r="DI88" i="1"/>
  <c r="DL87" i="1"/>
  <c r="DI87" i="1"/>
  <c r="DL86" i="1"/>
  <c r="DI86" i="1"/>
  <c r="DL85" i="1"/>
  <c r="DI85" i="1"/>
  <c r="DL84" i="1"/>
  <c r="DL183" i="1" s="1"/>
  <c r="DI84" i="1"/>
  <c r="DG82" i="1"/>
  <c r="DL79" i="1"/>
  <c r="DI79" i="1"/>
  <c r="DL78" i="1"/>
  <c r="DI78" i="1"/>
  <c r="DI71" i="1"/>
  <c r="DG64" i="1"/>
  <c r="DL62" i="1"/>
  <c r="DI62" i="1"/>
  <c r="DL61" i="1"/>
  <c r="DL59" i="1"/>
  <c r="DI59" i="1"/>
  <c r="DL58" i="1"/>
  <c r="DI58" i="1"/>
  <c r="DL56" i="1"/>
  <c r="DL57" i="1" s="1"/>
  <c r="DI56" i="1"/>
  <c r="DI57" i="1" s="1"/>
  <c r="DG55" i="1"/>
  <c r="DL54" i="1"/>
  <c r="DI54" i="1"/>
  <c r="DG53" i="1"/>
  <c r="DI52" i="1"/>
  <c r="DI51" i="1"/>
  <c r="DH50" i="1"/>
  <c r="DM50" i="1" s="1"/>
  <c r="DG50" i="1"/>
  <c r="DG47" i="1"/>
  <c r="DL46" i="1"/>
  <c r="DI46" i="1"/>
  <c r="DL45" i="1"/>
  <c r="DI45" i="1"/>
  <c r="DL44" i="1"/>
  <c r="DI44" i="1"/>
  <c r="DL43" i="1"/>
  <c r="DI43" i="1"/>
  <c r="DL42" i="1"/>
  <c r="DI42" i="1"/>
  <c r="DL41" i="1"/>
  <c r="DI41" i="1"/>
  <c r="DL40" i="1"/>
  <c r="DI40" i="1"/>
  <c r="DG38" i="1"/>
  <c r="DL36" i="1"/>
  <c r="DI36" i="1"/>
  <c r="DL35" i="1"/>
  <c r="DI35" i="1"/>
  <c r="DL34" i="1"/>
  <c r="DI34" i="1"/>
  <c r="DL33" i="1"/>
  <c r="DI33" i="1"/>
  <c r="DL32" i="1"/>
  <c r="DI32" i="1"/>
  <c r="DL31" i="1"/>
  <c r="DI31" i="1"/>
  <c r="DL30" i="1"/>
  <c r="DI30" i="1"/>
  <c r="DL29" i="1"/>
  <c r="DI29" i="1"/>
  <c r="DL25" i="1"/>
  <c r="DI25" i="1"/>
  <c r="DG24" i="1"/>
  <c r="DL23" i="1"/>
  <c r="DI23" i="1"/>
  <c r="DL22" i="1"/>
  <c r="DI22" i="1"/>
  <c r="DL21" i="1"/>
  <c r="DI21" i="1"/>
  <c r="DL20" i="1"/>
  <c r="DI20" i="1"/>
  <c r="DL19" i="1"/>
  <c r="DI19" i="1"/>
  <c r="DL18" i="1"/>
  <c r="DI18" i="1"/>
  <c r="DL17" i="1"/>
  <c r="DI17" i="1"/>
  <c r="DI16" i="1"/>
  <c r="DL15" i="1"/>
  <c r="DI15" i="1"/>
  <c r="DL14" i="1"/>
  <c r="DI14" i="1"/>
  <c r="DL13" i="1"/>
  <c r="DI13" i="1"/>
  <c r="DL12" i="1"/>
  <c r="DL11" i="1"/>
  <c r="DI11" i="1"/>
  <c r="DL6" i="1"/>
  <c r="DL16" i="1" s="1"/>
  <c r="DI6" i="1"/>
  <c r="DI539" i="1" l="1"/>
  <c r="DI582" i="1"/>
  <c r="DI583" i="1"/>
  <c r="DI309" i="1"/>
  <c r="DI571" i="1"/>
  <c r="DI293" i="1"/>
  <c r="DI338" i="1"/>
  <c r="DG337" i="1"/>
  <c r="DI257" i="1"/>
  <c r="DI259" i="1"/>
  <c r="DI559" i="1"/>
  <c r="DI569" i="1"/>
  <c r="DI575" i="1"/>
  <c r="DL259" i="1"/>
  <c r="DI565" i="1"/>
  <c r="DI572" i="1"/>
  <c r="DI579" i="1"/>
  <c r="DI562" i="1"/>
  <c r="DI576" i="1"/>
  <c r="DI566" i="1"/>
  <c r="DI570" i="1"/>
  <c r="DI574" i="1"/>
  <c r="DI580" i="1"/>
  <c r="DG558" i="1"/>
  <c r="DI563" i="1"/>
  <c r="DL257" i="1"/>
  <c r="DI567" i="1"/>
  <c r="DI578" i="1"/>
  <c r="DI577" i="1"/>
  <c r="DI533" i="1"/>
  <c r="DI547" i="1"/>
  <c r="DI518" i="1"/>
  <c r="DI520" i="1"/>
  <c r="DI523" i="1"/>
  <c r="DI548" i="1"/>
  <c r="DI521" i="1"/>
  <c r="DI524" i="1"/>
  <c r="DG510" i="1"/>
  <c r="DI513" i="1"/>
  <c r="DI305" i="1"/>
  <c r="DI542" i="1"/>
  <c r="DI295" i="1"/>
  <c r="DI302" i="1"/>
  <c r="DI505" i="1"/>
  <c r="DG290" i="1"/>
  <c r="DI297" i="1"/>
  <c r="DI310" i="1"/>
  <c r="DI534" i="1"/>
  <c r="DI537" i="1"/>
  <c r="DI294" i="1"/>
  <c r="DI296" i="1"/>
  <c r="DI301" i="1"/>
  <c r="DI538" i="1"/>
  <c r="DI541" i="1"/>
  <c r="DI298" i="1"/>
  <c r="DI136" i="1"/>
  <c r="DI183" i="1"/>
  <c r="DI12" i="1"/>
  <c r="DL221" i="1"/>
  <c r="DL217" i="1"/>
  <c r="DI235" i="1"/>
  <c r="DI216" i="1"/>
  <c r="DI220" i="1"/>
  <c r="DI221" i="1"/>
  <c r="DG255" i="1"/>
  <c r="DI256" i="1"/>
  <c r="DJ601" i="1"/>
  <c r="DI258" i="1"/>
  <c r="DI516" i="1"/>
  <c r="DI553" i="1"/>
  <c r="DI536" i="1"/>
  <c r="DI540" i="1"/>
  <c r="DI504" i="1"/>
  <c r="DI515" i="1"/>
  <c r="DI519" i="1"/>
  <c r="DI522" i="1"/>
  <c r="DI525" i="1"/>
  <c r="DG532" i="1"/>
  <c r="DI535" i="1"/>
  <c r="DG552" i="1"/>
  <c r="DI555" i="1"/>
  <c r="DI512" i="1"/>
  <c r="BU327" i="1"/>
  <c r="K631" i="1"/>
  <c r="K605" i="1"/>
  <c r="K593" i="1"/>
  <c r="K594" i="1"/>
  <c r="K595" i="1"/>
  <c r="K592" i="1"/>
  <c r="K584" i="1"/>
  <c r="K585" i="1"/>
  <c r="K511" i="1"/>
  <c r="K481" i="1"/>
  <c r="K482" i="1"/>
  <c r="K483" i="1"/>
  <c r="K383" i="1"/>
  <c r="K381" i="1"/>
  <c r="K377" i="1"/>
  <c r="K378" i="1"/>
  <c r="K336" i="1"/>
  <c r="K269" i="1"/>
  <c r="K267" i="1"/>
  <c r="K260" i="1"/>
  <c r="K252" i="1"/>
  <c r="K253" i="1"/>
  <c r="K254" i="1"/>
  <c r="K247" i="1"/>
  <c r="K193" i="1"/>
  <c r="K192" i="1"/>
  <c r="K121" i="1"/>
  <c r="K74" i="1"/>
  <c r="K75" i="1"/>
  <c r="K66" i="1"/>
  <c r="K67" i="1"/>
  <c r="K68" i="1"/>
  <c r="K65" i="1"/>
  <c r="K63" i="1"/>
  <c r="K39" i="1"/>
  <c r="K37" i="1"/>
  <c r="K528" i="1"/>
  <c r="DI223" i="1" l="1"/>
  <c r="DI224" i="1"/>
  <c r="DL220" i="1"/>
  <c r="DI219" i="1"/>
  <c r="DI222" i="1" l="1"/>
  <c r="DL224" i="1"/>
  <c r="DL223" i="1"/>
  <c r="DG121" i="1"/>
  <c r="BA327" i="1" l="1"/>
  <c r="CR483" i="1" l="1"/>
  <c r="BX483" i="1"/>
  <c r="P483" i="1"/>
  <c r="Q483" i="1" s="1"/>
  <c r="AF483" i="1" s="1"/>
  <c r="AE483" i="1"/>
  <c r="N483" i="1"/>
  <c r="AK483" i="1" l="1"/>
  <c r="AZ483" i="1" s="1"/>
  <c r="AH483" i="1"/>
  <c r="BD483" i="1" l="1"/>
  <c r="BE483" i="1" s="1"/>
  <c r="BT483" i="1" s="1"/>
  <c r="BY483" i="1" s="1"/>
  <c r="K99" i="1" l="1"/>
  <c r="CN483" i="1"/>
  <c r="CS483" i="1" s="1"/>
  <c r="DH483" i="1"/>
  <c r="DM483" i="1" l="1"/>
  <c r="DJ483" i="1"/>
  <c r="Q198" i="1" l="1"/>
  <c r="AF198" i="1" s="1"/>
  <c r="DG198" i="1"/>
  <c r="N198" i="1" l="1"/>
  <c r="K198" i="1"/>
  <c r="AE198" i="1"/>
  <c r="CM198" i="1"/>
  <c r="AK198" i="1"/>
  <c r="AZ198" i="1" s="1"/>
  <c r="BE198" i="1" s="1"/>
  <c r="BT198" i="1" s="1"/>
  <c r="AH198" i="1"/>
  <c r="BS198" i="1"/>
  <c r="J198" i="1"/>
  <c r="AY198" i="1"/>
  <c r="CR356" i="1"/>
  <c r="CO356" i="1"/>
  <c r="BX356" i="1"/>
  <c r="BU356" i="1"/>
  <c r="AJ356" i="1"/>
  <c r="BD357" i="1"/>
  <c r="BD356" i="1"/>
  <c r="BA357" i="1"/>
  <c r="BA356" i="1"/>
  <c r="CR357" i="1"/>
  <c r="CO357" i="1"/>
  <c r="BX357" i="1"/>
  <c r="BU357" i="1"/>
  <c r="AJ357" i="1"/>
  <c r="BB198" i="1" l="1"/>
  <c r="BY198" i="1"/>
  <c r="BV198" i="1"/>
  <c r="CO606" i="1"/>
  <c r="CN198" i="1" l="1"/>
  <c r="CS198" i="1" s="1"/>
  <c r="DH198" i="1"/>
  <c r="CP198" i="1" l="1"/>
  <c r="DJ198" i="1"/>
  <c r="DM198" i="1"/>
  <c r="CR542" i="1"/>
  <c r="CR541" i="1"/>
  <c r="CR540" i="1"/>
  <c r="CR539" i="1"/>
  <c r="CR538" i="1"/>
  <c r="CR537" i="1"/>
  <c r="CR536" i="1"/>
  <c r="CR535" i="1"/>
  <c r="CR534" i="1"/>
  <c r="CR533" i="1"/>
  <c r="BX542" i="1"/>
  <c r="BX541" i="1"/>
  <c r="BX540" i="1"/>
  <c r="BX539" i="1"/>
  <c r="BX538" i="1"/>
  <c r="BX537" i="1"/>
  <c r="BX536" i="1"/>
  <c r="BX535" i="1"/>
  <c r="BX534" i="1"/>
  <c r="BX533" i="1"/>
  <c r="BD542" i="1"/>
  <c r="BD541" i="1"/>
  <c r="BD540" i="1"/>
  <c r="BD539" i="1"/>
  <c r="BD538" i="1"/>
  <c r="BD537" i="1"/>
  <c r="BD536" i="1"/>
  <c r="BD535" i="1"/>
  <c r="BD534" i="1"/>
  <c r="BD533" i="1"/>
  <c r="BA538" i="1"/>
  <c r="CR555" i="1"/>
  <c r="CR554" i="1"/>
  <c r="CR553" i="1"/>
  <c r="BX555" i="1"/>
  <c r="BX554" i="1"/>
  <c r="BX553" i="1"/>
  <c r="BD555" i="1"/>
  <c r="BD554" i="1"/>
  <c r="BD553" i="1"/>
  <c r="CO558" i="1"/>
  <c r="BU558" i="1"/>
  <c r="BA558" i="1"/>
  <c r="BU579" i="1" l="1"/>
  <c r="BU583" i="1"/>
  <c r="CO577" i="1"/>
  <c r="CO583" i="1"/>
  <c r="BA582" i="1"/>
  <c r="BA583" i="1"/>
  <c r="CO542" i="1"/>
  <c r="CO554" i="1"/>
  <c r="BU553" i="1"/>
  <c r="BU536" i="1"/>
  <c r="BA553" i="1"/>
  <c r="BA554" i="1"/>
  <c r="BA563" i="1"/>
  <c r="CO569" i="1"/>
  <c r="CO562" i="1"/>
  <c r="BA566" i="1"/>
  <c r="CO571" i="1"/>
  <c r="BA534" i="1"/>
  <c r="CO582" i="1"/>
  <c r="CO572" i="1"/>
  <c r="BA574" i="1"/>
  <c r="CO578" i="1"/>
  <c r="BU554" i="1"/>
  <c r="BA539" i="1"/>
  <c r="BA577" i="1"/>
  <c r="BA567" i="1"/>
  <c r="BA537" i="1"/>
  <c r="BA576" i="1"/>
  <c r="CO580" i="1"/>
  <c r="BA541" i="1"/>
  <c r="BA542" i="1"/>
  <c r="CO559" i="1"/>
  <c r="CO537" i="1"/>
  <c r="CO553" i="1"/>
  <c r="BU537" i="1"/>
  <c r="CO535" i="1"/>
  <c r="BA565" i="1"/>
  <c r="BA575" i="1"/>
  <c r="BU562" i="1"/>
  <c r="BU572" i="1"/>
  <c r="BU582" i="1"/>
  <c r="CO570" i="1"/>
  <c r="CO579" i="1"/>
  <c r="BA540" i="1"/>
  <c r="BU538" i="1"/>
  <c r="CO536" i="1"/>
  <c r="BU559" i="1"/>
  <c r="BU539" i="1"/>
  <c r="BU540" i="1"/>
  <c r="CO538" i="1"/>
  <c r="BA569" i="1"/>
  <c r="BA578" i="1"/>
  <c r="BU566" i="1"/>
  <c r="BU576" i="1"/>
  <c r="CO563" i="1"/>
  <c r="CO574" i="1"/>
  <c r="BA535" i="1"/>
  <c r="BU533" i="1"/>
  <c r="BU541" i="1"/>
  <c r="CO539" i="1"/>
  <c r="BU580" i="1"/>
  <c r="BU563" i="1"/>
  <c r="BU565" i="1"/>
  <c r="BA570" i="1"/>
  <c r="BA579" i="1"/>
  <c r="BU567" i="1"/>
  <c r="BU577" i="1"/>
  <c r="CO565" i="1"/>
  <c r="CO575" i="1"/>
  <c r="BA536" i="1"/>
  <c r="BU534" i="1"/>
  <c r="BU542" i="1"/>
  <c r="CO540" i="1"/>
  <c r="BU574" i="1"/>
  <c r="BU575" i="1"/>
  <c r="BA559" i="1"/>
  <c r="BA571" i="1"/>
  <c r="BA580" i="1"/>
  <c r="BU569" i="1"/>
  <c r="BU578" i="1"/>
  <c r="CO566" i="1"/>
  <c r="CO576" i="1"/>
  <c r="BU535" i="1"/>
  <c r="CO533" i="1"/>
  <c r="CO541" i="1"/>
  <c r="BU571" i="1"/>
  <c r="BA562" i="1"/>
  <c r="BA572" i="1"/>
  <c r="BU570" i="1"/>
  <c r="CO567" i="1"/>
  <c r="CO534" i="1"/>
  <c r="CR582" i="1"/>
  <c r="CR580" i="1"/>
  <c r="CR579" i="1"/>
  <c r="CR578" i="1"/>
  <c r="CR577" i="1"/>
  <c r="CR576" i="1"/>
  <c r="CR575" i="1"/>
  <c r="CR574" i="1"/>
  <c r="CR572" i="1"/>
  <c r="CR571" i="1"/>
  <c r="CR570" i="1"/>
  <c r="CR569" i="1"/>
  <c r="CR567" i="1"/>
  <c r="CR566" i="1"/>
  <c r="CR565" i="1"/>
  <c r="CR563" i="1"/>
  <c r="CR562" i="1"/>
  <c r="CR559" i="1"/>
  <c r="BX582" i="1"/>
  <c r="BX580" i="1"/>
  <c r="BX579" i="1"/>
  <c r="BX578" i="1"/>
  <c r="BX577" i="1"/>
  <c r="BX576" i="1"/>
  <c r="BX575" i="1"/>
  <c r="BX574" i="1"/>
  <c r="BX572" i="1"/>
  <c r="BX571" i="1"/>
  <c r="BX570" i="1"/>
  <c r="BX569" i="1"/>
  <c r="BX567" i="1"/>
  <c r="BX566" i="1"/>
  <c r="BX565" i="1"/>
  <c r="BX563" i="1"/>
  <c r="BX562" i="1"/>
  <c r="BX559" i="1"/>
  <c r="BD582" i="1"/>
  <c r="BD580" i="1"/>
  <c r="BD579" i="1"/>
  <c r="BD578" i="1"/>
  <c r="BD577" i="1"/>
  <c r="BD576" i="1"/>
  <c r="BD575" i="1"/>
  <c r="BD574" i="1"/>
  <c r="BD572" i="1"/>
  <c r="BD571" i="1"/>
  <c r="BD570" i="1"/>
  <c r="BD569" i="1"/>
  <c r="BD567" i="1"/>
  <c r="BD566" i="1"/>
  <c r="BD565" i="1"/>
  <c r="BD563" i="1"/>
  <c r="BD562" i="1"/>
  <c r="BD559" i="1"/>
  <c r="AJ582" i="1"/>
  <c r="AJ580" i="1"/>
  <c r="AJ579" i="1"/>
  <c r="AJ578" i="1"/>
  <c r="AJ577" i="1"/>
  <c r="AJ576" i="1"/>
  <c r="AJ575" i="1"/>
  <c r="AJ574" i="1"/>
  <c r="AJ572" i="1"/>
  <c r="AJ571" i="1"/>
  <c r="AJ570" i="1"/>
  <c r="AJ569" i="1"/>
  <c r="AJ567" i="1"/>
  <c r="AJ566" i="1"/>
  <c r="AJ565" i="1"/>
  <c r="AJ563" i="1"/>
  <c r="AJ562" i="1"/>
  <c r="AJ559" i="1"/>
  <c r="P579" i="1"/>
  <c r="Q579" i="1" s="1"/>
  <c r="AF579" i="1" s="1"/>
  <c r="AK579" i="1" s="1"/>
  <c r="AZ579" i="1" s="1"/>
  <c r="P578" i="1"/>
  <c r="Q578" i="1" s="1"/>
  <c r="AF578" i="1" s="1"/>
  <c r="AK578" i="1" s="1"/>
  <c r="AZ578" i="1" s="1"/>
  <c r="P575" i="1"/>
  <c r="Q575" i="1" s="1"/>
  <c r="AF575" i="1" s="1"/>
  <c r="P574" i="1"/>
  <c r="Q574" i="1" s="1"/>
  <c r="AF574" i="1" s="1"/>
  <c r="P572" i="1"/>
  <c r="Q572" i="1" s="1"/>
  <c r="AF572" i="1" s="1"/>
  <c r="P571" i="1"/>
  <c r="P570" i="1"/>
  <c r="P569" i="1"/>
  <c r="P582" i="1"/>
  <c r="Q582" i="1" s="1"/>
  <c r="AF582" i="1" s="1"/>
  <c r="P580" i="1"/>
  <c r="Q580" i="1" s="1"/>
  <c r="AF580" i="1" s="1"/>
  <c r="P577" i="1"/>
  <c r="Q577" i="1" s="1"/>
  <c r="AF577" i="1" s="1"/>
  <c r="P576" i="1"/>
  <c r="Q576" i="1" s="1"/>
  <c r="AF576" i="1" s="1"/>
  <c r="P567" i="1"/>
  <c r="P566" i="1"/>
  <c r="P565" i="1"/>
  <c r="P563" i="1"/>
  <c r="P562" i="1"/>
  <c r="P559" i="1"/>
  <c r="CM584" i="1"/>
  <c r="BS584" i="1"/>
  <c r="AY584" i="1"/>
  <c r="AE584" i="1"/>
  <c r="Q584" i="1"/>
  <c r="AF584" i="1" s="1"/>
  <c r="N584" i="1"/>
  <c r="J584" i="1"/>
  <c r="Q583" i="1"/>
  <c r="AF583" i="1" s="1"/>
  <c r="AK572" i="1" l="1"/>
  <c r="AZ572" i="1" s="1"/>
  <c r="BE572" i="1" s="1"/>
  <c r="BT572" i="1" s="1"/>
  <c r="AK575" i="1"/>
  <c r="AZ575" i="1" s="1"/>
  <c r="BE575" i="1" s="1"/>
  <c r="BT575" i="1" s="1"/>
  <c r="BV575" i="1" s="1"/>
  <c r="BB578" i="1"/>
  <c r="AK574" i="1"/>
  <c r="AZ574" i="1" s="1"/>
  <c r="BE574" i="1" s="1"/>
  <c r="BT574" i="1" s="1"/>
  <c r="BY574" i="1" s="1"/>
  <c r="AK580" i="1"/>
  <c r="AZ580" i="1" s="1"/>
  <c r="BB580" i="1" s="1"/>
  <c r="BE578" i="1"/>
  <c r="BT578" i="1" s="1"/>
  <c r="AK582" i="1"/>
  <c r="AZ582" i="1" s="1"/>
  <c r="AK577" i="1"/>
  <c r="AZ577" i="1" s="1"/>
  <c r="AK576" i="1"/>
  <c r="AZ576" i="1" s="1"/>
  <c r="BE579" i="1"/>
  <c r="BT579" i="1" s="1"/>
  <c r="BB579" i="1"/>
  <c r="AK583" i="1"/>
  <c r="AZ583" i="1" s="1"/>
  <c r="BB583" i="1" s="1"/>
  <c r="AK584" i="1"/>
  <c r="AZ584" i="1" s="1"/>
  <c r="AH584" i="1"/>
  <c r="CN574" i="1" l="1"/>
  <c r="CS574" i="1" s="1"/>
  <c r="DH574" i="1"/>
  <c r="BB572" i="1"/>
  <c r="BB575" i="1"/>
  <c r="BY575" i="1"/>
  <c r="BB574" i="1"/>
  <c r="BV574" i="1"/>
  <c r="BE580" i="1"/>
  <c r="BT580" i="1" s="1"/>
  <c r="BY580" i="1" s="1"/>
  <c r="BY579" i="1"/>
  <c r="BV579" i="1"/>
  <c r="BE582" i="1"/>
  <c r="BT582" i="1" s="1"/>
  <c r="BB582" i="1"/>
  <c r="BY578" i="1"/>
  <c r="BV578" i="1"/>
  <c r="BB577" i="1"/>
  <c r="BE577" i="1"/>
  <c r="BT577" i="1" s="1"/>
  <c r="BE576" i="1"/>
  <c r="BT576" i="1" s="1"/>
  <c r="BB576" i="1"/>
  <c r="BE583" i="1"/>
  <c r="BT583" i="1" s="1"/>
  <c r="BV583" i="1" s="1"/>
  <c r="BE584" i="1"/>
  <c r="BT584" i="1" s="1"/>
  <c r="BB584" i="1"/>
  <c r="BV572" i="1"/>
  <c r="BY572" i="1"/>
  <c r="CP574" i="1" l="1"/>
  <c r="CN578" i="1"/>
  <c r="CP578" i="1" s="1"/>
  <c r="DH578" i="1"/>
  <c r="CN580" i="1"/>
  <c r="CS580" i="1" s="1"/>
  <c r="DH580" i="1"/>
  <c r="CN572" i="1"/>
  <c r="CS572" i="1" s="1"/>
  <c r="DH572" i="1"/>
  <c r="DM574" i="1"/>
  <c r="DJ574" i="1"/>
  <c r="CN575" i="1"/>
  <c r="CP575" i="1" s="1"/>
  <c r="DH575" i="1"/>
  <c r="CN579" i="1"/>
  <c r="CS579" i="1" s="1"/>
  <c r="DH579" i="1"/>
  <c r="BV580" i="1"/>
  <c r="BY582" i="1"/>
  <c r="BV582" i="1"/>
  <c r="BV576" i="1"/>
  <c r="BY576" i="1"/>
  <c r="BY577" i="1"/>
  <c r="BV577" i="1"/>
  <c r="BV584" i="1"/>
  <c r="BY584" i="1"/>
  <c r="BY583" i="1"/>
  <c r="CS578" i="1" l="1"/>
  <c r="CS575" i="1"/>
  <c r="CP579" i="1"/>
  <c r="CP572" i="1"/>
  <c r="CP580" i="1"/>
  <c r="DM572" i="1"/>
  <c r="DJ572" i="1"/>
  <c r="CN584" i="1"/>
  <c r="CP584" i="1" s="1"/>
  <c r="DH584" i="1"/>
  <c r="DM579" i="1"/>
  <c r="DJ579" i="1"/>
  <c r="DM580" i="1"/>
  <c r="DJ580" i="1"/>
  <c r="CN583" i="1"/>
  <c r="CP583" i="1" s="1"/>
  <c r="DH583" i="1"/>
  <c r="DJ583" i="1" s="1"/>
  <c r="DM575" i="1"/>
  <c r="DJ575" i="1"/>
  <c r="DM578" i="1"/>
  <c r="DJ578" i="1"/>
  <c r="CN576" i="1"/>
  <c r="CS576" i="1" s="1"/>
  <c r="DH576" i="1"/>
  <c r="CN577" i="1"/>
  <c r="CS577" i="1" s="1"/>
  <c r="DH577" i="1"/>
  <c r="CN582" i="1"/>
  <c r="CP582" i="1" s="1"/>
  <c r="DH582" i="1"/>
  <c r="CS582" i="1" l="1"/>
  <c r="CS583" i="1"/>
  <c r="CS584" i="1"/>
  <c r="CP577" i="1"/>
  <c r="DM582" i="1"/>
  <c r="DJ582" i="1"/>
  <c r="DJ584" i="1"/>
  <c r="DM584" i="1"/>
  <c r="CP576" i="1"/>
  <c r="DM577" i="1"/>
  <c r="DJ577" i="1"/>
  <c r="DM583" i="1"/>
  <c r="DM576" i="1"/>
  <c r="DJ576" i="1"/>
  <c r="Q569" i="1"/>
  <c r="AF569" i="1" s="1"/>
  <c r="Q567" i="1"/>
  <c r="AF567" i="1" s="1"/>
  <c r="Q566" i="1"/>
  <c r="AF566" i="1" s="1"/>
  <c r="AK566" i="1" s="1"/>
  <c r="AZ566" i="1" s="1"/>
  <c r="Q565" i="1"/>
  <c r="AF565" i="1" s="1"/>
  <c r="Q563" i="1"/>
  <c r="AF563" i="1" s="1"/>
  <c r="Q562" i="1"/>
  <c r="AF562" i="1" s="1"/>
  <c r="Q571" i="1"/>
  <c r="AF571" i="1" s="1"/>
  <c r="AK571" i="1" s="1"/>
  <c r="AZ571" i="1" s="1"/>
  <c r="BE571" i="1" s="1"/>
  <c r="BT571" i="1" s="1"/>
  <c r="BY571" i="1" s="1"/>
  <c r="Q570" i="1"/>
  <c r="AF570" i="1" s="1"/>
  <c r="BO558" i="1"/>
  <c r="CM558" i="1"/>
  <c r="BN558" i="1"/>
  <c r="BK558" i="1"/>
  <c r="BJ558" i="1"/>
  <c r="BG558" i="1"/>
  <c r="BF558" i="1"/>
  <c r="AY558" i="1"/>
  <c r="AU558" i="1"/>
  <c r="AT558" i="1"/>
  <c r="AQ558" i="1"/>
  <c r="AP558" i="1"/>
  <c r="AM558" i="1"/>
  <c r="AL558" i="1"/>
  <c r="AA558" i="1"/>
  <c r="W558" i="1"/>
  <c r="V558" i="1"/>
  <c r="S558" i="1"/>
  <c r="R558" i="1"/>
  <c r="CM557" i="1"/>
  <c r="BS557" i="1"/>
  <c r="AY557" i="1"/>
  <c r="AE557" i="1"/>
  <c r="CN571" i="1" l="1"/>
  <c r="CS571" i="1" s="1"/>
  <c r="DH571" i="1"/>
  <c r="AK565" i="1"/>
  <c r="AZ565" i="1" s="1"/>
  <c r="BB565" i="1" s="1"/>
  <c r="BE566" i="1"/>
  <c r="BT566" i="1" s="1"/>
  <c r="BB566" i="1"/>
  <c r="AK569" i="1"/>
  <c r="AZ569" i="1" s="1"/>
  <c r="AK567" i="1"/>
  <c r="AZ567" i="1" s="1"/>
  <c r="AK562" i="1"/>
  <c r="AZ562" i="1" s="1"/>
  <c r="AK563" i="1"/>
  <c r="AZ563" i="1" s="1"/>
  <c r="BV571" i="1"/>
  <c r="AK570" i="1"/>
  <c r="AZ570" i="1" s="1"/>
  <c r="BE570" i="1" s="1"/>
  <c r="BT570" i="1" s="1"/>
  <c r="BB571" i="1"/>
  <c r="Q559" i="1"/>
  <c r="AF559" i="1" s="1"/>
  <c r="AK559" i="1" s="1"/>
  <c r="AZ559" i="1" s="1"/>
  <c r="BE559" i="1" s="1"/>
  <c r="BT559" i="1" s="1"/>
  <c r="BY559" i="1" s="1"/>
  <c r="Q585" i="1"/>
  <c r="AF585" i="1" s="1"/>
  <c r="J557" i="1"/>
  <c r="BS558" i="1"/>
  <c r="CP571" i="1" l="1"/>
  <c r="DM571" i="1"/>
  <c r="DJ571" i="1"/>
  <c r="CN559" i="1"/>
  <c r="CS559" i="1" s="1"/>
  <c r="DH559" i="1"/>
  <c r="BE565" i="1"/>
  <c r="BT565" i="1" s="1"/>
  <c r="BV565" i="1" s="1"/>
  <c r="BE563" i="1"/>
  <c r="BT563" i="1" s="1"/>
  <c r="BB563" i="1"/>
  <c r="BE562" i="1"/>
  <c r="BT562" i="1" s="1"/>
  <c r="BB562" i="1"/>
  <c r="BY566" i="1"/>
  <c r="BV566" i="1"/>
  <c r="BE567" i="1"/>
  <c r="BT567" i="1" s="1"/>
  <c r="BB567" i="1"/>
  <c r="BB569" i="1"/>
  <c r="BE569" i="1"/>
  <c r="BT569" i="1" s="1"/>
  <c r="BB570" i="1"/>
  <c r="BV570" i="1"/>
  <c r="BY570" i="1"/>
  <c r="AK585" i="1"/>
  <c r="AZ585" i="1" s="1"/>
  <c r="BE585" i="1" s="1"/>
  <c r="BT585" i="1" s="1"/>
  <c r="BY585" i="1" s="1"/>
  <c r="AH585" i="1"/>
  <c r="BB559" i="1"/>
  <c r="AE585" i="1"/>
  <c r="BS585" i="1"/>
  <c r="AY585" i="1"/>
  <c r="N585" i="1"/>
  <c r="CM585" i="1"/>
  <c r="J585" i="1"/>
  <c r="BV559" i="1"/>
  <c r="CP559" i="1" l="1"/>
  <c r="DM559" i="1"/>
  <c r="DJ559" i="1"/>
  <c r="CN585" i="1"/>
  <c r="CS585" i="1" s="1"/>
  <c r="DH585" i="1"/>
  <c r="CN570" i="1"/>
  <c r="CP570" i="1" s="1"/>
  <c r="DH570" i="1"/>
  <c r="CN566" i="1"/>
  <c r="CS566" i="1" s="1"/>
  <c r="DH566" i="1"/>
  <c r="BY565" i="1"/>
  <c r="BB585" i="1"/>
  <c r="BV569" i="1"/>
  <c r="BY569" i="1"/>
  <c r="BY562" i="1"/>
  <c r="BV562" i="1"/>
  <c r="BY567" i="1"/>
  <c r="BV567" i="1"/>
  <c r="BV563" i="1"/>
  <c r="BY563" i="1"/>
  <c r="BV585" i="1"/>
  <c r="CP585" i="1" l="1"/>
  <c r="CS570" i="1"/>
  <c r="DM566" i="1"/>
  <c r="DJ566" i="1"/>
  <c r="CN569" i="1"/>
  <c r="CP569" i="1" s="1"/>
  <c r="DH569" i="1"/>
  <c r="CN567" i="1"/>
  <c r="CP567" i="1" s="1"/>
  <c r="DH567" i="1"/>
  <c r="DM570" i="1"/>
  <c r="DJ570" i="1"/>
  <c r="DM585" i="1"/>
  <c r="DJ585" i="1"/>
  <c r="CN563" i="1"/>
  <c r="CS563" i="1" s="1"/>
  <c r="DH563" i="1"/>
  <c r="CN562" i="1"/>
  <c r="CS562" i="1" s="1"/>
  <c r="DH562" i="1"/>
  <c r="CP566" i="1"/>
  <c r="CN565" i="1"/>
  <c r="DH565" i="1"/>
  <c r="CS569" i="1" l="1"/>
  <c r="CS567" i="1"/>
  <c r="CP562" i="1"/>
  <c r="CP563" i="1"/>
  <c r="CS565" i="1"/>
  <c r="CP565" i="1"/>
  <c r="DM562" i="1"/>
  <c r="DJ562" i="1"/>
  <c r="DM563" i="1"/>
  <c r="DJ563" i="1"/>
  <c r="DJ567" i="1"/>
  <c r="DM567" i="1"/>
  <c r="DM569" i="1"/>
  <c r="DJ569" i="1"/>
  <c r="DM565" i="1"/>
  <c r="DJ565" i="1"/>
  <c r="BA606" i="1" l="1"/>
  <c r="DG99" i="1" l="1"/>
  <c r="AJ540" i="1" l="1"/>
  <c r="AJ539" i="1"/>
  <c r="AJ538" i="1"/>
  <c r="AJ537" i="1"/>
  <c r="AJ536" i="1"/>
  <c r="AJ535" i="1"/>
  <c r="AJ542" i="1"/>
  <c r="AJ534" i="1"/>
  <c r="AJ541" i="1"/>
  <c r="AJ533" i="1"/>
  <c r="AJ554" i="1"/>
  <c r="CM631" i="1" l="1"/>
  <c r="CM605" i="1"/>
  <c r="CM593" i="1"/>
  <c r="CM594" i="1"/>
  <c r="CM595" i="1"/>
  <c r="CM592" i="1"/>
  <c r="CM511" i="1"/>
  <c r="CM377" i="1"/>
  <c r="CM378" i="1"/>
  <c r="CM336" i="1"/>
  <c r="CM269" i="1"/>
  <c r="CM267" i="1"/>
  <c r="CM260" i="1"/>
  <c r="CM252" i="1"/>
  <c r="CM253" i="1"/>
  <c r="CM254" i="1"/>
  <c r="CM247" i="1"/>
  <c r="CM193" i="1"/>
  <c r="CM192" i="1"/>
  <c r="CM121" i="1"/>
  <c r="CM99" i="1"/>
  <c r="CM74" i="1"/>
  <c r="CM75" i="1"/>
  <c r="CM66" i="1"/>
  <c r="CM67" i="1"/>
  <c r="CM68" i="1"/>
  <c r="CM65" i="1"/>
  <c r="CM63" i="1"/>
  <c r="CM39" i="1"/>
  <c r="CM37" i="1"/>
  <c r="CM597" i="1" l="1"/>
  <c r="CM587" i="1"/>
  <c r="CM551" i="1"/>
  <c r="CM531" i="1"/>
  <c r="CM528" i="1"/>
  <c r="CM464" i="1"/>
  <c r="CM453" i="1"/>
  <c r="CM441" i="1"/>
  <c r="CM432" i="1"/>
  <c r="CM385" i="1"/>
  <c r="CM380" i="1"/>
  <c r="CM363" i="1"/>
  <c r="CM353" i="1"/>
  <c r="CM346" i="1"/>
  <c r="CM344" i="1"/>
  <c r="CM275" i="1"/>
  <c r="CM274" i="1"/>
  <c r="CM273" i="1"/>
  <c r="CM272" i="1"/>
  <c r="CM266" i="1"/>
  <c r="CM246" i="1"/>
  <c r="CM239" i="1"/>
  <c r="CM212" i="1"/>
  <c r="CM202" i="1"/>
  <c r="CM154" i="1"/>
  <c r="CM146" i="1"/>
  <c r="CM138" i="1"/>
  <c r="CM134" i="1"/>
  <c r="CM127" i="1"/>
  <c r="CM110" i="1"/>
  <c r="CM106" i="1"/>
  <c r="CM102" i="1"/>
  <c r="CM96" i="1"/>
  <c r="CM92" i="1"/>
  <c r="CM82" i="1"/>
  <c r="CM64" i="1"/>
  <c r="CM55" i="1"/>
  <c r="CM53" i="1"/>
  <c r="CM50" i="1"/>
  <c r="CM47" i="1"/>
  <c r="CM38" i="1"/>
  <c r="CM24" i="1"/>
  <c r="CM5" i="1"/>
  <c r="AG558" i="1" l="1"/>
  <c r="AG583" i="1" s="1"/>
  <c r="AH583" i="1" s="1"/>
  <c r="M558" i="1"/>
  <c r="M583" i="1" s="1"/>
  <c r="DG583" i="1" l="1"/>
  <c r="K583" i="1"/>
  <c r="AE583" i="1"/>
  <c r="AY583" i="1"/>
  <c r="CM583" i="1"/>
  <c r="N583" i="1"/>
  <c r="J583" i="1"/>
  <c r="BS583" i="1"/>
  <c r="AG575" i="1"/>
  <c r="AH575" i="1" s="1"/>
  <c r="AG565" i="1"/>
  <c r="AH565" i="1" s="1"/>
  <c r="AG569" i="1"/>
  <c r="AH569" i="1" s="1"/>
  <c r="AG576" i="1"/>
  <c r="AH576" i="1" s="1"/>
  <c r="AG574" i="1"/>
  <c r="AH574" i="1" s="1"/>
  <c r="AG563" i="1"/>
  <c r="AH563" i="1" s="1"/>
  <c r="AG566" i="1"/>
  <c r="AH566" i="1" s="1"/>
  <c r="AG582" i="1"/>
  <c r="AH582" i="1" s="1"/>
  <c r="AG572" i="1"/>
  <c r="AH572" i="1" s="1"/>
  <c r="AG562" i="1"/>
  <c r="AH562" i="1" s="1"/>
  <c r="AG570" i="1"/>
  <c r="AH570" i="1" s="1"/>
  <c r="AG578" i="1"/>
  <c r="AH578" i="1" s="1"/>
  <c r="AG580" i="1"/>
  <c r="AH580" i="1" s="1"/>
  <c r="AG571" i="1"/>
  <c r="AH571" i="1" s="1"/>
  <c r="AG559" i="1"/>
  <c r="AH559" i="1" s="1"/>
  <c r="AG579" i="1"/>
  <c r="AH579" i="1" s="1"/>
  <c r="AG577" i="1"/>
  <c r="AH577" i="1" s="1"/>
  <c r="AG567" i="1"/>
  <c r="AH567" i="1" s="1"/>
  <c r="AE558" i="1"/>
  <c r="M577" i="1"/>
  <c r="M567" i="1"/>
  <c r="M562" i="1"/>
  <c r="M578" i="1"/>
  <c r="M576" i="1"/>
  <c r="DG576" i="1" s="1"/>
  <c r="M566" i="1"/>
  <c r="M572" i="1"/>
  <c r="M575" i="1"/>
  <c r="M565" i="1"/>
  <c r="M571" i="1"/>
  <c r="M574" i="1"/>
  <c r="M563" i="1"/>
  <c r="M582" i="1"/>
  <c r="DG582" i="1" s="1"/>
  <c r="M580" i="1"/>
  <c r="M559" i="1"/>
  <c r="M579" i="1"/>
  <c r="M570" i="1"/>
  <c r="DG570" i="1" s="1"/>
  <c r="M569" i="1"/>
  <c r="J558" i="1"/>
  <c r="DG565" i="1" l="1"/>
  <c r="DG569" i="1"/>
  <c r="DG577" i="1"/>
  <c r="DG562" i="1"/>
  <c r="DG575" i="1"/>
  <c r="DG578" i="1"/>
  <c r="DG572" i="1"/>
  <c r="DG574" i="1"/>
  <c r="DG567" i="1"/>
  <c r="DG563" i="1"/>
  <c r="DG571" i="1"/>
  <c r="DG579" i="1"/>
  <c r="DG559" i="1"/>
  <c r="DG580" i="1"/>
  <c r="DG566" i="1"/>
  <c r="K563" i="1"/>
  <c r="K574" i="1"/>
  <c r="K567" i="1"/>
  <c r="K570" i="1"/>
  <c r="K582" i="1"/>
  <c r="K578" i="1"/>
  <c r="K562" i="1"/>
  <c r="K569" i="1"/>
  <c r="K577" i="1"/>
  <c r="K579" i="1"/>
  <c r="K575" i="1"/>
  <c r="K559" i="1"/>
  <c r="K572" i="1"/>
  <c r="K576" i="1"/>
  <c r="K571" i="1"/>
  <c r="K565" i="1"/>
  <c r="K580" i="1"/>
  <c r="K566" i="1"/>
  <c r="N576" i="1"/>
  <c r="AE576" i="1"/>
  <c r="AY576" i="1"/>
  <c r="J576" i="1"/>
  <c r="BS576" i="1"/>
  <c r="CM576" i="1"/>
  <c r="N574" i="1"/>
  <c r="AE574" i="1"/>
  <c r="BS574" i="1"/>
  <c r="AY574" i="1"/>
  <c r="J574" i="1"/>
  <c r="CM574" i="1"/>
  <c r="N562" i="1"/>
  <c r="AY562" i="1"/>
  <c r="J562" i="1"/>
  <c r="CM562" i="1"/>
  <c r="BS562" i="1"/>
  <c r="AE562" i="1"/>
  <c r="N582" i="1"/>
  <c r="AE582" i="1"/>
  <c r="CM582" i="1"/>
  <c r="J582" i="1"/>
  <c r="AY582" i="1"/>
  <c r="BS582" i="1"/>
  <c r="CM569" i="1"/>
  <c r="BS569" i="1"/>
  <c r="AY569" i="1"/>
  <c r="AE569" i="1"/>
  <c r="N569" i="1"/>
  <c r="J569" i="1"/>
  <c r="N571" i="1"/>
  <c r="BS571" i="1"/>
  <c r="AE571" i="1"/>
  <c r="J571" i="1"/>
  <c r="AY571" i="1"/>
  <c r="CM571" i="1"/>
  <c r="BS567" i="1"/>
  <c r="AY567" i="1"/>
  <c r="J567" i="1"/>
  <c r="AE567" i="1"/>
  <c r="N567" i="1"/>
  <c r="CM567" i="1"/>
  <c r="N578" i="1"/>
  <c r="AY578" i="1"/>
  <c r="AE578" i="1"/>
  <c r="CM578" i="1"/>
  <c r="BS578" i="1"/>
  <c r="J578" i="1"/>
  <c r="AE565" i="1"/>
  <c r="AY565" i="1"/>
  <c r="N565" i="1"/>
  <c r="CM565" i="1"/>
  <c r="J565" i="1"/>
  <c r="BS565" i="1"/>
  <c r="N577" i="1"/>
  <c r="AY577" i="1"/>
  <c r="BS577" i="1"/>
  <c r="AE577" i="1"/>
  <c r="J577" i="1"/>
  <c r="CM577" i="1"/>
  <c r="BS579" i="1"/>
  <c r="N579" i="1"/>
  <c r="J579" i="1"/>
  <c r="CM579" i="1"/>
  <c r="AY579" i="1"/>
  <c r="AE579" i="1"/>
  <c r="N575" i="1"/>
  <c r="CM575" i="1"/>
  <c r="J575" i="1"/>
  <c r="AE575" i="1"/>
  <c r="BS575" i="1"/>
  <c r="AY575" i="1"/>
  <c r="J559" i="1"/>
  <c r="CM559" i="1"/>
  <c r="AE559" i="1"/>
  <c r="AY559" i="1"/>
  <c r="BS559" i="1"/>
  <c r="N559" i="1"/>
  <c r="N572" i="1"/>
  <c r="AY572" i="1"/>
  <c r="AE572" i="1"/>
  <c r="CM572" i="1"/>
  <c r="BS572" i="1"/>
  <c r="J572" i="1"/>
  <c r="N563" i="1"/>
  <c r="J563" i="1"/>
  <c r="BS563" i="1"/>
  <c r="CM563" i="1"/>
  <c r="AY563" i="1"/>
  <c r="AE563" i="1"/>
  <c r="AY570" i="1"/>
  <c r="AE570" i="1"/>
  <c r="N570" i="1"/>
  <c r="J570" i="1"/>
  <c r="BS570" i="1"/>
  <c r="CM570" i="1"/>
  <c r="N580" i="1"/>
  <c r="CM580" i="1"/>
  <c r="J580" i="1"/>
  <c r="AE580" i="1"/>
  <c r="AY580" i="1"/>
  <c r="BS580" i="1"/>
  <c r="AY566" i="1"/>
  <c r="AE566" i="1"/>
  <c r="BS566" i="1"/>
  <c r="N566" i="1"/>
  <c r="J566" i="1"/>
  <c r="CM566" i="1"/>
  <c r="AJ555" i="1" l="1"/>
  <c r="AJ434" i="1"/>
  <c r="CO483" i="1" l="1"/>
  <c r="CP483" i="1" s="1"/>
  <c r="DG482" i="1"/>
  <c r="DG481" i="1"/>
  <c r="BA483" i="1"/>
  <c r="Q482" i="1"/>
  <c r="AF482" i="1" s="1"/>
  <c r="Q481" i="1"/>
  <c r="AF481" i="1" s="1"/>
  <c r="AK481" i="1" s="1"/>
  <c r="AZ481" i="1" s="1"/>
  <c r="N481" i="1"/>
  <c r="BU483" i="1" l="1"/>
  <c r="DG483" i="1" s="1"/>
  <c r="BB483" i="1"/>
  <c r="AY483" i="1"/>
  <c r="J481" i="1"/>
  <c r="CM481" i="1"/>
  <c r="AY482" i="1"/>
  <c r="CM482" i="1"/>
  <c r="BS481" i="1"/>
  <c r="J482" i="1"/>
  <c r="BS482" i="1"/>
  <c r="BE481" i="1"/>
  <c r="BT481" i="1" s="1"/>
  <c r="BY481" i="1" s="1"/>
  <c r="BB481" i="1"/>
  <c r="AH482" i="1"/>
  <c r="AK482" i="1"/>
  <c r="AZ482" i="1" s="1"/>
  <c r="AH481" i="1"/>
  <c r="AY481" i="1"/>
  <c r="N482" i="1"/>
  <c r="AE481" i="1"/>
  <c r="AE482" i="1"/>
  <c r="BV483" i="1" l="1"/>
  <c r="J483" i="1"/>
  <c r="BS483" i="1"/>
  <c r="CM483" i="1"/>
  <c r="CN481" i="1"/>
  <c r="CS481" i="1" s="1"/>
  <c r="DH481" i="1"/>
  <c r="BV481" i="1"/>
  <c r="BE482" i="1"/>
  <c r="BT482" i="1" s="1"/>
  <c r="BB482" i="1"/>
  <c r="CP481" i="1" l="1"/>
  <c r="DM481" i="1"/>
  <c r="DJ481" i="1"/>
  <c r="BY482" i="1"/>
  <c r="BV482" i="1"/>
  <c r="CN482" i="1" l="1"/>
  <c r="CS482" i="1" s="1"/>
  <c r="DH482" i="1"/>
  <c r="CP482" i="1" l="1"/>
  <c r="DJ482" i="1"/>
  <c r="DM482" i="1"/>
  <c r="DG200" i="1"/>
  <c r="DG197" i="1"/>
  <c r="DG195" i="1"/>
  <c r="DG194" i="1"/>
  <c r="DG191" i="1"/>
  <c r="DG188" i="1"/>
  <c r="DG187" i="1"/>
  <c r="DG124" i="1"/>
  <c r="DG123" i="1"/>
  <c r="DG122" i="1"/>
  <c r="DG120" i="1"/>
  <c r="DG73" i="1"/>
  <c r="DG72" i="1"/>
  <c r="DG70" i="1"/>
  <c r="DG49" i="1"/>
  <c r="DG48" i="1"/>
  <c r="DG125" i="1" l="1"/>
  <c r="K125" i="1"/>
  <c r="K49" i="1"/>
  <c r="K187" i="1"/>
  <c r="K48" i="1"/>
  <c r="CM123" i="1"/>
  <c r="K123" i="1"/>
  <c r="CM124" i="1"/>
  <c r="K124" i="1"/>
  <c r="CM191" i="1"/>
  <c r="K191" i="1"/>
  <c r="CM188" i="1"/>
  <c r="K188" i="1"/>
  <c r="CM194" i="1"/>
  <c r="K194" i="1"/>
  <c r="CM197" i="1"/>
  <c r="K197" i="1"/>
  <c r="CM195" i="1"/>
  <c r="K195" i="1"/>
  <c r="CM200" i="1"/>
  <c r="K200" i="1"/>
  <c r="CM73" i="1"/>
  <c r="K73" i="1"/>
  <c r="CM70" i="1"/>
  <c r="K70" i="1"/>
  <c r="CM120" i="1"/>
  <c r="K120" i="1"/>
  <c r="CM72" i="1"/>
  <c r="K72" i="1"/>
  <c r="CM122" i="1"/>
  <c r="K122" i="1"/>
  <c r="M356" i="1"/>
  <c r="M357" i="1"/>
  <c r="AG356" i="1"/>
  <c r="AG357" i="1"/>
  <c r="CM187" i="1"/>
  <c r="M606" i="1"/>
  <c r="M554" i="1"/>
  <c r="CM125" i="1"/>
  <c r="CM49" i="1"/>
  <c r="N49" i="1"/>
  <c r="CM48" i="1"/>
  <c r="N48" i="1"/>
  <c r="DG356" i="1" l="1"/>
  <c r="DG357" i="1"/>
  <c r="DG508" i="1"/>
  <c r="DG606" i="1"/>
  <c r="K508" i="1"/>
  <c r="K357" i="1"/>
  <c r="K554" i="1"/>
  <c r="K356" i="1"/>
  <c r="DG503" i="1"/>
  <c r="N606" i="1"/>
  <c r="K606" i="1"/>
  <c r="AG553" i="1"/>
  <c r="AY606" i="1"/>
  <c r="AE606" i="1"/>
  <c r="CM606" i="1"/>
  <c r="BS606" i="1"/>
  <c r="J606" i="1"/>
  <c r="AY357" i="1"/>
  <c r="N357" i="1"/>
  <c r="J357" i="1"/>
  <c r="AE357" i="1"/>
  <c r="CM357" i="1"/>
  <c r="BS357" i="1"/>
  <c r="AY356" i="1"/>
  <c r="CM356" i="1"/>
  <c r="AE356" i="1"/>
  <c r="N356" i="1"/>
  <c r="J356" i="1"/>
  <c r="BS356" i="1"/>
  <c r="AG554" i="1"/>
  <c r="DG554" i="1" s="1"/>
  <c r="AG540" i="1"/>
  <c r="AG539" i="1"/>
  <c r="AG535" i="1"/>
  <c r="AG538" i="1"/>
  <c r="AG536" i="1"/>
  <c r="AG537" i="1"/>
  <c r="AG542" i="1"/>
  <c r="AG534" i="1"/>
  <c r="AG541" i="1"/>
  <c r="AG533" i="1"/>
  <c r="M542" i="1"/>
  <c r="M534" i="1"/>
  <c r="M541" i="1"/>
  <c r="M533" i="1"/>
  <c r="M538" i="1"/>
  <c r="M540" i="1"/>
  <c r="M537" i="1"/>
  <c r="M539" i="1"/>
  <c r="M536" i="1"/>
  <c r="M535" i="1"/>
  <c r="M553" i="1"/>
  <c r="Q461" i="1"/>
  <c r="AF461" i="1" s="1"/>
  <c r="N461" i="1"/>
  <c r="Q460" i="1"/>
  <c r="AF460" i="1" s="1"/>
  <c r="N460" i="1"/>
  <c r="N99" i="1"/>
  <c r="DG536" i="1" l="1"/>
  <c r="DG542" i="1"/>
  <c r="DG537" i="1"/>
  <c r="DG539" i="1"/>
  <c r="DG553" i="1"/>
  <c r="DG535" i="1"/>
  <c r="DG534" i="1"/>
  <c r="DG540" i="1"/>
  <c r="DG538" i="1"/>
  <c r="DG533" i="1"/>
  <c r="DG541" i="1"/>
  <c r="K537" i="1"/>
  <c r="K538" i="1"/>
  <c r="K533" i="1"/>
  <c r="K553" i="1"/>
  <c r="K541" i="1"/>
  <c r="K535" i="1"/>
  <c r="K534" i="1"/>
  <c r="K542" i="1"/>
  <c r="K540" i="1"/>
  <c r="K536" i="1"/>
  <c r="K539" i="1"/>
  <c r="K503" i="1"/>
  <c r="AH460" i="1"/>
  <c r="AK460" i="1"/>
  <c r="AZ460" i="1" s="1"/>
  <c r="AK461" i="1"/>
  <c r="AZ461" i="1" s="1"/>
  <c r="AH461" i="1"/>
  <c r="P357" i="1" l="1"/>
  <c r="Q357" i="1" s="1"/>
  <c r="AF357" i="1" s="1"/>
  <c r="P356" i="1"/>
  <c r="Q356" i="1" s="1"/>
  <c r="AF356" i="1" s="1"/>
  <c r="BE460" i="1"/>
  <c r="BT460" i="1" s="1"/>
  <c r="BB460" i="1"/>
  <c r="BE461" i="1"/>
  <c r="BT461" i="1" s="1"/>
  <c r="BB461" i="1"/>
  <c r="AK356" i="1" l="1"/>
  <c r="AZ356" i="1" s="1"/>
  <c r="AH356" i="1"/>
  <c r="AK357" i="1"/>
  <c r="AZ357" i="1" s="1"/>
  <c r="AH357" i="1"/>
  <c r="BY460" i="1"/>
  <c r="BV460" i="1"/>
  <c r="BY461" i="1"/>
  <c r="BV461" i="1"/>
  <c r="CN460" i="1" l="1"/>
  <c r="CS460" i="1" s="1"/>
  <c r="DH460" i="1"/>
  <c r="CN461" i="1"/>
  <c r="CS461" i="1" s="1"/>
  <c r="DH461" i="1"/>
  <c r="BE357" i="1"/>
  <c r="BT357" i="1" s="1"/>
  <c r="BB357" i="1"/>
  <c r="BE356" i="1"/>
  <c r="BT356" i="1" s="1"/>
  <c r="BB356" i="1"/>
  <c r="CP460" i="1" l="1"/>
  <c r="CP461" i="1"/>
  <c r="DJ460" i="1"/>
  <c r="DM460" i="1"/>
  <c r="DJ461" i="1"/>
  <c r="DM461" i="1"/>
  <c r="BY356" i="1"/>
  <c r="BV356" i="1"/>
  <c r="BV357" i="1"/>
  <c r="BY357" i="1"/>
  <c r="Q455" i="1"/>
  <c r="AF455" i="1" s="1"/>
  <c r="Q456" i="1"/>
  <c r="AF456" i="1" s="1"/>
  <c r="AK456" i="1" s="1"/>
  <c r="AZ456" i="1" s="1"/>
  <c r="N455" i="1"/>
  <c r="N456" i="1"/>
  <c r="CN356" i="1" l="1"/>
  <c r="CP356" i="1" s="1"/>
  <c r="DH356" i="1"/>
  <c r="CN357" i="1"/>
  <c r="CS357" i="1" s="1"/>
  <c r="DH357" i="1"/>
  <c r="AK455" i="1"/>
  <c r="AZ455" i="1" s="1"/>
  <c r="BE455" i="1" s="1"/>
  <c r="BT455" i="1" s="1"/>
  <c r="AH455" i="1"/>
  <c r="AH456" i="1"/>
  <c r="BE456" i="1"/>
  <c r="BT456" i="1" s="1"/>
  <c r="BB456" i="1"/>
  <c r="CS356" i="1" l="1"/>
  <c r="CP357" i="1"/>
  <c r="DM357" i="1"/>
  <c r="DJ357" i="1"/>
  <c r="DM356" i="1"/>
  <c r="DJ356" i="1"/>
  <c r="BB455" i="1"/>
  <c r="BV456" i="1"/>
  <c r="BY456" i="1"/>
  <c r="BY455" i="1"/>
  <c r="BV455" i="1"/>
  <c r="CN455" i="1" l="1"/>
  <c r="CP455" i="1" s="1"/>
  <c r="DH455" i="1"/>
  <c r="CN456" i="1"/>
  <c r="CS456" i="1" s="1"/>
  <c r="DH456" i="1"/>
  <c r="CP456" i="1" l="1"/>
  <c r="CS455" i="1"/>
  <c r="DM456" i="1"/>
  <c r="DJ456" i="1"/>
  <c r="DM455" i="1"/>
  <c r="DJ455" i="1"/>
  <c r="P536" i="1" l="1"/>
  <c r="P535" i="1"/>
  <c r="P539" i="1"/>
  <c r="P542" i="1"/>
  <c r="P534" i="1"/>
  <c r="P540" i="1"/>
  <c r="P541" i="1"/>
  <c r="P538" i="1"/>
  <c r="P537" i="1"/>
  <c r="P554" i="1" l="1"/>
  <c r="P555" i="1"/>
  <c r="P553" i="1"/>
  <c r="CR279" i="1" l="1"/>
  <c r="CO279" i="1"/>
  <c r="BX279" i="1"/>
  <c r="BU279" i="1"/>
  <c r="BD279" i="1"/>
  <c r="BA279" i="1"/>
  <c r="AJ279" i="1"/>
  <c r="AG279" i="1"/>
  <c r="P279" i="1"/>
  <c r="Q279" i="1" s="1"/>
  <c r="AF279" i="1" s="1"/>
  <c r="M279" i="1"/>
  <c r="DG279" i="1" l="1"/>
  <c r="K279" i="1"/>
  <c r="CM279" i="1"/>
  <c r="AH279" i="1"/>
  <c r="BS279" i="1"/>
  <c r="J279" i="1"/>
  <c r="N279" i="1"/>
  <c r="AY279" i="1"/>
  <c r="AK279" i="1"/>
  <c r="AZ279" i="1" s="1"/>
  <c r="BE279" i="1" s="1"/>
  <c r="BT279" i="1" s="1"/>
  <c r="BY279" i="1" s="1"/>
  <c r="AE279" i="1"/>
  <c r="CO615" i="1"/>
  <c r="CO614" i="1"/>
  <c r="CO613" i="1"/>
  <c r="CO612" i="1"/>
  <c r="CO611" i="1"/>
  <c r="CO610" i="1"/>
  <c r="CO609" i="1"/>
  <c r="CO608" i="1"/>
  <c r="BU615" i="1"/>
  <c r="BU614" i="1"/>
  <c r="BU613" i="1"/>
  <c r="BU612" i="1"/>
  <c r="BU611" i="1"/>
  <c r="BU610" i="1"/>
  <c r="BU609" i="1"/>
  <c r="BU608" i="1"/>
  <c r="BA615" i="1"/>
  <c r="BA614" i="1"/>
  <c r="BA613" i="1"/>
  <c r="BA612" i="1"/>
  <c r="BA611" i="1"/>
  <c r="BA610" i="1"/>
  <c r="BA609" i="1"/>
  <c r="BA608" i="1"/>
  <c r="AG615" i="1"/>
  <c r="AG614" i="1"/>
  <c r="AG613" i="1"/>
  <c r="AG612" i="1"/>
  <c r="AG611" i="1"/>
  <c r="AG610" i="1"/>
  <c r="AG609" i="1"/>
  <c r="AG608" i="1"/>
  <c r="Q614" i="1"/>
  <c r="AF614" i="1" s="1"/>
  <c r="AK614" i="1" s="1"/>
  <c r="BE614" i="1" s="1"/>
  <c r="BT614" i="1" s="1"/>
  <c r="BY614" i="1" s="1"/>
  <c r="M615" i="1"/>
  <c r="M614" i="1"/>
  <c r="M613" i="1"/>
  <c r="M612" i="1"/>
  <c r="M611" i="1"/>
  <c r="M610" i="1"/>
  <c r="M609" i="1"/>
  <c r="M608" i="1"/>
  <c r="DG615" i="1" l="1"/>
  <c r="DG611" i="1"/>
  <c r="DG614" i="1"/>
  <c r="DG612" i="1"/>
  <c r="DG610" i="1"/>
  <c r="DG608" i="1"/>
  <c r="DG613" i="1"/>
  <c r="DG609" i="1"/>
  <c r="K612" i="1"/>
  <c r="K615" i="1"/>
  <c r="CN614" i="1"/>
  <c r="CS614" i="1" s="1"/>
  <c r="DH614" i="1"/>
  <c r="K611" i="1"/>
  <c r="K608" i="1"/>
  <c r="K609" i="1"/>
  <c r="K610" i="1"/>
  <c r="CN279" i="1"/>
  <c r="CS279" i="1" s="1"/>
  <c r="DH279" i="1"/>
  <c r="CM613" i="1"/>
  <c r="K613" i="1"/>
  <c r="CM614" i="1"/>
  <c r="K614" i="1"/>
  <c r="CM611" i="1"/>
  <c r="CM615" i="1"/>
  <c r="CM609" i="1"/>
  <c r="CM610" i="1"/>
  <c r="CM612" i="1"/>
  <c r="CM608" i="1"/>
  <c r="BS613" i="1"/>
  <c r="AY614" i="1"/>
  <c r="AE614" i="1"/>
  <c r="BS614" i="1"/>
  <c r="N614" i="1"/>
  <c r="J614" i="1"/>
  <c r="AH614" i="1"/>
  <c r="BV614" i="1"/>
  <c r="BB614" i="1"/>
  <c r="BV279" i="1"/>
  <c r="BB279" i="1"/>
  <c r="CR161" i="1"/>
  <c r="CO161" i="1"/>
  <c r="CR160" i="1"/>
  <c r="CO160" i="1"/>
  <c r="BX161" i="1"/>
  <c r="BU161" i="1"/>
  <c r="BX160" i="1"/>
  <c r="BU160" i="1"/>
  <c r="BD161" i="1"/>
  <c r="BA161" i="1"/>
  <c r="BD160" i="1"/>
  <c r="BA160" i="1"/>
  <c r="AJ161" i="1"/>
  <c r="AG161" i="1"/>
  <c r="AJ160" i="1"/>
  <c r="AG160" i="1"/>
  <c r="P161" i="1"/>
  <c r="Q161" i="1" s="1"/>
  <c r="AF161" i="1" s="1"/>
  <c r="M161" i="1"/>
  <c r="P160" i="1"/>
  <c r="M160" i="1"/>
  <c r="CR152" i="1"/>
  <c r="CO152" i="1"/>
  <c r="CR151" i="1"/>
  <c r="CO151" i="1"/>
  <c r="BX152" i="1"/>
  <c r="BU152" i="1"/>
  <c r="BX151" i="1"/>
  <c r="BU151" i="1"/>
  <c r="BD152" i="1"/>
  <c r="BA152" i="1"/>
  <c r="BD151" i="1"/>
  <c r="BA151" i="1"/>
  <c r="AJ152" i="1"/>
  <c r="AG152" i="1"/>
  <c r="AJ151" i="1"/>
  <c r="AG151" i="1"/>
  <c r="P152" i="1"/>
  <c r="Q152" i="1" s="1"/>
  <c r="AF152" i="1" s="1"/>
  <c r="M152" i="1"/>
  <c r="P151" i="1"/>
  <c r="M151" i="1"/>
  <c r="CR144" i="1"/>
  <c r="CO144" i="1"/>
  <c r="CR143" i="1"/>
  <c r="CO143" i="1"/>
  <c r="BX144" i="1"/>
  <c r="BU144" i="1"/>
  <c r="BX143" i="1"/>
  <c r="BU143" i="1"/>
  <c r="BD144" i="1"/>
  <c r="BA144" i="1"/>
  <c r="BD143" i="1"/>
  <c r="BA143" i="1"/>
  <c r="AJ144" i="1"/>
  <c r="AG144" i="1"/>
  <c r="AJ143" i="1"/>
  <c r="AG143" i="1"/>
  <c r="P144" i="1"/>
  <c r="Q144" i="1" s="1"/>
  <c r="AF144" i="1" s="1"/>
  <c r="M144" i="1"/>
  <c r="P143" i="1"/>
  <c r="M143" i="1"/>
  <c r="CR303" i="1"/>
  <c r="CR302" i="1"/>
  <c r="CR301" i="1"/>
  <c r="BX303" i="1"/>
  <c r="BX302" i="1"/>
  <c r="BX301" i="1"/>
  <c r="BD303" i="1"/>
  <c r="BD302" i="1"/>
  <c r="BD301" i="1"/>
  <c r="AJ303" i="1"/>
  <c r="AJ302" i="1"/>
  <c r="AJ301" i="1"/>
  <c r="P303" i="1"/>
  <c r="Q303" i="1" s="1"/>
  <c r="AF303" i="1" s="1"/>
  <c r="P302" i="1"/>
  <c r="Q302" i="1" s="1"/>
  <c r="AF302" i="1" s="1"/>
  <c r="P301" i="1"/>
  <c r="Q301" i="1" s="1"/>
  <c r="AF301" i="1" s="1"/>
  <c r="CR298" i="1"/>
  <c r="CR297" i="1"/>
  <c r="CR296" i="1"/>
  <c r="CR295" i="1"/>
  <c r="CR294" i="1"/>
  <c r="CR293" i="1"/>
  <c r="BX298" i="1"/>
  <c r="BX297" i="1"/>
  <c r="BX296" i="1"/>
  <c r="BX295" i="1"/>
  <c r="BX294" i="1"/>
  <c r="BX293" i="1"/>
  <c r="BD298" i="1"/>
  <c r="BD297" i="1"/>
  <c r="BD296" i="1"/>
  <c r="BD295" i="1"/>
  <c r="BD294" i="1"/>
  <c r="BD293" i="1"/>
  <c r="AJ298" i="1"/>
  <c r="AJ297" i="1"/>
  <c r="AJ296" i="1"/>
  <c r="AJ295" i="1"/>
  <c r="AJ294" i="1"/>
  <c r="AJ293" i="1"/>
  <c r="P298" i="1"/>
  <c r="Q298" i="1" s="1"/>
  <c r="AF298" i="1" s="1"/>
  <c r="P297" i="1"/>
  <c r="Q297" i="1" s="1"/>
  <c r="AF297" i="1" s="1"/>
  <c r="P296" i="1"/>
  <c r="Q296" i="1" s="1"/>
  <c r="AF296" i="1" s="1"/>
  <c r="P295" i="1"/>
  <c r="Q295" i="1" s="1"/>
  <c r="AF295" i="1" s="1"/>
  <c r="P294" i="1"/>
  <c r="Q294" i="1" s="1"/>
  <c r="AF294" i="1" s="1"/>
  <c r="P293" i="1"/>
  <c r="Q293" i="1" s="1"/>
  <c r="AF293" i="1" s="1"/>
  <c r="DG143" i="1" l="1"/>
  <c r="DG160" i="1"/>
  <c r="CP614" i="1"/>
  <c r="DG152" i="1"/>
  <c r="DG144" i="1"/>
  <c r="DG161" i="1"/>
  <c r="DG151" i="1"/>
  <c r="CP279" i="1"/>
  <c r="DM279" i="1"/>
  <c r="DJ279" i="1"/>
  <c r="K151" i="1"/>
  <c r="DM614" i="1"/>
  <c r="DJ614" i="1"/>
  <c r="K152" i="1"/>
  <c r="K143" i="1"/>
  <c r="K160" i="1"/>
  <c r="K144" i="1"/>
  <c r="K161" i="1"/>
  <c r="N151" i="1"/>
  <c r="CM151" i="1"/>
  <c r="N152" i="1"/>
  <c r="CM152" i="1"/>
  <c r="N143" i="1"/>
  <c r="CM143" i="1"/>
  <c r="N160" i="1"/>
  <c r="CM160" i="1"/>
  <c r="N144" i="1"/>
  <c r="CM144" i="1"/>
  <c r="N161" i="1"/>
  <c r="CM161" i="1"/>
  <c r="AK152" i="1"/>
  <c r="AZ152" i="1" s="1"/>
  <c r="BB152" i="1" s="1"/>
  <c r="AK161" i="1"/>
  <c r="AZ161" i="1" s="1"/>
  <c r="BE161" i="1" s="1"/>
  <c r="BT161" i="1" s="1"/>
  <c r="BY161" i="1" s="1"/>
  <c r="AE161" i="1"/>
  <c r="J161" i="1"/>
  <c r="AY152" i="1"/>
  <c r="AY161" i="1"/>
  <c r="AE144" i="1"/>
  <c r="BS161" i="1"/>
  <c r="AH161" i="1"/>
  <c r="J152" i="1"/>
  <c r="BS152" i="1"/>
  <c r="AK144" i="1"/>
  <c r="AZ144" i="1" s="1"/>
  <c r="BE144" i="1" s="1"/>
  <c r="BT144" i="1" s="1"/>
  <c r="BY144" i="1" s="1"/>
  <c r="AH152" i="1"/>
  <c r="AY144" i="1"/>
  <c r="AE152" i="1"/>
  <c r="J144" i="1"/>
  <c r="BS144" i="1"/>
  <c r="AH144" i="1"/>
  <c r="AK303" i="1"/>
  <c r="AZ303" i="1" s="1"/>
  <c r="BE303" i="1" s="1"/>
  <c r="BT303" i="1" s="1"/>
  <c r="BY303" i="1" s="1"/>
  <c r="AK295" i="1"/>
  <c r="AZ295" i="1" s="1"/>
  <c r="BE295" i="1" s="1"/>
  <c r="BT295" i="1" s="1"/>
  <c r="BY295" i="1" s="1"/>
  <c r="AK298" i="1"/>
  <c r="AZ298" i="1" s="1"/>
  <c r="BE298" i="1" s="1"/>
  <c r="BT298" i="1" s="1"/>
  <c r="BY298" i="1" s="1"/>
  <c r="AK294" i="1"/>
  <c r="AZ294" i="1" s="1"/>
  <c r="BE294" i="1" s="1"/>
  <c r="BT294" i="1" s="1"/>
  <c r="BY294" i="1" s="1"/>
  <c r="AK301" i="1"/>
  <c r="AZ301" i="1" s="1"/>
  <c r="BE301" i="1" s="1"/>
  <c r="BT301" i="1" s="1"/>
  <c r="BY301" i="1" s="1"/>
  <c r="AK302" i="1"/>
  <c r="AZ302" i="1" s="1"/>
  <c r="BE302" i="1" s="1"/>
  <c r="BT302" i="1" s="1"/>
  <c r="BY302" i="1" s="1"/>
  <c r="AK297" i="1"/>
  <c r="AZ297" i="1" s="1"/>
  <c r="BE297" i="1" s="1"/>
  <c r="BT297" i="1" s="1"/>
  <c r="BY297" i="1" s="1"/>
  <c r="AK293" i="1"/>
  <c r="AZ293" i="1" s="1"/>
  <c r="BE293" i="1" s="1"/>
  <c r="BT293" i="1" s="1"/>
  <c r="BY293" i="1" s="1"/>
  <c r="AK296" i="1"/>
  <c r="AZ296" i="1" s="1"/>
  <c r="CN295" i="1" l="1"/>
  <c r="CS295" i="1" s="1"/>
  <c r="DH295" i="1"/>
  <c r="CN303" i="1"/>
  <c r="CS303" i="1" s="1"/>
  <c r="DH303" i="1"/>
  <c r="CN144" i="1"/>
  <c r="CP144" i="1" s="1"/>
  <c r="DH144" i="1"/>
  <c r="CN161" i="1"/>
  <c r="CP161" i="1" s="1"/>
  <c r="DH161" i="1"/>
  <c r="CN293" i="1"/>
  <c r="CS293" i="1" s="1"/>
  <c r="DH293" i="1"/>
  <c r="CN297" i="1"/>
  <c r="CS297" i="1" s="1"/>
  <c r="DH297" i="1"/>
  <c r="CN301" i="1"/>
  <c r="CS301" i="1" s="1"/>
  <c r="DH301" i="1"/>
  <c r="CN294" i="1"/>
  <c r="CS294" i="1" s="1"/>
  <c r="DH294" i="1"/>
  <c r="CN302" i="1"/>
  <c r="CS302" i="1" s="1"/>
  <c r="DH302" i="1"/>
  <c r="CN298" i="1"/>
  <c r="CS298" i="1" s="1"/>
  <c r="DH298" i="1"/>
  <c r="BV161" i="1"/>
  <c r="BB161" i="1"/>
  <c r="BE152" i="1"/>
  <c r="BT152" i="1" s="1"/>
  <c r="BV152" i="1" s="1"/>
  <c r="BB144" i="1"/>
  <c r="BV144" i="1"/>
  <c r="BE296" i="1"/>
  <c r="BT296" i="1" s="1"/>
  <c r="BY296" i="1" s="1"/>
  <c r="CO16" i="1"/>
  <c r="BU16" i="1"/>
  <c r="BA16" i="1"/>
  <c r="AG16" i="1"/>
  <c r="M16" i="1"/>
  <c r="N610" i="1"/>
  <c r="N611" i="1"/>
  <c r="N612" i="1"/>
  <c r="N613" i="1"/>
  <c r="Q610" i="1"/>
  <c r="AF610" i="1" s="1"/>
  <c r="Q611" i="1"/>
  <c r="AF611" i="1" s="1"/>
  <c r="Q612" i="1"/>
  <c r="AF612" i="1" s="1"/>
  <c r="Q613" i="1"/>
  <c r="AF613" i="1" s="1"/>
  <c r="AH613" i="1" s="1"/>
  <c r="BS610" i="1"/>
  <c r="BS611" i="1"/>
  <c r="BS612" i="1"/>
  <c r="AY610" i="1"/>
  <c r="AY611" i="1"/>
  <c r="AY612" i="1"/>
  <c r="AY613" i="1"/>
  <c r="AE610" i="1"/>
  <c r="AE611" i="1"/>
  <c r="AE612" i="1"/>
  <c r="AE613" i="1"/>
  <c r="J610" i="1"/>
  <c r="J611" i="1"/>
  <c r="J612" i="1"/>
  <c r="J613" i="1"/>
  <c r="CR22" i="1"/>
  <c r="CO22" i="1"/>
  <c r="CR21" i="1"/>
  <c r="CO21" i="1"/>
  <c r="CR20" i="1"/>
  <c r="CO20" i="1"/>
  <c r="CR19" i="1"/>
  <c r="CO19" i="1"/>
  <c r="BX22" i="1"/>
  <c r="BU22" i="1"/>
  <c r="BX21" i="1"/>
  <c r="BU21" i="1"/>
  <c r="BX20" i="1"/>
  <c r="BU20" i="1"/>
  <c r="BX19" i="1"/>
  <c r="BU19" i="1"/>
  <c r="BD22" i="1"/>
  <c r="BA22" i="1"/>
  <c r="BD21" i="1"/>
  <c r="BA21" i="1"/>
  <c r="BD20" i="1"/>
  <c r="BA20" i="1"/>
  <c r="BD19" i="1"/>
  <c r="BA19" i="1"/>
  <c r="AJ22" i="1"/>
  <c r="AG22" i="1"/>
  <c r="AJ21" i="1"/>
  <c r="AG21" i="1"/>
  <c r="AJ20" i="1"/>
  <c r="AG20" i="1"/>
  <c r="AJ19" i="1"/>
  <c r="AG19" i="1"/>
  <c r="P22" i="1"/>
  <c r="Q22" i="1" s="1"/>
  <c r="AF22" i="1" s="1"/>
  <c r="M22" i="1"/>
  <c r="P21" i="1"/>
  <c r="Q21" i="1" s="1"/>
  <c r="AF21" i="1" s="1"/>
  <c r="M21" i="1"/>
  <c r="P20" i="1"/>
  <c r="Q20" i="1" s="1"/>
  <c r="AF20" i="1" s="1"/>
  <c r="M20" i="1"/>
  <c r="P19" i="1"/>
  <c r="Q19" i="1" s="1"/>
  <c r="AF19" i="1" s="1"/>
  <c r="M19" i="1"/>
  <c r="DG20" i="1" l="1"/>
  <c r="DG19" i="1"/>
  <c r="DG22" i="1"/>
  <c r="DG21" i="1"/>
  <c r="AK19" i="1"/>
  <c r="AZ19" i="1" s="1"/>
  <c r="BE19" i="1" s="1"/>
  <c r="BT19" i="1" s="1"/>
  <c r="BV19" i="1" s="1"/>
  <c r="CS161" i="1"/>
  <c r="DG16" i="1"/>
  <c r="DM294" i="1"/>
  <c r="DJ294" i="1"/>
  <c r="DM301" i="1"/>
  <c r="DJ301" i="1"/>
  <c r="DM144" i="1"/>
  <c r="DJ144" i="1"/>
  <c r="DJ161" i="1"/>
  <c r="DM161" i="1"/>
  <c r="K20" i="1"/>
  <c r="CN296" i="1"/>
  <c r="CS296" i="1" s="1"/>
  <c r="DH296" i="1"/>
  <c r="DM298" i="1"/>
  <c r="DJ298" i="1"/>
  <c r="DM297" i="1"/>
  <c r="DJ297" i="1"/>
  <c r="DM303" i="1"/>
  <c r="DJ303" i="1"/>
  <c r="K22" i="1"/>
  <c r="DM302" i="1"/>
  <c r="DJ302" i="1"/>
  <c r="DM293" i="1"/>
  <c r="DJ293" i="1"/>
  <c r="DM295" i="1"/>
  <c r="DJ295" i="1"/>
  <c r="K16" i="1"/>
  <c r="CS144" i="1"/>
  <c r="CM21" i="1"/>
  <c r="K21" i="1"/>
  <c r="CM19" i="1"/>
  <c r="K19" i="1"/>
  <c r="CM22" i="1"/>
  <c r="CM20" i="1"/>
  <c r="BY152" i="1"/>
  <c r="CM16" i="1"/>
  <c r="N22" i="1"/>
  <c r="BS22" i="1"/>
  <c r="AY21" i="1"/>
  <c r="BS21" i="1"/>
  <c r="N19" i="1"/>
  <c r="BS19" i="1"/>
  <c r="AY20" i="1"/>
  <c r="BS20" i="1"/>
  <c r="AE16" i="1"/>
  <c r="J21" i="1"/>
  <c r="AY19" i="1"/>
  <c r="N21" i="1"/>
  <c r="AK20" i="1"/>
  <c r="AZ20" i="1" s="1"/>
  <c r="BE20" i="1" s="1"/>
  <c r="BV20" i="1" s="1"/>
  <c r="AE21" i="1"/>
  <c r="N20" i="1"/>
  <c r="J19" i="1"/>
  <c r="AE22" i="1"/>
  <c r="N16" i="1"/>
  <c r="J20" i="1"/>
  <c r="AE20" i="1"/>
  <c r="AE19" i="1"/>
  <c r="BS16" i="1"/>
  <c r="AY22" i="1"/>
  <c r="AY16" i="1"/>
  <c r="J16" i="1"/>
  <c r="AK612" i="1"/>
  <c r="BB612" i="1" s="1"/>
  <c r="AH612" i="1"/>
  <c r="AH610" i="1"/>
  <c r="AK610" i="1"/>
  <c r="BB610" i="1" s="1"/>
  <c r="AK611" i="1"/>
  <c r="BE611" i="1" s="1"/>
  <c r="BT611" i="1" s="1"/>
  <c r="BY611" i="1" s="1"/>
  <c r="AH611" i="1"/>
  <c r="AK613" i="1"/>
  <c r="AH22" i="1"/>
  <c r="AK22" i="1"/>
  <c r="AZ22" i="1" s="1"/>
  <c r="BE22" i="1" s="1"/>
  <c r="BY22" i="1" s="1"/>
  <c r="AK21" i="1"/>
  <c r="AZ21" i="1" s="1"/>
  <c r="BE21" i="1" s="1"/>
  <c r="BT21" i="1" s="1"/>
  <c r="AH21" i="1"/>
  <c r="AH20" i="1"/>
  <c r="AH19" i="1"/>
  <c r="J22" i="1"/>
  <c r="Q75" i="1"/>
  <c r="AF75" i="1" s="1"/>
  <c r="AK75" i="1" s="1"/>
  <c r="AZ75" i="1" s="1"/>
  <c r="BE75" i="1" s="1"/>
  <c r="BT75" i="1" s="1"/>
  <c r="BY75" i="1" s="1"/>
  <c r="Q74" i="1"/>
  <c r="AF74" i="1" s="1"/>
  <c r="AK74" i="1" s="1"/>
  <c r="AZ74" i="1" s="1"/>
  <c r="BE74" i="1" s="1"/>
  <c r="BT74" i="1" s="1"/>
  <c r="BY74" i="1" s="1"/>
  <c r="BB19" i="1" l="1"/>
  <c r="BY19" i="1"/>
  <c r="CN19" i="1" s="1"/>
  <c r="CP19" i="1" s="1"/>
  <c r="CN611" i="1"/>
  <c r="CP611" i="1" s="1"/>
  <c r="DH611" i="1"/>
  <c r="CN152" i="1"/>
  <c r="CS152" i="1" s="1"/>
  <c r="DH152" i="1"/>
  <c r="DM296" i="1"/>
  <c r="DJ296" i="1"/>
  <c r="CN22" i="1"/>
  <c r="CP22" i="1" s="1"/>
  <c r="DH22" i="1"/>
  <c r="CN74" i="1"/>
  <c r="CS74" i="1" s="1"/>
  <c r="DH74" i="1"/>
  <c r="CN75" i="1"/>
  <c r="CS75" i="1" s="1"/>
  <c r="DH75" i="1"/>
  <c r="BY20" i="1"/>
  <c r="BE612" i="1"/>
  <c r="BT612" i="1" s="1"/>
  <c r="BY612" i="1" s="1"/>
  <c r="BB20" i="1"/>
  <c r="BB611" i="1"/>
  <c r="BE610" i="1"/>
  <c r="BT610" i="1" s="1"/>
  <c r="BY610" i="1" s="1"/>
  <c r="BE613" i="1"/>
  <c r="BT613" i="1" s="1"/>
  <c r="BB613" i="1"/>
  <c r="BV611" i="1"/>
  <c r="BV22" i="1"/>
  <c r="BB21" i="1"/>
  <c r="BB22" i="1"/>
  <c r="BY21" i="1"/>
  <c r="BV21" i="1"/>
  <c r="DH19" i="1" l="1"/>
  <c r="DJ19" i="1" s="1"/>
  <c r="CP152" i="1"/>
  <c r="CS611" i="1"/>
  <c r="CS19" i="1"/>
  <c r="DJ75" i="1"/>
  <c r="DM75" i="1"/>
  <c r="DM22" i="1"/>
  <c r="DJ22" i="1"/>
  <c r="DM74" i="1"/>
  <c r="DJ74" i="1"/>
  <c r="DM152" i="1"/>
  <c r="DJ152" i="1"/>
  <c r="CN610" i="1"/>
  <c r="CS610" i="1" s="1"/>
  <c r="DH610" i="1"/>
  <c r="CN20" i="1"/>
  <c r="CS20" i="1" s="1"/>
  <c r="DH20" i="1"/>
  <c r="DM611" i="1"/>
  <c r="DJ611" i="1"/>
  <c r="CN21" i="1"/>
  <c r="CS21" i="1" s="1"/>
  <c r="DH21" i="1"/>
  <c r="CS22" i="1"/>
  <c r="CN612" i="1"/>
  <c r="CS612" i="1" s="1"/>
  <c r="DH612" i="1"/>
  <c r="BV610" i="1"/>
  <c r="BV612" i="1"/>
  <c r="BV613" i="1"/>
  <c r="BY613" i="1"/>
  <c r="CO490" i="1"/>
  <c r="CO489" i="1"/>
  <c r="BU490" i="1"/>
  <c r="BU489" i="1"/>
  <c r="BA490" i="1"/>
  <c r="BA489" i="1"/>
  <c r="AG490" i="1"/>
  <c r="AG489" i="1"/>
  <c r="M490" i="1"/>
  <c r="M489" i="1"/>
  <c r="DM19" i="1" l="1"/>
  <c r="DG489" i="1"/>
  <c r="DG490" i="1"/>
  <c r="CP20" i="1"/>
  <c r="CP21" i="1"/>
  <c r="CP610" i="1"/>
  <c r="CP612" i="1"/>
  <c r="K490" i="1"/>
  <c r="CN613" i="1"/>
  <c r="CS613" i="1" s="1"/>
  <c r="DH613" i="1"/>
  <c r="DM20" i="1"/>
  <c r="DJ20" i="1"/>
  <c r="DM612" i="1"/>
  <c r="DJ612" i="1"/>
  <c r="K489" i="1"/>
  <c r="DM21" i="1"/>
  <c r="DJ21" i="1"/>
  <c r="DM610" i="1"/>
  <c r="DJ610" i="1"/>
  <c r="CM489" i="1"/>
  <c r="CM490" i="1"/>
  <c r="DG549" i="1" l="1"/>
  <c r="CP613" i="1"/>
  <c r="K549" i="1"/>
  <c r="DM613" i="1"/>
  <c r="DJ613" i="1"/>
  <c r="CM549" i="1"/>
  <c r="BX430" i="1"/>
  <c r="BX429" i="1"/>
  <c r="BX428" i="1"/>
  <c r="BX427" i="1"/>
  <c r="BD430" i="1"/>
  <c r="BD429" i="1"/>
  <c r="BD428" i="1"/>
  <c r="BD427" i="1"/>
  <c r="AJ430" i="1"/>
  <c r="AJ429" i="1"/>
  <c r="AJ428" i="1"/>
  <c r="AJ427" i="1"/>
  <c r="P430" i="1"/>
  <c r="P429" i="1"/>
  <c r="P428" i="1"/>
  <c r="P427" i="1"/>
  <c r="M189" i="1" l="1"/>
  <c r="K189" i="1" l="1"/>
  <c r="M376" i="1"/>
  <c r="AG376" i="1"/>
  <c r="BA376" i="1"/>
  <c r="BU376" i="1"/>
  <c r="BX376" i="1"/>
  <c r="CO376" i="1"/>
  <c r="CR376" i="1"/>
  <c r="DG376" i="1" l="1"/>
  <c r="K376" i="1"/>
  <c r="N376" i="1"/>
  <c r="CM376" i="1"/>
  <c r="J376" i="1"/>
  <c r="BS376" i="1"/>
  <c r="AY376" i="1"/>
  <c r="AE376" i="1"/>
  <c r="BD376" i="1" l="1"/>
  <c r="CR62" i="1" l="1"/>
  <c r="CR61" i="1"/>
  <c r="BX62" i="1"/>
  <c r="BD62" i="1" l="1"/>
  <c r="CO209" i="1" l="1"/>
  <c r="CO208" i="1"/>
  <c r="CO207" i="1"/>
  <c r="CO205" i="1"/>
  <c r="CO204" i="1"/>
  <c r="CO203" i="1"/>
  <c r="BU209" i="1"/>
  <c r="BU208" i="1"/>
  <c r="BU207" i="1"/>
  <c r="BU205" i="1"/>
  <c r="BU204" i="1"/>
  <c r="BU203" i="1"/>
  <c r="BA209" i="1"/>
  <c r="BA208" i="1"/>
  <c r="BA207" i="1"/>
  <c r="BA205" i="1"/>
  <c r="BA204" i="1"/>
  <c r="BA203" i="1"/>
  <c r="AG207" i="1"/>
  <c r="AG205" i="1"/>
  <c r="M207" i="1"/>
  <c r="M205" i="1"/>
  <c r="N205" i="1" s="1"/>
  <c r="Q207" i="1"/>
  <c r="Q205" i="1"/>
  <c r="DG207" i="1" l="1"/>
  <c r="K207" i="1"/>
  <c r="N207" i="1"/>
  <c r="CM207" i="1"/>
  <c r="AF205" i="1"/>
  <c r="AK205" i="1" s="1"/>
  <c r="AZ205" i="1" s="1"/>
  <c r="AF207" i="1"/>
  <c r="AK207" i="1" s="1"/>
  <c r="AZ207" i="1" s="1"/>
  <c r="AY207" i="1"/>
  <c r="J207" i="1"/>
  <c r="BS207" i="1"/>
  <c r="AE207" i="1"/>
  <c r="BE205" i="1" l="1"/>
  <c r="BT205" i="1" s="1"/>
  <c r="BB205" i="1"/>
  <c r="AH205" i="1"/>
  <c r="AH207" i="1"/>
  <c r="BE207" i="1"/>
  <c r="BT207" i="1" s="1"/>
  <c r="BB207" i="1"/>
  <c r="BY205" i="1" l="1"/>
  <c r="BV205" i="1"/>
  <c r="BV207" i="1"/>
  <c r="BY207" i="1"/>
  <c r="CN207" i="1" l="1"/>
  <c r="CS207" i="1" s="1"/>
  <c r="DH207" i="1"/>
  <c r="CN205" i="1"/>
  <c r="CS205" i="1" s="1"/>
  <c r="DH205" i="1"/>
  <c r="AJ62" i="1"/>
  <c r="Q209" i="1"/>
  <c r="Q210" i="1"/>
  <c r="AG209" i="1"/>
  <c r="M209" i="1"/>
  <c r="AG208" i="1"/>
  <c r="Q208" i="1"/>
  <c r="M208" i="1"/>
  <c r="AG204" i="1"/>
  <c r="Q204" i="1"/>
  <c r="M204" i="1"/>
  <c r="AG203" i="1"/>
  <c r="Q203" i="1"/>
  <c r="AF203" i="1" s="1"/>
  <c r="AK203" i="1" s="1"/>
  <c r="AZ203" i="1" s="1"/>
  <c r="M203" i="1"/>
  <c r="N203" i="1" s="1"/>
  <c r="BS202" i="1"/>
  <c r="BO202" i="1"/>
  <c r="BN202" i="1"/>
  <c r="BK202" i="1"/>
  <c r="BJ202" i="1"/>
  <c r="BG202" i="1"/>
  <c r="BF202" i="1"/>
  <c r="AY202" i="1"/>
  <c r="AU202" i="1"/>
  <c r="AT202" i="1"/>
  <c r="AQ202" i="1"/>
  <c r="AP202" i="1"/>
  <c r="AM202" i="1"/>
  <c r="AL202" i="1"/>
  <c r="AE202" i="1"/>
  <c r="AA202" i="1"/>
  <c r="W202" i="1"/>
  <c r="V202" i="1"/>
  <c r="S202" i="1"/>
  <c r="R202" i="1"/>
  <c r="J202" i="1"/>
  <c r="CP207" i="1" l="1"/>
  <c r="DG204" i="1"/>
  <c r="CP205" i="1"/>
  <c r="DG209" i="1"/>
  <c r="DG208" i="1"/>
  <c r="K204" i="1"/>
  <c r="DM205" i="1"/>
  <c r="DJ205" i="1"/>
  <c r="DM207" i="1"/>
  <c r="DJ207" i="1"/>
  <c r="K209" i="1"/>
  <c r="K208" i="1"/>
  <c r="CM209" i="1"/>
  <c r="CM208" i="1"/>
  <c r="CM204" i="1"/>
  <c r="AF210" i="1"/>
  <c r="AK210" i="1" s="1"/>
  <c r="AZ210" i="1" s="1"/>
  <c r="BE210" i="1" s="1"/>
  <c r="BT210" i="1" s="1"/>
  <c r="BY210" i="1" s="1"/>
  <c r="AF204" i="1"/>
  <c r="AK204" i="1" s="1"/>
  <c r="AZ204" i="1" s="1"/>
  <c r="AF209" i="1"/>
  <c r="AK209" i="1" s="1"/>
  <c r="AZ209" i="1" s="1"/>
  <c r="AF208" i="1"/>
  <c r="AK208" i="1" s="1"/>
  <c r="AZ208" i="1" s="1"/>
  <c r="N209" i="1"/>
  <c r="BS209" i="1"/>
  <c r="J209" i="1"/>
  <c r="AY209" i="1"/>
  <c r="AE209" i="1"/>
  <c r="N208" i="1"/>
  <c r="AE208" i="1"/>
  <c r="BS208" i="1"/>
  <c r="J208" i="1"/>
  <c r="AY208" i="1"/>
  <c r="AH203" i="1"/>
  <c r="AE204" i="1"/>
  <c r="J204" i="1"/>
  <c r="BE203" i="1"/>
  <c r="BT203" i="1" s="1"/>
  <c r="BY203" i="1" s="1"/>
  <c r="BB203" i="1"/>
  <c r="N204" i="1"/>
  <c r="AY204" i="1"/>
  <c r="BS204" i="1"/>
  <c r="Q458" i="1"/>
  <c r="AF458" i="1" s="1"/>
  <c r="N458" i="1"/>
  <c r="CN203" i="1" l="1"/>
  <c r="CS203" i="1" s="1"/>
  <c r="DH203" i="1"/>
  <c r="CN210" i="1"/>
  <c r="CS210" i="1" s="1"/>
  <c r="DH210" i="1"/>
  <c r="DM210" i="1" s="1"/>
  <c r="AH204" i="1"/>
  <c r="BE204" i="1"/>
  <c r="BT204" i="1" s="1"/>
  <c r="BB204" i="1"/>
  <c r="AH208" i="1"/>
  <c r="AH209" i="1"/>
  <c r="BE209" i="1"/>
  <c r="BT209" i="1" s="1"/>
  <c r="BY209" i="1" s="1"/>
  <c r="BB209" i="1"/>
  <c r="BB208" i="1"/>
  <c r="BE208" i="1"/>
  <c r="BT208" i="1" s="1"/>
  <c r="BY208" i="1" s="1"/>
  <c r="BV203" i="1"/>
  <c r="AK458" i="1"/>
  <c r="AZ458" i="1" s="1"/>
  <c r="AH458" i="1"/>
  <c r="CP203" i="1" l="1"/>
  <c r="CN209" i="1"/>
  <c r="CP209" i="1" s="1"/>
  <c r="DH209" i="1"/>
  <c r="DM203" i="1"/>
  <c r="DJ203" i="1"/>
  <c r="CN208" i="1"/>
  <c r="CP208" i="1" s="1"/>
  <c r="DH208" i="1"/>
  <c r="BY204" i="1"/>
  <c r="BV204" i="1"/>
  <c r="BV209" i="1"/>
  <c r="BV208" i="1"/>
  <c r="BE458" i="1"/>
  <c r="BT458" i="1" s="1"/>
  <c r="BB458" i="1"/>
  <c r="AJ376" i="1"/>
  <c r="CS209" i="1" l="1"/>
  <c r="DM208" i="1"/>
  <c r="DJ208" i="1"/>
  <c r="CN204" i="1"/>
  <c r="CP204" i="1" s="1"/>
  <c r="DH204" i="1"/>
  <c r="DM209" i="1"/>
  <c r="DJ209" i="1"/>
  <c r="CS208" i="1"/>
  <c r="BY458" i="1"/>
  <c r="BV458" i="1"/>
  <c r="CS204" i="1" l="1"/>
  <c r="DM204" i="1"/>
  <c r="DJ204" i="1"/>
  <c r="CN458" i="1"/>
  <c r="CS458" i="1" s="1"/>
  <c r="DH458" i="1"/>
  <c r="CP458" i="1" l="1"/>
  <c r="DM458" i="1"/>
  <c r="DJ458" i="1"/>
  <c r="BO604" i="1"/>
  <c r="BN604" i="1"/>
  <c r="BK604" i="1"/>
  <c r="BJ604" i="1"/>
  <c r="BG604" i="1"/>
  <c r="BF604" i="1"/>
  <c r="AU604" i="1"/>
  <c r="AT604" i="1"/>
  <c r="AQ604" i="1"/>
  <c r="AP604" i="1"/>
  <c r="AM604" i="1"/>
  <c r="AL604" i="1"/>
  <c r="AA604" i="1"/>
  <c r="W604" i="1"/>
  <c r="V604" i="1"/>
  <c r="S604" i="1"/>
  <c r="R604" i="1"/>
  <c r="BS631" i="1"/>
  <c r="AY631" i="1"/>
  <c r="AE631" i="1"/>
  <c r="Q631" i="1"/>
  <c r="AF631" i="1" s="1"/>
  <c r="AK631" i="1" s="1"/>
  <c r="AZ631" i="1" s="1"/>
  <c r="N631" i="1"/>
  <c r="J631" i="1"/>
  <c r="BS615" i="1"/>
  <c r="AY615" i="1"/>
  <c r="AE615" i="1"/>
  <c r="Q615" i="1"/>
  <c r="AF615" i="1" s="1"/>
  <c r="AK615" i="1" s="1"/>
  <c r="N615" i="1"/>
  <c r="J615" i="1"/>
  <c r="BS609" i="1"/>
  <c r="AY609" i="1"/>
  <c r="AE609" i="1"/>
  <c r="Q609" i="1"/>
  <c r="AF609" i="1" s="1"/>
  <c r="N609" i="1"/>
  <c r="J609" i="1"/>
  <c r="BS608" i="1"/>
  <c r="AY608" i="1"/>
  <c r="AE608" i="1"/>
  <c r="Q608" i="1"/>
  <c r="AF608" i="1" s="1"/>
  <c r="N608" i="1"/>
  <c r="J608" i="1"/>
  <c r="BS605" i="1"/>
  <c r="AY605" i="1"/>
  <c r="AE605" i="1"/>
  <c r="Q605" i="1"/>
  <c r="AF605" i="1" s="1"/>
  <c r="AK605" i="1" s="1"/>
  <c r="AZ605" i="1" s="1"/>
  <c r="N605" i="1"/>
  <c r="J605" i="1"/>
  <c r="AH609" i="1" l="1"/>
  <c r="AK609" i="1"/>
  <c r="BB609" i="1" s="1"/>
  <c r="BE631" i="1"/>
  <c r="BT631" i="1" s="1"/>
  <c r="BB631" i="1"/>
  <c r="AH631" i="1"/>
  <c r="BB615" i="1"/>
  <c r="BE615" i="1"/>
  <c r="BT615" i="1" s="1"/>
  <c r="AH615" i="1"/>
  <c r="AK608" i="1"/>
  <c r="AH608" i="1"/>
  <c r="BE605" i="1"/>
  <c r="BT605" i="1" s="1"/>
  <c r="BB605" i="1"/>
  <c r="AH605" i="1"/>
  <c r="BE609" i="1" l="1"/>
  <c r="BT609" i="1" s="1"/>
  <c r="BV609" i="1" s="1"/>
  <c r="BY631" i="1"/>
  <c r="BV631" i="1"/>
  <c r="BY615" i="1"/>
  <c r="BV615" i="1"/>
  <c r="BY605" i="1"/>
  <c r="BV605" i="1"/>
  <c r="BB608" i="1"/>
  <c r="BE608" i="1"/>
  <c r="BT608" i="1" s="1"/>
  <c r="CR430" i="1"/>
  <c r="CR429" i="1"/>
  <c r="CR428" i="1"/>
  <c r="CN615" i="1" l="1"/>
  <c r="CP615" i="1" s="1"/>
  <c r="DH615" i="1"/>
  <c r="CN605" i="1"/>
  <c r="CP605" i="1" s="1"/>
  <c r="DH605" i="1"/>
  <c r="CN631" i="1"/>
  <c r="CS631" i="1" s="1"/>
  <c r="DH631" i="1"/>
  <c r="BY609" i="1"/>
  <c r="BY608" i="1"/>
  <c r="BV608" i="1"/>
  <c r="CO427" i="1"/>
  <c r="BU427" i="1"/>
  <c r="BA427" i="1"/>
  <c r="AG427" i="1"/>
  <c r="Q427" i="1"/>
  <c r="AF427" i="1" s="1"/>
  <c r="M427" i="1"/>
  <c r="CS615" i="1" l="1"/>
  <c r="CS605" i="1"/>
  <c r="CP631" i="1"/>
  <c r="DG427" i="1"/>
  <c r="CN609" i="1"/>
  <c r="CS609" i="1" s="1"/>
  <c r="DH609" i="1"/>
  <c r="K427" i="1"/>
  <c r="DJ605" i="1"/>
  <c r="DM605" i="1"/>
  <c r="DJ631" i="1"/>
  <c r="DM631" i="1"/>
  <c r="DM615" i="1"/>
  <c r="DJ615" i="1"/>
  <c r="CN608" i="1"/>
  <c r="CP608" i="1" s="1"/>
  <c r="DH608" i="1"/>
  <c r="N427" i="1"/>
  <c r="CM427" i="1"/>
  <c r="AH427" i="1"/>
  <c r="J427" i="1"/>
  <c r="AK427" i="1"/>
  <c r="AZ427" i="1" s="1"/>
  <c r="BB427" i="1" s="1"/>
  <c r="BS427" i="1"/>
  <c r="AE427" i="1"/>
  <c r="AY427" i="1"/>
  <c r="CP609" i="1" l="1"/>
  <c r="CS608" i="1"/>
  <c r="DM608" i="1"/>
  <c r="DJ608" i="1"/>
  <c r="DM609" i="1"/>
  <c r="DJ609" i="1"/>
  <c r="BE427" i="1"/>
  <c r="BT427" i="1" s="1"/>
  <c r="BV427" i="1" s="1"/>
  <c r="BY427" i="1" l="1"/>
  <c r="CN427" i="1" l="1"/>
  <c r="CP427" i="1" s="1"/>
  <c r="DH427" i="1"/>
  <c r="CS427" i="1" l="1"/>
  <c r="DM427" i="1"/>
  <c r="DJ427" i="1"/>
  <c r="M107" i="1"/>
  <c r="K107" i="1" l="1"/>
  <c r="P376" i="1"/>
  <c r="Q376" i="1" s="1"/>
  <c r="AF376" i="1" s="1"/>
  <c r="AK376" i="1" l="1"/>
  <c r="AZ376" i="1" s="1"/>
  <c r="AH376" i="1"/>
  <c r="BE376" i="1" l="1"/>
  <c r="BT376" i="1" s="1"/>
  <c r="BB376" i="1"/>
  <c r="BY376" i="1" l="1"/>
  <c r="BV376" i="1"/>
  <c r="Q457" i="1"/>
  <c r="AF457" i="1" s="1"/>
  <c r="N457" i="1"/>
  <c r="CN376" i="1" l="1"/>
  <c r="CP376" i="1" s="1"/>
  <c r="DH376" i="1"/>
  <c r="AH457" i="1"/>
  <c r="AK457" i="1"/>
  <c r="AZ457" i="1" s="1"/>
  <c r="BE457" i="1" s="1"/>
  <c r="BT457" i="1" s="1"/>
  <c r="BY457" i="1" s="1"/>
  <c r="CS376" i="1" l="1"/>
  <c r="CN457" i="1"/>
  <c r="CP457" i="1" s="1"/>
  <c r="DH457" i="1"/>
  <c r="DM376" i="1"/>
  <c r="DJ376" i="1"/>
  <c r="BB457" i="1"/>
  <c r="BV457" i="1"/>
  <c r="CS457" i="1" l="1"/>
  <c r="DM457" i="1"/>
  <c r="DJ457" i="1"/>
  <c r="BO110" i="1"/>
  <c r="BN110" i="1"/>
  <c r="BK110" i="1"/>
  <c r="BJ110" i="1"/>
  <c r="BG110" i="1"/>
  <c r="BF110" i="1"/>
  <c r="AU110" i="1"/>
  <c r="AT110" i="1"/>
  <c r="AQ110" i="1"/>
  <c r="AP110" i="1"/>
  <c r="AM110" i="1"/>
  <c r="AL110" i="1"/>
  <c r="AA110" i="1"/>
  <c r="W110" i="1"/>
  <c r="V110" i="1"/>
  <c r="S110" i="1"/>
  <c r="R110" i="1"/>
  <c r="BO127" i="1"/>
  <c r="BN127" i="1"/>
  <c r="BK127" i="1"/>
  <c r="BJ127" i="1"/>
  <c r="BG127" i="1"/>
  <c r="BF127" i="1"/>
  <c r="AU127" i="1"/>
  <c r="AT127" i="1"/>
  <c r="AQ127" i="1"/>
  <c r="AP127" i="1"/>
  <c r="AM127" i="1"/>
  <c r="AL127" i="1"/>
  <c r="AA127" i="1"/>
  <c r="W127" i="1"/>
  <c r="V127" i="1"/>
  <c r="S127" i="1"/>
  <c r="R127" i="1"/>
  <c r="Q61" i="1" l="1"/>
  <c r="P62" i="1"/>
  <c r="DG484" i="1" l="1"/>
  <c r="K484" i="1"/>
  <c r="DG485" i="1"/>
  <c r="CM484" i="1"/>
  <c r="Q462" i="1"/>
  <c r="AF462" i="1" s="1"/>
  <c r="N462" i="1"/>
  <c r="Q459" i="1"/>
  <c r="AF459" i="1" s="1"/>
  <c r="N459" i="1"/>
  <c r="Q454" i="1"/>
  <c r="AF454" i="1" s="1"/>
  <c r="N454" i="1"/>
  <c r="BS453" i="1"/>
  <c r="BO453" i="1"/>
  <c r="BN453" i="1"/>
  <c r="BK453" i="1"/>
  <c r="BJ453" i="1"/>
  <c r="BG453" i="1"/>
  <c r="BF453" i="1"/>
  <c r="AY453" i="1"/>
  <c r="AU453" i="1"/>
  <c r="AT453" i="1"/>
  <c r="AQ453" i="1"/>
  <c r="AP453" i="1"/>
  <c r="AM453" i="1"/>
  <c r="AL453" i="1"/>
  <c r="AE453" i="1"/>
  <c r="AA453" i="1"/>
  <c r="W453" i="1"/>
  <c r="V453" i="1"/>
  <c r="S453" i="1"/>
  <c r="R453" i="1"/>
  <c r="J453" i="1"/>
  <c r="BU436" i="1"/>
  <c r="BA436" i="1"/>
  <c r="AG436" i="1"/>
  <c r="N436" i="1"/>
  <c r="CM485" i="1" l="1"/>
  <c r="K485" i="1"/>
  <c r="AK462" i="1"/>
  <c r="AZ462" i="1" s="1"/>
  <c r="BE462" i="1" s="1"/>
  <c r="BT462" i="1" s="1"/>
  <c r="AH462" i="1"/>
  <c r="AK454" i="1"/>
  <c r="AZ454" i="1" s="1"/>
  <c r="AH454" i="1"/>
  <c r="AH459" i="1"/>
  <c r="AK459" i="1"/>
  <c r="AZ459" i="1" s="1"/>
  <c r="BB462" i="1" l="1"/>
  <c r="BB454" i="1"/>
  <c r="BE454" i="1"/>
  <c r="BT454" i="1" s="1"/>
  <c r="BE459" i="1"/>
  <c r="BT459" i="1" s="1"/>
  <c r="BB459" i="1"/>
  <c r="BY462" i="1"/>
  <c r="BV462" i="1"/>
  <c r="CN462" i="1" l="1"/>
  <c r="CS462" i="1" s="1"/>
  <c r="DH462" i="1"/>
  <c r="Q534" i="1"/>
  <c r="AF534" i="1" s="1"/>
  <c r="BY454" i="1"/>
  <c r="BV454" i="1"/>
  <c r="BY459" i="1"/>
  <c r="BV459" i="1"/>
  <c r="CR284" i="1"/>
  <c r="CO284" i="1"/>
  <c r="BX284" i="1"/>
  <c r="BU284" i="1"/>
  <c r="BD284" i="1"/>
  <c r="BA284" i="1"/>
  <c r="AJ284" i="1"/>
  <c r="AG284" i="1"/>
  <c r="M284" i="1"/>
  <c r="CR283" i="1"/>
  <c r="CO283" i="1"/>
  <c r="BX283" i="1"/>
  <c r="BU283" i="1"/>
  <c r="BD283" i="1"/>
  <c r="BA283" i="1"/>
  <c r="AJ283" i="1"/>
  <c r="AG283" i="1"/>
  <c r="M283" i="1"/>
  <c r="CR282" i="1"/>
  <c r="CO282" i="1"/>
  <c r="BX282" i="1"/>
  <c r="BU282" i="1"/>
  <c r="BD282" i="1"/>
  <c r="BA282" i="1"/>
  <c r="AJ282" i="1"/>
  <c r="AG282" i="1"/>
  <c r="M282" i="1"/>
  <c r="CR281" i="1"/>
  <c r="CO281" i="1"/>
  <c r="CR280" i="1"/>
  <c r="CO280" i="1"/>
  <c r="BX281" i="1"/>
  <c r="BU281" i="1"/>
  <c r="BX280" i="1"/>
  <c r="BU280" i="1"/>
  <c r="BD281" i="1"/>
  <c r="BA281" i="1"/>
  <c r="BD280" i="1"/>
  <c r="BA280" i="1"/>
  <c r="AJ281" i="1"/>
  <c r="AG281" i="1"/>
  <c r="AJ280" i="1"/>
  <c r="AG280" i="1"/>
  <c r="M281" i="1"/>
  <c r="M280" i="1"/>
  <c r="CR278" i="1"/>
  <c r="CO278" i="1"/>
  <c r="BX278" i="1"/>
  <c r="BU278" i="1"/>
  <c r="BD278" i="1"/>
  <c r="BA278" i="1"/>
  <c r="AJ278" i="1"/>
  <c r="AG278" i="1"/>
  <c r="M278" i="1"/>
  <c r="R477" i="1"/>
  <c r="CR310" i="1"/>
  <c r="CR309" i="1"/>
  <c r="BX310" i="1"/>
  <c r="BX309" i="1"/>
  <c r="BD310" i="1"/>
  <c r="BD309" i="1"/>
  <c r="AJ310" i="1"/>
  <c r="AJ309" i="1"/>
  <c r="CP462" i="1" l="1"/>
  <c r="DG281" i="1"/>
  <c r="DG278" i="1"/>
  <c r="DG282" i="1"/>
  <c r="DG284" i="1"/>
  <c r="DG280" i="1"/>
  <c r="DG283" i="1"/>
  <c r="CN454" i="1"/>
  <c r="CP454" i="1" s="1"/>
  <c r="DH454" i="1"/>
  <c r="CN459" i="1"/>
  <c r="CS459" i="1" s="1"/>
  <c r="DH459" i="1"/>
  <c r="K280" i="1"/>
  <c r="K281" i="1"/>
  <c r="K282" i="1"/>
  <c r="K283" i="1"/>
  <c r="K284" i="1"/>
  <c r="DJ462" i="1"/>
  <c r="DM462" i="1"/>
  <c r="K278" i="1"/>
  <c r="CM280" i="1"/>
  <c r="CM278" i="1"/>
  <c r="CM281" i="1"/>
  <c r="N282" i="1"/>
  <c r="CM282" i="1"/>
  <c r="N283" i="1"/>
  <c r="CM283" i="1"/>
  <c r="CM284" i="1"/>
  <c r="AK534" i="1"/>
  <c r="AZ534" i="1" s="1"/>
  <c r="BE534" i="1" s="1"/>
  <c r="BT534" i="1" s="1"/>
  <c r="J283" i="1"/>
  <c r="AY281" i="1"/>
  <c r="BS278" i="1"/>
  <c r="J281" i="1"/>
  <c r="BS282" i="1"/>
  <c r="AE282" i="1"/>
  <c r="N278" i="1"/>
  <c r="AY278" i="1"/>
  <c r="AE283" i="1"/>
  <c r="BS281" i="1"/>
  <c r="N281" i="1"/>
  <c r="AE284" i="1"/>
  <c r="AE281" i="1"/>
  <c r="J278" i="1"/>
  <c r="AE278" i="1"/>
  <c r="BS284" i="1"/>
  <c r="AY284" i="1"/>
  <c r="BS283" i="1"/>
  <c r="AY282" i="1"/>
  <c r="AY283" i="1"/>
  <c r="J284" i="1"/>
  <c r="N284" i="1"/>
  <c r="J282" i="1"/>
  <c r="J280" i="1"/>
  <c r="N280" i="1"/>
  <c r="AE280" i="1"/>
  <c r="BS280" i="1"/>
  <c r="AY280" i="1"/>
  <c r="CS454" i="1" l="1"/>
  <c r="CP459" i="1"/>
  <c r="DM459" i="1"/>
  <c r="DJ459" i="1"/>
  <c r="DM454" i="1"/>
  <c r="DJ454" i="1"/>
  <c r="BY534" i="1"/>
  <c r="CN534" i="1" l="1"/>
  <c r="CS534" i="1" s="1"/>
  <c r="DH534" i="1"/>
  <c r="CO430" i="1"/>
  <c r="CO429" i="1"/>
  <c r="CO428" i="1"/>
  <c r="CR425" i="1"/>
  <c r="CO425" i="1"/>
  <c r="CR424" i="1"/>
  <c r="CO424" i="1"/>
  <c r="CR423" i="1"/>
  <c r="CO423" i="1"/>
  <c r="CR422" i="1"/>
  <c r="CO422" i="1"/>
  <c r="BU430" i="1"/>
  <c r="BU429" i="1"/>
  <c r="BU428" i="1"/>
  <c r="BX425" i="1"/>
  <c r="BU425" i="1"/>
  <c r="BX424" i="1"/>
  <c r="BU424" i="1"/>
  <c r="BX423" i="1"/>
  <c r="BU423" i="1"/>
  <c r="BX422" i="1"/>
  <c r="BU422" i="1"/>
  <c r="BA430" i="1"/>
  <c r="BA429" i="1"/>
  <c r="BA428" i="1"/>
  <c r="BD425" i="1"/>
  <c r="BA425" i="1"/>
  <c r="BD424" i="1"/>
  <c r="BA424" i="1"/>
  <c r="BD423" i="1"/>
  <c r="BA423" i="1"/>
  <c r="BD422" i="1"/>
  <c r="BA422" i="1"/>
  <c r="AG430" i="1"/>
  <c r="AG429" i="1"/>
  <c r="AG428" i="1"/>
  <c r="AJ425" i="1"/>
  <c r="AG425" i="1"/>
  <c r="AJ424" i="1"/>
  <c r="AG424" i="1"/>
  <c r="AJ423" i="1"/>
  <c r="AG423" i="1"/>
  <c r="AJ422" i="1"/>
  <c r="AG422" i="1"/>
  <c r="Q429" i="1"/>
  <c r="AF429" i="1" s="1"/>
  <c r="Q428" i="1"/>
  <c r="AF428" i="1" s="1"/>
  <c r="P425" i="1"/>
  <c r="Q425" i="1" s="1"/>
  <c r="AF425" i="1" s="1"/>
  <c r="P424" i="1"/>
  <c r="Q424" i="1" s="1"/>
  <c r="AF424" i="1" s="1"/>
  <c r="P423" i="1"/>
  <c r="Q423" i="1" s="1"/>
  <c r="AF423" i="1" s="1"/>
  <c r="M429" i="1"/>
  <c r="M428" i="1"/>
  <c r="M425" i="1"/>
  <c r="M424" i="1"/>
  <c r="M423" i="1"/>
  <c r="DG424" i="1" l="1"/>
  <c r="DG423" i="1"/>
  <c r="DG429" i="1"/>
  <c r="DG428" i="1"/>
  <c r="DG425" i="1"/>
  <c r="K423" i="1"/>
  <c r="K425" i="1"/>
  <c r="K428" i="1"/>
  <c r="K429" i="1"/>
  <c r="DM534" i="1"/>
  <c r="DJ534" i="1"/>
  <c r="K424" i="1"/>
  <c r="CM428" i="1"/>
  <c r="CM423" i="1"/>
  <c r="N424" i="1"/>
  <c r="CM424" i="1"/>
  <c r="N425" i="1"/>
  <c r="CM425" i="1"/>
  <c r="N429" i="1"/>
  <c r="CM429" i="1"/>
  <c r="AK429" i="1"/>
  <c r="AZ429" i="1" s="1"/>
  <c r="BE429" i="1" s="1"/>
  <c r="BT429" i="1" s="1"/>
  <c r="BV429" i="1" s="1"/>
  <c r="AK425" i="1"/>
  <c r="AZ425" i="1" s="1"/>
  <c r="BE425" i="1" s="1"/>
  <c r="BT425" i="1" s="1"/>
  <c r="BY425" i="1" s="1"/>
  <c r="J424" i="1"/>
  <c r="AY424" i="1"/>
  <c r="BS423" i="1"/>
  <c r="AY428" i="1"/>
  <c r="AK428" i="1"/>
  <c r="AZ428" i="1" s="1"/>
  <c r="BE428" i="1" s="1"/>
  <c r="BT428" i="1" s="1"/>
  <c r="BY428" i="1" s="1"/>
  <c r="AY429" i="1"/>
  <c r="BS424" i="1"/>
  <c r="BS429" i="1"/>
  <c r="AE424" i="1"/>
  <c r="J429" i="1"/>
  <c r="AK424" i="1"/>
  <c r="AZ424" i="1" s="1"/>
  <c r="BB424" i="1" s="1"/>
  <c r="AH424" i="1"/>
  <c r="AH428" i="1"/>
  <c r="AH425" i="1"/>
  <c r="AH423" i="1"/>
  <c r="AK423" i="1"/>
  <c r="AZ423" i="1" s="1"/>
  <c r="AY425" i="1"/>
  <c r="AE425" i="1"/>
  <c r="N428" i="1"/>
  <c r="AE423" i="1"/>
  <c r="AY423" i="1"/>
  <c r="J423" i="1"/>
  <c r="BS428" i="1"/>
  <c r="N423" i="1"/>
  <c r="BS425" i="1"/>
  <c r="AE429" i="1"/>
  <c r="AE428" i="1"/>
  <c r="AH429" i="1"/>
  <c r="J428" i="1"/>
  <c r="J425" i="1"/>
  <c r="CN425" i="1" l="1"/>
  <c r="CP425" i="1" s="1"/>
  <c r="DH425" i="1"/>
  <c r="CN428" i="1"/>
  <c r="CS428" i="1" s="1"/>
  <c r="DH428" i="1"/>
  <c r="BB429" i="1"/>
  <c r="BY429" i="1"/>
  <c r="BV425" i="1"/>
  <c r="BB425" i="1"/>
  <c r="BV428" i="1"/>
  <c r="BB428" i="1"/>
  <c r="BE424" i="1"/>
  <c r="BT424" i="1" s="1"/>
  <c r="BV424" i="1" s="1"/>
  <c r="BB423" i="1"/>
  <c r="BE423" i="1"/>
  <c r="BT423" i="1" s="1"/>
  <c r="CP428" i="1" l="1"/>
  <c r="CS425" i="1"/>
  <c r="DJ428" i="1"/>
  <c r="DM428" i="1"/>
  <c r="DM425" i="1"/>
  <c r="DJ425" i="1"/>
  <c r="CN429" i="1"/>
  <c r="CS429" i="1" s="1"/>
  <c r="DH429" i="1"/>
  <c r="BY424" i="1"/>
  <c r="BY423" i="1"/>
  <c r="BV423" i="1"/>
  <c r="BX375" i="1"/>
  <c r="BU375" i="1"/>
  <c r="BD375" i="1"/>
  <c r="BA375" i="1"/>
  <c r="AJ375" i="1"/>
  <c r="AG375" i="1"/>
  <c r="M375" i="1"/>
  <c r="P375" i="1"/>
  <c r="CP429" i="1" l="1"/>
  <c r="DG375" i="1"/>
  <c r="CN424" i="1"/>
  <c r="CP424" i="1" s="1"/>
  <c r="DH424" i="1"/>
  <c r="DM429" i="1"/>
  <c r="DJ429" i="1"/>
  <c r="K375" i="1"/>
  <c r="CN423" i="1"/>
  <c r="CS423" i="1" s="1"/>
  <c r="DH423" i="1"/>
  <c r="CS424" i="1" l="1"/>
  <c r="DM423" i="1"/>
  <c r="DJ423" i="1"/>
  <c r="CP423" i="1"/>
  <c r="DM424" i="1"/>
  <c r="DJ424" i="1"/>
  <c r="P309" i="1"/>
  <c r="P310" i="1"/>
  <c r="BU51" i="1" l="1"/>
  <c r="P284" i="1" l="1"/>
  <c r="Q284" i="1" s="1"/>
  <c r="AF284" i="1" s="1"/>
  <c r="P283" i="1"/>
  <c r="Q283" i="1" s="1"/>
  <c r="AF283" i="1" s="1"/>
  <c r="P280" i="1"/>
  <c r="Q280" i="1" s="1"/>
  <c r="AF280" i="1" s="1"/>
  <c r="P278" i="1"/>
  <c r="Q278" i="1" s="1"/>
  <c r="AF278" i="1" s="1"/>
  <c r="P282" i="1"/>
  <c r="Q282" i="1" s="1"/>
  <c r="AF282" i="1" s="1"/>
  <c r="P281" i="1"/>
  <c r="Q281" i="1" s="1"/>
  <c r="AF281" i="1" s="1"/>
  <c r="AH278" i="1" l="1"/>
  <c r="AK278" i="1"/>
  <c r="AZ278" i="1" s="1"/>
  <c r="AK280" i="1"/>
  <c r="AZ280" i="1" s="1"/>
  <c r="AH280" i="1"/>
  <c r="AH281" i="1"/>
  <c r="AK281" i="1"/>
  <c r="AZ281" i="1" s="1"/>
  <c r="AK283" i="1"/>
  <c r="AZ283" i="1" s="1"/>
  <c r="AH283" i="1"/>
  <c r="AK282" i="1"/>
  <c r="AZ282" i="1" s="1"/>
  <c r="AH282" i="1"/>
  <c r="AK284" i="1"/>
  <c r="AZ284" i="1" s="1"/>
  <c r="AH284" i="1"/>
  <c r="BS5" i="1"/>
  <c r="BB281" i="1" l="1"/>
  <c r="BE281" i="1"/>
  <c r="BT281" i="1" s="1"/>
  <c r="BB280" i="1"/>
  <c r="BE280" i="1"/>
  <c r="BT280" i="1" s="1"/>
  <c r="BB283" i="1"/>
  <c r="BE283" i="1"/>
  <c r="BT283" i="1" s="1"/>
  <c r="BE284" i="1"/>
  <c r="BT284" i="1" s="1"/>
  <c r="BB284" i="1"/>
  <c r="BB278" i="1"/>
  <c r="BE278" i="1"/>
  <c r="BT278" i="1" s="1"/>
  <c r="BB282" i="1"/>
  <c r="BE282" i="1"/>
  <c r="BT282" i="1" s="1"/>
  <c r="BY282" i="1" l="1"/>
  <c r="BV282" i="1"/>
  <c r="BY283" i="1"/>
  <c r="BV283" i="1"/>
  <c r="BY280" i="1"/>
  <c r="BV280" i="1"/>
  <c r="BV278" i="1"/>
  <c r="BY278" i="1"/>
  <c r="BV281" i="1"/>
  <c r="BY281" i="1"/>
  <c r="BY284" i="1"/>
  <c r="BV284" i="1"/>
  <c r="P368" i="1"/>
  <c r="Q368" i="1" s="1"/>
  <c r="AF368" i="1" s="1"/>
  <c r="P367" i="1"/>
  <c r="AJ368" i="1"/>
  <c r="AJ367" i="1"/>
  <c r="BD368" i="1"/>
  <c r="BD367" i="1"/>
  <c r="BA368" i="1"/>
  <c r="BA367" i="1"/>
  <c r="AG368" i="1"/>
  <c r="AG367" i="1"/>
  <c r="M368" i="1"/>
  <c r="M367" i="1"/>
  <c r="BX326" i="1"/>
  <c r="BX325" i="1"/>
  <c r="BX324" i="1"/>
  <c r="BX323" i="1"/>
  <c r="P308" i="1"/>
  <c r="AJ308" i="1"/>
  <c r="BX305" i="1"/>
  <c r="BD305" i="1"/>
  <c r="AJ305" i="1"/>
  <c r="P305" i="1"/>
  <c r="M101" i="1"/>
  <c r="AG101" i="1"/>
  <c r="K368" i="1" l="1"/>
  <c r="K367" i="1"/>
  <c r="CN280" i="1"/>
  <c r="CS280" i="1" s="1"/>
  <c r="DH280" i="1"/>
  <c r="CN278" i="1"/>
  <c r="CP278" i="1" s="1"/>
  <c r="DH278" i="1"/>
  <c r="K101" i="1"/>
  <c r="CN284" i="1"/>
  <c r="CS284" i="1" s="1"/>
  <c r="DH284" i="1"/>
  <c r="CN283" i="1"/>
  <c r="CP283" i="1" s="1"/>
  <c r="DH283" i="1"/>
  <c r="CN281" i="1"/>
  <c r="CS281" i="1" s="1"/>
  <c r="DH281" i="1"/>
  <c r="CN282" i="1"/>
  <c r="CS282" i="1" s="1"/>
  <c r="DH282" i="1"/>
  <c r="AE367" i="1"/>
  <c r="AK368" i="1"/>
  <c r="AY368" i="1"/>
  <c r="AH368" i="1"/>
  <c r="AE368" i="1"/>
  <c r="N368" i="1"/>
  <c r="N367" i="1"/>
  <c r="AY367" i="1"/>
  <c r="CR305" i="1"/>
  <c r="CP282" i="1" l="1"/>
  <c r="CP281" i="1"/>
  <c r="CP280" i="1"/>
  <c r="CP284" i="1"/>
  <c r="CS278" i="1"/>
  <c r="DM281" i="1"/>
  <c r="DJ281" i="1"/>
  <c r="DM280" i="1"/>
  <c r="DJ280" i="1"/>
  <c r="DM278" i="1"/>
  <c r="DJ278" i="1"/>
  <c r="DM284" i="1"/>
  <c r="DJ284" i="1"/>
  <c r="DM283" i="1"/>
  <c r="DJ283" i="1"/>
  <c r="CS283" i="1"/>
  <c r="DM282" i="1"/>
  <c r="DJ282" i="1"/>
  <c r="N375" i="1"/>
  <c r="Q375" i="1"/>
  <c r="AF375" i="1" s="1"/>
  <c r="AY375" i="1"/>
  <c r="BS375" i="1"/>
  <c r="CR375" i="1"/>
  <c r="CO375" i="1"/>
  <c r="CM375" i="1" s="1"/>
  <c r="CR374" i="1"/>
  <c r="CO374" i="1"/>
  <c r="CR373" i="1"/>
  <c r="CO373" i="1"/>
  <c r="CR372" i="1"/>
  <c r="CO372" i="1"/>
  <c r="BU374" i="1"/>
  <c r="BU373" i="1"/>
  <c r="BU372" i="1"/>
  <c r="BA374" i="1"/>
  <c r="BA373" i="1"/>
  <c r="BA372" i="1"/>
  <c r="AG374" i="1"/>
  <c r="AG373" i="1"/>
  <c r="AG372" i="1"/>
  <c r="AE375" i="1"/>
  <c r="M374" i="1"/>
  <c r="M373" i="1"/>
  <c r="M372" i="1"/>
  <c r="J375" i="1"/>
  <c r="DG373" i="1" l="1"/>
  <c r="DG374" i="1"/>
  <c r="DG372" i="1"/>
  <c r="K374" i="1"/>
  <c r="K372" i="1"/>
  <c r="K373" i="1"/>
  <c r="CM374" i="1"/>
  <c r="N373" i="1"/>
  <c r="CM373" i="1"/>
  <c r="CM372" i="1"/>
  <c r="AK375" i="1"/>
  <c r="AZ375" i="1" s="1"/>
  <c r="BB375" i="1" s="1"/>
  <c r="AH375" i="1"/>
  <c r="AY374" i="1"/>
  <c r="J373" i="1"/>
  <c r="BS373" i="1"/>
  <c r="AE374" i="1"/>
  <c r="BS372" i="1"/>
  <c r="AE373" i="1"/>
  <c r="N372" i="1"/>
  <c r="AY373" i="1"/>
  <c r="BS374" i="1"/>
  <c r="AY372" i="1"/>
  <c r="N374" i="1"/>
  <c r="AE372" i="1"/>
  <c r="J374" i="1"/>
  <c r="J372" i="1"/>
  <c r="BE375" i="1" l="1"/>
  <c r="BT375" i="1" s="1"/>
  <c r="BV375" i="1" s="1"/>
  <c r="AE377" i="1"/>
  <c r="Q377" i="1"/>
  <c r="AF377" i="1" s="1"/>
  <c r="N377" i="1"/>
  <c r="J377" i="1"/>
  <c r="BY375" i="1" l="1"/>
  <c r="BS377" i="1"/>
  <c r="AY377" i="1"/>
  <c r="AH377" i="1"/>
  <c r="AK377" i="1"/>
  <c r="AZ377" i="1" s="1"/>
  <c r="CN375" i="1" l="1"/>
  <c r="CS375" i="1" s="1"/>
  <c r="DH375" i="1"/>
  <c r="BE377" i="1"/>
  <c r="BT377" i="1" s="1"/>
  <c r="BB377" i="1"/>
  <c r="CP375" i="1" l="1"/>
  <c r="DM375" i="1"/>
  <c r="DJ375" i="1"/>
  <c r="BY377" i="1"/>
  <c r="BV377" i="1"/>
  <c r="CN377" i="1" l="1"/>
  <c r="CS377" i="1" s="1"/>
  <c r="DH377" i="1"/>
  <c r="CP377" i="1" l="1"/>
  <c r="DJ377" i="1"/>
  <c r="DM377" i="1"/>
  <c r="CN50" i="1"/>
  <c r="BX372" i="1" l="1"/>
  <c r="BX374" i="1"/>
  <c r="BX373" i="1"/>
  <c r="CR368" i="1" l="1"/>
  <c r="CR367" i="1"/>
  <c r="CO368" i="1"/>
  <c r="CO367" i="1"/>
  <c r="Q305" i="1" l="1"/>
  <c r="AF305" i="1" s="1"/>
  <c r="AK305" i="1" s="1"/>
  <c r="AZ305" i="1" s="1"/>
  <c r="BE305" i="1" s="1"/>
  <c r="BT305" i="1" s="1"/>
  <c r="BY305" i="1" s="1"/>
  <c r="CN305" i="1" l="1"/>
  <c r="CS305" i="1" s="1"/>
  <c r="DH305" i="1"/>
  <c r="DM305" i="1" l="1"/>
  <c r="DJ305" i="1"/>
  <c r="BD372" i="1"/>
  <c r="BD374" i="1"/>
  <c r="BD373" i="1"/>
  <c r="Q367" i="1" l="1"/>
  <c r="AF367" i="1" s="1"/>
  <c r="BX368" i="1"/>
  <c r="BX367" i="1"/>
  <c r="BU368" i="1"/>
  <c r="DG368" i="1" s="1"/>
  <c r="BU367" i="1"/>
  <c r="DG367" i="1" s="1"/>
  <c r="AZ368" i="1"/>
  <c r="CM368" i="1" l="1"/>
  <c r="CM367" i="1"/>
  <c r="AK367" i="1"/>
  <c r="AZ367" i="1" s="1"/>
  <c r="AH367" i="1"/>
  <c r="BE368" i="1"/>
  <c r="BT368" i="1" s="1"/>
  <c r="BY368" i="1" s="1"/>
  <c r="BB368" i="1"/>
  <c r="BS367" i="1"/>
  <c r="J367" i="1"/>
  <c r="BS368" i="1"/>
  <c r="J368" i="1"/>
  <c r="CN368" i="1" l="1"/>
  <c r="CP368" i="1" s="1"/>
  <c r="DH368" i="1"/>
  <c r="BV368" i="1"/>
  <c r="BE367" i="1"/>
  <c r="BT367" i="1" s="1"/>
  <c r="BB367" i="1"/>
  <c r="CS368" i="1" l="1"/>
  <c r="DJ368" i="1"/>
  <c r="DM368" i="1"/>
  <c r="BY367" i="1"/>
  <c r="BV367" i="1"/>
  <c r="CR101" i="1"/>
  <c r="CO101" i="1"/>
  <c r="BX101" i="1"/>
  <c r="BU101" i="1"/>
  <c r="BA101" i="1"/>
  <c r="BO100" i="1"/>
  <c r="BN100" i="1"/>
  <c r="BK100" i="1"/>
  <c r="BJ100" i="1"/>
  <c r="BG100" i="1"/>
  <c r="BF100" i="1"/>
  <c r="AU100" i="1"/>
  <c r="AT100" i="1"/>
  <c r="AQ100" i="1"/>
  <c r="AP100" i="1"/>
  <c r="AM100" i="1"/>
  <c r="AL100" i="1"/>
  <c r="AA100" i="1"/>
  <c r="W100" i="1"/>
  <c r="V100" i="1"/>
  <c r="S100" i="1"/>
  <c r="R100" i="1"/>
  <c r="DG101" i="1" l="1"/>
  <c r="CN367" i="1"/>
  <c r="CP367" i="1" s="1"/>
  <c r="DH367" i="1"/>
  <c r="CM101" i="1"/>
  <c r="BD101" i="1"/>
  <c r="CS367" i="1" l="1"/>
  <c r="DM367" i="1"/>
  <c r="DJ367" i="1"/>
  <c r="CN446" i="1"/>
  <c r="CS446" i="1" s="1"/>
  <c r="Q446" i="1"/>
  <c r="AF446" i="1" s="1"/>
  <c r="N446" i="1"/>
  <c r="AK446" i="1" l="1"/>
  <c r="AZ446" i="1" s="1"/>
  <c r="AH446" i="1"/>
  <c r="CP446" i="1"/>
  <c r="BE446" i="1" l="1"/>
  <c r="BT446" i="1" s="1"/>
  <c r="BB446" i="1"/>
  <c r="BY446" i="1" l="1"/>
  <c r="DH446" i="1" s="1"/>
  <c r="BV446" i="1"/>
  <c r="DM446" i="1" l="1"/>
  <c r="DJ446" i="1"/>
  <c r="Q310" i="1"/>
  <c r="AF310" i="1" s="1"/>
  <c r="AK310" i="1" s="1"/>
  <c r="AZ310" i="1" s="1"/>
  <c r="BE310" i="1" l="1"/>
  <c r="BT310" i="1" s="1"/>
  <c r="BY310" i="1" s="1"/>
  <c r="CN310" i="1" l="1"/>
  <c r="CS310" i="1" s="1"/>
  <c r="DH310" i="1"/>
  <c r="CN445" i="1"/>
  <c r="CS445" i="1" s="1"/>
  <c r="CN444" i="1"/>
  <c r="CP444" i="1" s="1"/>
  <c r="Q445" i="1"/>
  <c r="AF445" i="1" s="1"/>
  <c r="Q444" i="1"/>
  <c r="AF444" i="1" s="1"/>
  <c r="AK444" i="1" s="1"/>
  <c r="AZ444" i="1" s="1"/>
  <c r="N445" i="1"/>
  <c r="N444" i="1"/>
  <c r="DM310" i="1" l="1"/>
  <c r="DJ310" i="1"/>
  <c r="CP445" i="1"/>
  <c r="CS444" i="1"/>
  <c r="AK445" i="1"/>
  <c r="AZ445" i="1" s="1"/>
  <c r="AH445" i="1"/>
  <c r="BB444" i="1"/>
  <c r="BE444" i="1"/>
  <c r="BT444" i="1" s="1"/>
  <c r="AH444" i="1"/>
  <c r="BY444" i="1" l="1"/>
  <c r="DH444" i="1" s="1"/>
  <c r="BV444" i="1"/>
  <c r="BB445" i="1"/>
  <c r="BE445" i="1"/>
  <c r="BT445" i="1" s="1"/>
  <c r="BX322" i="1"/>
  <c r="BX317" i="1"/>
  <c r="BX316" i="1"/>
  <c r="BX315" i="1"/>
  <c r="BX314" i="1"/>
  <c r="BX313" i="1"/>
  <c r="BX312" i="1"/>
  <c r="BX308" i="1"/>
  <c r="BX307" i="1"/>
  <c r="BX306" i="1"/>
  <c r="BX300" i="1"/>
  <c r="BX292" i="1"/>
  <c r="BX291" i="1"/>
  <c r="BU322" i="1"/>
  <c r="BU321" i="1"/>
  <c r="BU320" i="1"/>
  <c r="BU319" i="1"/>
  <c r="BU314" i="1"/>
  <c r="BU312" i="1"/>
  <c r="BU290" i="1"/>
  <c r="BD308" i="1"/>
  <c r="BD326" i="1"/>
  <c r="BD325" i="1"/>
  <c r="BD324" i="1"/>
  <c r="BD323" i="1"/>
  <c r="BD322" i="1"/>
  <c r="BD321" i="1"/>
  <c r="BD320" i="1"/>
  <c r="BD319" i="1"/>
  <c r="BD317" i="1"/>
  <c r="BD316" i="1"/>
  <c r="BD315" i="1"/>
  <c r="BD314" i="1"/>
  <c r="BD313" i="1"/>
  <c r="BD312" i="1"/>
  <c r="BD307" i="1"/>
  <c r="BD306" i="1"/>
  <c r="BD300" i="1"/>
  <c r="BD292" i="1"/>
  <c r="BD291" i="1"/>
  <c r="BA322" i="1"/>
  <c r="BA321" i="1"/>
  <c r="BA320" i="1"/>
  <c r="BA319" i="1"/>
  <c r="BA314" i="1"/>
  <c r="BA312" i="1"/>
  <c r="BA290" i="1"/>
  <c r="P307" i="1"/>
  <c r="P314" i="1"/>
  <c r="P312" i="1"/>
  <c r="M314" i="1"/>
  <c r="M312" i="1"/>
  <c r="M290" i="1"/>
  <c r="P322" i="1"/>
  <c r="P321" i="1"/>
  <c r="P320" i="1"/>
  <c r="P319" i="1"/>
  <c r="M322" i="1"/>
  <c r="M321" i="1"/>
  <c r="M320" i="1"/>
  <c r="M319" i="1"/>
  <c r="AJ314" i="1"/>
  <c r="AJ312" i="1"/>
  <c r="AG322" i="1"/>
  <c r="AG321" i="1"/>
  <c r="AG320" i="1"/>
  <c r="AG319" i="1"/>
  <c r="AG314" i="1"/>
  <c r="AG312" i="1"/>
  <c r="J289" i="1"/>
  <c r="DG322" i="1" l="1"/>
  <c r="DG321" i="1"/>
  <c r="DG320" i="1"/>
  <c r="DG312" i="1"/>
  <c r="DG314" i="1"/>
  <c r="DG319" i="1"/>
  <c r="K321" i="1"/>
  <c r="K314" i="1"/>
  <c r="K312" i="1"/>
  <c r="K320" i="1"/>
  <c r="K322" i="1"/>
  <c r="K319" i="1"/>
  <c r="DM444" i="1"/>
  <c r="DJ444" i="1"/>
  <c r="BU303" i="1"/>
  <c r="BV303" i="1" s="1"/>
  <c r="BU298" i="1"/>
  <c r="BV298" i="1" s="1"/>
  <c r="BU296" i="1"/>
  <c r="BV296" i="1" s="1"/>
  <c r="BU302" i="1"/>
  <c r="BV302" i="1" s="1"/>
  <c r="BU294" i="1"/>
  <c r="BV294" i="1" s="1"/>
  <c r="BU297" i="1"/>
  <c r="BV297" i="1" s="1"/>
  <c r="BU295" i="1"/>
  <c r="BV295" i="1" s="1"/>
  <c r="BU301" i="1"/>
  <c r="BV301" i="1" s="1"/>
  <c r="BU293" i="1"/>
  <c r="BV293" i="1" s="1"/>
  <c r="BA302" i="1"/>
  <c r="BB302" i="1" s="1"/>
  <c r="BA297" i="1"/>
  <c r="BB297" i="1" s="1"/>
  <c r="BA293" i="1"/>
  <c r="BB293" i="1" s="1"/>
  <c r="BA294" i="1"/>
  <c r="BB294" i="1" s="1"/>
  <c r="BA301" i="1"/>
  <c r="BB301" i="1" s="1"/>
  <c r="BA296" i="1"/>
  <c r="BB296" i="1" s="1"/>
  <c r="BA295" i="1"/>
  <c r="BB295" i="1" s="1"/>
  <c r="BA303" i="1"/>
  <c r="BB303" i="1" s="1"/>
  <c r="BA298" i="1"/>
  <c r="BB298" i="1" s="1"/>
  <c r="AG301" i="1"/>
  <c r="AH301" i="1" s="1"/>
  <c r="AG293" i="1"/>
  <c r="AH293" i="1" s="1"/>
  <c r="AG296" i="1"/>
  <c r="AH296" i="1" s="1"/>
  <c r="AG295" i="1"/>
  <c r="AH295" i="1" s="1"/>
  <c r="AG294" i="1"/>
  <c r="AH294" i="1" s="1"/>
  <c r="AG297" i="1"/>
  <c r="AH297" i="1" s="1"/>
  <c r="AG298" i="1"/>
  <c r="AH298" i="1" s="1"/>
  <c r="AG303" i="1"/>
  <c r="AG302" i="1"/>
  <c r="AH302" i="1" s="1"/>
  <c r="M298" i="1"/>
  <c r="M302" i="1"/>
  <c r="M294" i="1"/>
  <c r="M295" i="1"/>
  <c r="M297" i="1"/>
  <c r="M296" i="1"/>
  <c r="M303" i="1"/>
  <c r="M293" i="1"/>
  <c r="M301" i="1"/>
  <c r="BU309" i="1"/>
  <c r="BU310" i="1"/>
  <c r="BV310" i="1" s="1"/>
  <c r="BA310" i="1"/>
  <c r="BB310" i="1" s="1"/>
  <c r="BA309" i="1"/>
  <c r="AG309" i="1"/>
  <c r="AG310" i="1"/>
  <c r="AH310" i="1" s="1"/>
  <c r="M310" i="1"/>
  <c r="M309" i="1"/>
  <c r="BU326" i="1"/>
  <c r="BU305" i="1"/>
  <c r="M317" i="1"/>
  <c r="M305" i="1"/>
  <c r="AG292" i="1"/>
  <c r="AG305" i="1"/>
  <c r="AH305" i="1" s="1"/>
  <c r="BA317" i="1"/>
  <c r="BA305" i="1"/>
  <c r="BB305" i="1" s="1"/>
  <c r="BY445" i="1"/>
  <c r="DH445" i="1" s="1"/>
  <c r="BV445" i="1"/>
  <c r="BU307" i="1"/>
  <c r="AG325" i="1"/>
  <c r="AG326" i="1"/>
  <c r="AG313" i="1"/>
  <c r="AG315" i="1"/>
  <c r="AG323" i="1"/>
  <c r="AG324" i="1"/>
  <c r="BU308" i="1"/>
  <c r="BU323" i="1"/>
  <c r="BU292" i="1"/>
  <c r="BU315" i="1"/>
  <c r="BU324" i="1"/>
  <c r="BU313" i="1"/>
  <c r="BU325" i="1"/>
  <c r="BU291" i="1"/>
  <c r="BU300" i="1"/>
  <c r="BU316" i="1"/>
  <c r="BU306" i="1"/>
  <c r="BU317" i="1"/>
  <c r="BA324" i="1"/>
  <c r="BA316" i="1"/>
  <c r="BA306" i="1"/>
  <c r="BA326" i="1"/>
  <c r="BA307" i="1"/>
  <c r="BA323" i="1"/>
  <c r="BA292" i="1"/>
  <c r="BA325" i="1"/>
  <c r="BA308" i="1"/>
  <c r="BA313" i="1"/>
  <c r="BA291" i="1"/>
  <c r="BA315" i="1"/>
  <c r="BA300" i="1"/>
  <c r="P317" i="1"/>
  <c r="P323" i="1"/>
  <c r="P291" i="1"/>
  <c r="P313" i="1"/>
  <c r="P324" i="1"/>
  <c r="P292" i="1"/>
  <c r="P315" i="1"/>
  <c r="P325" i="1"/>
  <c r="P300" i="1"/>
  <c r="P316" i="1"/>
  <c r="P326" i="1"/>
  <c r="P306" i="1"/>
  <c r="M324" i="1"/>
  <c r="M307" i="1"/>
  <c r="M325" i="1"/>
  <c r="M308" i="1"/>
  <c r="M313" i="1"/>
  <c r="M292" i="1"/>
  <c r="M315" i="1"/>
  <c r="M326" i="1"/>
  <c r="M291" i="1"/>
  <c r="M300" i="1"/>
  <c r="M316" i="1"/>
  <c r="M323" i="1"/>
  <c r="M306" i="1"/>
  <c r="AG300" i="1"/>
  <c r="AG316" i="1"/>
  <c r="AG306" i="1"/>
  <c r="AG317" i="1"/>
  <c r="AG307" i="1"/>
  <c r="AG308" i="1"/>
  <c r="AG291" i="1"/>
  <c r="DG295" i="1" l="1"/>
  <c r="DG326" i="1"/>
  <c r="DG303" i="1"/>
  <c r="DG292" i="1"/>
  <c r="DG300" i="1"/>
  <c r="DG309" i="1"/>
  <c r="DG301" i="1"/>
  <c r="DG293" i="1"/>
  <c r="DG315" i="1"/>
  <c r="DG296" i="1"/>
  <c r="DG297" i="1"/>
  <c r="DG323" i="1"/>
  <c r="DG294" i="1"/>
  <c r="DG316" i="1"/>
  <c r="DG325" i="1"/>
  <c r="DG307" i="1"/>
  <c r="DG298" i="1"/>
  <c r="DG291" i="1"/>
  <c r="DG324" i="1"/>
  <c r="DG310" i="1"/>
  <c r="DG305" i="1"/>
  <c r="DG306" i="1"/>
  <c r="DG313" i="1"/>
  <c r="DG317" i="1"/>
  <c r="DG308" i="1"/>
  <c r="DG302" i="1"/>
  <c r="K315" i="1"/>
  <c r="K296" i="1"/>
  <c r="K305" i="1"/>
  <c r="K297" i="1"/>
  <c r="K313" i="1"/>
  <c r="K317" i="1"/>
  <c r="K295" i="1"/>
  <c r="K292" i="1"/>
  <c r="K294" i="1"/>
  <c r="K316" i="1"/>
  <c r="K325" i="1"/>
  <c r="DM445" i="1"/>
  <c r="DJ445" i="1"/>
  <c r="K302" i="1"/>
  <c r="K326" i="1"/>
  <c r="K306" i="1"/>
  <c r="K323" i="1"/>
  <c r="K300" i="1"/>
  <c r="K307" i="1"/>
  <c r="K309" i="1"/>
  <c r="K301" i="1"/>
  <c r="K298" i="1"/>
  <c r="K303" i="1"/>
  <c r="K308" i="1"/>
  <c r="K291" i="1"/>
  <c r="K324" i="1"/>
  <c r="K310" i="1"/>
  <c r="K293" i="1"/>
  <c r="N297" i="1"/>
  <c r="BS297" i="1"/>
  <c r="AY297" i="1"/>
  <c r="AE297" i="1"/>
  <c r="J297" i="1"/>
  <c r="N295" i="1"/>
  <c r="BS295" i="1"/>
  <c r="AE295" i="1"/>
  <c r="AY295" i="1"/>
  <c r="J295" i="1"/>
  <c r="N294" i="1"/>
  <c r="BS294" i="1"/>
  <c r="AY294" i="1"/>
  <c r="AE294" i="1"/>
  <c r="J294" i="1"/>
  <c r="J302" i="1"/>
  <c r="BS302" i="1"/>
  <c r="AE302" i="1"/>
  <c r="AY302" i="1"/>
  <c r="N302" i="1"/>
  <c r="BS301" i="1"/>
  <c r="AE301" i="1"/>
  <c r="AY301" i="1"/>
  <c r="N301" i="1"/>
  <c r="J301" i="1"/>
  <c r="N298" i="1"/>
  <c r="AE298" i="1"/>
  <c r="BS298" i="1"/>
  <c r="AY298" i="1"/>
  <c r="J298" i="1"/>
  <c r="AY293" i="1"/>
  <c r="AE293" i="1"/>
  <c r="N293" i="1"/>
  <c r="BS293" i="1"/>
  <c r="J293" i="1"/>
  <c r="N303" i="1"/>
  <c r="BS303" i="1"/>
  <c r="AE303" i="1"/>
  <c r="AY303" i="1"/>
  <c r="J303" i="1"/>
  <c r="AH303" i="1"/>
  <c r="BS296" i="1"/>
  <c r="AY296" i="1"/>
  <c r="N296" i="1"/>
  <c r="AE296" i="1"/>
  <c r="J296" i="1"/>
  <c r="BS310" i="1"/>
  <c r="AY310" i="1"/>
  <c r="J310" i="1"/>
  <c r="N310" i="1"/>
  <c r="AE310" i="1"/>
  <c r="AJ372" i="1"/>
  <c r="AJ374" i="1"/>
  <c r="AJ373" i="1"/>
  <c r="N305" i="1"/>
  <c r="AY305" i="1"/>
  <c r="BS305" i="1"/>
  <c r="AE305" i="1"/>
  <c r="J305" i="1"/>
  <c r="BV305" i="1"/>
  <c r="AJ101" i="1" l="1"/>
  <c r="AJ323" i="1" l="1"/>
  <c r="AJ326" i="1"/>
  <c r="AJ324" i="1"/>
  <c r="AJ315" i="1"/>
  <c r="AJ307" i="1"/>
  <c r="AJ313" i="1"/>
  <c r="AJ306" i="1"/>
  <c r="AJ317" i="1"/>
  <c r="AJ300" i="1"/>
  <c r="AJ291" i="1"/>
  <c r="AJ292" i="1"/>
  <c r="AJ325" i="1"/>
  <c r="AJ316" i="1"/>
  <c r="CO488" i="1" l="1"/>
  <c r="BU488" i="1"/>
  <c r="BA488" i="1"/>
  <c r="AG488" i="1"/>
  <c r="M488" i="1"/>
  <c r="DG479" i="1"/>
  <c r="DG488" i="1" l="1"/>
  <c r="DG480" i="1"/>
  <c r="DG478" i="1"/>
  <c r="K478" i="1"/>
  <c r="K480" i="1"/>
  <c r="CM479" i="1"/>
  <c r="K479" i="1"/>
  <c r="CM488" i="1"/>
  <c r="K488" i="1"/>
  <c r="CM480" i="1"/>
  <c r="CM478" i="1"/>
  <c r="CO355" i="1"/>
  <c r="BU355" i="1"/>
  <c r="BA355" i="1"/>
  <c r="AG355" i="1"/>
  <c r="M355" i="1"/>
  <c r="DG355" i="1" l="1"/>
  <c r="CM355" i="1"/>
  <c r="K355" i="1"/>
  <c r="BS121" i="1"/>
  <c r="CM508" i="1" l="1"/>
  <c r="CO491" i="1"/>
  <c r="CO487" i="1"/>
  <c r="CO496" i="1"/>
  <c r="CO486" i="1"/>
  <c r="CO497" i="1"/>
  <c r="CO494" i="1"/>
  <c r="CO493" i="1"/>
  <c r="BU491" i="1"/>
  <c r="BU487" i="1"/>
  <c r="BU496" i="1"/>
  <c r="BU486" i="1"/>
  <c r="BU497" i="1"/>
  <c r="BU494" i="1"/>
  <c r="BU493" i="1"/>
  <c r="BA491" i="1"/>
  <c r="BA487" i="1"/>
  <c r="BA496" i="1"/>
  <c r="BA486" i="1"/>
  <c r="BA497" i="1"/>
  <c r="BA494" i="1"/>
  <c r="BA493" i="1"/>
  <c r="AG491" i="1"/>
  <c r="AG487" i="1"/>
  <c r="AG496" i="1"/>
  <c r="AG486" i="1"/>
  <c r="AG497" i="1"/>
  <c r="AG494" i="1"/>
  <c r="AG493" i="1"/>
  <c r="CO333" i="1"/>
  <c r="CO332" i="1"/>
  <c r="CO331" i="1"/>
  <c r="CO330" i="1"/>
  <c r="CO329" i="1"/>
  <c r="CO328" i="1"/>
  <c r="CO327" i="1"/>
  <c r="CM327" i="1" s="1"/>
  <c r="BU333" i="1"/>
  <c r="BU332" i="1"/>
  <c r="BU331" i="1"/>
  <c r="BU330" i="1"/>
  <c r="BU329" i="1"/>
  <c r="BU328" i="1"/>
  <c r="BA333" i="1"/>
  <c r="BA332" i="1"/>
  <c r="BA331" i="1"/>
  <c r="BA330" i="1"/>
  <c r="BA329" i="1"/>
  <c r="BA328" i="1"/>
  <c r="AG333" i="1"/>
  <c r="AG332" i="1"/>
  <c r="AG331" i="1"/>
  <c r="AG330" i="1"/>
  <c r="AG329" i="1"/>
  <c r="AG328" i="1"/>
  <c r="AG327" i="1"/>
  <c r="CO317" i="1"/>
  <c r="CM317" i="1" s="1"/>
  <c r="CO316" i="1"/>
  <c r="CM316" i="1" s="1"/>
  <c r="CO315" i="1"/>
  <c r="CM315" i="1" s="1"/>
  <c r="CO314" i="1"/>
  <c r="CM314" i="1" s="1"/>
  <c r="CO313" i="1"/>
  <c r="CM313" i="1" s="1"/>
  <c r="CO312" i="1"/>
  <c r="CM312" i="1" s="1"/>
  <c r="CO308" i="1"/>
  <c r="CM308" i="1" s="1"/>
  <c r="CO307" i="1"/>
  <c r="CM307" i="1" s="1"/>
  <c r="CO306" i="1"/>
  <c r="CM306" i="1" s="1"/>
  <c r="CO300" i="1"/>
  <c r="CM300" i="1" s="1"/>
  <c r="CO292" i="1"/>
  <c r="CM292" i="1" s="1"/>
  <c r="CO291" i="1"/>
  <c r="CM291" i="1" s="1"/>
  <c r="CO288" i="1"/>
  <c r="CO287" i="1"/>
  <c r="CO286" i="1"/>
  <c r="CO285" i="1"/>
  <c r="CO277" i="1"/>
  <c r="BU288" i="1"/>
  <c r="BU287" i="1"/>
  <c r="BU286" i="1"/>
  <c r="BU285" i="1"/>
  <c r="BU277" i="1"/>
  <c r="BA288" i="1"/>
  <c r="BA287" i="1"/>
  <c r="BA286" i="1"/>
  <c r="BA285" i="1"/>
  <c r="BA277" i="1"/>
  <c r="AG288" i="1"/>
  <c r="AG287" i="1"/>
  <c r="AG286" i="1"/>
  <c r="AG285" i="1"/>
  <c r="AG277" i="1"/>
  <c r="M487" i="1"/>
  <c r="M287" i="1"/>
  <c r="M491" i="1"/>
  <c r="M486" i="1"/>
  <c r="CM552" i="1"/>
  <c r="CR308" i="1"/>
  <c r="Q308" i="1"/>
  <c r="AF308" i="1" s="1"/>
  <c r="P101" i="1"/>
  <c r="DG486" i="1" l="1"/>
  <c r="DG502" i="1"/>
  <c r="DG287" i="1"/>
  <c r="DG491" i="1"/>
  <c r="DG487" i="1"/>
  <c r="K491" i="1"/>
  <c r="K502" i="1"/>
  <c r="K486" i="1"/>
  <c r="CM287" i="1"/>
  <c r="K287" i="1"/>
  <c r="CM487" i="1"/>
  <c r="K487" i="1"/>
  <c r="CM502" i="1"/>
  <c r="CM486" i="1"/>
  <c r="CM491" i="1"/>
  <c r="N534" i="1"/>
  <c r="AH308" i="1"/>
  <c r="AE308" i="1"/>
  <c r="N308" i="1"/>
  <c r="AK308" i="1"/>
  <c r="AZ308" i="1" s="1"/>
  <c r="BE308" i="1" s="1"/>
  <c r="BT308" i="1" s="1"/>
  <c r="BV308" i="1" s="1"/>
  <c r="BS308" i="1"/>
  <c r="AY308" i="1"/>
  <c r="J308" i="1"/>
  <c r="P374" i="1" l="1"/>
  <c r="Q374" i="1" s="1"/>
  <c r="AF374" i="1" s="1"/>
  <c r="P373" i="1"/>
  <c r="Q373" i="1" s="1"/>
  <c r="AF373" i="1" s="1"/>
  <c r="P372" i="1"/>
  <c r="Q372" i="1" s="1"/>
  <c r="AF372" i="1" s="1"/>
  <c r="BY308" i="1"/>
  <c r="BB308" i="1"/>
  <c r="CN308" i="1" l="1"/>
  <c r="CS308" i="1" s="1"/>
  <c r="DH308" i="1"/>
  <c r="AK372" i="1"/>
  <c r="AZ372" i="1" s="1"/>
  <c r="AH372" i="1"/>
  <c r="AK373" i="1"/>
  <c r="AZ373" i="1" s="1"/>
  <c r="AH373" i="1"/>
  <c r="AK374" i="1"/>
  <c r="AZ374" i="1" s="1"/>
  <c r="AH374" i="1"/>
  <c r="CR36" i="1"/>
  <c r="CR35" i="1"/>
  <c r="CR34" i="1"/>
  <c r="CR33" i="1"/>
  <c r="CR32" i="1"/>
  <c r="CR31" i="1"/>
  <c r="CR30" i="1"/>
  <c r="CR29" i="1"/>
  <c r="CR25" i="1"/>
  <c r="BX36" i="1"/>
  <c r="BX35" i="1"/>
  <c r="BX34" i="1"/>
  <c r="BX33" i="1"/>
  <c r="BX32" i="1"/>
  <c r="BX31" i="1"/>
  <c r="BX30" i="1"/>
  <c r="BX29" i="1"/>
  <c r="BX25" i="1"/>
  <c r="BD36" i="1"/>
  <c r="BD35" i="1"/>
  <c r="BD34" i="1"/>
  <c r="BD33" i="1"/>
  <c r="BD30" i="1"/>
  <c r="BD29" i="1"/>
  <c r="BD25" i="1"/>
  <c r="AJ36" i="1"/>
  <c r="AJ35" i="1"/>
  <c r="AJ34" i="1"/>
  <c r="AJ33" i="1"/>
  <c r="AJ32" i="1"/>
  <c r="AJ31" i="1"/>
  <c r="AJ30" i="1"/>
  <c r="AJ29" i="1"/>
  <c r="AJ25" i="1"/>
  <c r="CO36" i="1"/>
  <c r="CO35" i="1"/>
  <c r="CO34" i="1"/>
  <c r="CO33" i="1"/>
  <c r="CO32" i="1"/>
  <c r="CO31" i="1"/>
  <c r="CO30" i="1"/>
  <c r="CO29" i="1"/>
  <c r="CO25" i="1"/>
  <c r="BU36" i="1"/>
  <c r="BU35" i="1"/>
  <c r="BU34" i="1"/>
  <c r="BU33" i="1"/>
  <c r="BU32" i="1"/>
  <c r="BU31" i="1"/>
  <c r="BU30" i="1"/>
  <c r="BU29" i="1"/>
  <c r="BU25" i="1"/>
  <c r="BA36" i="1"/>
  <c r="BA35" i="1"/>
  <c r="BA34" i="1"/>
  <c r="BA33" i="1"/>
  <c r="BA32" i="1"/>
  <c r="BA31" i="1"/>
  <c r="BA30" i="1"/>
  <c r="BA29" i="1"/>
  <c r="BA25" i="1"/>
  <c r="AG36" i="1"/>
  <c r="AG35" i="1"/>
  <c r="AG34" i="1"/>
  <c r="AG33" i="1"/>
  <c r="AG32" i="1"/>
  <c r="AG31" i="1"/>
  <c r="AG30" i="1"/>
  <c r="AG29" i="1"/>
  <c r="AG25" i="1"/>
  <c r="M31" i="1"/>
  <c r="DG495" i="1"/>
  <c r="CR169" i="1"/>
  <c r="BX169" i="1"/>
  <c r="CO169" i="1"/>
  <c r="BU169" i="1"/>
  <c r="BA169" i="1"/>
  <c r="AG169" i="1"/>
  <c r="M169" i="1"/>
  <c r="BV28" i="1" l="1"/>
  <c r="CP308" i="1"/>
  <c r="DG169" i="1"/>
  <c r="DG31" i="1"/>
  <c r="K169" i="1"/>
  <c r="K31" i="1"/>
  <c r="DM308" i="1"/>
  <c r="DJ308" i="1"/>
  <c r="CM495" i="1"/>
  <c r="K495" i="1"/>
  <c r="CM31" i="1"/>
  <c r="CM169" i="1"/>
  <c r="BE374" i="1"/>
  <c r="BT374" i="1" s="1"/>
  <c r="BB374" i="1"/>
  <c r="BB373" i="1"/>
  <c r="BE373" i="1"/>
  <c r="BT373" i="1" s="1"/>
  <c r="BE372" i="1"/>
  <c r="BT372" i="1" s="1"/>
  <c r="BB372" i="1"/>
  <c r="AE31" i="1"/>
  <c r="J31" i="1"/>
  <c r="N31" i="1"/>
  <c r="BS31" i="1"/>
  <c r="AY31" i="1"/>
  <c r="BV373" i="1" l="1"/>
  <c r="BY373" i="1"/>
  <c r="BV374" i="1"/>
  <c r="BY374" i="1"/>
  <c r="BY372" i="1"/>
  <c r="BV372" i="1"/>
  <c r="CM532" i="1"/>
  <c r="CN374" i="1" l="1"/>
  <c r="CP374" i="1" s="1"/>
  <c r="DH374" i="1"/>
  <c r="CN372" i="1"/>
  <c r="CP372" i="1" s="1"/>
  <c r="DH372" i="1"/>
  <c r="CN373" i="1"/>
  <c r="CS373" i="1" s="1"/>
  <c r="DH373" i="1"/>
  <c r="BV534" i="1"/>
  <c r="BB534" i="1"/>
  <c r="CP534" i="1"/>
  <c r="BO5" i="1"/>
  <c r="BN5" i="1"/>
  <c r="BK5" i="1"/>
  <c r="BJ5" i="1"/>
  <c r="BG5" i="1"/>
  <c r="BF5" i="1"/>
  <c r="AU5" i="1"/>
  <c r="AT5" i="1"/>
  <c r="AQ5" i="1"/>
  <c r="AP5" i="1"/>
  <c r="AM5" i="1"/>
  <c r="AL5" i="1"/>
  <c r="AA5" i="1"/>
  <c r="W5" i="1"/>
  <c r="V5" i="1"/>
  <c r="S5" i="1"/>
  <c r="R5" i="1"/>
  <c r="CR6" i="1"/>
  <c r="CR16" i="1" s="1"/>
  <c r="CO6" i="1"/>
  <c r="BU6" i="1"/>
  <c r="BD6" i="1"/>
  <c r="BD16" i="1" s="1"/>
  <c r="BA6" i="1"/>
  <c r="AJ6" i="1"/>
  <c r="AJ16" i="1" s="1"/>
  <c r="AG6" i="1"/>
  <c r="M6" i="1"/>
  <c r="P31" i="1"/>
  <c r="Q31" i="1" s="1"/>
  <c r="AF31" i="1" s="1"/>
  <c r="CS374" i="1" l="1"/>
  <c r="J6" i="1"/>
  <c r="DG6" i="1"/>
  <c r="CP373" i="1"/>
  <c r="CS372" i="1"/>
  <c r="DM373" i="1"/>
  <c r="DJ373" i="1"/>
  <c r="DJ372" i="1"/>
  <c r="DM372" i="1"/>
  <c r="K6" i="1"/>
  <c r="DM374" i="1"/>
  <c r="DJ374" i="1"/>
  <c r="CM534" i="1"/>
  <c r="AE6" i="1"/>
  <c r="CM6" i="1"/>
  <c r="AH534" i="1"/>
  <c r="AE534" i="1"/>
  <c r="AY534" i="1"/>
  <c r="J534" i="1"/>
  <c r="BS534" i="1"/>
  <c r="AH31" i="1"/>
  <c r="AK31" i="1"/>
  <c r="N6" i="1"/>
  <c r="BS6" i="1"/>
  <c r="AY6" i="1"/>
  <c r="BB31" i="1" l="1"/>
  <c r="BE31" i="1"/>
  <c r="BT31" i="1" s="1"/>
  <c r="CR237" i="1"/>
  <c r="CR235" i="1"/>
  <c r="CR234" i="1"/>
  <c r="CR233" i="1"/>
  <c r="CR232" i="1"/>
  <c r="CR231" i="1"/>
  <c r="CR228" i="1"/>
  <c r="CR215" i="1"/>
  <c r="CR218" i="1" s="1"/>
  <c r="CR221" i="1" s="1"/>
  <c r="CR227" i="1"/>
  <c r="CR226" i="1"/>
  <c r="CR225" i="1"/>
  <c r="CR214" i="1"/>
  <c r="CR217" i="1" s="1"/>
  <c r="CR220" i="1" s="1"/>
  <c r="CR230" i="1"/>
  <c r="CR229" i="1"/>
  <c r="CR213" i="1"/>
  <c r="CR216" i="1" s="1"/>
  <c r="CR219" i="1" s="1"/>
  <c r="CR222" i="1" s="1"/>
  <c r="BX237" i="1"/>
  <c r="BX235" i="1"/>
  <c r="BX234" i="1"/>
  <c r="BX233" i="1"/>
  <c r="BX232" i="1"/>
  <c r="BX231" i="1"/>
  <c r="BX228" i="1"/>
  <c r="BX215" i="1"/>
  <c r="BX218" i="1" s="1"/>
  <c r="BX221" i="1" s="1"/>
  <c r="BX227" i="1"/>
  <c r="BX226" i="1"/>
  <c r="BX225" i="1"/>
  <c r="BX214" i="1"/>
  <c r="BX217" i="1" s="1"/>
  <c r="BX220" i="1" s="1"/>
  <c r="BX230" i="1"/>
  <c r="BX213" i="1"/>
  <c r="BX216" i="1" s="1"/>
  <c r="BX219" i="1" s="1"/>
  <c r="BX222" i="1" s="1"/>
  <c r="BD237" i="1"/>
  <c r="BD235" i="1"/>
  <c r="BD234" i="1"/>
  <c r="BD233" i="1"/>
  <c r="BD232" i="1"/>
  <c r="BD231" i="1"/>
  <c r="BD228" i="1"/>
  <c r="BD215" i="1"/>
  <c r="BD218" i="1" s="1"/>
  <c r="BD221" i="1" s="1"/>
  <c r="BD227" i="1"/>
  <c r="BD226" i="1"/>
  <c r="BD225" i="1"/>
  <c r="BD214" i="1"/>
  <c r="BD217" i="1" s="1"/>
  <c r="BD220" i="1" s="1"/>
  <c r="BD230" i="1"/>
  <c r="BD229" i="1"/>
  <c r="BD213" i="1"/>
  <c r="BD216" i="1" s="1"/>
  <c r="BD219" i="1" s="1"/>
  <c r="BD222" i="1" s="1"/>
  <c r="AJ237" i="1"/>
  <c r="AJ235" i="1"/>
  <c r="AJ234" i="1"/>
  <c r="AJ233" i="1"/>
  <c r="AJ232" i="1"/>
  <c r="AJ231" i="1"/>
  <c r="AJ228" i="1"/>
  <c r="AJ215" i="1"/>
  <c r="AJ218" i="1" s="1"/>
  <c r="AJ221" i="1" s="1"/>
  <c r="AJ227" i="1"/>
  <c r="AJ226" i="1"/>
  <c r="AJ225" i="1"/>
  <c r="AJ214" i="1"/>
  <c r="AJ217" i="1" s="1"/>
  <c r="AJ220" i="1" s="1"/>
  <c r="AJ230" i="1"/>
  <c r="AJ213" i="1"/>
  <c r="AJ216" i="1" s="1"/>
  <c r="AJ219" i="1" s="1"/>
  <c r="AJ222" i="1" s="1"/>
  <c r="P235" i="1"/>
  <c r="Q235" i="1" s="1"/>
  <c r="AF235" i="1" s="1"/>
  <c r="P234" i="1"/>
  <c r="P233" i="1"/>
  <c r="P232" i="1"/>
  <c r="P231" i="1"/>
  <c r="P228" i="1"/>
  <c r="P215" i="1"/>
  <c r="P218" i="1" s="1"/>
  <c r="P227" i="1"/>
  <c r="P226" i="1"/>
  <c r="P225" i="1"/>
  <c r="P214" i="1"/>
  <c r="P217" i="1" s="1"/>
  <c r="P230" i="1"/>
  <c r="P229" i="1"/>
  <c r="P213" i="1"/>
  <c r="P216" i="1" s="1"/>
  <c r="AJ224" i="1" l="1"/>
  <c r="AJ223" i="1"/>
  <c r="BX224" i="1"/>
  <c r="BX223" i="1"/>
  <c r="BD224" i="1"/>
  <c r="BD223" i="1"/>
  <c r="CR224" i="1"/>
  <c r="CR223" i="1"/>
  <c r="P219" i="1"/>
  <c r="Q216" i="1"/>
  <c r="AF216" i="1" s="1"/>
  <c r="P220" i="1"/>
  <c r="P223" i="1" s="1"/>
  <c r="Q223" i="1" s="1"/>
  <c r="AF223" i="1" s="1"/>
  <c r="Q217" i="1"/>
  <c r="AF217" i="1" s="1"/>
  <c r="P221" i="1"/>
  <c r="Q221" i="1" s="1"/>
  <c r="AF221" i="1" s="1"/>
  <c r="AK221" i="1" s="1"/>
  <c r="AZ221" i="1" s="1"/>
  <c r="BE221" i="1" s="1"/>
  <c r="BT221" i="1" s="1"/>
  <c r="Q218" i="1"/>
  <c r="AF218" i="1" s="1"/>
  <c r="BY31" i="1"/>
  <c r="BV31" i="1"/>
  <c r="AK235" i="1"/>
  <c r="AZ235" i="1" s="1"/>
  <c r="BX78" i="1"/>
  <c r="BD78" i="1"/>
  <c r="AJ78" i="1"/>
  <c r="CN31" i="1" l="1"/>
  <c r="CP31" i="1" s="1"/>
  <c r="DH31" i="1"/>
  <c r="AK223" i="1"/>
  <c r="AZ223" i="1" s="1"/>
  <c r="BE223" i="1" s="1"/>
  <c r="BT223" i="1" s="1"/>
  <c r="BY223" i="1" s="1"/>
  <c r="BY221" i="1"/>
  <c r="P224" i="1"/>
  <c r="Q224" i="1" s="1"/>
  <c r="AF224" i="1" s="1"/>
  <c r="AK224" i="1" s="1"/>
  <c r="AZ224" i="1" s="1"/>
  <c r="BE224" i="1" s="1"/>
  <c r="BT224" i="1" s="1"/>
  <c r="Q220" i="1"/>
  <c r="AF220" i="1" s="1"/>
  <c r="AK220" i="1" s="1"/>
  <c r="AZ220" i="1" s="1"/>
  <c r="BE220" i="1" s="1"/>
  <c r="BT220" i="1" s="1"/>
  <c r="BY220" i="1" s="1"/>
  <c r="Q219" i="1"/>
  <c r="AF219" i="1" s="1"/>
  <c r="AK219" i="1" s="1"/>
  <c r="AZ219" i="1" s="1"/>
  <c r="BE219" i="1" s="1"/>
  <c r="BT219" i="1" s="1"/>
  <c r="P222" i="1"/>
  <c r="Q222" i="1" s="1"/>
  <c r="AF222" i="1" s="1"/>
  <c r="AK222" i="1" s="1"/>
  <c r="AZ222" i="1" s="1"/>
  <c r="BE222" i="1" s="1"/>
  <c r="BT222" i="1" s="1"/>
  <c r="AK218" i="1"/>
  <c r="AZ218" i="1" s="1"/>
  <c r="BE218" i="1" s="1"/>
  <c r="BT218" i="1" s="1"/>
  <c r="BY218" i="1" s="1"/>
  <c r="AK217" i="1"/>
  <c r="AZ217" i="1" s="1"/>
  <c r="AK216" i="1"/>
  <c r="AZ216" i="1" s="1"/>
  <c r="BE235" i="1"/>
  <c r="BT235" i="1" s="1"/>
  <c r="P78" i="1"/>
  <c r="P6" i="1"/>
  <c r="CS31" i="1" l="1"/>
  <c r="CN221" i="1"/>
  <c r="CS221" i="1" s="1"/>
  <c r="DH221" i="1"/>
  <c r="CN223" i="1"/>
  <c r="CS223" i="1" s="1"/>
  <c r="DH223" i="1"/>
  <c r="CN220" i="1"/>
  <c r="CS220" i="1" s="1"/>
  <c r="DH220" i="1"/>
  <c r="DM31" i="1"/>
  <c r="DJ31" i="1"/>
  <c r="CN218" i="1"/>
  <c r="CS218" i="1" s="1"/>
  <c r="DH218" i="1"/>
  <c r="Q6" i="1"/>
  <c r="AF6" i="1" s="1"/>
  <c r="AH6" i="1" s="1"/>
  <c r="P16" i="1"/>
  <c r="Q16" i="1" s="1"/>
  <c r="AF16" i="1" s="1"/>
  <c r="BY219" i="1"/>
  <c r="BY224" i="1"/>
  <c r="BE216" i="1"/>
  <c r="BT216" i="1" s="1"/>
  <c r="BY216" i="1" s="1"/>
  <c r="BE217" i="1"/>
  <c r="BT217" i="1" s="1"/>
  <c r="BY222" i="1"/>
  <c r="BY235" i="1"/>
  <c r="P169" i="1"/>
  <c r="CN216" i="1" l="1"/>
  <c r="CS216" i="1" s="1"/>
  <c r="DH216" i="1"/>
  <c r="CN219" i="1"/>
  <c r="CS219" i="1" s="1"/>
  <c r="DH219" i="1"/>
  <c r="CN224" i="1"/>
  <c r="CS224" i="1" s="1"/>
  <c r="DH224" i="1"/>
  <c r="DJ223" i="1"/>
  <c r="DM223" i="1"/>
  <c r="AK6" i="1"/>
  <c r="AZ6" i="1" s="1"/>
  <c r="BE6" i="1" s="1"/>
  <c r="BT6" i="1" s="1"/>
  <c r="CN235" i="1"/>
  <c r="CS235" i="1" s="1"/>
  <c r="DH235" i="1"/>
  <c r="DM218" i="1"/>
  <c r="DJ218" i="1"/>
  <c r="DM221" i="1"/>
  <c r="DJ221" i="1"/>
  <c r="DJ220" i="1"/>
  <c r="DM220" i="1"/>
  <c r="CN222" i="1"/>
  <c r="CS222" i="1" s="1"/>
  <c r="DH222" i="1"/>
  <c r="AK16" i="1"/>
  <c r="AH16" i="1"/>
  <c r="BY217" i="1"/>
  <c r="BB6" i="1" l="1"/>
  <c r="DM219" i="1"/>
  <c r="DJ219" i="1"/>
  <c r="CN217" i="1"/>
  <c r="DH217" i="1"/>
  <c r="DJ224" i="1"/>
  <c r="DM224" i="1"/>
  <c r="DM235" i="1"/>
  <c r="DJ235" i="1"/>
  <c r="DM216" i="1"/>
  <c r="DJ216" i="1"/>
  <c r="DM222" i="1"/>
  <c r="DJ222" i="1"/>
  <c r="BE16" i="1"/>
  <c r="BT16" i="1" s="1"/>
  <c r="BB16" i="1"/>
  <c r="CS217" i="1"/>
  <c r="BY6" i="1"/>
  <c r="BV6" i="1"/>
  <c r="CR351" i="1"/>
  <c r="CO351" i="1"/>
  <c r="BX351" i="1"/>
  <c r="BU351" i="1"/>
  <c r="BD351" i="1"/>
  <c r="BA351" i="1"/>
  <c r="AJ351" i="1"/>
  <c r="AG351" i="1"/>
  <c r="P351" i="1"/>
  <c r="Q351" i="1" s="1"/>
  <c r="AF351" i="1" s="1"/>
  <c r="M351" i="1"/>
  <c r="BU523" i="1"/>
  <c r="BA523" i="1"/>
  <c r="AG523" i="1"/>
  <c r="M523" i="1"/>
  <c r="BX355" i="1"/>
  <c r="DG523" i="1" l="1"/>
  <c r="DG351" i="1"/>
  <c r="K523" i="1"/>
  <c r="CN6" i="1"/>
  <c r="CP6" i="1" s="1"/>
  <c r="DH6" i="1"/>
  <c r="DJ217" i="1"/>
  <c r="DM217" i="1"/>
  <c r="CM351" i="1"/>
  <c r="K351" i="1"/>
  <c r="CO523" i="1"/>
  <c r="CM523" i="1" s="1"/>
  <c r="CM510" i="1"/>
  <c r="BY16" i="1"/>
  <c r="BV16" i="1"/>
  <c r="AK351" i="1"/>
  <c r="AZ351" i="1" s="1"/>
  <c r="BE351" i="1" s="1"/>
  <c r="BT351" i="1" s="1"/>
  <c r="BY351" i="1" s="1"/>
  <c r="BS351" i="1"/>
  <c r="CS6" i="1"/>
  <c r="AH351" i="1"/>
  <c r="AE351" i="1"/>
  <c r="AY351" i="1"/>
  <c r="J351" i="1"/>
  <c r="CM503" i="1"/>
  <c r="Q503" i="1"/>
  <c r="AF503" i="1" s="1"/>
  <c r="AK503" i="1" s="1"/>
  <c r="AZ503" i="1" s="1"/>
  <c r="BE503" i="1" s="1"/>
  <c r="BT503" i="1" s="1"/>
  <c r="BY503" i="1" s="1"/>
  <c r="BS551" i="1"/>
  <c r="AY551" i="1"/>
  <c r="AE551" i="1"/>
  <c r="J551" i="1"/>
  <c r="CN503" i="1" l="1"/>
  <c r="CS503" i="1" s="1"/>
  <c r="DH503" i="1"/>
  <c r="CN16" i="1"/>
  <c r="CS16" i="1" s="1"/>
  <c r="DH16" i="1"/>
  <c r="DM6" i="1"/>
  <c r="DJ6" i="1"/>
  <c r="CN351" i="1"/>
  <c r="CP351" i="1" s="1"/>
  <c r="DH351" i="1"/>
  <c r="M555" i="1"/>
  <c r="AG555" i="1"/>
  <c r="AG504" i="1"/>
  <c r="AG505" i="1"/>
  <c r="BA555" i="1"/>
  <c r="BA505" i="1"/>
  <c r="CO555" i="1"/>
  <c r="CO505" i="1"/>
  <c r="CO504" i="1"/>
  <c r="BU555" i="1"/>
  <c r="BU504" i="1"/>
  <c r="CM545" i="1"/>
  <c r="BV351" i="1"/>
  <c r="BB351" i="1"/>
  <c r="AH503" i="1"/>
  <c r="N503" i="1"/>
  <c r="AE503" i="1"/>
  <c r="BS531" i="1"/>
  <c r="AY531" i="1"/>
  <c r="AE531" i="1"/>
  <c r="J531" i="1"/>
  <c r="BV503" i="1"/>
  <c r="BB503" i="1"/>
  <c r="CR331" i="1"/>
  <c r="CR329" i="1"/>
  <c r="BX331" i="1"/>
  <c r="BX329" i="1"/>
  <c r="BD331" i="1"/>
  <c r="BD329" i="1"/>
  <c r="AJ331" i="1"/>
  <c r="AJ329" i="1"/>
  <c r="CP503" i="1" l="1"/>
  <c r="CP16" i="1"/>
  <c r="CS351" i="1"/>
  <c r="DG505" i="1"/>
  <c r="DG504" i="1"/>
  <c r="DG555" i="1"/>
  <c r="CM555" i="1"/>
  <c r="DM351" i="1"/>
  <c r="DJ351" i="1"/>
  <c r="DJ16" i="1"/>
  <c r="DM16" i="1"/>
  <c r="K505" i="1"/>
  <c r="K504" i="1"/>
  <c r="DM503" i="1"/>
  <c r="DJ503" i="1"/>
  <c r="K555" i="1"/>
  <c r="BS503" i="1"/>
  <c r="J503" i="1"/>
  <c r="CO337" i="1"/>
  <c r="CM337" i="1" s="1"/>
  <c r="CO335" i="1"/>
  <c r="BU337" i="1"/>
  <c r="BU335" i="1"/>
  <c r="BA337" i="1"/>
  <c r="BA335" i="1"/>
  <c r="AG337" i="1"/>
  <c r="AG335" i="1"/>
  <c r="CR326" i="1"/>
  <c r="CR325" i="1"/>
  <c r="CR324" i="1"/>
  <c r="CR323" i="1"/>
  <c r="CR322" i="1"/>
  <c r="CR321" i="1"/>
  <c r="CR320" i="1"/>
  <c r="CR319" i="1"/>
  <c r="AJ322" i="1"/>
  <c r="AJ321" i="1"/>
  <c r="AJ320" i="1"/>
  <c r="AJ319" i="1"/>
  <c r="CO326" i="1"/>
  <c r="CM326" i="1" s="1"/>
  <c r="CO325" i="1"/>
  <c r="CM325" i="1" s="1"/>
  <c r="CO324" i="1"/>
  <c r="CM324" i="1" s="1"/>
  <c r="CO323" i="1"/>
  <c r="CM323" i="1" s="1"/>
  <c r="CO322" i="1"/>
  <c r="CM322" i="1" s="1"/>
  <c r="CO321" i="1"/>
  <c r="CM321" i="1" s="1"/>
  <c r="CO320" i="1"/>
  <c r="CM320" i="1" s="1"/>
  <c r="CO319" i="1"/>
  <c r="CM319" i="1" s="1"/>
  <c r="CR317" i="1"/>
  <c r="CR316" i="1"/>
  <c r="CR315" i="1"/>
  <c r="CR314" i="1"/>
  <c r="CR313" i="1"/>
  <c r="CR312" i="1"/>
  <c r="CR307" i="1"/>
  <c r="CR306" i="1"/>
  <c r="CR300" i="1"/>
  <c r="CR292" i="1"/>
  <c r="CR291" i="1"/>
  <c r="CO290" i="1"/>
  <c r="CM290" i="1" s="1"/>
  <c r="CR288" i="1"/>
  <c r="CR287" i="1"/>
  <c r="CR286" i="1"/>
  <c r="CR285" i="1"/>
  <c r="CR277" i="1"/>
  <c r="BX288" i="1"/>
  <c r="BX287" i="1"/>
  <c r="BX286" i="1"/>
  <c r="BX285" i="1"/>
  <c r="BX277" i="1"/>
  <c r="BD288" i="1"/>
  <c r="BD287" i="1"/>
  <c r="BD286" i="1"/>
  <c r="BD285" i="1"/>
  <c r="BD277" i="1"/>
  <c r="AJ288" i="1"/>
  <c r="AJ287" i="1"/>
  <c r="AJ286" i="1"/>
  <c r="AJ285" i="1"/>
  <c r="M337" i="1"/>
  <c r="DG333" i="1"/>
  <c r="P331" i="1"/>
  <c r="P329" i="1"/>
  <c r="DG332" i="1"/>
  <c r="M331" i="1"/>
  <c r="DG331" i="1" s="1"/>
  <c r="DG330" i="1"/>
  <c r="M329" i="1"/>
  <c r="DG329" i="1" s="1"/>
  <c r="DG328" i="1"/>
  <c r="P287" i="1"/>
  <c r="P285" i="1"/>
  <c r="P286" i="1"/>
  <c r="M286" i="1"/>
  <c r="DG286" i="1" s="1"/>
  <c r="M285" i="1"/>
  <c r="DG285" i="1" s="1"/>
  <c r="BS273" i="1"/>
  <c r="AY273" i="1"/>
  <c r="AE273" i="1"/>
  <c r="J273" i="1"/>
  <c r="DG335" i="1" l="1"/>
  <c r="K335" i="1"/>
  <c r="CM329" i="1"/>
  <c r="K329" i="1"/>
  <c r="CM330" i="1"/>
  <c r="K330" i="1"/>
  <c r="CM285" i="1"/>
  <c r="K285" i="1"/>
  <c r="CM331" i="1"/>
  <c r="K331" i="1"/>
  <c r="CM286" i="1"/>
  <c r="K286" i="1"/>
  <c r="CM332" i="1"/>
  <c r="K332" i="1"/>
  <c r="CM333" i="1"/>
  <c r="K333" i="1"/>
  <c r="CM328" i="1"/>
  <c r="K328" i="1"/>
  <c r="CM335" i="1"/>
  <c r="CO295" i="1"/>
  <c r="CO296" i="1"/>
  <c r="CO303" i="1"/>
  <c r="CO298" i="1"/>
  <c r="CO294" i="1"/>
  <c r="CO302" i="1"/>
  <c r="CO297" i="1"/>
  <c r="CO301" i="1"/>
  <c r="CO293" i="1"/>
  <c r="CO305" i="1"/>
  <c r="CO309" i="1"/>
  <c r="CM309" i="1" s="1"/>
  <c r="CO310" i="1"/>
  <c r="BS24" i="1"/>
  <c r="CP297" i="1" l="1"/>
  <c r="CM297" i="1"/>
  <c r="CP298" i="1"/>
  <c r="CM298" i="1"/>
  <c r="CP301" i="1"/>
  <c r="CM301" i="1"/>
  <c r="CP310" i="1"/>
  <c r="CM310" i="1"/>
  <c r="CP303" i="1"/>
  <c r="CM303" i="1"/>
  <c r="CP302" i="1"/>
  <c r="CM302" i="1"/>
  <c r="CP294" i="1"/>
  <c r="CM294" i="1"/>
  <c r="CP296" i="1"/>
  <c r="CM296" i="1"/>
  <c r="CP305" i="1"/>
  <c r="CM305" i="1"/>
  <c r="CP293" i="1"/>
  <c r="CM293" i="1"/>
  <c r="CP295" i="1"/>
  <c r="CM295" i="1"/>
  <c r="Q542" i="1"/>
  <c r="AF542" i="1" s="1"/>
  <c r="AK542" i="1" s="1"/>
  <c r="AZ542" i="1" s="1"/>
  <c r="BE542" i="1" s="1"/>
  <c r="BT542" i="1" s="1"/>
  <c r="Q541" i="1"/>
  <c r="AF541" i="1" s="1"/>
  <c r="AK541" i="1" s="1"/>
  <c r="AZ541" i="1" s="1"/>
  <c r="BE541" i="1" s="1"/>
  <c r="BT541" i="1" s="1"/>
  <c r="Q540" i="1"/>
  <c r="AF540" i="1" s="1"/>
  <c r="AK540" i="1" s="1"/>
  <c r="AZ540" i="1" s="1"/>
  <c r="BE540" i="1" s="1"/>
  <c r="BT540" i="1" s="1"/>
  <c r="Q533" i="1"/>
  <c r="AF533" i="1" s="1"/>
  <c r="BO532" i="1"/>
  <c r="BK532" i="1"/>
  <c r="BJ532" i="1"/>
  <c r="BG532" i="1"/>
  <c r="BF532" i="1"/>
  <c r="AU532" i="1"/>
  <c r="AT532" i="1"/>
  <c r="AQ532" i="1"/>
  <c r="AP532" i="1"/>
  <c r="AM532" i="1"/>
  <c r="AL532" i="1"/>
  <c r="AA532" i="1"/>
  <c r="W532" i="1"/>
  <c r="V532" i="1"/>
  <c r="S532" i="1"/>
  <c r="R532" i="1"/>
  <c r="CR523" i="1"/>
  <c r="BX523" i="1"/>
  <c r="BD523" i="1"/>
  <c r="BY541" i="1" l="1"/>
  <c r="BV541" i="1"/>
  <c r="N533" i="1"/>
  <c r="BB542" i="1"/>
  <c r="AH541" i="1"/>
  <c r="AE533" i="1"/>
  <c r="BB541" i="1"/>
  <c r="BV540" i="1"/>
  <c r="BV542" i="1"/>
  <c r="AH540" i="1"/>
  <c r="BY540" i="1"/>
  <c r="BN532" i="1"/>
  <c r="BY542" i="1"/>
  <c r="AH542" i="1"/>
  <c r="AK533" i="1"/>
  <c r="AZ533" i="1" s="1"/>
  <c r="BE533" i="1" s="1"/>
  <c r="BT533" i="1" s="1"/>
  <c r="BY533" i="1" s="1"/>
  <c r="Q535" i="1"/>
  <c r="AF535" i="1" s="1"/>
  <c r="AK535" i="1" s="1"/>
  <c r="AZ535" i="1" s="1"/>
  <c r="BE535" i="1" s="1"/>
  <c r="BT535" i="1" s="1"/>
  <c r="BY535" i="1" s="1"/>
  <c r="Q536" i="1"/>
  <c r="AF536" i="1" s="1"/>
  <c r="AK536" i="1" s="1"/>
  <c r="AZ536" i="1" s="1"/>
  <c r="BE536" i="1" s="1"/>
  <c r="BT536" i="1" s="1"/>
  <c r="BY536" i="1" s="1"/>
  <c r="Q537" i="1"/>
  <c r="AF537" i="1" s="1"/>
  <c r="AK537" i="1" s="1"/>
  <c r="AZ537" i="1" s="1"/>
  <c r="BE537" i="1" s="1"/>
  <c r="BT537" i="1" s="1"/>
  <c r="BY537" i="1" s="1"/>
  <c r="Q539" i="1"/>
  <c r="AF539" i="1" s="1"/>
  <c r="Q538" i="1"/>
  <c r="AF538" i="1" s="1"/>
  <c r="AK538" i="1" s="1"/>
  <c r="AZ538" i="1" s="1"/>
  <c r="BE538" i="1" s="1"/>
  <c r="BT538" i="1" s="1"/>
  <c r="BY538" i="1" s="1"/>
  <c r="CN533" i="1" l="1"/>
  <c r="CS533" i="1" s="1"/>
  <c r="DH533" i="1"/>
  <c r="CN535" i="1"/>
  <c r="CS535" i="1" s="1"/>
  <c r="DH535" i="1"/>
  <c r="CN538" i="1"/>
  <c r="CS538" i="1" s="1"/>
  <c r="DH538" i="1"/>
  <c r="CN540" i="1"/>
  <c r="CS540" i="1" s="1"/>
  <c r="DH540" i="1"/>
  <c r="CN537" i="1"/>
  <c r="CS537" i="1" s="1"/>
  <c r="DH537" i="1"/>
  <c r="CN542" i="1"/>
  <c r="CS542" i="1" s="1"/>
  <c r="DH542" i="1"/>
  <c r="CN536" i="1"/>
  <c r="CS536" i="1" s="1"/>
  <c r="DH536" i="1"/>
  <c r="CN541" i="1"/>
  <c r="CS541" i="1" s="1"/>
  <c r="DH541" i="1"/>
  <c r="CM537" i="1"/>
  <c r="AE542" i="1"/>
  <c r="CM542" i="1"/>
  <c r="N541" i="1"/>
  <c r="CM541" i="1"/>
  <c r="CM533" i="1"/>
  <c r="AH533" i="1"/>
  <c r="AY542" i="1"/>
  <c r="BS537" i="1"/>
  <c r="AH536" i="1"/>
  <c r="AY537" i="1"/>
  <c r="BS533" i="1"/>
  <c r="BB533" i="1"/>
  <c r="BV535" i="1"/>
  <c r="BB538" i="1"/>
  <c r="BV536" i="1"/>
  <c r="BB537" i="1"/>
  <c r="J541" i="1"/>
  <c r="BS542" i="1"/>
  <c r="AY533" i="1"/>
  <c r="BB540" i="1"/>
  <c r="BB536" i="1"/>
  <c r="J533" i="1"/>
  <c r="BV533" i="1"/>
  <c r="AH535" i="1"/>
  <c r="BV537" i="1"/>
  <c r="AY541" i="1"/>
  <c r="AE541" i="1"/>
  <c r="BV538" i="1"/>
  <c r="BB535" i="1"/>
  <c r="BS541" i="1"/>
  <c r="AK539" i="1"/>
  <c r="AZ539" i="1" s="1"/>
  <c r="BE539" i="1" s="1"/>
  <c r="BT539" i="1" s="1"/>
  <c r="BY539" i="1" s="1"/>
  <c r="AH539" i="1"/>
  <c r="AH538" i="1"/>
  <c r="AH537" i="1"/>
  <c r="CP533" i="1" l="1"/>
  <c r="CP541" i="1"/>
  <c r="CP535" i="1"/>
  <c r="CP537" i="1"/>
  <c r="CP542" i="1"/>
  <c r="CP536" i="1"/>
  <c r="DM536" i="1"/>
  <c r="DJ536" i="1"/>
  <c r="DM538" i="1"/>
  <c r="DJ538" i="1"/>
  <c r="CN539" i="1"/>
  <c r="CS539" i="1" s="1"/>
  <c r="DH539" i="1"/>
  <c r="DM542" i="1"/>
  <c r="DJ542" i="1"/>
  <c r="DM535" i="1"/>
  <c r="DJ535" i="1"/>
  <c r="DM541" i="1"/>
  <c r="DJ541" i="1"/>
  <c r="CP538" i="1"/>
  <c r="DM537" i="1"/>
  <c r="DJ537" i="1"/>
  <c r="DM533" i="1"/>
  <c r="DJ533" i="1"/>
  <c r="DM540" i="1"/>
  <c r="DJ540" i="1"/>
  <c r="CP540" i="1"/>
  <c r="BV539" i="1"/>
  <c r="BB539" i="1"/>
  <c r="CP539" i="1" l="1"/>
  <c r="DJ539" i="1"/>
  <c r="DM539" i="1"/>
  <c r="CR350" i="1"/>
  <c r="CR349" i="1"/>
  <c r="CR348" i="1"/>
  <c r="BX350" i="1"/>
  <c r="BX349" i="1"/>
  <c r="BX348" i="1"/>
  <c r="CO350" i="1"/>
  <c r="CO349" i="1"/>
  <c r="CO348" i="1"/>
  <c r="BU350" i="1"/>
  <c r="BU349" i="1"/>
  <c r="BU348" i="1"/>
  <c r="BA349" i="1"/>
  <c r="BA348" i="1"/>
  <c r="AG349" i="1"/>
  <c r="AG348" i="1"/>
  <c r="M349" i="1"/>
  <c r="M348" i="1"/>
  <c r="DG348" i="1" l="1"/>
  <c r="DG349" i="1"/>
  <c r="K348" i="1"/>
  <c r="K349" i="1"/>
  <c r="CM348" i="1"/>
  <c r="CM349" i="1"/>
  <c r="BD348" i="1"/>
  <c r="BD349" i="1"/>
  <c r="Q467" i="1" l="1"/>
  <c r="AF467" i="1" s="1"/>
  <c r="N467" i="1"/>
  <c r="N466" i="1"/>
  <c r="Q465" i="1"/>
  <c r="AF465" i="1" s="1"/>
  <c r="AK465" i="1" s="1"/>
  <c r="AZ465" i="1" s="1"/>
  <c r="N465" i="1"/>
  <c r="BS464" i="1"/>
  <c r="BO464" i="1"/>
  <c r="BN464" i="1"/>
  <c r="BK464" i="1"/>
  <c r="BJ464" i="1"/>
  <c r="BG464" i="1"/>
  <c r="BF464" i="1"/>
  <c r="AY464" i="1"/>
  <c r="AU464" i="1"/>
  <c r="AT464" i="1"/>
  <c r="AQ464" i="1"/>
  <c r="AP464" i="1"/>
  <c r="AM464" i="1"/>
  <c r="AL464" i="1"/>
  <c r="AE464" i="1"/>
  <c r="AA464" i="1"/>
  <c r="W464" i="1"/>
  <c r="V464" i="1"/>
  <c r="S464" i="1"/>
  <c r="R464" i="1"/>
  <c r="Q466" i="1"/>
  <c r="AF466" i="1" s="1"/>
  <c r="J464" i="1"/>
  <c r="CN451" i="1"/>
  <c r="CS451" i="1" s="1"/>
  <c r="CN450" i="1"/>
  <c r="CS450" i="1" s="1"/>
  <c r="CN449" i="1"/>
  <c r="CP449" i="1" s="1"/>
  <c r="CN448" i="1"/>
  <c r="CP448" i="1" s="1"/>
  <c r="CN447" i="1"/>
  <c r="CS447" i="1" s="1"/>
  <c r="CN443" i="1"/>
  <c r="CS443" i="1" s="1"/>
  <c r="CN442" i="1"/>
  <c r="CP442" i="1" s="1"/>
  <c r="Q442" i="1"/>
  <c r="AF442" i="1" s="1"/>
  <c r="N451" i="1"/>
  <c r="N442" i="1"/>
  <c r="N448" i="1"/>
  <c r="Q451" i="1"/>
  <c r="AF451" i="1" s="1"/>
  <c r="Q450" i="1"/>
  <c r="AF450" i="1" s="1"/>
  <c r="N450" i="1"/>
  <c r="Q449" i="1"/>
  <c r="AF449" i="1" s="1"/>
  <c r="N449" i="1"/>
  <c r="Q448" i="1"/>
  <c r="AF448" i="1" s="1"/>
  <c r="Q447" i="1"/>
  <c r="AF447" i="1" s="1"/>
  <c r="N447" i="1"/>
  <c r="Q443" i="1"/>
  <c r="AF443" i="1" s="1"/>
  <c r="BS441" i="1"/>
  <c r="BO441" i="1"/>
  <c r="BN441" i="1"/>
  <c r="BK441" i="1"/>
  <c r="BJ441" i="1"/>
  <c r="BG441" i="1"/>
  <c r="BF441" i="1"/>
  <c r="AY441" i="1"/>
  <c r="AU441" i="1"/>
  <c r="AT441" i="1"/>
  <c r="AQ441" i="1"/>
  <c r="AP441" i="1"/>
  <c r="AM441" i="1"/>
  <c r="AL441" i="1"/>
  <c r="AE441" i="1"/>
  <c r="AA441" i="1"/>
  <c r="W441" i="1"/>
  <c r="V441" i="1"/>
  <c r="S441" i="1"/>
  <c r="R441" i="1"/>
  <c r="J441" i="1"/>
  <c r="CR382" i="1"/>
  <c r="BX382" i="1"/>
  <c r="BD382" i="1"/>
  <c r="AJ382" i="1"/>
  <c r="P382" i="1"/>
  <c r="Q382" i="1" s="1"/>
  <c r="AF382" i="1" s="1"/>
  <c r="CO382" i="1"/>
  <c r="BU382" i="1"/>
  <c r="BA382" i="1"/>
  <c r="AG382" i="1"/>
  <c r="M382" i="1"/>
  <c r="DG382" i="1" l="1"/>
  <c r="K382" i="1"/>
  <c r="CM382" i="1"/>
  <c r="AE382" i="1"/>
  <c r="N382" i="1"/>
  <c r="AY382" i="1"/>
  <c r="CP443" i="1"/>
  <c r="CP450" i="1"/>
  <c r="AH451" i="1"/>
  <c r="AK451" i="1"/>
  <c r="AZ451" i="1" s="1"/>
  <c r="AK442" i="1"/>
  <c r="AZ442" i="1" s="1"/>
  <c r="AH442" i="1"/>
  <c r="AH448" i="1"/>
  <c r="AK448" i="1"/>
  <c r="AZ448" i="1" s="1"/>
  <c r="BB448" i="1" s="1"/>
  <c r="CS449" i="1"/>
  <c r="CS448" i="1"/>
  <c r="BS382" i="1"/>
  <c r="CP447" i="1"/>
  <c r="CP451" i="1"/>
  <c r="CS442" i="1"/>
  <c r="AH467" i="1"/>
  <c r="AK467" i="1"/>
  <c r="AZ467" i="1" s="1"/>
  <c r="BE467" i="1" s="1"/>
  <c r="BT467" i="1" s="1"/>
  <c r="BB465" i="1"/>
  <c r="BE465" i="1"/>
  <c r="BT465" i="1" s="1"/>
  <c r="AK466" i="1"/>
  <c r="AZ466" i="1" s="1"/>
  <c r="BE466" i="1" s="1"/>
  <c r="BT466" i="1" s="1"/>
  <c r="AH466" i="1"/>
  <c r="AH465" i="1"/>
  <c r="AH450" i="1"/>
  <c r="AK450" i="1"/>
  <c r="AZ450" i="1" s="1"/>
  <c r="AK447" i="1"/>
  <c r="AZ447" i="1" s="1"/>
  <c r="AH447" i="1"/>
  <c r="AK449" i="1"/>
  <c r="AZ449" i="1" s="1"/>
  <c r="AH449" i="1"/>
  <c r="AH443" i="1"/>
  <c r="AK443" i="1"/>
  <c r="AZ443" i="1" s="1"/>
  <c r="N443" i="1"/>
  <c r="J382" i="1"/>
  <c r="AK382" i="1"/>
  <c r="AZ382" i="1" s="1"/>
  <c r="AH382" i="1"/>
  <c r="BE442" i="1" l="1"/>
  <c r="BT442" i="1" s="1"/>
  <c r="BB442" i="1"/>
  <c r="BB443" i="1"/>
  <c r="BE443" i="1"/>
  <c r="BT443" i="1" s="1"/>
  <c r="BE448" i="1"/>
  <c r="BT448" i="1" s="1"/>
  <c r="BY448" i="1" s="1"/>
  <c r="DH448" i="1" s="1"/>
  <c r="BB451" i="1"/>
  <c r="BE451" i="1"/>
  <c r="BT451" i="1" s="1"/>
  <c r="BB466" i="1"/>
  <c r="BB467" i="1"/>
  <c r="BY465" i="1"/>
  <c r="BV465" i="1"/>
  <c r="BY466" i="1"/>
  <c r="BV466" i="1"/>
  <c r="BY467" i="1"/>
  <c r="BV467" i="1"/>
  <c r="BE449" i="1"/>
  <c r="BT449" i="1" s="1"/>
  <c r="BB449" i="1"/>
  <c r="BE450" i="1"/>
  <c r="BT450" i="1" s="1"/>
  <c r="BB450" i="1"/>
  <c r="BB447" i="1"/>
  <c r="BE447" i="1"/>
  <c r="BT447" i="1" s="1"/>
  <c r="BB382" i="1"/>
  <c r="BE382" i="1"/>
  <c r="BT382" i="1" s="1"/>
  <c r="CN467" i="1" l="1"/>
  <c r="CP467" i="1" s="1"/>
  <c r="DH467" i="1"/>
  <c r="CN466" i="1"/>
  <c r="CS466" i="1" s="1"/>
  <c r="DH466" i="1"/>
  <c r="CN465" i="1"/>
  <c r="CP465" i="1" s="1"/>
  <c r="DH465" i="1"/>
  <c r="DM448" i="1"/>
  <c r="DJ448" i="1"/>
  <c r="BV448" i="1"/>
  <c r="AJ348" i="1"/>
  <c r="AJ349" i="1"/>
  <c r="BV442" i="1"/>
  <c r="BY442" i="1"/>
  <c r="DH442" i="1" s="1"/>
  <c r="BV451" i="1"/>
  <c r="BY451" i="1"/>
  <c r="DH451" i="1" s="1"/>
  <c r="BV443" i="1"/>
  <c r="BY443" i="1"/>
  <c r="DH443" i="1" s="1"/>
  <c r="BY447" i="1"/>
  <c r="DH447" i="1" s="1"/>
  <c r="BV447" i="1"/>
  <c r="BV450" i="1"/>
  <c r="BY450" i="1"/>
  <c r="DH450" i="1" s="1"/>
  <c r="BV449" i="1"/>
  <c r="BY449" i="1"/>
  <c r="DH449" i="1" s="1"/>
  <c r="BV382" i="1"/>
  <c r="BY382" i="1"/>
  <c r="BO76" i="1"/>
  <c r="BN76" i="1"/>
  <c r="BK76" i="1"/>
  <c r="BJ76" i="1"/>
  <c r="BG76" i="1"/>
  <c r="BF76" i="1"/>
  <c r="AU76" i="1"/>
  <c r="AQ76" i="1"/>
  <c r="AP76" i="1"/>
  <c r="AM76" i="1"/>
  <c r="AL76" i="1"/>
  <c r="AA76" i="1"/>
  <c r="W76" i="1"/>
  <c r="V76" i="1"/>
  <c r="S76" i="1"/>
  <c r="R76" i="1"/>
  <c r="CO78" i="1"/>
  <c r="BA78" i="1"/>
  <c r="AG78" i="1"/>
  <c r="M78" i="1"/>
  <c r="Q78" i="1"/>
  <c r="AF78" i="1" s="1"/>
  <c r="DG78" i="1" l="1"/>
  <c r="CP466" i="1"/>
  <c r="CS467" i="1"/>
  <c r="CS465" i="1"/>
  <c r="CN382" i="1"/>
  <c r="CP382" i="1" s="1"/>
  <c r="DH382" i="1"/>
  <c r="DM451" i="1"/>
  <c r="DJ451" i="1"/>
  <c r="DM465" i="1"/>
  <c r="DJ465" i="1"/>
  <c r="DM449" i="1"/>
  <c r="DJ449" i="1"/>
  <c r="DM442" i="1"/>
  <c r="DJ442" i="1"/>
  <c r="DM466" i="1"/>
  <c r="DJ466" i="1"/>
  <c r="DM447" i="1"/>
  <c r="DJ447" i="1"/>
  <c r="DM450" i="1"/>
  <c r="DJ450" i="1"/>
  <c r="DJ467" i="1"/>
  <c r="DM467" i="1"/>
  <c r="K78" i="1"/>
  <c r="DM443" i="1"/>
  <c r="DJ443" i="1"/>
  <c r="CM78" i="1"/>
  <c r="AT76" i="1"/>
  <c r="AY78" i="1"/>
  <c r="N78" i="1"/>
  <c r="AE78" i="1"/>
  <c r="J78" i="1"/>
  <c r="AH78" i="1"/>
  <c r="AK78" i="1"/>
  <c r="AZ78" i="1" s="1"/>
  <c r="BS78" i="1"/>
  <c r="BY322" i="1"/>
  <c r="BE322" i="1"/>
  <c r="AK322" i="1"/>
  <c r="Q326" i="1"/>
  <c r="AF326" i="1" s="1"/>
  <c r="AK326" i="1" s="1"/>
  <c r="AZ326" i="1" s="1"/>
  <c r="BE326" i="1" s="1"/>
  <c r="BT326" i="1" s="1"/>
  <c r="BY326" i="1" s="1"/>
  <c r="Q322" i="1"/>
  <c r="BV322" i="1"/>
  <c r="BB322" i="1"/>
  <c r="AH322" i="1"/>
  <c r="N322" i="1"/>
  <c r="N324" i="1"/>
  <c r="N323" i="1"/>
  <c r="Q325" i="1"/>
  <c r="AF325" i="1" s="1"/>
  <c r="Q324" i="1"/>
  <c r="AF324" i="1" s="1"/>
  <c r="Q323" i="1"/>
  <c r="AF323" i="1" s="1"/>
  <c r="CS382" i="1" l="1"/>
  <c r="CN322" i="1"/>
  <c r="CP322" i="1" s="1"/>
  <c r="DH322" i="1"/>
  <c r="DM382" i="1"/>
  <c r="DJ382" i="1"/>
  <c r="CN326" i="1"/>
  <c r="CS326" i="1" s="1"/>
  <c r="DH326" i="1"/>
  <c r="BS326" i="1"/>
  <c r="BE78" i="1"/>
  <c r="BB78" i="1"/>
  <c r="J326" i="1"/>
  <c r="BS322" i="1"/>
  <c r="AY326" i="1"/>
  <c r="AE326" i="1"/>
  <c r="AE322" i="1"/>
  <c r="AY322" i="1"/>
  <c r="J322" i="1"/>
  <c r="N325" i="1"/>
  <c r="AH323" i="1"/>
  <c r="AH325" i="1"/>
  <c r="AH324" i="1"/>
  <c r="AE325" i="1"/>
  <c r="AE323" i="1"/>
  <c r="AE324" i="1"/>
  <c r="CS322" i="1" l="1"/>
  <c r="DM326" i="1"/>
  <c r="DJ326" i="1"/>
  <c r="DM322" i="1"/>
  <c r="DJ322" i="1"/>
  <c r="BY78" i="1"/>
  <c r="BV78" i="1"/>
  <c r="CN78" i="1" l="1"/>
  <c r="CP78" i="1" s="1"/>
  <c r="DH78" i="1"/>
  <c r="AJ523" i="1"/>
  <c r="CS78" i="1" l="1"/>
  <c r="DM78" i="1"/>
  <c r="DJ78" i="1"/>
  <c r="AK325" i="1"/>
  <c r="AZ325" i="1" s="1"/>
  <c r="BE325" i="1" s="1"/>
  <c r="BT325" i="1" s="1"/>
  <c r="BY325" i="1" s="1"/>
  <c r="CN325" i="1" l="1"/>
  <c r="CS325" i="1" s="1"/>
  <c r="DH325" i="1"/>
  <c r="BS380" i="1"/>
  <c r="AY380" i="1"/>
  <c r="AE380" i="1"/>
  <c r="J380" i="1"/>
  <c r="AE212" i="1"/>
  <c r="DM325" i="1" l="1"/>
  <c r="DJ325" i="1"/>
  <c r="P523" i="1"/>
  <c r="P348" i="1" l="1"/>
  <c r="P349" i="1"/>
  <c r="CO229" i="1" l="1"/>
  <c r="BU229" i="1"/>
  <c r="BA229" i="1"/>
  <c r="AG229" i="1"/>
  <c r="M229" i="1"/>
  <c r="Q229" i="1"/>
  <c r="AF229" i="1" s="1"/>
  <c r="CO196" i="1"/>
  <c r="BU196" i="1"/>
  <c r="BA196" i="1"/>
  <c r="M196" i="1"/>
  <c r="M496" i="1"/>
  <c r="DG496" i="1" s="1"/>
  <c r="DG229" i="1" l="1"/>
  <c r="DG196" i="1"/>
  <c r="K229" i="1"/>
  <c r="K196" i="1"/>
  <c r="CM496" i="1"/>
  <c r="K496" i="1"/>
  <c r="N229" i="1"/>
  <c r="CM229" i="1"/>
  <c r="CM196" i="1"/>
  <c r="J229" i="1"/>
  <c r="BS229" i="1"/>
  <c r="AY229" i="1"/>
  <c r="AE229" i="1"/>
  <c r="AH229" i="1"/>
  <c r="AK229" i="1"/>
  <c r="AZ229" i="1" s="1"/>
  <c r="BE229" i="1" s="1"/>
  <c r="BT229" i="1" s="1"/>
  <c r="N317" i="1"/>
  <c r="Q317" i="1"/>
  <c r="AF317" i="1" s="1"/>
  <c r="BV229" i="1" l="1"/>
  <c r="BY229" i="1"/>
  <c r="BB229" i="1"/>
  <c r="AK317" i="1"/>
  <c r="AZ317" i="1" s="1"/>
  <c r="BB317" i="1" s="1"/>
  <c r="AE317" i="1"/>
  <c r="J317" i="1"/>
  <c r="AH317" i="1"/>
  <c r="AY317" i="1"/>
  <c r="BS317" i="1"/>
  <c r="CN229" i="1" l="1"/>
  <c r="CS229" i="1" s="1"/>
  <c r="DH229" i="1"/>
  <c r="BE317" i="1"/>
  <c r="BT317" i="1" s="1"/>
  <c r="BY317" i="1" s="1"/>
  <c r="CP229" i="1" l="1"/>
  <c r="CN317" i="1"/>
  <c r="CS317" i="1" s="1"/>
  <c r="DH317" i="1"/>
  <c r="DJ229" i="1"/>
  <c r="DM229" i="1"/>
  <c r="BV317" i="1"/>
  <c r="CP317" i="1" l="1"/>
  <c r="DM317" i="1"/>
  <c r="DJ317" i="1"/>
  <c r="Q230" i="1"/>
  <c r="AF230" i="1" s="1"/>
  <c r="AK230" i="1" l="1"/>
  <c r="AZ230" i="1" s="1"/>
  <c r="BE230" i="1" s="1"/>
  <c r="BT230" i="1" s="1"/>
  <c r="BY230" i="1" s="1"/>
  <c r="CN230" i="1" l="1"/>
  <c r="CS230" i="1" s="1"/>
  <c r="DH230" i="1"/>
  <c r="Q554" i="1"/>
  <c r="AF554" i="1" s="1"/>
  <c r="CR547" i="1"/>
  <c r="BX547" i="1"/>
  <c r="BD547" i="1"/>
  <c r="AJ547" i="1"/>
  <c r="P547" i="1"/>
  <c r="Q547" i="1" s="1"/>
  <c r="AF547" i="1" s="1"/>
  <c r="Q505" i="1"/>
  <c r="AF505" i="1" s="1"/>
  <c r="CR513" i="1"/>
  <c r="BX513" i="1"/>
  <c r="BD513" i="1"/>
  <c r="AJ513" i="1"/>
  <c r="P513" i="1"/>
  <c r="Q513" i="1" s="1"/>
  <c r="AF513" i="1" s="1"/>
  <c r="CR387" i="1"/>
  <c r="CO387" i="1"/>
  <c r="BX387" i="1"/>
  <c r="CN387" i="1" s="1"/>
  <c r="BU387" i="1"/>
  <c r="BD387" i="1"/>
  <c r="BA387" i="1"/>
  <c r="AJ387" i="1"/>
  <c r="AG387" i="1"/>
  <c r="P387" i="1"/>
  <c r="Q387" i="1" s="1"/>
  <c r="AF387" i="1" s="1"/>
  <c r="M387" i="1"/>
  <c r="N486" i="1"/>
  <c r="Q486" i="1"/>
  <c r="AF486" i="1" s="1"/>
  <c r="AK486" i="1" s="1"/>
  <c r="AZ486" i="1" s="1"/>
  <c r="BE486" i="1" s="1"/>
  <c r="BT486" i="1" s="1"/>
  <c r="BY486" i="1" s="1"/>
  <c r="BS330" i="1"/>
  <c r="AY330" i="1"/>
  <c r="AE330" i="1"/>
  <c r="N329" i="1"/>
  <c r="Q329" i="1"/>
  <c r="AF329" i="1" s="1"/>
  <c r="Q330" i="1"/>
  <c r="AF330" i="1" s="1"/>
  <c r="N330" i="1"/>
  <c r="J330" i="1"/>
  <c r="Q333" i="1"/>
  <c r="AF333" i="1" s="1"/>
  <c r="Q332" i="1"/>
  <c r="AF332" i="1" s="1"/>
  <c r="N333" i="1"/>
  <c r="Q313" i="1"/>
  <c r="AF313" i="1" s="1"/>
  <c r="Q312" i="1"/>
  <c r="AF312" i="1" s="1"/>
  <c r="Q316" i="1"/>
  <c r="AF316" i="1" s="1"/>
  <c r="N316" i="1"/>
  <c r="Q314" i="1"/>
  <c r="AF314" i="1" s="1"/>
  <c r="N314" i="1"/>
  <c r="Q315" i="1"/>
  <c r="AF315" i="1" s="1"/>
  <c r="N315" i="1"/>
  <c r="Q287" i="1"/>
  <c r="AF287" i="1" s="1"/>
  <c r="Q286" i="1"/>
  <c r="AF286" i="1" s="1"/>
  <c r="Q485" i="1"/>
  <c r="AF485" i="1" s="1"/>
  <c r="DG492" i="1"/>
  <c r="DG387" i="1" l="1"/>
  <c r="K387" i="1"/>
  <c r="CN486" i="1"/>
  <c r="CS486" i="1" s="1"/>
  <c r="DH486" i="1"/>
  <c r="DJ230" i="1"/>
  <c r="DM230" i="1"/>
  <c r="CM492" i="1"/>
  <c r="K492" i="1"/>
  <c r="CM387" i="1"/>
  <c r="AK387" i="1"/>
  <c r="AZ387" i="1" s="1"/>
  <c r="BE387" i="1" s="1"/>
  <c r="BT387" i="1" s="1"/>
  <c r="BY387" i="1" s="1"/>
  <c r="DH387" i="1" s="1"/>
  <c r="AK554" i="1"/>
  <c r="AZ554" i="1" s="1"/>
  <c r="BE554" i="1" s="1"/>
  <c r="BT554" i="1" s="1"/>
  <c r="BY554" i="1" s="1"/>
  <c r="AK312" i="1"/>
  <c r="AZ312" i="1" s="1"/>
  <c r="BE312" i="1" s="1"/>
  <c r="BT312" i="1" s="1"/>
  <c r="BY312" i="1" s="1"/>
  <c r="BS286" i="1"/>
  <c r="AK286" i="1"/>
  <c r="AZ286" i="1" s="1"/>
  <c r="BE286" i="1" s="1"/>
  <c r="BT286" i="1" s="1"/>
  <c r="BY286" i="1" s="1"/>
  <c r="J387" i="1"/>
  <c r="AK547" i="1"/>
  <c r="AZ547" i="1" s="1"/>
  <c r="BE547" i="1" s="1"/>
  <c r="BT547" i="1" s="1"/>
  <c r="BY547" i="1" s="1"/>
  <c r="AK313" i="1"/>
  <c r="AZ313" i="1" s="1"/>
  <c r="BE313" i="1" s="1"/>
  <c r="BT313" i="1" s="1"/>
  <c r="BY313" i="1" s="1"/>
  <c r="J485" i="1"/>
  <c r="BS287" i="1"/>
  <c r="AH287" i="1"/>
  <c r="N312" i="1"/>
  <c r="BS312" i="1"/>
  <c r="AY312" i="1"/>
  <c r="AE312" i="1"/>
  <c r="N313" i="1"/>
  <c r="BS313" i="1"/>
  <c r="AY313" i="1"/>
  <c r="AE313" i="1"/>
  <c r="J286" i="1"/>
  <c r="AH312" i="1"/>
  <c r="AH313" i="1"/>
  <c r="BS329" i="1"/>
  <c r="BS486" i="1"/>
  <c r="CP387" i="1"/>
  <c r="CS387" i="1"/>
  <c r="BS485" i="1"/>
  <c r="AE329" i="1"/>
  <c r="AY329" i="1"/>
  <c r="N387" i="1"/>
  <c r="AE387" i="1"/>
  <c r="AY387" i="1"/>
  <c r="N485" i="1"/>
  <c r="AY485" i="1"/>
  <c r="N286" i="1"/>
  <c r="AY286" i="1"/>
  <c r="AE286" i="1"/>
  <c r="N287" i="1"/>
  <c r="AE287" i="1"/>
  <c r="AY486" i="1"/>
  <c r="AE486" i="1"/>
  <c r="BS387" i="1"/>
  <c r="AH387" i="1"/>
  <c r="AH330" i="1"/>
  <c r="AK330" i="1"/>
  <c r="AZ330" i="1" s="1"/>
  <c r="AK329" i="1"/>
  <c r="AZ329" i="1" s="1"/>
  <c r="AH329" i="1"/>
  <c r="AK513" i="1"/>
  <c r="AZ513" i="1" s="1"/>
  <c r="BE513" i="1" s="1"/>
  <c r="BT513" i="1" s="1"/>
  <c r="BY513" i="1" s="1"/>
  <c r="AK505" i="1"/>
  <c r="AZ505" i="1" s="1"/>
  <c r="AH486" i="1"/>
  <c r="BB486" i="1"/>
  <c r="BV486" i="1"/>
  <c r="J486" i="1"/>
  <c r="J329" i="1"/>
  <c r="N332" i="1"/>
  <c r="AK314" i="1"/>
  <c r="AZ314" i="1" s="1"/>
  <c r="BE314" i="1" s="1"/>
  <c r="BT314" i="1" s="1"/>
  <c r="BY314" i="1" s="1"/>
  <c r="J312" i="1"/>
  <c r="J313" i="1"/>
  <c r="AY314" i="1"/>
  <c r="AE485" i="1"/>
  <c r="AY287" i="1"/>
  <c r="J287" i="1"/>
  <c r="BS314" i="1"/>
  <c r="AE314" i="1"/>
  <c r="J314" i="1"/>
  <c r="AH314" i="1"/>
  <c r="AH485" i="1"/>
  <c r="AK485" i="1"/>
  <c r="AZ485" i="1" s="1"/>
  <c r="BB485" i="1" s="1"/>
  <c r="AK287" i="1"/>
  <c r="AZ287" i="1" s="1"/>
  <c r="BB287" i="1" s="1"/>
  <c r="AH286" i="1"/>
  <c r="CP486" i="1" l="1"/>
  <c r="CN286" i="1"/>
  <c r="CP286" i="1" s="1"/>
  <c r="DH286" i="1"/>
  <c r="CN312" i="1"/>
  <c r="CS312" i="1" s="1"/>
  <c r="DH312" i="1"/>
  <c r="DM486" i="1"/>
  <c r="DJ486" i="1"/>
  <c r="CN547" i="1"/>
  <c r="CS547" i="1" s="1"/>
  <c r="DH547" i="1"/>
  <c r="CN554" i="1"/>
  <c r="CS554" i="1" s="1"/>
  <c r="DH554" i="1"/>
  <c r="CN314" i="1"/>
  <c r="CP314" i="1" s="1"/>
  <c r="DH314" i="1"/>
  <c r="DM387" i="1"/>
  <c r="DJ387" i="1"/>
  <c r="CN513" i="1"/>
  <c r="CS513" i="1" s="1"/>
  <c r="DH513" i="1"/>
  <c r="CN313" i="1"/>
  <c r="CP313" i="1" s="1"/>
  <c r="DH313" i="1"/>
  <c r="BV387" i="1"/>
  <c r="BB387" i="1"/>
  <c r="BB312" i="1"/>
  <c r="BV286" i="1"/>
  <c r="BV312" i="1"/>
  <c r="BB286" i="1"/>
  <c r="BB313" i="1"/>
  <c r="BV313" i="1"/>
  <c r="BE505" i="1"/>
  <c r="BT505" i="1" s="1"/>
  <c r="BV505" i="1" s="1"/>
  <c r="BB330" i="1"/>
  <c r="BE330" i="1"/>
  <c r="BT330" i="1" s="1"/>
  <c r="BE485" i="1"/>
  <c r="BT485" i="1" s="1"/>
  <c r="BY485" i="1" s="1"/>
  <c r="BB329" i="1"/>
  <c r="BE329" i="1"/>
  <c r="BT329" i="1" s="1"/>
  <c r="BB314" i="1"/>
  <c r="BV314" i="1"/>
  <c r="BE287" i="1"/>
  <c r="BT287" i="1" s="1"/>
  <c r="BV287" i="1" s="1"/>
  <c r="CS286" i="1" l="1"/>
  <c r="CS314" i="1"/>
  <c r="CS313" i="1"/>
  <c r="CP312" i="1"/>
  <c r="CN485" i="1"/>
  <c r="CS485" i="1" s="1"/>
  <c r="DH485" i="1"/>
  <c r="DJ314" i="1"/>
  <c r="DM314" i="1"/>
  <c r="DM312" i="1"/>
  <c r="DJ312" i="1"/>
  <c r="DM547" i="1"/>
  <c r="DJ547" i="1"/>
  <c r="DM513" i="1"/>
  <c r="DJ513" i="1"/>
  <c r="DM554" i="1"/>
  <c r="DJ554" i="1"/>
  <c r="DM286" i="1"/>
  <c r="DJ286" i="1"/>
  <c r="DM313" i="1"/>
  <c r="DJ313" i="1"/>
  <c r="BV485" i="1"/>
  <c r="BY505" i="1"/>
  <c r="BY330" i="1"/>
  <c r="BV330" i="1"/>
  <c r="BY329" i="1"/>
  <c r="BV329" i="1"/>
  <c r="BY287" i="1"/>
  <c r="AE24" i="1"/>
  <c r="CP485" i="1" l="1"/>
  <c r="CN329" i="1"/>
  <c r="CS329" i="1" s="1"/>
  <c r="DH329" i="1"/>
  <c r="CN330" i="1"/>
  <c r="CS330" i="1" s="1"/>
  <c r="DH330" i="1"/>
  <c r="DM485" i="1"/>
  <c r="DJ485" i="1"/>
  <c r="CN287" i="1"/>
  <c r="CS287" i="1" s="1"/>
  <c r="DH287" i="1"/>
  <c r="CN505" i="1"/>
  <c r="CS505" i="1" s="1"/>
  <c r="DH505" i="1"/>
  <c r="M288" i="1"/>
  <c r="CP329" i="1" l="1"/>
  <c r="CP330" i="1"/>
  <c r="DG288" i="1"/>
  <c r="AE288" i="1"/>
  <c r="CP287" i="1"/>
  <c r="DM287" i="1"/>
  <c r="DJ287" i="1"/>
  <c r="DM330" i="1"/>
  <c r="DJ330" i="1"/>
  <c r="DM505" i="1"/>
  <c r="DJ505" i="1"/>
  <c r="DM329" i="1"/>
  <c r="DJ329" i="1"/>
  <c r="CM288" i="1"/>
  <c r="K288" i="1"/>
  <c r="CP325" i="1"/>
  <c r="BV325" i="1"/>
  <c r="AE315" i="1"/>
  <c r="AY315" i="1"/>
  <c r="AH315" i="1"/>
  <c r="J315" i="1"/>
  <c r="BS315" i="1"/>
  <c r="BS316" i="1"/>
  <c r="AY316" i="1"/>
  <c r="AE316" i="1"/>
  <c r="J316" i="1"/>
  <c r="AH316" i="1"/>
  <c r="J323" i="1" l="1"/>
  <c r="AY323" i="1"/>
  <c r="BS323" i="1"/>
  <c r="BB325" i="1"/>
  <c r="AY325" i="1"/>
  <c r="BS325" i="1"/>
  <c r="J325" i="1"/>
  <c r="J324" i="1"/>
  <c r="AY324" i="1"/>
  <c r="BS324" i="1"/>
  <c r="BS593" i="1"/>
  <c r="BS594" i="1"/>
  <c r="BS595" i="1"/>
  <c r="BS592" i="1"/>
  <c r="BS511" i="1"/>
  <c r="BS378" i="1"/>
  <c r="BS285" i="1"/>
  <c r="BS288" i="1"/>
  <c r="BS309" i="1"/>
  <c r="BS269" i="1"/>
  <c r="BS267" i="1"/>
  <c r="BS260" i="1"/>
  <c r="BS252" i="1"/>
  <c r="BS253" i="1"/>
  <c r="BS254" i="1"/>
  <c r="BS247" i="1"/>
  <c r="BS188" i="1"/>
  <c r="BS191" i="1"/>
  <c r="BS192" i="1"/>
  <c r="BS193" i="1"/>
  <c r="BS194" i="1"/>
  <c r="BS195" i="1"/>
  <c r="BS196" i="1"/>
  <c r="BS197" i="1"/>
  <c r="BS200" i="1"/>
  <c r="BS187" i="1"/>
  <c r="BS122" i="1"/>
  <c r="BS123" i="1"/>
  <c r="BS124" i="1"/>
  <c r="BS125" i="1"/>
  <c r="BS120" i="1"/>
  <c r="BS72" i="1"/>
  <c r="BS73" i="1"/>
  <c r="BS74" i="1"/>
  <c r="BS75" i="1"/>
  <c r="BS70" i="1"/>
  <c r="BS66" i="1"/>
  <c r="BS67" i="1"/>
  <c r="BS68" i="1"/>
  <c r="BS65" i="1"/>
  <c r="BS63" i="1"/>
  <c r="BS49" i="1"/>
  <c r="BS48" i="1"/>
  <c r="BS39" i="1"/>
  <c r="BS37" i="1"/>
  <c r="AY593" i="1"/>
  <c r="AY594" i="1"/>
  <c r="AY595" i="1"/>
  <c r="AY592" i="1"/>
  <c r="AY511" i="1"/>
  <c r="AY378" i="1"/>
  <c r="AY285" i="1"/>
  <c r="AY288" i="1"/>
  <c r="AY309" i="1"/>
  <c r="AY269" i="1"/>
  <c r="AY267" i="1"/>
  <c r="AY260" i="1"/>
  <c r="AY252" i="1"/>
  <c r="AY253" i="1"/>
  <c r="AY254" i="1"/>
  <c r="AY247" i="1"/>
  <c r="AY188" i="1"/>
  <c r="AY191" i="1"/>
  <c r="AY192" i="1"/>
  <c r="AY193" i="1"/>
  <c r="AY194" i="1"/>
  <c r="AY195" i="1"/>
  <c r="AY196" i="1"/>
  <c r="AY197" i="1"/>
  <c r="AY200" i="1"/>
  <c r="AY187" i="1"/>
  <c r="AY121" i="1"/>
  <c r="AY122" i="1"/>
  <c r="AY123" i="1"/>
  <c r="AY124" i="1"/>
  <c r="AY125" i="1"/>
  <c r="AY120" i="1"/>
  <c r="AY72" i="1"/>
  <c r="AY73" i="1"/>
  <c r="AY74" i="1"/>
  <c r="AY75" i="1"/>
  <c r="AY70" i="1"/>
  <c r="AY66" i="1"/>
  <c r="AY67" i="1"/>
  <c r="AY68" i="1"/>
  <c r="AY65" i="1"/>
  <c r="AY63" i="1"/>
  <c r="AY49" i="1"/>
  <c r="AY48" i="1"/>
  <c r="AY39" i="1"/>
  <c r="AY37" i="1"/>
  <c r="AE593" i="1"/>
  <c r="AE594" i="1"/>
  <c r="AE595" i="1"/>
  <c r="AE592" i="1"/>
  <c r="AE511" i="1"/>
  <c r="AE378" i="1"/>
  <c r="AE285" i="1"/>
  <c r="AE309" i="1"/>
  <c r="AE269" i="1"/>
  <c r="AE267" i="1"/>
  <c r="AE260" i="1"/>
  <c r="AE252" i="1"/>
  <c r="AE253" i="1"/>
  <c r="AE254" i="1"/>
  <c r="AE247" i="1"/>
  <c r="AE188" i="1"/>
  <c r="AE191" i="1"/>
  <c r="AE192" i="1"/>
  <c r="AE193" i="1"/>
  <c r="AE194" i="1"/>
  <c r="AE195" i="1"/>
  <c r="AE196" i="1"/>
  <c r="AE197" i="1"/>
  <c r="AE200" i="1"/>
  <c r="AE187" i="1"/>
  <c r="AE121" i="1"/>
  <c r="AE122" i="1"/>
  <c r="AE123" i="1"/>
  <c r="AE124" i="1"/>
  <c r="AE125" i="1"/>
  <c r="AE120" i="1"/>
  <c r="AE72" i="1"/>
  <c r="AE73" i="1"/>
  <c r="AE74" i="1"/>
  <c r="AE75" i="1"/>
  <c r="AE70" i="1"/>
  <c r="AE66" i="1"/>
  <c r="AE67" i="1"/>
  <c r="AE68" i="1"/>
  <c r="AE65" i="1"/>
  <c r="AE63" i="1"/>
  <c r="AE49" i="1"/>
  <c r="AE48" i="1"/>
  <c r="AE39" i="1"/>
  <c r="AE37" i="1"/>
  <c r="M30" i="1" l="1"/>
  <c r="DG30" i="1" s="1"/>
  <c r="BS38" i="1"/>
  <c r="BS47" i="1"/>
  <c r="BS50" i="1"/>
  <c r="BS53" i="1"/>
  <c r="BS55" i="1"/>
  <c r="BS64" i="1"/>
  <c r="BS82" i="1"/>
  <c r="BS92" i="1"/>
  <c r="BS102" i="1"/>
  <c r="BS106" i="1"/>
  <c r="BS110" i="1"/>
  <c r="BS96" i="1"/>
  <c r="BS127" i="1"/>
  <c r="BS134" i="1"/>
  <c r="BS138" i="1"/>
  <c r="BS146" i="1"/>
  <c r="BS154" i="1"/>
  <c r="BS246" i="1"/>
  <c r="BS266" i="1"/>
  <c r="BS272" i="1"/>
  <c r="BS274" i="1"/>
  <c r="BS275" i="1"/>
  <c r="BS344" i="1"/>
  <c r="BS346" i="1"/>
  <c r="BS353" i="1"/>
  <c r="BS363" i="1"/>
  <c r="BS432" i="1"/>
  <c r="BS385" i="1"/>
  <c r="BS528" i="1"/>
  <c r="BS587" i="1"/>
  <c r="BS239" i="1"/>
  <c r="BS212" i="1"/>
  <c r="BS597" i="1"/>
  <c r="AY597" i="1"/>
  <c r="AY212" i="1"/>
  <c r="AY239" i="1"/>
  <c r="AY587" i="1"/>
  <c r="AY528" i="1"/>
  <c r="AY385" i="1"/>
  <c r="AY432" i="1"/>
  <c r="AY363" i="1"/>
  <c r="AY353" i="1"/>
  <c r="AY346" i="1"/>
  <c r="AY344" i="1"/>
  <c r="AY340" i="1"/>
  <c r="AY275" i="1"/>
  <c r="AY274" i="1"/>
  <c r="AY272" i="1"/>
  <c r="AY266" i="1"/>
  <c r="AY246" i="1"/>
  <c r="AY154" i="1"/>
  <c r="AY146" i="1"/>
  <c r="AY138" i="1"/>
  <c r="AY134" i="1"/>
  <c r="AY127" i="1"/>
  <c r="AY96" i="1"/>
  <c r="AY110" i="1"/>
  <c r="AY106" i="1"/>
  <c r="AY102" i="1"/>
  <c r="AY92" i="1"/>
  <c r="AY82" i="1"/>
  <c r="AY64" i="1"/>
  <c r="AY55" i="1"/>
  <c r="AY53" i="1"/>
  <c r="AY50" i="1"/>
  <c r="AY47" i="1"/>
  <c r="AY38" i="1"/>
  <c r="AY24" i="1"/>
  <c r="AY5" i="1"/>
  <c r="AE5" i="1"/>
  <c r="AE597" i="1"/>
  <c r="AE239" i="1"/>
  <c r="AE587" i="1"/>
  <c r="AE528" i="1"/>
  <c r="AE385" i="1"/>
  <c r="AE432" i="1"/>
  <c r="AE363" i="1"/>
  <c r="AE353" i="1"/>
  <c r="AE346" i="1"/>
  <c r="AE344" i="1"/>
  <c r="AE340" i="1"/>
  <c r="AE275" i="1"/>
  <c r="AE274" i="1"/>
  <c r="AE272" i="1"/>
  <c r="AE266" i="1"/>
  <c r="AE246" i="1"/>
  <c r="AE154" i="1"/>
  <c r="AE146" i="1"/>
  <c r="AE138" i="1"/>
  <c r="AE134" i="1"/>
  <c r="AE127" i="1"/>
  <c r="AE96" i="1"/>
  <c r="AE110" i="1"/>
  <c r="AE106" i="1"/>
  <c r="AE102" i="1"/>
  <c r="AE92" i="1"/>
  <c r="AE82" i="1"/>
  <c r="AE64" i="1"/>
  <c r="AE55" i="1"/>
  <c r="AE53" i="1"/>
  <c r="AE50" i="1"/>
  <c r="AE47" i="1"/>
  <c r="AE38" i="1"/>
  <c r="P11" i="1"/>
  <c r="J593" i="1"/>
  <c r="J594" i="1"/>
  <c r="J595" i="1"/>
  <c r="J592" i="1"/>
  <c r="J511" i="1"/>
  <c r="J378" i="1"/>
  <c r="BS327" i="1"/>
  <c r="J269" i="1"/>
  <c r="J267" i="1"/>
  <c r="J260" i="1"/>
  <c r="J252" i="1"/>
  <c r="J253" i="1"/>
  <c r="J254" i="1"/>
  <c r="J247" i="1"/>
  <c r="J200" i="1"/>
  <c r="J193" i="1"/>
  <c r="J194" i="1"/>
  <c r="J195" i="1"/>
  <c r="J196" i="1"/>
  <c r="J197" i="1"/>
  <c r="J192" i="1"/>
  <c r="J188" i="1"/>
  <c r="J191" i="1"/>
  <c r="J187" i="1"/>
  <c r="J246" i="1"/>
  <c r="J266" i="1"/>
  <c r="J272" i="1"/>
  <c r="J274" i="1"/>
  <c r="J275" i="1"/>
  <c r="J340" i="1"/>
  <c r="J344" i="1"/>
  <c r="J363" i="1"/>
  <c r="J432" i="1"/>
  <c r="J385" i="1"/>
  <c r="J528" i="1"/>
  <c r="J587" i="1"/>
  <c r="J239" i="1"/>
  <c r="J212" i="1"/>
  <c r="J597" i="1"/>
  <c r="J353" i="1"/>
  <c r="J346" i="1"/>
  <c r="J154" i="1"/>
  <c r="J146" i="1"/>
  <c r="J138" i="1"/>
  <c r="J134" i="1"/>
  <c r="J127" i="1"/>
  <c r="J121" i="1"/>
  <c r="J122" i="1"/>
  <c r="J123" i="1"/>
  <c r="J124" i="1"/>
  <c r="J125" i="1"/>
  <c r="J120" i="1"/>
  <c r="J96" i="1"/>
  <c r="J110" i="1"/>
  <c r="J106" i="1"/>
  <c r="J102" i="1"/>
  <c r="J92" i="1"/>
  <c r="J82" i="1"/>
  <c r="J72" i="1"/>
  <c r="J73" i="1"/>
  <c r="J74" i="1"/>
  <c r="J75" i="1"/>
  <c r="J70" i="1"/>
  <c r="J66" i="1"/>
  <c r="J67" i="1"/>
  <c r="J68" i="1"/>
  <c r="J65" i="1"/>
  <c r="J64" i="1"/>
  <c r="J63" i="1"/>
  <c r="J55" i="1"/>
  <c r="J53" i="1"/>
  <c r="J50" i="1"/>
  <c r="J49" i="1"/>
  <c r="J48" i="1"/>
  <c r="J47" i="1"/>
  <c r="J39" i="1"/>
  <c r="J38" i="1"/>
  <c r="J37" i="1"/>
  <c r="J24" i="1"/>
  <c r="J5" i="1"/>
  <c r="CM30" i="1" l="1"/>
  <c r="K30" i="1"/>
  <c r="AY327" i="1"/>
  <c r="BS30" i="1"/>
  <c r="AE30" i="1"/>
  <c r="AY30" i="1"/>
  <c r="AE327" i="1"/>
  <c r="J327" i="1"/>
  <c r="CR190" i="1" l="1"/>
  <c r="CR189" i="1"/>
  <c r="BX190" i="1"/>
  <c r="BX189" i="1"/>
  <c r="BD190" i="1"/>
  <c r="BD189" i="1"/>
  <c r="P190" i="1"/>
  <c r="P189" i="1"/>
  <c r="AJ189" i="1"/>
  <c r="CO190" i="1"/>
  <c r="CO189" i="1"/>
  <c r="BU190" i="1"/>
  <c r="BU189" i="1"/>
  <c r="BA190" i="1"/>
  <c r="BA189" i="1"/>
  <c r="AG190" i="1"/>
  <c r="DG189" i="1" l="1"/>
  <c r="CM189" i="1"/>
  <c r="BS189" i="1"/>
  <c r="AY189" i="1"/>
  <c r="AE189" i="1"/>
  <c r="J189" i="1"/>
  <c r="CO601" i="1" l="1"/>
  <c r="CN601" i="1"/>
  <c r="CO600" i="1"/>
  <c r="CO599" i="1"/>
  <c r="CO598" i="1"/>
  <c r="CO237" i="1"/>
  <c r="CO236" i="1"/>
  <c r="CO234" i="1"/>
  <c r="CO233" i="1"/>
  <c r="CO232" i="1"/>
  <c r="CO231" i="1"/>
  <c r="CO228" i="1"/>
  <c r="CO215" i="1"/>
  <c r="CO218" i="1" s="1"/>
  <c r="CO227" i="1"/>
  <c r="CO226" i="1"/>
  <c r="CO225" i="1"/>
  <c r="CO214" i="1"/>
  <c r="CO217" i="1" s="1"/>
  <c r="CO230" i="1"/>
  <c r="CP230" i="1" s="1"/>
  <c r="CO213" i="1"/>
  <c r="CO243" i="1"/>
  <c r="CN243" i="1"/>
  <c r="CO242" i="1"/>
  <c r="CO241" i="1"/>
  <c r="CO240" i="1"/>
  <c r="CO588" i="1"/>
  <c r="CR525" i="1"/>
  <c r="CR524" i="1"/>
  <c r="CR521" i="1"/>
  <c r="CR520" i="1"/>
  <c r="CR519" i="1"/>
  <c r="CR518" i="1"/>
  <c r="CR517" i="1"/>
  <c r="CR516" i="1"/>
  <c r="CR515" i="1"/>
  <c r="CR512" i="1"/>
  <c r="CS511" i="1"/>
  <c r="CP511" i="1"/>
  <c r="CO513" i="1"/>
  <c r="CP513" i="1" s="1"/>
  <c r="CP499" i="1"/>
  <c r="CR420" i="1"/>
  <c r="CO420" i="1"/>
  <c r="CR419" i="1"/>
  <c r="CO419" i="1"/>
  <c r="CR418" i="1"/>
  <c r="CO418" i="1"/>
  <c r="CR417" i="1"/>
  <c r="CO417" i="1"/>
  <c r="CR416" i="1"/>
  <c r="CO416" i="1"/>
  <c r="CR415" i="1"/>
  <c r="CO415" i="1"/>
  <c r="CR412" i="1"/>
  <c r="CO412" i="1"/>
  <c r="CR411" i="1"/>
  <c r="CO411" i="1"/>
  <c r="CR410" i="1"/>
  <c r="CO410" i="1"/>
  <c r="CR409" i="1"/>
  <c r="CO409" i="1"/>
  <c r="CR408" i="1"/>
  <c r="CO408" i="1"/>
  <c r="CR407" i="1"/>
  <c r="CO407" i="1"/>
  <c r="CR406" i="1"/>
  <c r="CO406" i="1"/>
  <c r="CR404" i="1"/>
  <c r="CO404" i="1"/>
  <c r="CR403" i="1"/>
  <c r="CO403" i="1"/>
  <c r="CR402" i="1"/>
  <c r="CO402" i="1"/>
  <c r="CR401" i="1"/>
  <c r="CO401" i="1"/>
  <c r="CR400" i="1"/>
  <c r="CO400" i="1"/>
  <c r="CR399" i="1"/>
  <c r="CO399" i="1"/>
  <c r="CR398" i="1"/>
  <c r="CO398" i="1"/>
  <c r="CR397" i="1"/>
  <c r="CO397" i="1"/>
  <c r="CR396" i="1"/>
  <c r="CO396" i="1"/>
  <c r="CR395" i="1"/>
  <c r="CO395" i="1"/>
  <c r="CR394" i="1"/>
  <c r="CO394" i="1"/>
  <c r="CR393" i="1"/>
  <c r="CO393" i="1"/>
  <c r="CR392" i="1"/>
  <c r="CO392" i="1"/>
  <c r="CR391" i="1"/>
  <c r="CO391" i="1"/>
  <c r="CR390" i="1"/>
  <c r="CO390" i="1"/>
  <c r="CR389" i="1"/>
  <c r="CO389" i="1"/>
  <c r="CS439" i="1"/>
  <c r="CO438" i="1"/>
  <c r="CO437" i="1"/>
  <c r="CO435" i="1"/>
  <c r="CO434" i="1"/>
  <c r="CR371" i="1"/>
  <c r="CO371" i="1"/>
  <c r="CR370" i="1"/>
  <c r="CO370" i="1"/>
  <c r="CR369" i="1"/>
  <c r="CO369" i="1"/>
  <c r="CR366" i="1"/>
  <c r="CO366" i="1"/>
  <c r="CR365" i="1"/>
  <c r="CO365" i="1"/>
  <c r="CR364" i="1"/>
  <c r="CO364" i="1"/>
  <c r="CR361" i="1"/>
  <c r="CO361" i="1"/>
  <c r="CR360" i="1"/>
  <c r="CO360" i="1"/>
  <c r="CR359" i="1"/>
  <c r="CO359" i="1"/>
  <c r="CR358" i="1"/>
  <c r="CO358" i="1"/>
  <c r="CR355" i="1"/>
  <c r="CO354" i="1"/>
  <c r="CR347" i="1"/>
  <c r="CO347" i="1"/>
  <c r="CO342" i="1"/>
  <c r="CO341" i="1"/>
  <c r="CS340" i="1"/>
  <c r="CP340" i="1"/>
  <c r="CM340" i="1" s="1"/>
  <c r="CR338" i="1"/>
  <c r="CO338" i="1"/>
  <c r="CS276" i="1"/>
  <c r="CP276" i="1"/>
  <c r="CO264" i="1"/>
  <c r="CO263" i="1"/>
  <c r="CO262" i="1"/>
  <c r="CR255" i="1"/>
  <c r="CR257" i="1" s="1"/>
  <c r="CO255" i="1"/>
  <c r="CM255" i="1" s="1"/>
  <c r="CR251" i="1"/>
  <c r="CO251" i="1"/>
  <c r="CR250" i="1"/>
  <c r="CO250" i="1"/>
  <c r="CR249" i="1"/>
  <c r="CO249" i="1"/>
  <c r="CR248" i="1"/>
  <c r="CO248" i="1"/>
  <c r="CR184" i="1"/>
  <c r="CO184" i="1"/>
  <c r="CR182" i="1"/>
  <c r="CO182" i="1"/>
  <c r="CR180" i="1"/>
  <c r="CO180" i="1"/>
  <c r="CR179" i="1"/>
  <c r="CO179" i="1"/>
  <c r="CR175" i="1"/>
  <c r="CO175" i="1"/>
  <c r="CR174" i="1"/>
  <c r="CO174" i="1"/>
  <c r="CR173" i="1"/>
  <c r="CO173" i="1"/>
  <c r="CR172" i="1"/>
  <c r="CO172" i="1"/>
  <c r="CR171" i="1"/>
  <c r="CO171" i="1"/>
  <c r="CR168" i="1"/>
  <c r="CO168" i="1"/>
  <c r="CR167" i="1"/>
  <c r="CO167" i="1"/>
  <c r="CR158" i="1"/>
  <c r="CO158" i="1"/>
  <c r="CR157" i="1"/>
  <c r="CO157" i="1"/>
  <c r="CR156" i="1"/>
  <c r="CO156" i="1"/>
  <c r="CR155" i="1"/>
  <c r="CO155" i="1"/>
  <c r="CR149" i="1"/>
  <c r="CO149" i="1"/>
  <c r="CR148" i="1"/>
  <c r="CO148" i="1"/>
  <c r="CR147" i="1"/>
  <c r="CO147" i="1"/>
  <c r="CR141" i="1"/>
  <c r="CO141" i="1"/>
  <c r="CR140" i="1"/>
  <c r="CO140" i="1"/>
  <c r="CR139" i="1"/>
  <c r="CO139" i="1"/>
  <c r="CR136" i="1"/>
  <c r="CR135" i="1"/>
  <c r="CO135" i="1"/>
  <c r="CO136" i="1" s="1"/>
  <c r="CR178" i="1"/>
  <c r="CO178" i="1"/>
  <c r="CR133" i="1"/>
  <c r="CO133" i="1"/>
  <c r="CR132" i="1"/>
  <c r="CO132" i="1"/>
  <c r="CR131" i="1"/>
  <c r="CO131" i="1"/>
  <c r="CR130" i="1"/>
  <c r="CO130" i="1"/>
  <c r="CR129" i="1"/>
  <c r="CO129" i="1"/>
  <c r="CR128" i="1"/>
  <c r="CO128" i="1"/>
  <c r="CR126" i="1"/>
  <c r="CO126" i="1"/>
  <c r="CR98" i="1"/>
  <c r="CO98" i="1"/>
  <c r="CR97" i="1"/>
  <c r="CO97" i="1"/>
  <c r="CR118" i="1"/>
  <c r="CO118" i="1"/>
  <c r="CR114" i="1"/>
  <c r="CO114" i="1"/>
  <c r="CR176" i="1"/>
  <c r="CO176" i="1"/>
  <c r="CR177" i="1"/>
  <c r="CO177" i="1"/>
  <c r="CR112" i="1"/>
  <c r="CO112" i="1"/>
  <c r="CR111" i="1"/>
  <c r="CO111" i="1"/>
  <c r="CR109" i="1"/>
  <c r="CO109" i="1"/>
  <c r="CR108" i="1"/>
  <c r="CO108" i="1"/>
  <c r="CR107" i="1"/>
  <c r="CO107" i="1"/>
  <c r="CR105" i="1"/>
  <c r="CO105" i="1"/>
  <c r="CR104" i="1"/>
  <c r="CO104" i="1"/>
  <c r="CR103" i="1"/>
  <c r="CO103" i="1"/>
  <c r="CR95" i="1"/>
  <c r="CO95" i="1"/>
  <c r="CR94" i="1"/>
  <c r="CO94" i="1"/>
  <c r="CR93" i="1"/>
  <c r="CO93" i="1"/>
  <c r="CR91" i="1"/>
  <c r="CO91" i="1"/>
  <c r="CR90" i="1"/>
  <c r="CO90" i="1"/>
  <c r="CR89" i="1"/>
  <c r="CO89" i="1"/>
  <c r="CR88" i="1"/>
  <c r="CO88" i="1"/>
  <c r="CR87" i="1"/>
  <c r="CO87" i="1"/>
  <c r="CR86" i="1"/>
  <c r="CO86" i="1"/>
  <c r="CR85" i="1"/>
  <c r="CO85" i="1"/>
  <c r="CR84" i="1"/>
  <c r="CR183" i="1" s="1"/>
  <c r="CO84" i="1"/>
  <c r="CO183" i="1" s="1"/>
  <c r="CR79" i="1"/>
  <c r="CO79" i="1"/>
  <c r="CP75" i="1"/>
  <c r="CP74" i="1"/>
  <c r="CO71" i="1"/>
  <c r="CO62" i="1"/>
  <c r="CR59" i="1"/>
  <c r="CO59" i="1"/>
  <c r="CR58" i="1"/>
  <c r="CO58" i="1"/>
  <c r="CR56" i="1"/>
  <c r="CR57" i="1" s="1"/>
  <c r="CO56" i="1"/>
  <c r="CO57" i="1" s="1"/>
  <c r="CR54" i="1"/>
  <c r="CO54" i="1"/>
  <c r="CO52" i="1"/>
  <c r="CO51" i="1"/>
  <c r="CR46" i="1"/>
  <c r="CO46" i="1"/>
  <c r="CR45" i="1"/>
  <c r="CO45" i="1"/>
  <c r="CR44" i="1"/>
  <c r="CO44" i="1"/>
  <c r="CR43" i="1"/>
  <c r="CO43" i="1"/>
  <c r="CR42" i="1"/>
  <c r="CO42" i="1"/>
  <c r="CR41" i="1"/>
  <c r="CO41" i="1"/>
  <c r="CR40" i="1"/>
  <c r="CO40" i="1"/>
  <c r="CN40" i="1"/>
  <c r="CR23" i="1"/>
  <c r="CO23" i="1"/>
  <c r="CR18" i="1"/>
  <c r="CO18" i="1"/>
  <c r="CR17" i="1"/>
  <c r="CO17" i="1"/>
  <c r="CR15" i="1"/>
  <c r="CO15" i="1"/>
  <c r="CR14" i="1"/>
  <c r="CO14" i="1"/>
  <c r="CR13" i="1"/>
  <c r="CO13" i="1"/>
  <c r="CR12" i="1"/>
  <c r="CR11" i="1"/>
  <c r="CO11" i="1"/>
  <c r="CO12" i="1" s="1"/>
  <c r="BU601" i="1"/>
  <c r="BT601" i="1"/>
  <c r="BU600" i="1"/>
  <c r="BU599" i="1"/>
  <c r="BU598" i="1"/>
  <c r="BU237" i="1"/>
  <c r="BU236" i="1"/>
  <c r="BU234" i="1"/>
  <c r="BU233" i="1"/>
  <c r="BU232" i="1"/>
  <c r="BU231" i="1"/>
  <c r="BU228" i="1"/>
  <c r="BU215" i="1"/>
  <c r="BU218" i="1" s="1"/>
  <c r="BU227" i="1"/>
  <c r="BU226" i="1"/>
  <c r="BU225" i="1"/>
  <c r="BU214" i="1"/>
  <c r="BU217" i="1" s="1"/>
  <c r="BU230" i="1"/>
  <c r="BV230" i="1" s="1"/>
  <c r="BU213" i="1"/>
  <c r="BU243" i="1"/>
  <c r="BT243" i="1"/>
  <c r="BU242" i="1"/>
  <c r="BU241" i="1"/>
  <c r="BU240" i="1"/>
  <c r="BU588" i="1"/>
  <c r="BV554" i="1"/>
  <c r="BX525" i="1"/>
  <c r="BX524" i="1"/>
  <c r="BX521" i="1"/>
  <c r="BX520" i="1"/>
  <c r="BX519" i="1"/>
  <c r="BX518" i="1"/>
  <c r="BX517" i="1"/>
  <c r="BX516" i="1"/>
  <c r="BX515" i="1"/>
  <c r="BX512" i="1"/>
  <c r="BY511" i="1"/>
  <c r="BV511" i="1"/>
  <c r="BU513" i="1"/>
  <c r="BV513" i="1" s="1"/>
  <c r="BV499" i="1"/>
  <c r="BX420" i="1"/>
  <c r="BU420" i="1"/>
  <c r="BX419" i="1"/>
  <c r="BU419" i="1"/>
  <c r="BX418" i="1"/>
  <c r="BU418" i="1"/>
  <c r="BX417" i="1"/>
  <c r="BU417" i="1"/>
  <c r="BX416" i="1"/>
  <c r="BU416" i="1"/>
  <c r="BX415" i="1"/>
  <c r="BU415" i="1"/>
  <c r="BX412" i="1"/>
  <c r="BU412" i="1"/>
  <c r="BX411" i="1"/>
  <c r="BU411" i="1"/>
  <c r="BX410" i="1"/>
  <c r="BU410" i="1"/>
  <c r="BX409" i="1"/>
  <c r="BU409" i="1"/>
  <c r="BX408" i="1"/>
  <c r="BU408" i="1"/>
  <c r="BX407" i="1"/>
  <c r="BU407" i="1"/>
  <c r="BX406" i="1"/>
  <c r="BU406" i="1"/>
  <c r="BX404" i="1"/>
  <c r="BU404" i="1"/>
  <c r="BX403" i="1"/>
  <c r="BU403" i="1"/>
  <c r="BX402" i="1"/>
  <c r="BU402" i="1"/>
  <c r="BX401" i="1"/>
  <c r="BU401" i="1"/>
  <c r="BX400" i="1"/>
  <c r="BU400" i="1"/>
  <c r="BX399" i="1"/>
  <c r="BU399" i="1"/>
  <c r="BX398" i="1"/>
  <c r="BU398" i="1"/>
  <c r="BX397" i="1"/>
  <c r="BU397" i="1"/>
  <c r="BX396" i="1"/>
  <c r="BU396" i="1"/>
  <c r="BX395" i="1"/>
  <c r="BU395" i="1"/>
  <c r="BX394" i="1"/>
  <c r="BU394" i="1"/>
  <c r="BX393" i="1"/>
  <c r="BU393" i="1"/>
  <c r="BX392" i="1"/>
  <c r="BU392" i="1"/>
  <c r="BX391" i="1"/>
  <c r="BU391" i="1"/>
  <c r="BX390" i="1"/>
  <c r="BU390" i="1"/>
  <c r="BX389" i="1"/>
  <c r="BU389" i="1"/>
  <c r="BY439" i="1"/>
  <c r="BU438" i="1"/>
  <c r="BU437" i="1"/>
  <c r="BU435" i="1"/>
  <c r="BU434" i="1"/>
  <c r="BX371" i="1"/>
  <c r="BU371" i="1"/>
  <c r="BX370" i="1"/>
  <c r="BU370" i="1"/>
  <c r="BX369" i="1"/>
  <c r="BU369" i="1"/>
  <c r="BX366" i="1"/>
  <c r="BU366" i="1"/>
  <c r="BX365" i="1"/>
  <c r="BU365" i="1"/>
  <c r="BX364" i="1"/>
  <c r="BU364" i="1"/>
  <c r="BX361" i="1"/>
  <c r="BU361" i="1"/>
  <c r="BX360" i="1"/>
  <c r="BU360" i="1"/>
  <c r="BX359" i="1"/>
  <c r="BU359" i="1"/>
  <c r="BX358" i="1"/>
  <c r="BU358" i="1"/>
  <c r="BU354" i="1"/>
  <c r="BX347" i="1"/>
  <c r="BU342" i="1"/>
  <c r="BU341" i="1"/>
  <c r="BY340" i="1"/>
  <c r="BV340" i="1"/>
  <c r="BS340" i="1" s="1"/>
  <c r="BX338" i="1"/>
  <c r="BS290" i="1"/>
  <c r="BY276" i="1"/>
  <c r="BV276" i="1"/>
  <c r="BU264" i="1"/>
  <c r="BU263" i="1"/>
  <c r="BU262" i="1"/>
  <c r="BX255" i="1"/>
  <c r="BX257" i="1" s="1"/>
  <c r="BU255" i="1"/>
  <c r="BS255" i="1" s="1"/>
  <c r="BX251" i="1"/>
  <c r="BU251" i="1"/>
  <c r="BX250" i="1"/>
  <c r="BU250" i="1"/>
  <c r="BX249" i="1"/>
  <c r="BU249" i="1"/>
  <c r="BX248" i="1"/>
  <c r="BU248" i="1"/>
  <c r="BX184" i="1"/>
  <c r="BU184" i="1"/>
  <c r="BX182" i="1"/>
  <c r="BU182" i="1"/>
  <c r="BX180" i="1"/>
  <c r="BU180" i="1"/>
  <c r="BX179" i="1"/>
  <c r="BU179" i="1"/>
  <c r="BX175" i="1"/>
  <c r="BU175" i="1"/>
  <c r="BX174" i="1"/>
  <c r="BU174" i="1"/>
  <c r="BX173" i="1"/>
  <c r="BU173" i="1"/>
  <c r="BX172" i="1"/>
  <c r="BU172" i="1"/>
  <c r="BX171" i="1"/>
  <c r="BU171" i="1"/>
  <c r="BX168" i="1"/>
  <c r="BU168" i="1"/>
  <c r="BX167" i="1"/>
  <c r="BX166" i="1" s="1"/>
  <c r="BY166" i="1" s="1"/>
  <c r="BU167" i="1"/>
  <c r="BX158" i="1"/>
  <c r="BU158" i="1"/>
  <c r="BX157" i="1"/>
  <c r="BU157" i="1"/>
  <c r="BX156" i="1"/>
  <c r="BU156" i="1"/>
  <c r="BX155" i="1"/>
  <c r="BU155" i="1"/>
  <c r="BX149" i="1"/>
  <c r="BU149" i="1"/>
  <c r="BX148" i="1"/>
  <c r="BU148" i="1"/>
  <c r="BX147" i="1"/>
  <c r="BU147" i="1"/>
  <c r="BX141" i="1"/>
  <c r="BU141" i="1"/>
  <c r="BX140" i="1"/>
  <c r="BU140" i="1"/>
  <c r="BX139" i="1"/>
  <c r="BU139" i="1"/>
  <c r="BX136" i="1"/>
  <c r="BX135" i="1"/>
  <c r="BU135" i="1"/>
  <c r="BU136" i="1" s="1"/>
  <c r="BX178" i="1"/>
  <c r="BU178" i="1"/>
  <c r="BX133" i="1"/>
  <c r="BU133" i="1"/>
  <c r="BX132" i="1"/>
  <c r="BU132" i="1"/>
  <c r="BX131" i="1"/>
  <c r="BU131" i="1"/>
  <c r="BX130" i="1"/>
  <c r="BU130" i="1"/>
  <c r="BX129" i="1"/>
  <c r="BU129" i="1"/>
  <c r="BX128" i="1"/>
  <c r="BU128" i="1"/>
  <c r="BU126" i="1"/>
  <c r="BX98" i="1"/>
  <c r="BU98" i="1"/>
  <c r="BU97" i="1"/>
  <c r="BU118" i="1"/>
  <c r="BX114" i="1"/>
  <c r="BU114" i="1"/>
  <c r="BX176" i="1"/>
  <c r="BU176" i="1"/>
  <c r="BX177" i="1"/>
  <c r="BU177" i="1"/>
  <c r="BX112" i="1"/>
  <c r="BU112" i="1"/>
  <c r="BX111" i="1"/>
  <c r="BU111" i="1"/>
  <c r="BX109" i="1"/>
  <c r="BU109" i="1"/>
  <c r="BX108" i="1"/>
  <c r="BU108" i="1"/>
  <c r="BX107" i="1"/>
  <c r="BU107" i="1"/>
  <c r="BX105" i="1"/>
  <c r="BU105" i="1"/>
  <c r="BX104" i="1"/>
  <c r="BU104" i="1"/>
  <c r="BX103" i="1"/>
  <c r="BU103" i="1"/>
  <c r="BX95" i="1"/>
  <c r="BU95" i="1"/>
  <c r="BX94" i="1"/>
  <c r="BU94" i="1"/>
  <c r="BX93" i="1"/>
  <c r="BU93" i="1"/>
  <c r="BX91" i="1"/>
  <c r="BU91" i="1"/>
  <c r="BX90" i="1"/>
  <c r="BU90" i="1"/>
  <c r="BX89" i="1"/>
  <c r="BU89" i="1"/>
  <c r="BX88" i="1"/>
  <c r="BU88" i="1"/>
  <c r="BX87" i="1"/>
  <c r="BU87" i="1"/>
  <c r="BX86" i="1"/>
  <c r="BU86" i="1"/>
  <c r="BX85" i="1"/>
  <c r="BU85" i="1"/>
  <c r="BX183" i="1"/>
  <c r="BU84" i="1"/>
  <c r="BU183" i="1" s="1"/>
  <c r="BX79" i="1"/>
  <c r="BU79" i="1"/>
  <c r="BV75" i="1"/>
  <c r="BV74" i="1"/>
  <c r="BU71" i="1"/>
  <c r="BU62" i="1"/>
  <c r="BX59" i="1"/>
  <c r="BU59" i="1"/>
  <c r="BX58" i="1"/>
  <c r="BU58" i="1"/>
  <c r="BX56" i="1"/>
  <c r="BX57" i="1" s="1"/>
  <c r="BU56" i="1"/>
  <c r="BU57" i="1" s="1"/>
  <c r="BX54" i="1"/>
  <c r="BU54" i="1"/>
  <c r="BU52" i="1"/>
  <c r="BX46" i="1"/>
  <c r="BU46" i="1"/>
  <c r="BX45" i="1"/>
  <c r="BU45" i="1"/>
  <c r="BX44" i="1"/>
  <c r="BU44" i="1"/>
  <c r="BX43" i="1"/>
  <c r="BU43" i="1"/>
  <c r="BX42" i="1"/>
  <c r="BU42" i="1"/>
  <c r="BX41" i="1"/>
  <c r="BU41" i="1"/>
  <c r="BX40" i="1"/>
  <c r="BU40" i="1"/>
  <c r="BT40" i="1"/>
  <c r="BX23" i="1"/>
  <c r="BU23" i="1"/>
  <c r="BX18" i="1"/>
  <c r="BU18" i="1"/>
  <c r="BX17" i="1"/>
  <c r="BU17" i="1"/>
  <c r="BX15" i="1"/>
  <c r="BU15" i="1"/>
  <c r="BX14" i="1"/>
  <c r="BU14" i="1"/>
  <c r="BX13" i="1"/>
  <c r="BU13" i="1"/>
  <c r="BX12" i="1"/>
  <c r="BX11" i="1"/>
  <c r="BU11" i="1"/>
  <c r="BU12" i="1" s="1"/>
  <c r="BO633" i="1"/>
  <c r="BN633" i="1"/>
  <c r="BK633" i="1"/>
  <c r="BJ633" i="1"/>
  <c r="BG633" i="1"/>
  <c r="BF633" i="1"/>
  <c r="BA601" i="1"/>
  <c r="AZ601" i="1"/>
  <c r="BA600" i="1"/>
  <c r="BA599" i="1"/>
  <c r="BA598" i="1"/>
  <c r="BO597" i="1"/>
  <c r="BN597" i="1"/>
  <c r="BK597" i="1"/>
  <c r="BJ597" i="1"/>
  <c r="BG597" i="1"/>
  <c r="BF597" i="1"/>
  <c r="BA237" i="1"/>
  <c r="BA236" i="1"/>
  <c r="BA234" i="1"/>
  <c r="BA233" i="1"/>
  <c r="BA232" i="1"/>
  <c r="BA231" i="1"/>
  <c r="BA228" i="1"/>
  <c r="BA215" i="1"/>
  <c r="BA218" i="1" s="1"/>
  <c r="BA227" i="1"/>
  <c r="BA226" i="1"/>
  <c r="BA225" i="1"/>
  <c r="BA214" i="1"/>
  <c r="BA217" i="1" s="1"/>
  <c r="BA230" i="1"/>
  <c r="BB230" i="1" s="1"/>
  <c r="BA213" i="1"/>
  <c r="BO212" i="1"/>
  <c r="BN212" i="1"/>
  <c r="BK212" i="1"/>
  <c r="BJ212" i="1"/>
  <c r="BG212" i="1"/>
  <c r="BF212" i="1"/>
  <c r="BA243" i="1"/>
  <c r="AZ243" i="1"/>
  <c r="BA242" i="1"/>
  <c r="BA241" i="1"/>
  <c r="BA240" i="1"/>
  <c r="BO239" i="1"/>
  <c r="BN239" i="1"/>
  <c r="BK239" i="1"/>
  <c r="BJ239" i="1"/>
  <c r="BG239" i="1"/>
  <c r="BF239" i="1"/>
  <c r="BF591" i="1"/>
  <c r="BO591" i="1"/>
  <c r="BN591" i="1"/>
  <c r="BK591" i="1"/>
  <c r="BJ591" i="1"/>
  <c r="BG591" i="1"/>
  <c r="BA588" i="1"/>
  <c r="BO587" i="1"/>
  <c r="BN587" i="1"/>
  <c r="BK587" i="1"/>
  <c r="BJ587" i="1"/>
  <c r="BG587" i="1"/>
  <c r="BF587" i="1"/>
  <c r="BO552" i="1"/>
  <c r="BN552" i="1"/>
  <c r="BK552" i="1"/>
  <c r="BJ552" i="1"/>
  <c r="BG552" i="1"/>
  <c r="BF552" i="1"/>
  <c r="BO545" i="1"/>
  <c r="BN545" i="1"/>
  <c r="BK545" i="1"/>
  <c r="BJ545" i="1"/>
  <c r="BG545" i="1"/>
  <c r="BF545" i="1"/>
  <c r="BO528" i="1"/>
  <c r="BN528" i="1"/>
  <c r="BK528" i="1"/>
  <c r="BJ528" i="1"/>
  <c r="BG528" i="1"/>
  <c r="BF528" i="1"/>
  <c r="BD525" i="1"/>
  <c r="BD524" i="1"/>
  <c r="BD521" i="1"/>
  <c r="BD520" i="1"/>
  <c r="BD519" i="1"/>
  <c r="BD518" i="1"/>
  <c r="BD517" i="1"/>
  <c r="BD516" i="1"/>
  <c r="BD515" i="1"/>
  <c r="BD512" i="1"/>
  <c r="BE511" i="1"/>
  <c r="BB511" i="1"/>
  <c r="BO510" i="1"/>
  <c r="BN510" i="1"/>
  <c r="BK510" i="1"/>
  <c r="BJ510" i="1"/>
  <c r="BG510" i="1"/>
  <c r="BF510" i="1"/>
  <c r="BA513" i="1"/>
  <c r="BB513" i="1" s="1"/>
  <c r="BO501" i="1"/>
  <c r="BN501" i="1"/>
  <c r="BK501" i="1"/>
  <c r="BJ501" i="1"/>
  <c r="BG501" i="1"/>
  <c r="BF501" i="1"/>
  <c r="BB499" i="1"/>
  <c r="BO477" i="1"/>
  <c r="BN477" i="1"/>
  <c r="BK477" i="1"/>
  <c r="BJ477" i="1"/>
  <c r="BG477" i="1"/>
  <c r="BF477" i="1"/>
  <c r="BD420" i="1"/>
  <c r="BA420" i="1"/>
  <c r="BD419" i="1"/>
  <c r="BA419" i="1"/>
  <c r="BD418" i="1"/>
  <c r="BA418" i="1"/>
  <c r="BD417" i="1"/>
  <c r="BA417" i="1"/>
  <c r="BD416" i="1"/>
  <c r="BA416" i="1"/>
  <c r="BD415" i="1"/>
  <c r="BA415" i="1"/>
  <c r="BD412" i="1"/>
  <c r="BA412" i="1"/>
  <c r="BD411" i="1"/>
  <c r="BA411" i="1"/>
  <c r="BD410" i="1"/>
  <c r="BA410" i="1"/>
  <c r="BD409" i="1"/>
  <c r="BA409" i="1"/>
  <c r="BD408" i="1"/>
  <c r="BA408" i="1"/>
  <c r="BD407" i="1"/>
  <c r="BA407" i="1"/>
  <c r="BD406" i="1"/>
  <c r="BA406" i="1"/>
  <c r="BD404" i="1"/>
  <c r="BA404" i="1"/>
  <c r="BD403" i="1"/>
  <c r="BA403" i="1"/>
  <c r="BD402" i="1"/>
  <c r="BA402" i="1"/>
  <c r="BD401" i="1"/>
  <c r="BA401" i="1"/>
  <c r="BD400" i="1"/>
  <c r="BA400" i="1"/>
  <c r="BD399" i="1"/>
  <c r="BA399" i="1"/>
  <c r="BD398" i="1"/>
  <c r="BA398" i="1"/>
  <c r="BD397" i="1"/>
  <c r="BA397" i="1"/>
  <c r="BD396" i="1"/>
  <c r="BA396" i="1"/>
  <c r="BD395" i="1"/>
  <c r="BA395" i="1"/>
  <c r="BD394" i="1"/>
  <c r="BA394" i="1"/>
  <c r="BD393" i="1"/>
  <c r="BA393" i="1"/>
  <c r="BD392" i="1"/>
  <c r="BA392" i="1"/>
  <c r="BD391" i="1"/>
  <c r="BA391" i="1"/>
  <c r="BD390" i="1"/>
  <c r="BA390" i="1"/>
  <c r="BD389" i="1"/>
  <c r="BA389" i="1"/>
  <c r="BO385" i="1"/>
  <c r="BN385" i="1"/>
  <c r="BK385" i="1"/>
  <c r="BJ385" i="1"/>
  <c r="BG385" i="1"/>
  <c r="BF385" i="1"/>
  <c r="BE439" i="1"/>
  <c r="BA438" i="1"/>
  <c r="BA437" i="1"/>
  <c r="BA435" i="1"/>
  <c r="BA434" i="1"/>
  <c r="BO432" i="1"/>
  <c r="BN432" i="1"/>
  <c r="BK432" i="1"/>
  <c r="BJ432" i="1"/>
  <c r="BG432" i="1"/>
  <c r="BF432" i="1"/>
  <c r="BO380" i="1"/>
  <c r="BN380" i="1"/>
  <c r="BK380" i="1"/>
  <c r="BJ380" i="1"/>
  <c r="BG380" i="1"/>
  <c r="BF380" i="1"/>
  <c r="BD371" i="1"/>
  <c r="BA371" i="1"/>
  <c r="BD370" i="1"/>
  <c r="BA370" i="1"/>
  <c r="BD369" i="1"/>
  <c r="BA369" i="1"/>
  <c r="BD366" i="1"/>
  <c r="BA366" i="1"/>
  <c r="BD365" i="1"/>
  <c r="BA365" i="1"/>
  <c r="BD364" i="1"/>
  <c r="BA364" i="1"/>
  <c r="BO363" i="1"/>
  <c r="BN363" i="1"/>
  <c r="BK363" i="1"/>
  <c r="BJ363" i="1"/>
  <c r="BG363" i="1"/>
  <c r="BF363" i="1"/>
  <c r="BD361" i="1"/>
  <c r="BA361" i="1"/>
  <c r="BD360" i="1"/>
  <c r="BA360" i="1"/>
  <c r="BD359" i="1"/>
  <c r="BA359" i="1"/>
  <c r="BD358" i="1"/>
  <c r="BA358" i="1"/>
  <c r="BD355" i="1"/>
  <c r="BA354" i="1"/>
  <c r="BO353" i="1"/>
  <c r="BN353" i="1"/>
  <c r="BK353" i="1"/>
  <c r="BJ353" i="1"/>
  <c r="BG353" i="1"/>
  <c r="BF353" i="1"/>
  <c r="BD350" i="1"/>
  <c r="BA350" i="1"/>
  <c r="BD347" i="1"/>
  <c r="BA347" i="1"/>
  <c r="BO346" i="1"/>
  <c r="BN346" i="1"/>
  <c r="BK346" i="1"/>
  <c r="BJ346" i="1"/>
  <c r="BG346" i="1"/>
  <c r="BF346" i="1"/>
  <c r="BA342" i="1"/>
  <c r="BA341" i="1"/>
  <c r="BO340" i="1"/>
  <c r="BN340" i="1"/>
  <c r="BK340" i="1"/>
  <c r="BJ340" i="1"/>
  <c r="BG340" i="1"/>
  <c r="BF340" i="1"/>
  <c r="BE340" i="1"/>
  <c r="BB340" i="1"/>
  <c r="BD338" i="1"/>
  <c r="BO337" i="1"/>
  <c r="BN337" i="1"/>
  <c r="BK337" i="1"/>
  <c r="BJ337" i="1"/>
  <c r="BG337" i="1"/>
  <c r="BF337" i="1"/>
  <c r="BO327" i="1"/>
  <c r="BN327" i="1"/>
  <c r="BK327" i="1"/>
  <c r="BJ327" i="1"/>
  <c r="BG327" i="1"/>
  <c r="BF327" i="1"/>
  <c r="BO290" i="1"/>
  <c r="BN290" i="1"/>
  <c r="BK290" i="1"/>
  <c r="BJ290" i="1"/>
  <c r="BG290" i="1"/>
  <c r="BF290" i="1"/>
  <c r="AY290" i="1"/>
  <c r="BE276" i="1"/>
  <c r="BB276" i="1"/>
  <c r="BO266" i="1"/>
  <c r="BN266" i="1"/>
  <c r="BK266" i="1"/>
  <c r="BJ266" i="1"/>
  <c r="BG266" i="1"/>
  <c r="BF266" i="1"/>
  <c r="BA264" i="1"/>
  <c r="BA263" i="1"/>
  <c r="BA262" i="1"/>
  <c r="BO261" i="1"/>
  <c r="BN261" i="1"/>
  <c r="BK261" i="1"/>
  <c r="BJ261" i="1"/>
  <c r="BG261" i="1"/>
  <c r="BF261" i="1"/>
  <c r="BO255" i="1"/>
  <c r="BN255" i="1"/>
  <c r="BK255" i="1"/>
  <c r="BJ255" i="1"/>
  <c r="BG255" i="1"/>
  <c r="BF255" i="1"/>
  <c r="BD255" i="1"/>
  <c r="BD257" i="1" s="1"/>
  <c r="BA255" i="1"/>
  <c r="BD251" i="1"/>
  <c r="BA251" i="1"/>
  <c r="BD250" i="1"/>
  <c r="BA250" i="1"/>
  <c r="BD249" i="1"/>
  <c r="BA249" i="1"/>
  <c r="BD248" i="1"/>
  <c r="BA248" i="1"/>
  <c r="BO186" i="1"/>
  <c r="BN186" i="1"/>
  <c r="BK186" i="1"/>
  <c r="BJ186" i="1"/>
  <c r="BG186" i="1"/>
  <c r="BF186" i="1"/>
  <c r="BD184" i="1"/>
  <c r="BA184" i="1"/>
  <c r="BD182" i="1"/>
  <c r="BA182" i="1"/>
  <c r="BD180" i="1"/>
  <c r="BA180" i="1"/>
  <c r="BD179" i="1"/>
  <c r="BA179" i="1"/>
  <c r="BD175" i="1"/>
  <c r="BA175" i="1"/>
  <c r="BD174" i="1"/>
  <c r="BA174" i="1"/>
  <c r="BD173" i="1"/>
  <c r="BA173" i="1"/>
  <c r="BD172" i="1"/>
  <c r="BA172" i="1"/>
  <c r="BD171" i="1"/>
  <c r="BA171" i="1"/>
  <c r="BA168" i="1"/>
  <c r="BD167" i="1"/>
  <c r="BA167" i="1"/>
  <c r="BO163" i="1"/>
  <c r="BN163" i="1"/>
  <c r="BK163" i="1"/>
  <c r="BJ163" i="1"/>
  <c r="BG163" i="1"/>
  <c r="BF163" i="1"/>
  <c r="BD158" i="1"/>
  <c r="BA158" i="1"/>
  <c r="BD157" i="1"/>
  <c r="BA157" i="1"/>
  <c r="BD156" i="1"/>
  <c r="BA156" i="1"/>
  <c r="BD155" i="1"/>
  <c r="BA155" i="1"/>
  <c r="BO154" i="1"/>
  <c r="BN154" i="1"/>
  <c r="BK154" i="1"/>
  <c r="BJ154" i="1"/>
  <c r="BG154" i="1"/>
  <c r="BF154" i="1"/>
  <c r="BD149" i="1"/>
  <c r="BA149" i="1"/>
  <c r="BD148" i="1"/>
  <c r="BA148" i="1"/>
  <c r="BD147" i="1"/>
  <c r="BA147" i="1"/>
  <c r="BO146" i="1"/>
  <c r="BN146" i="1"/>
  <c r="BK146" i="1"/>
  <c r="BJ146" i="1"/>
  <c r="BG146" i="1"/>
  <c r="BF146" i="1"/>
  <c r="BD141" i="1"/>
  <c r="BA141" i="1"/>
  <c r="BD140" i="1"/>
  <c r="BA140" i="1"/>
  <c r="BD139" i="1"/>
  <c r="BA139" i="1"/>
  <c r="BO138" i="1"/>
  <c r="BN138" i="1"/>
  <c r="BK138" i="1"/>
  <c r="BJ138" i="1"/>
  <c r="BG138" i="1"/>
  <c r="BF138" i="1"/>
  <c r="BD136" i="1"/>
  <c r="BD135" i="1"/>
  <c r="BA135" i="1"/>
  <c r="BO134" i="1"/>
  <c r="BN134" i="1"/>
  <c r="BK134" i="1"/>
  <c r="BJ134" i="1"/>
  <c r="BG134" i="1"/>
  <c r="BF134" i="1"/>
  <c r="BD178" i="1"/>
  <c r="BA178" i="1"/>
  <c r="BD133" i="1"/>
  <c r="BA133" i="1"/>
  <c r="BD132" i="1"/>
  <c r="BA132" i="1"/>
  <c r="BD131" i="1"/>
  <c r="BA131" i="1"/>
  <c r="BD130" i="1"/>
  <c r="BA130" i="1"/>
  <c r="BD129" i="1"/>
  <c r="BA129" i="1"/>
  <c r="BD128" i="1"/>
  <c r="BA128" i="1"/>
  <c r="BD126" i="1"/>
  <c r="BA126" i="1"/>
  <c r="BO119" i="1"/>
  <c r="BN119" i="1"/>
  <c r="BK119" i="1"/>
  <c r="BJ119" i="1"/>
  <c r="BG119" i="1"/>
  <c r="BF119" i="1"/>
  <c r="BD98" i="1"/>
  <c r="BA98" i="1"/>
  <c r="BD97" i="1"/>
  <c r="BA97" i="1"/>
  <c r="BO96" i="1"/>
  <c r="BN96" i="1"/>
  <c r="BK96" i="1"/>
  <c r="BJ96" i="1"/>
  <c r="BG96" i="1"/>
  <c r="BF96" i="1"/>
  <c r="BD118" i="1"/>
  <c r="BA118" i="1"/>
  <c r="BD114" i="1"/>
  <c r="BO113" i="1"/>
  <c r="BN113" i="1"/>
  <c r="BK113" i="1"/>
  <c r="BJ113" i="1"/>
  <c r="BG113" i="1"/>
  <c r="BF113" i="1"/>
  <c r="BD176" i="1"/>
  <c r="BA176" i="1"/>
  <c r="BD177" i="1"/>
  <c r="BA177" i="1"/>
  <c r="BD112" i="1"/>
  <c r="BA112" i="1"/>
  <c r="BD111" i="1"/>
  <c r="BA111" i="1"/>
  <c r="BD109" i="1"/>
  <c r="BA109" i="1"/>
  <c r="BD108" i="1"/>
  <c r="BA108" i="1"/>
  <c r="BD107" i="1"/>
  <c r="BA107" i="1"/>
  <c r="BO106" i="1"/>
  <c r="BN106" i="1"/>
  <c r="BK106" i="1"/>
  <c r="BJ106" i="1"/>
  <c r="BG106" i="1"/>
  <c r="BF106" i="1"/>
  <c r="BD105" i="1"/>
  <c r="BA105" i="1"/>
  <c r="BD104" i="1"/>
  <c r="BA104" i="1"/>
  <c r="BD103" i="1"/>
  <c r="BA103" i="1"/>
  <c r="BO102" i="1"/>
  <c r="BN102" i="1"/>
  <c r="BK102" i="1"/>
  <c r="BJ102" i="1"/>
  <c r="BG102" i="1"/>
  <c r="BF102" i="1"/>
  <c r="BD95" i="1"/>
  <c r="BA95" i="1"/>
  <c r="BD94" i="1"/>
  <c r="BA94" i="1"/>
  <c r="BD93" i="1"/>
  <c r="BA93" i="1"/>
  <c r="BO92" i="1"/>
  <c r="BN92" i="1"/>
  <c r="BK92" i="1"/>
  <c r="BJ92" i="1"/>
  <c r="BG92" i="1"/>
  <c r="BF92" i="1"/>
  <c r="BD91" i="1"/>
  <c r="BA91" i="1"/>
  <c r="BD90" i="1"/>
  <c r="BA90" i="1"/>
  <c r="BD89" i="1"/>
  <c r="BA89" i="1"/>
  <c r="BD88" i="1"/>
  <c r="BA88" i="1"/>
  <c r="BD87" i="1"/>
  <c r="BA87" i="1"/>
  <c r="BD86" i="1"/>
  <c r="BA86" i="1"/>
  <c r="BA85" i="1"/>
  <c r="BD84" i="1"/>
  <c r="BD183" i="1" s="1"/>
  <c r="BA84" i="1"/>
  <c r="BA183" i="1" s="1"/>
  <c r="BO82" i="1"/>
  <c r="BN82" i="1"/>
  <c r="BK82" i="1"/>
  <c r="BJ82" i="1"/>
  <c r="BG82" i="1"/>
  <c r="BF82" i="1"/>
  <c r="BD79" i="1"/>
  <c r="BA79" i="1"/>
  <c r="BB75" i="1"/>
  <c r="BB74" i="1"/>
  <c r="BO69" i="1"/>
  <c r="BN69" i="1"/>
  <c r="BK69" i="1"/>
  <c r="BJ69" i="1"/>
  <c r="BG69" i="1"/>
  <c r="BF69" i="1"/>
  <c r="BO64" i="1"/>
  <c r="BN64" i="1"/>
  <c r="BK64" i="1"/>
  <c r="BJ64" i="1"/>
  <c r="BG64" i="1"/>
  <c r="BF64" i="1"/>
  <c r="BA62" i="1"/>
  <c r="BO60" i="1"/>
  <c r="BN60" i="1"/>
  <c r="BK60" i="1"/>
  <c r="BJ60" i="1"/>
  <c r="BG60" i="1"/>
  <c r="BF60" i="1"/>
  <c r="BD59" i="1"/>
  <c r="BA59" i="1"/>
  <c r="BD58" i="1"/>
  <c r="BA58" i="1"/>
  <c r="BD56" i="1"/>
  <c r="BD57" i="1" s="1"/>
  <c r="BA56" i="1"/>
  <c r="BA57" i="1" s="1"/>
  <c r="BO55" i="1"/>
  <c r="BN55" i="1"/>
  <c r="BK55" i="1"/>
  <c r="BJ55" i="1"/>
  <c r="BG55" i="1"/>
  <c r="BF55" i="1"/>
  <c r="BD54" i="1"/>
  <c r="BA54" i="1"/>
  <c r="BO53" i="1"/>
  <c r="BN53" i="1"/>
  <c r="BK53" i="1"/>
  <c r="BJ53" i="1"/>
  <c r="BG53" i="1"/>
  <c r="BF53" i="1"/>
  <c r="BA52" i="1"/>
  <c r="BA51" i="1"/>
  <c r="BO50" i="1"/>
  <c r="BN50" i="1"/>
  <c r="BK50" i="1"/>
  <c r="BJ50" i="1"/>
  <c r="BG50" i="1"/>
  <c r="BF50" i="1"/>
  <c r="BO47" i="1"/>
  <c r="BN47" i="1"/>
  <c r="BK47" i="1"/>
  <c r="BJ47" i="1"/>
  <c r="BG47" i="1"/>
  <c r="BF47" i="1"/>
  <c r="BD46" i="1"/>
  <c r="BA46" i="1"/>
  <c r="BD45" i="1"/>
  <c r="BA45" i="1"/>
  <c r="BD44" i="1"/>
  <c r="BA44" i="1"/>
  <c r="BD43" i="1"/>
  <c r="BA43" i="1"/>
  <c r="BD42" i="1"/>
  <c r="BA42" i="1"/>
  <c r="BD41" i="1"/>
  <c r="BA41" i="1"/>
  <c r="BD40" i="1"/>
  <c r="BA40" i="1"/>
  <c r="AZ40" i="1"/>
  <c r="BO38" i="1"/>
  <c r="BN38" i="1"/>
  <c r="BK38" i="1"/>
  <c r="BJ38" i="1"/>
  <c r="BG38" i="1"/>
  <c r="BF38" i="1"/>
  <c r="BN24" i="1"/>
  <c r="BK24" i="1"/>
  <c r="BJ24" i="1"/>
  <c r="BG24" i="1"/>
  <c r="BF24" i="1"/>
  <c r="BD23" i="1"/>
  <c r="BA23" i="1"/>
  <c r="BD18" i="1"/>
  <c r="BA18" i="1"/>
  <c r="BD17" i="1"/>
  <c r="BA17" i="1"/>
  <c r="BD15" i="1"/>
  <c r="BA15" i="1"/>
  <c r="BD14" i="1"/>
  <c r="BA14" i="1"/>
  <c r="BD13" i="1"/>
  <c r="BA13" i="1"/>
  <c r="BD12" i="1"/>
  <c r="BD11" i="1"/>
  <c r="BA11" i="1"/>
  <c r="BU117" i="1" l="1"/>
  <c r="BV117" i="1" s="1"/>
  <c r="BN81" i="1"/>
  <c r="BJ81" i="1"/>
  <c r="BN275" i="1"/>
  <c r="BG275" i="1"/>
  <c r="BK275" i="1"/>
  <c r="BO275" i="1"/>
  <c r="BF275" i="1"/>
  <c r="BJ275" i="1"/>
  <c r="BU235" i="1"/>
  <c r="BV235" i="1" s="1"/>
  <c r="BU216" i="1"/>
  <c r="BU220" i="1"/>
  <c r="BU223" i="1" s="1"/>
  <c r="BV217" i="1"/>
  <c r="BU221" i="1"/>
  <c r="BV221" i="1" s="1"/>
  <c r="BV218" i="1"/>
  <c r="CO235" i="1"/>
  <c r="CP235" i="1" s="1"/>
  <c r="CO216" i="1"/>
  <c r="CO220" i="1"/>
  <c r="CO223" i="1" s="1"/>
  <c r="CP223" i="1" s="1"/>
  <c r="CP217" i="1"/>
  <c r="CO221" i="1"/>
  <c r="CP221" i="1" s="1"/>
  <c r="CP218" i="1"/>
  <c r="BA235" i="1"/>
  <c r="BB235" i="1" s="1"/>
  <c r="BA216" i="1"/>
  <c r="BA220" i="1"/>
  <c r="BA223" i="1" s="1"/>
  <c r="BB217" i="1"/>
  <c r="BA221" i="1"/>
  <c r="BB221" i="1" s="1"/>
  <c r="BB218" i="1"/>
  <c r="BS532" i="1"/>
  <c r="AY532" i="1"/>
  <c r="BF4" i="1"/>
  <c r="BN4" i="1"/>
  <c r="BK4" i="1"/>
  <c r="BG4" i="1"/>
  <c r="BO4" i="1"/>
  <c r="BJ4" i="1"/>
  <c r="AY337" i="1"/>
  <c r="BF246" i="1"/>
  <c r="BB505" i="1"/>
  <c r="BA547" i="1"/>
  <c r="BB547" i="1" s="1"/>
  <c r="CP554" i="1"/>
  <c r="AY552" i="1"/>
  <c r="BB554" i="1"/>
  <c r="BU547" i="1"/>
  <c r="BV547" i="1" s="1"/>
  <c r="CO547" i="1"/>
  <c r="CP547" i="1" s="1"/>
  <c r="CP505" i="1"/>
  <c r="AY545" i="1"/>
  <c r="BJ246" i="1"/>
  <c r="BU522" i="1"/>
  <c r="BS510" i="1"/>
  <c r="BU338" i="1"/>
  <c r="BS337" i="1"/>
  <c r="BS552" i="1"/>
  <c r="AY255" i="1"/>
  <c r="AY510" i="1"/>
  <c r="BS545" i="1"/>
  <c r="BA136" i="1"/>
  <c r="BB601" i="1"/>
  <c r="BO246" i="1"/>
  <c r="BA12" i="1"/>
  <c r="BG246" i="1"/>
  <c r="BA338" i="1"/>
  <c r="BA259" i="1"/>
  <c r="BA522" i="1"/>
  <c r="BK246" i="1"/>
  <c r="BX259" i="1"/>
  <c r="CP601" i="1"/>
  <c r="BO344" i="1"/>
  <c r="BN246" i="1"/>
  <c r="BK81" i="1"/>
  <c r="BA257" i="1"/>
  <c r="BG344" i="1"/>
  <c r="BJ344" i="1"/>
  <c r="BA525" i="1"/>
  <c r="BK344" i="1"/>
  <c r="BF344" i="1"/>
  <c r="BN344" i="1"/>
  <c r="BU516" i="1"/>
  <c r="BA256" i="1"/>
  <c r="BA516" i="1"/>
  <c r="BB243" i="1"/>
  <c r="BU525" i="1"/>
  <c r="CR259" i="1"/>
  <c r="CO522" i="1"/>
  <c r="CO525" i="1"/>
  <c r="CO516" i="1"/>
  <c r="CO520" i="1"/>
  <c r="BU259" i="1"/>
  <c r="BU257" i="1"/>
  <c r="BU256" i="1"/>
  <c r="BG81" i="1"/>
  <c r="BO81" i="1"/>
  <c r="BF81" i="1"/>
  <c r="BD259" i="1"/>
  <c r="BA520" i="1"/>
  <c r="CO259" i="1"/>
  <c r="CO257" i="1"/>
  <c r="CO256" i="1"/>
  <c r="BU520" i="1"/>
  <c r="BV601" i="1"/>
  <c r="CP243" i="1"/>
  <c r="CO515" i="1"/>
  <c r="CO519" i="1"/>
  <c r="CO524" i="1"/>
  <c r="CO258" i="1"/>
  <c r="CO517" i="1"/>
  <c r="CO521" i="1"/>
  <c r="CO548" i="1"/>
  <c r="CR258" i="1"/>
  <c r="CO512" i="1"/>
  <c r="CO518" i="1"/>
  <c r="BX258" i="1"/>
  <c r="BU515" i="1"/>
  <c r="BU519" i="1"/>
  <c r="BU258" i="1"/>
  <c r="BU517" i="1"/>
  <c r="BU521" i="1"/>
  <c r="BU548" i="1"/>
  <c r="BU524" i="1"/>
  <c r="BU512" i="1"/>
  <c r="BU518" i="1"/>
  <c r="BD258" i="1"/>
  <c r="BA258" i="1"/>
  <c r="BA517" i="1"/>
  <c r="BA521" i="1"/>
  <c r="BA548" i="1"/>
  <c r="BA515" i="1"/>
  <c r="BA519" i="1"/>
  <c r="BA524" i="1"/>
  <c r="BA512" i="1"/>
  <c r="BA518" i="1"/>
  <c r="BN642" i="1" l="1"/>
  <c r="BF642" i="1"/>
  <c r="BO642" i="1"/>
  <c r="BG642" i="1"/>
  <c r="BJ642" i="1"/>
  <c r="BK642" i="1"/>
  <c r="BB223" i="1"/>
  <c r="BV223" i="1"/>
  <c r="BA224" i="1"/>
  <c r="BB224" i="1" s="1"/>
  <c r="BB220" i="1"/>
  <c r="CO224" i="1"/>
  <c r="CP224" i="1" s="1"/>
  <c r="CP220" i="1"/>
  <c r="BU224" i="1"/>
  <c r="BV224" i="1" s="1"/>
  <c r="BV220" i="1"/>
  <c r="BA219" i="1"/>
  <c r="BB216" i="1"/>
  <c r="CO219" i="1"/>
  <c r="CP216" i="1"/>
  <c r="BU219" i="1"/>
  <c r="BV216" i="1"/>
  <c r="AU633" i="1"/>
  <c r="AT633" i="1"/>
  <c r="AQ633" i="1"/>
  <c r="AP633" i="1"/>
  <c r="AM633" i="1"/>
  <c r="AL633" i="1"/>
  <c r="AG601" i="1"/>
  <c r="AF601" i="1"/>
  <c r="AG600" i="1"/>
  <c r="AG599" i="1"/>
  <c r="AG598" i="1"/>
  <c r="AU597" i="1"/>
  <c r="AT597" i="1"/>
  <c r="AQ597" i="1"/>
  <c r="AP597" i="1"/>
  <c r="AM597" i="1"/>
  <c r="AL597" i="1"/>
  <c r="AG237" i="1"/>
  <c r="AG236" i="1"/>
  <c r="AG234" i="1"/>
  <c r="AG233" i="1"/>
  <c r="AG232" i="1"/>
  <c r="AG231" i="1"/>
  <c r="AG228" i="1"/>
  <c r="AG215" i="1"/>
  <c r="AG218" i="1" s="1"/>
  <c r="AG227" i="1"/>
  <c r="AG226" i="1"/>
  <c r="AG225" i="1"/>
  <c r="AG214" i="1"/>
  <c r="AG217" i="1" s="1"/>
  <c r="AG230" i="1"/>
  <c r="AH230" i="1" s="1"/>
  <c r="AG213" i="1"/>
  <c r="AU212" i="1"/>
  <c r="AT212" i="1"/>
  <c r="AQ212" i="1"/>
  <c r="AP212" i="1"/>
  <c r="AM212" i="1"/>
  <c r="AL212" i="1"/>
  <c r="AG243" i="1"/>
  <c r="AF243" i="1"/>
  <c r="AG242" i="1"/>
  <c r="AG241" i="1"/>
  <c r="AG240" i="1"/>
  <c r="AU239" i="1"/>
  <c r="AT239" i="1"/>
  <c r="AQ239" i="1"/>
  <c r="AP239" i="1"/>
  <c r="AM239" i="1"/>
  <c r="AL239" i="1"/>
  <c r="AL591" i="1"/>
  <c r="AU591" i="1"/>
  <c r="AT591" i="1"/>
  <c r="AQ591" i="1"/>
  <c r="AP591" i="1"/>
  <c r="AM591" i="1"/>
  <c r="AG589" i="1"/>
  <c r="AG588" i="1"/>
  <c r="AU587" i="1"/>
  <c r="AT587" i="1"/>
  <c r="AQ587" i="1"/>
  <c r="AP587" i="1"/>
  <c r="AM587" i="1"/>
  <c r="AL587" i="1"/>
  <c r="AU552" i="1"/>
  <c r="AT552" i="1"/>
  <c r="AQ552" i="1"/>
  <c r="AP552" i="1"/>
  <c r="AM552" i="1"/>
  <c r="AL552" i="1"/>
  <c r="AH554" i="1"/>
  <c r="AU545" i="1"/>
  <c r="AT545" i="1"/>
  <c r="AQ545" i="1"/>
  <c r="AP545" i="1"/>
  <c r="AM545" i="1"/>
  <c r="AL545" i="1"/>
  <c r="AU528" i="1"/>
  <c r="AT528" i="1"/>
  <c r="AQ528" i="1"/>
  <c r="AP528" i="1"/>
  <c r="AM528" i="1"/>
  <c r="AL528" i="1"/>
  <c r="AJ525" i="1"/>
  <c r="AJ524" i="1"/>
  <c r="AJ521" i="1"/>
  <c r="AJ520" i="1"/>
  <c r="AJ519" i="1"/>
  <c r="AJ518" i="1"/>
  <c r="AJ517" i="1"/>
  <c r="AJ516" i="1"/>
  <c r="AJ515" i="1"/>
  <c r="AJ512" i="1"/>
  <c r="AK511" i="1"/>
  <c r="AH511" i="1"/>
  <c r="AU510" i="1"/>
  <c r="AT510" i="1"/>
  <c r="AQ510" i="1"/>
  <c r="AP510" i="1"/>
  <c r="AM510" i="1"/>
  <c r="AL510" i="1"/>
  <c r="AG513" i="1"/>
  <c r="AH513" i="1" s="1"/>
  <c r="AU501" i="1"/>
  <c r="AT501" i="1"/>
  <c r="AQ501" i="1"/>
  <c r="AP501" i="1"/>
  <c r="AM501" i="1"/>
  <c r="AL501" i="1"/>
  <c r="AH499" i="1"/>
  <c r="AU477" i="1"/>
  <c r="AT477" i="1"/>
  <c r="AQ477" i="1"/>
  <c r="AP477" i="1"/>
  <c r="AM477" i="1"/>
  <c r="AL477" i="1"/>
  <c r="AJ420" i="1"/>
  <c r="AG420" i="1"/>
  <c r="AJ419" i="1"/>
  <c r="AG419" i="1"/>
  <c r="AJ418" i="1"/>
  <c r="AG418" i="1"/>
  <c r="AJ417" i="1"/>
  <c r="AG417" i="1"/>
  <c r="AJ416" i="1"/>
  <c r="AG416" i="1"/>
  <c r="AJ415" i="1"/>
  <c r="AG415" i="1"/>
  <c r="AJ412" i="1"/>
  <c r="AG412" i="1"/>
  <c r="AJ411" i="1"/>
  <c r="AG411" i="1"/>
  <c r="AJ410" i="1"/>
  <c r="AJ409" i="1"/>
  <c r="AG409" i="1"/>
  <c r="AJ408" i="1"/>
  <c r="AG408" i="1"/>
  <c r="AJ407" i="1"/>
  <c r="AG407" i="1"/>
  <c r="AJ406" i="1"/>
  <c r="AG406" i="1"/>
  <c r="AJ404" i="1"/>
  <c r="AG404" i="1"/>
  <c r="AJ403" i="1"/>
  <c r="AG403" i="1"/>
  <c r="AJ402" i="1"/>
  <c r="AG402" i="1"/>
  <c r="AJ401" i="1"/>
  <c r="AG401" i="1"/>
  <c r="AJ400" i="1"/>
  <c r="AG400" i="1"/>
  <c r="AJ399" i="1"/>
  <c r="AG399" i="1"/>
  <c r="AJ398" i="1"/>
  <c r="AG398" i="1"/>
  <c r="AJ397" i="1"/>
  <c r="AG397" i="1"/>
  <c r="AJ396" i="1"/>
  <c r="AG396" i="1"/>
  <c r="AJ395" i="1"/>
  <c r="AG395" i="1"/>
  <c r="AJ394" i="1"/>
  <c r="AG394" i="1"/>
  <c r="AJ393" i="1"/>
  <c r="AG393" i="1"/>
  <c r="AJ392" i="1"/>
  <c r="AG392" i="1"/>
  <c r="AJ391" i="1"/>
  <c r="AG391" i="1"/>
  <c r="AJ390" i="1"/>
  <c r="AG390" i="1"/>
  <c r="AJ389" i="1"/>
  <c r="AG389" i="1"/>
  <c r="AU385" i="1"/>
  <c r="AT385" i="1"/>
  <c r="AQ385" i="1"/>
  <c r="AP385" i="1"/>
  <c r="AM385" i="1"/>
  <c r="AL385" i="1"/>
  <c r="AK439" i="1"/>
  <c r="AG438" i="1"/>
  <c r="AG437" i="1"/>
  <c r="AG435" i="1"/>
  <c r="AG434" i="1"/>
  <c r="AU432" i="1"/>
  <c r="AT432" i="1"/>
  <c r="AQ432" i="1"/>
  <c r="AP432" i="1"/>
  <c r="AM432" i="1"/>
  <c r="AL432" i="1"/>
  <c r="AU380" i="1"/>
  <c r="AT380" i="1"/>
  <c r="AQ380" i="1"/>
  <c r="AP380" i="1"/>
  <c r="AM380" i="1"/>
  <c r="AL380" i="1"/>
  <c r="AJ371" i="1"/>
  <c r="AG371" i="1"/>
  <c r="AJ370" i="1"/>
  <c r="AG370" i="1"/>
  <c r="AJ369" i="1"/>
  <c r="AG369" i="1"/>
  <c r="AJ366" i="1"/>
  <c r="AG366" i="1"/>
  <c r="AJ365" i="1"/>
  <c r="AG365" i="1"/>
  <c r="AJ364" i="1"/>
  <c r="AG364" i="1"/>
  <c r="AU363" i="1"/>
  <c r="AT363" i="1"/>
  <c r="AQ363" i="1"/>
  <c r="AP363" i="1"/>
  <c r="AM363" i="1"/>
  <c r="AL363" i="1"/>
  <c r="AJ361" i="1"/>
  <c r="AG361" i="1"/>
  <c r="AJ360" i="1"/>
  <c r="AG360" i="1"/>
  <c r="AJ359" i="1"/>
  <c r="AG359" i="1"/>
  <c r="AJ358" i="1"/>
  <c r="AG358" i="1"/>
  <c r="AJ355" i="1"/>
  <c r="AG354" i="1"/>
  <c r="AU353" i="1"/>
  <c r="AT353" i="1"/>
  <c r="AQ353" i="1"/>
  <c r="AP353" i="1"/>
  <c r="AM353" i="1"/>
  <c r="AL353" i="1"/>
  <c r="AJ350" i="1"/>
  <c r="AG350" i="1"/>
  <c r="AJ347" i="1"/>
  <c r="AG347" i="1"/>
  <c r="AU346" i="1"/>
  <c r="AT346" i="1"/>
  <c r="AQ346" i="1"/>
  <c r="AP346" i="1"/>
  <c r="AM346" i="1"/>
  <c r="AL346" i="1"/>
  <c r="AG342" i="1"/>
  <c r="AG341" i="1"/>
  <c r="AU340" i="1"/>
  <c r="AT340" i="1"/>
  <c r="AQ340" i="1"/>
  <c r="AP340" i="1"/>
  <c r="AM340" i="1"/>
  <c r="AL340" i="1"/>
  <c r="AK340" i="1"/>
  <c r="AH340" i="1"/>
  <c r="AJ338" i="1"/>
  <c r="AU337" i="1"/>
  <c r="AT337" i="1"/>
  <c r="AQ337" i="1"/>
  <c r="AP337" i="1"/>
  <c r="AM337" i="1"/>
  <c r="AL337" i="1"/>
  <c r="AU327" i="1"/>
  <c r="AT327" i="1"/>
  <c r="AQ327" i="1"/>
  <c r="AP327" i="1"/>
  <c r="AM327" i="1"/>
  <c r="AL327" i="1"/>
  <c r="AU290" i="1"/>
  <c r="AT290" i="1"/>
  <c r="AQ290" i="1"/>
  <c r="AP290" i="1"/>
  <c r="AM290" i="1"/>
  <c r="AL290" i="1"/>
  <c r="AK316" i="1"/>
  <c r="AZ316" i="1" s="1"/>
  <c r="AK315" i="1"/>
  <c r="AZ315" i="1" s="1"/>
  <c r="AK276" i="1"/>
  <c r="AH276" i="1"/>
  <c r="AU266" i="1"/>
  <c r="AT266" i="1"/>
  <c r="AQ266" i="1"/>
  <c r="AP266" i="1"/>
  <c r="AM266" i="1"/>
  <c r="AL266" i="1"/>
  <c r="AG264" i="1"/>
  <c r="AG263" i="1"/>
  <c r="AG262" i="1"/>
  <c r="AU261" i="1"/>
  <c r="AT261" i="1"/>
  <c r="AQ261" i="1"/>
  <c r="AP261" i="1"/>
  <c r="AM261" i="1"/>
  <c r="AL261" i="1"/>
  <c r="AU255" i="1"/>
  <c r="AT255" i="1"/>
  <c r="AQ255" i="1"/>
  <c r="AP255" i="1"/>
  <c r="AM255" i="1"/>
  <c r="AL255" i="1"/>
  <c r="AJ255" i="1"/>
  <c r="AJ257" i="1" s="1"/>
  <c r="AG255" i="1"/>
  <c r="AJ251" i="1"/>
  <c r="AG251" i="1"/>
  <c r="AJ250" i="1"/>
  <c r="AG250" i="1"/>
  <c r="AJ249" i="1"/>
  <c r="AG249" i="1"/>
  <c r="AJ248" i="1"/>
  <c r="AG248" i="1"/>
  <c r="AJ190" i="1"/>
  <c r="AU186" i="1"/>
  <c r="AT186" i="1"/>
  <c r="AQ186" i="1"/>
  <c r="AP186" i="1"/>
  <c r="AM186" i="1"/>
  <c r="AL186" i="1"/>
  <c r="AJ184" i="1"/>
  <c r="AG184" i="1"/>
  <c r="AJ182" i="1"/>
  <c r="AG182" i="1"/>
  <c r="AJ180" i="1"/>
  <c r="AG180" i="1"/>
  <c r="AJ179" i="1"/>
  <c r="AG179" i="1"/>
  <c r="AJ175" i="1"/>
  <c r="AG175" i="1"/>
  <c r="AJ174" i="1"/>
  <c r="AG174" i="1"/>
  <c r="AJ173" i="1"/>
  <c r="AG173" i="1"/>
  <c r="AJ172" i="1"/>
  <c r="AG172" i="1"/>
  <c r="AJ171" i="1"/>
  <c r="AG171" i="1"/>
  <c r="AJ168" i="1"/>
  <c r="AG168" i="1"/>
  <c r="AJ167" i="1"/>
  <c r="AG167" i="1"/>
  <c r="AU163" i="1"/>
  <c r="AT163" i="1"/>
  <c r="AQ163" i="1"/>
  <c r="AP163" i="1"/>
  <c r="AM163" i="1"/>
  <c r="AL163" i="1"/>
  <c r="AJ158" i="1"/>
  <c r="AG158" i="1"/>
  <c r="AJ157" i="1"/>
  <c r="AG157" i="1"/>
  <c r="AJ156" i="1"/>
  <c r="AG156" i="1"/>
  <c r="AJ155" i="1"/>
  <c r="AG155" i="1"/>
  <c r="AU154" i="1"/>
  <c r="AT154" i="1"/>
  <c r="AQ154" i="1"/>
  <c r="AP154" i="1"/>
  <c r="AM154" i="1"/>
  <c r="AL154" i="1"/>
  <c r="AJ149" i="1"/>
  <c r="AG149" i="1"/>
  <c r="AJ148" i="1"/>
  <c r="AG148" i="1"/>
  <c r="AJ147" i="1"/>
  <c r="AG147" i="1"/>
  <c r="AU146" i="1"/>
  <c r="AT146" i="1"/>
  <c r="AQ146" i="1"/>
  <c r="AP146" i="1"/>
  <c r="AM146" i="1"/>
  <c r="AL146" i="1"/>
  <c r="AJ141" i="1"/>
  <c r="AG141" i="1"/>
  <c r="AJ140" i="1"/>
  <c r="AG140" i="1"/>
  <c r="AJ139" i="1"/>
  <c r="AG139" i="1"/>
  <c r="AU138" i="1"/>
  <c r="AT138" i="1"/>
  <c r="AQ138" i="1"/>
  <c r="AP138" i="1"/>
  <c r="AM138" i="1"/>
  <c r="AL138" i="1"/>
  <c r="AJ136" i="1"/>
  <c r="AJ135" i="1"/>
  <c r="AG135" i="1"/>
  <c r="AU134" i="1"/>
  <c r="AT134" i="1"/>
  <c r="AQ134" i="1"/>
  <c r="AP134" i="1"/>
  <c r="AM134" i="1"/>
  <c r="AL134" i="1"/>
  <c r="AJ178" i="1"/>
  <c r="AG178" i="1"/>
  <c r="AJ133" i="1"/>
  <c r="AG133" i="1"/>
  <c r="AJ132" i="1"/>
  <c r="AG132" i="1"/>
  <c r="AJ131" i="1"/>
  <c r="AG131" i="1"/>
  <c r="AJ130" i="1"/>
  <c r="AG130" i="1"/>
  <c r="AJ129" i="1"/>
  <c r="AG129" i="1"/>
  <c r="AJ128" i="1"/>
  <c r="AG128" i="1"/>
  <c r="AG126" i="1"/>
  <c r="AU119" i="1"/>
  <c r="AT119" i="1"/>
  <c r="AP119" i="1"/>
  <c r="AM119" i="1"/>
  <c r="AL119" i="1"/>
  <c r="AJ98" i="1"/>
  <c r="AG98" i="1"/>
  <c r="AJ97" i="1"/>
  <c r="AG97" i="1"/>
  <c r="AU96" i="1"/>
  <c r="AT96" i="1"/>
  <c r="AQ96" i="1"/>
  <c r="AP96" i="1"/>
  <c r="AM96" i="1"/>
  <c r="AL96" i="1"/>
  <c r="AJ118" i="1"/>
  <c r="AG118" i="1"/>
  <c r="AJ114" i="1"/>
  <c r="AG114" i="1"/>
  <c r="AU113" i="1"/>
  <c r="AT113" i="1"/>
  <c r="AQ113" i="1"/>
  <c r="AP113" i="1"/>
  <c r="AM113" i="1"/>
  <c r="AL113" i="1"/>
  <c r="AJ176" i="1"/>
  <c r="AG176" i="1"/>
  <c r="AJ177" i="1"/>
  <c r="AG177" i="1"/>
  <c r="AJ112" i="1"/>
  <c r="AG112" i="1"/>
  <c r="AJ111" i="1"/>
  <c r="AG111" i="1"/>
  <c r="AJ109" i="1"/>
  <c r="AG109" i="1"/>
  <c r="AJ108" i="1"/>
  <c r="AG108" i="1"/>
  <c r="AJ107" i="1"/>
  <c r="AG107" i="1"/>
  <c r="DG107" i="1" s="1"/>
  <c r="AU106" i="1"/>
  <c r="AT106" i="1"/>
  <c r="AQ106" i="1"/>
  <c r="AP106" i="1"/>
  <c r="AM106" i="1"/>
  <c r="AL106" i="1"/>
  <c r="AJ105" i="1"/>
  <c r="AG105" i="1"/>
  <c r="AJ104" i="1"/>
  <c r="AG104" i="1"/>
  <c r="AJ103" i="1"/>
  <c r="AG103" i="1"/>
  <c r="AU102" i="1"/>
  <c r="AT102" i="1"/>
  <c r="AQ102" i="1"/>
  <c r="AP102" i="1"/>
  <c r="AM102" i="1"/>
  <c r="AL102" i="1"/>
  <c r="AJ95" i="1"/>
  <c r="AG95" i="1"/>
  <c r="AJ94" i="1"/>
  <c r="AG94" i="1"/>
  <c r="AJ93" i="1"/>
  <c r="AG93" i="1"/>
  <c r="AU92" i="1"/>
  <c r="AT92" i="1"/>
  <c r="AQ92" i="1"/>
  <c r="AP92" i="1"/>
  <c r="AM92" i="1"/>
  <c r="AL92" i="1"/>
  <c r="AJ91" i="1"/>
  <c r="AG91" i="1"/>
  <c r="AJ90" i="1"/>
  <c r="AG90" i="1"/>
  <c r="AJ89" i="1"/>
  <c r="AG89" i="1"/>
  <c r="AJ88" i="1"/>
  <c r="AG88" i="1"/>
  <c r="AJ87" i="1"/>
  <c r="AG87" i="1"/>
  <c r="AJ86" i="1"/>
  <c r="AG86" i="1"/>
  <c r="AJ85" i="1"/>
  <c r="AG85" i="1"/>
  <c r="AJ84" i="1"/>
  <c r="AJ183" i="1" s="1"/>
  <c r="AG84" i="1"/>
  <c r="AG183" i="1" s="1"/>
  <c r="AU82" i="1"/>
  <c r="AT82" i="1"/>
  <c r="AQ82" i="1"/>
  <c r="AP82" i="1"/>
  <c r="AM82" i="1"/>
  <c r="AL82" i="1"/>
  <c r="AJ79" i="1"/>
  <c r="AG79" i="1"/>
  <c r="AH75" i="1"/>
  <c r="AH74" i="1"/>
  <c r="AU69" i="1"/>
  <c r="AT69" i="1"/>
  <c r="AQ69" i="1"/>
  <c r="AP69" i="1"/>
  <c r="AM69" i="1"/>
  <c r="AL69" i="1"/>
  <c r="AU64" i="1"/>
  <c r="AT64" i="1"/>
  <c r="AQ64" i="1"/>
  <c r="AP64" i="1"/>
  <c r="AM64" i="1"/>
  <c r="AL64" i="1"/>
  <c r="AG62" i="1"/>
  <c r="AU60" i="1"/>
  <c r="AT60" i="1"/>
  <c r="AQ60" i="1"/>
  <c r="AP60" i="1"/>
  <c r="AM60" i="1"/>
  <c r="AL60" i="1"/>
  <c r="AJ59" i="1"/>
  <c r="AG59" i="1"/>
  <c r="AJ58" i="1"/>
  <c r="AG58" i="1"/>
  <c r="AJ56" i="1"/>
  <c r="AJ57" i="1" s="1"/>
  <c r="AG56" i="1"/>
  <c r="AG57" i="1" s="1"/>
  <c r="AU55" i="1"/>
  <c r="AT55" i="1"/>
  <c r="AQ55" i="1"/>
  <c r="AP55" i="1"/>
  <c r="AM55" i="1"/>
  <c r="AL55" i="1"/>
  <c r="AJ54" i="1"/>
  <c r="AG54" i="1"/>
  <c r="AU53" i="1"/>
  <c r="AT53" i="1"/>
  <c r="AQ53" i="1"/>
  <c r="AP53" i="1"/>
  <c r="AM53" i="1"/>
  <c r="AL53" i="1"/>
  <c r="AG52" i="1"/>
  <c r="AG51" i="1"/>
  <c r="AU50" i="1"/>
  <c r="AT50" i="1"/>
  <c r="AQ50" i="1"/>
  <c r="AP50" i="1"/>
  <c r="AM50" i="1"/>
  <c r="AL50" i="1"/>
  <c r="AU47" i="1"/>
  <c r="AT47" i="1"/>
  <c r="AQ47" i="1"/>
  <c r="AP47" i="1"/>
  <c r="AM47" i="1"/>
  <c r="AL47" i="1"/>
  <c r="AJ46" i="1"/>
  <c r="AG46" i="1"/>
  <c r="AJ45" i="1"/>
  <c r="AG45" i="1"/>
  <c r="AJ44" i="1"/>
  <c r="AG44" i="1"/>
  <c r="AJ43" i="1"/>
  <c r="AG43" i="1"/>
  <c r="AJ42" i="1"/>
  <c r="AG42" i="1"/>
  <c r="AJ41" i="1"/>
  <c r="AG41" i="1"/>
  <c r="AJ40" i="1"/>
  <c r="AG40" i="1"/>
  <c r="AF40" i="1"/>
  <c r="AU38" i="1"/>
  <c r="AT38" i="1"/>
  <c r="AQ38" i="1"/>
  <c r="AP38" i="1"/>
  <c r="AM38" i="1"/>
  <c r="AL38" i="1"/>
  <c r="AU24" i="1"/>
  <c r="AT24" i="1"/>
  <c r="AQ24" i="1"/>
  <c r="AP24" i="1"/>
  <c r="AM24" i="1"/>
  <c r="AL24" i="1"/>
  <c r="AJ23" i="1"/>
  <c r="AG23" i="1"/>
  <c r="AJ18" i="1"/>
  <c r="AG18" i="1"/>
  <c r="AJ17" i="1"/>
  <c r="AG17" i="1"/>
  <c r="AJ15" i="1"/>
  <c r="AG15" i="1"/>
  <c r="AJ14" i="1"/>
  <c r="AG14" i="1"/>
  <c r="AJ13" i="1"/>
  <c r="AG13" i="1"/>
  <c r="AJ12" i="1"/>
  <c r="AJ11" i="1"/>
  <c r="AG11" i="1"/>
  <c r="CM107" i="1" l="1"/>
  <c r="BJ643" i="1"/>
  <c r="BN643" i="1"/>
  <c r="BF643" i="1"/>
  <c r="BS99" i="1"/>
  <c r="AE99" i="1"/>
  <c r="AY99" i="1"/>
  <c r="J99" i="1"/>
  <c r="AU275" i="1"/>
  <c r="AL275" i="1"/>
  <c r="AQ275" i="1"/>
  <c r="AM275" i="1"/>
  <c r="AP275" i="1"/>
  <c r="AT275" i="1"/>
  <c r="AG235" i="1"/>
  <c r="AH235" i="1" s="1"/>
  <c r="AG216" i="1"/>
  <c r="AG220" i="1"/>
  <c r="AG223" i="1" s="1"/>
  <c r="AH223" i="1" s="1"/>
  <c r="AH217" i="1"/>
  <c r="AG221" i="1"/>
  <c r="AH221" i="1" s="1"/>
  <c r="AH218" i="1"/>
  <c r="BU222" i="1"/>
  <c r="BV222" i="1" s="1"/>
  <c r="BV219" i="1"/>
  <c r="CO222" i="1"/>
  <c r="CP222" i="1" s="1"/>
  <c r="CP219" i="1"/>
  <c r="BB219" i="1"/>
  <c r="BA222" i="1"/>
  <c r="BB222" i="1" s="1"/>
  <c r="AE532" i="1"/>
  <c r="AM4" i="1"/>
  <c r="AU4" i="1"/>
  <c r="AL4" i="1"/>
  <c r="AT4" i="1"/>
  <c r="AQ4" i="1"/>
  <c r="AP4" i="1"/>
  <c r="AK323" i="1"/>
  <c r="AZ323" i="1" s="1"/>
  <c r="AK324" i="1"/>
  <c r="AZ324" i="1" s="1"/>
  <c r="AG547" i="1"/>
  <c r="AH547" i="1" s="1"/>
  <c r="AH505" i="1"/>
  <c r="BE315" i="1"/>
  <c r="BT315" i="1" s="1"/>
  <c r="BB315" i="1"/>
  <c r="BE316" i="1"/>
  <c r="BT316" i="1" s="1"/>
  <c r="BB316" i="1"/>
  <c r="AQ344" i="1"/>
  <c r="AU246" i="1"/>
  <c r="AT246" i="1"/>
  <c r="AP344" i="1"/>
  <c r="AG136" i="1"/>
  <c r="AG522" i="1"/>
  <c r="AE510" i="1"/>
  <c r="AG12" i="1"/>
  <c r="AG338" i="1"/>
  <c r="AE337" i="1"/>
  <c r="AL246" i="1"/>
  <c r="AG259" i="1"/>
  <c r="AE255" i="1"/>
  <c r="AE545" i="1"/>
  <c r="AG162" i="1"/>
  <c r="AE290" i="1"/>
  <c r="AE552" i="1"/>
  <c r="AM246" i="1"/>
  <c r="AP81" i="1"/>
  <c r="AP246" i="1"/>
  <c r="AQ81" i="1"/>
  <c r="AM344" i="1"/>
  <c r="AU344" i="1"/>
  <c r="AQ246" i="1"/>
  <c r="AL81" i="1"/>
  <c r="AT81" i="1"/>
  <c r="AG256" i="1"/>
  <c r="AG257" i="1"/>
  <c r="AH601" i="1"/>
  <c r="AM81" i="1"/>
  <c r="AU81" i="1"/>
  <c r="AL344" i="1"/>
  <c r="AT344" i="1"/>
  <c r="AG516" i="1"/>
  <c r="AG525" i="1"/>
  <c r="AJ259" i="1"/>
  <c r="AG520" i="1"/>
  <c r="AH243" i="1"/>
  <c r="AG515" i="1"/>
  <c r="AG524" i="1"/>
  <c r="AG258" i="1"/>
  <c r="AG517" i="1"/>
  <c r="AG521" i="1"/>
  <c r="AG548" i="1"/>
  <c r="AJ258" i="1"/>
  <c r="AG519" i="1"/>
  <c r="AG512" i="1"/>
  <c r="AG518" i="1"/>
  <c r="AU642" i="1" l="1"/>
  <c r="AL642" i="1"/>
  <c r="AT642" i="1"/>
  <c r="AM642" i="1"/>
  <c r="AP642" i="1"/>
  <c r="AQ642" i="1"/>
  <c r="AG224" i="1"/>
  <c r="AH224" i="1" s="1"/>
  <c r="AH220" i="1"/>
  <c r="AG219" i="1"/>
  <c r="AH216" i="1"/>
  <c r="J542" i="1"/>
  <c r="BE323" i="1"/>
  <c r="BT323" i="1" s="1"/>
  <c r="BB323" i="1"/>
  <c r="BE324" i="1"/>
  <c r="BT324" i="1" s="1"/>
  <c r="BB324" i="1"/>
  <c r="AK332" i="1"/>
  <c r="AZ332" i="1" s="1"/>
  <c r="AK333" i="1"/>
  <c r="AZ333" i="1" s="1"/>
  <c r="BY316" i="1"/>
  <c r="BV316" i="1"/>
  <c r="BY315" i="1"/>
  <c r="BV315" i="1"/>
  <c r="AT643" i="1" l="1"/>
  <c r="CN315" i="1"/>
  <c r="CP315" i="1" s="1"/>
  <c r="DH315" i="1"/>
  <c r="CN316" i="1"/>
  <c r="CP316" i="1" s="1"/>
  <c r="DH316" i="1"/>
  <c r="AL643" i="1"/>
  <c r="AP643" i="1"/>
  <c r="AG222" i="1"/>
  <c r="AH222" i="1" s="1"/>
  <c r="AH219" i="1"/>
  <c r="BY324" i="1"/>
  <c r="BV324" i="1"/>
  <c r="BY323" i="1"/>
  <c r="BV323" i="1"/>
  <c r="BE332" i="1"/>
  <c r="BT332" i="1" s="1"/>
  <c r="BB332" i="1"/>
  <c r="BE333" i="1"/>
  <c r="BT333" i="1" s="1"/>
  <c r="BB333" i="1"/>
  <c r="CS315" i="1" l="1"/>
  <c r="CS316" i="1"/>
  <c r="DM316" i="1"/>
  <c r="DJ316" i="1"/>
  <c r="CN323" i="1"/>
  <c r="CS323" i="1" s="1"/>
  <c r="DH323" i="1"/>
  <c r="DM315" i="1"/>
  <c r="DJ315" i="1"/>
  <c r="CN324" i="1"/>
  <c r="CS324" i="1" s="1"/>
  <c r="DH324" i="1"/>
  <c r="BY332" i="1"/>
  <c r="BV332" i="1"/>
  <c r="BY333" i="1"/>
  <c r="BV333" i="1"/>
  <c r="M230" i="1"/>
  <c r="DG230" i="1" s="1"/>
  <c r="CP323" i="1" l="1"/>
  <c r="CN333" i="1"/>
  <c r="CP333" i="1" s="1"/>
  <c r="DH333" i="1"/>
  <c r="CN332" i="1"/>
  <c r="CS332" i="1" s="1"/>
  <c r="DH332" i="1"/>
  <c r="CP324" i="1"/>
  <c r="DM324" i="1"/>
  <c r="DJ324" i="1"/>
  <c r="DM323" i="1"/>
  <c r="DJ323" i="1"/>
  <c r="K230" i="1"/>
  <c r="N230" i="1"/>
  <c r="CM230" i="1"/>
  <c r="CS333" i="1"/>
  <c r="J332" i="1"/>
  <c r="AY332" i="1"/>
  <c r="BS332" i="1"/>
  <c r="AH332" i="1"/>
  <c r="AE332" i="1"/>
  <c r="BS333" i="1"/>
  <c r="AY333" i="1"/>
  <c r="AE333" i="1"/>
  <c r="J333" i="1"/>
  <c r="AH333" i="1"/>
  <c r="J230" i="1"/>
  <c r="AY230" i="1"/>
  <c r="BS230" i="1"/>
  <c r="AE230" i="1"/>
  <c r="Q553" i="1"/>
  <c r="AF553" i="1" s="1"/>
  <c r="CM554" i="1"/>
  <c r="CP332" i="1" l="1"/>
  <c r="DM332" i="1"/>
  <c r="DJ332" i="1"/>
  <c r="DM333" i="1"/>
  <c r="DJ333" i="1"/>
  <c r="J554" i="1"/>
  <c r="AY554" i="1"/>
  <c r="AE554" i="1"/>
  <c r="BS554" i="1"/>
  <c r="N554" i="1"/>
  <c r="J508" i="1"/>
  <c r="AY508" i="1"/>
  <c r="AE508" i="1"/>
  <c r="J552" i="1"/>
  <c r="AK553" i="1"/>
  <c r="AZ553" i="1" s="1"/>
  <c r="AH553" i="1"/>
  <c r="J553" i="1" l="1"/>
  <c r="CM553" i="1"/>
  <c r="N553" i="1"/>
  <c r="BS553" i="1"/>
  <c r="AY553" i="1"/>
  <c r="AE553" i="1"/>
  <c r="BE553" i="1"/>
  <c r="BT553" i="1" s="1"/>
  <c r="BB553" i="1"/>
  <c r="BY553" i="1" l="1"/>
  <c r="BV553" i="1"/>
  <c r="Q504" i="1"/>
  <c r="AF504" i="1" s="1"/>
  <c r="CN553" i="1" l="1"/>
  <c r="CP553" i="1" s="1"/>
  <c r="DH553" i="1"/>
  <c r="AK504" i="1"/>
  <c r="AZ504" i="1" s="1"/>
  <c r="AH504" i="1"/>
  <c r="Q555" i="1"/>
  <c r="AF555" i="1" s="1"/>
  <c r="AA552" i="1"/>
  <c r="W552" i="1"/>
  <c r="V552" i="1"/>
  <c r="S552" i="1"/>
  <c r="R552" i="1"/>
  <c r="P288" i="1"/>
  <c r="P277" i="1"/>
  <c r="CS553" i="1" l="1"/>
  <c r="DM553" i="1"/>
  <c r="DJ553" i="1"/>
  <c r="AK555" i="1"/>
  <c r="AZ555" i="1" s="1"/>
  <c r="AH555" i="1"/>
  <c r="BE504" i="1"/>
  <c r="BT504" i="1" s="1"/>
  <c r="BB504" i="1"/>
  <c r="AA327" i="1"/>
  <c r="W327" i="1"/>
  <c r="V327" i="1"/>
  <c r="S327" i="1"/>
  <c r="R327" i="1"/>
  <c r="P109" i="1"/>
  <c r="P108" i="1"/>
  <c r="P107" i="1"/>
  <c r="P350" i="1"/>
  <c r="P347" i="1"/>
  <c r="P176" i="1"/>
  <c r="P177" i="1"/>
  <c r="P112" i="1"/>
  <c r="P111" i="1"/>
  <c r="P136" i="1"/>
  <c r="P135" i="1"/>
  <c r="P184" i="1"/>
  <c r="P182" i="1"/>
  <c r="P79" i="1"/>
  <c r="AA55" i="1"/>
  <c r="W55" i="1"/>
  <c r="V55" i="1"/>
  <c r="S55" i="1"/>
  <c r="R55" i="1"/>
  <c r="AA53" i="1"/>
  <c r="W53" i="1"/>
  <c r="V53" i="1"/>
  <c r="S53" i="1"/>
  <c r="R53" i="1"/>
  <c r="M59" i="1"/>
  <c r="M58" i="1"/>
  <c r="DG58" i="1" s="1"/>
  <c r="M56" i="1"/>
  <c r="DG56" i="1" s="1"/>
  <c r="M54" i="1"/>
  <c r="DG54" i="1" s="1"/>
  <c r="P59" i="1"/>
  <c r="P58" i="1"/>
  <c r="P56" i="1"/>
  <c r="P57" i="1" s="1"/>
  <c r="Q57" i="1" s="1"/>
  <c r="AF57" i="1" s="1"/>
  <c r="P54" i="1"/>
  <c r="DG59" i="1" l="1"/>
  <c r="K59" i="1"/>
  <c r="K56" i="1"/>
  <c r="CM54" i="1"/>
  <c r="K54" i="1"/>
  <c r="CM58" i="1"/>
  <c r="K58" i="1"/>
  <c r="CM59" i="1"/>
  <c r="AK57" i="1"/>
  <c r="AZ57" i="1" s="1"/>
  <c r="AH57" i="1"/>
  <c r="CM56" i="1"/>
  <c r="M57" i="1"/>
  <c r="DG57" i="1" s="1"/>
  <c r="AF61" i="1"/>
  <c r="J59" i="1"/>
  <c r="BS59" i="1"/>
  <c r="AE59" i="1"/>
  <c r="AY59" i="1"/>
  <c r="J56" i="1"/>
  <c r="AY56" i="1"/>
  <c r="AE56" i="1"/>
  <c r="BS56" i="1"/>
  <c r="J58" i="1"/>
  <c r="AY58" i="1"/>
  <c r="BS58" i="1"/>
  <c r="AE58" i="1"/>
  <c r="J54" i="1"/>
  <c r="AE54" i="1"/>
  <c r="AY54" i="1"/>
  <c r="BS54" i="1"/>
  <c r="BY504" i="1"/>
  <c r="BV504" i="1"/>
  <c r="BE555" i="1"/>
  <c r="BT555" i="1" s="1"/>
  <c r="BB555" i="1"/>
  <c r="CN504" i="1" l="1"/>
  <c r="CS504" i="1" s="1"/>
  <c r="DH504" i="1"/>
  <c r="K57" i="1"/>
  <c r="BS57" i="1"/>
  <c r="AE57" i="1"/>
  <c r="CM57" i="1"/>
  <c r="J57" i="1"/>
  <c r="N57" i="1"/>
  <c r="AY57" i="1"/>
  <c r="BE57" i="1"/>
  <c r="BT57" i="1" s="1"/>
  <c r="BB57" i="1"/>
  <c r="AK61" i="1"/>
  <c r="AZ61" i="1" s="1"/>
  <c r="BY555" i="1"/>
  <c r="BV555" i="1"/>
  <c r="CP504" i="1" l="1"/>
  <c r="DM504" i="1"/>
  <c r="DJ504" i="1"/>
  <c r="CN555" i="1"/>
  <c r="CP555" i="1" s="1"/>
  <c r="DH555" i="1"/>
  <c r="BY57" i="1"/>
  <c r="BV57" i="1"/>
  <c r="BE61" i="1"/>
  <c r="BT61" i="1" s="1"/>
  <c r="Q488" i="1"/>
  <c r="AF488" i="1" s="1"/>
  <c r="CS555" i="1" l="1"/>
  <c r="DM555" i="1"/>
  <c r="DJ555" i="1"/>
  <c r="CN57" i="1"/>
  <c r="CS57" i="1" s="1"/>
  <c r="DH57" i="1"/>
  <c r="BY61" i="1"/>
  <c r="AK488" i="1"/>
  <c r="AZ488" i="1" s="1"/>
  <c r="AH488" i="1"/>
  <c r="P360" i="1"/>
  <c r="CP57" i="1" l="1"/>
  <c r="CN61" i="1"/>
  <c r="CS61" i="1" s="1"/>
  <c r="DH61" i="1"/>
  <c r="DM61" i="1" s="1"/>
  <c r="DJ57" i="1"/>
  <c r="DM57" i="1"/>
  <c r="BE488" i="1"/>
  <c r="BT488" i="1" s="1"/>
  <c r="BB488" i="1"/>
  <c r="P158" i="1"/>
  <c r="P157" i="1"/>
  <c r="P156" i="1"/>
  <c r="P155" i="1"/>
  <c r="P149" i="1"/>
  <c r="P148" i="1"/>
  <c r="P147" i="1"/>
  <c r="P141" i="1"/>
  <c r="P140" i="1"/>
  <c r="Q143" i="1"/>
  <c r="P139" i="1"/>
  <c r="P178" i="1"/>
  <c r="P133" i="1"/>
  <c r="P132" i="1"/>
  <c r="P131" i="1"/>
  <c r="P130" i="1"/>
  <c r="P129" i="1"/>
  <c r="P128" i="1"/>
  <c r="BY488" i="1" l="1"/>
  <c r="BV488" i="1"/>
  <c r="CN488" i="1" l="1"/>
  <c r="CP488" i="1" s="1"/>
  <c r="DH488" i="1"/>
  <c r="J478" i="1"/>
  <c r="BS478" i="1"/>
  <c r="AY478" i="1"/>
  <c r="AE478" i="1"/>
  <c r="AF606" i="1"/>
  <c r="AH606" i="1" s="1"/>
  <c r="M79" i="1"/>
  <c r="DG79" i="1" s="1"/>
  <c r="M184" i="1"/>
  <c r="DG184" i="1" s="1"/>
  <c r="M182" i="1"/>
  <c r="DG182" i="1" s="1"/>
  <c r="M234" i="1"/>
  <c r="DG234" i="1" s="1"/>
  <c r="M233" i="1"/>
  <c r="DG233" i="1" s="1"/>
  <c r="M228" i="1"/>
  <c r="DG228" i="1" s="1"/>
  <c r="CS488" i="1" l="1"/>
  <c r="DM488" i="1"/>
  <c r="DJ488" i="1"/>
  <c r="CM79" i="1"/>
  <c r="K79" i="1"/>
  <c r="CM228" i="1"/>
  <c r="K228" i="1"/>
  <c r="CM234" i="1"/>
  <c r="K234" i="1"/>
  <c r="CM182" i="1"/>
  <c r="K182" i="1"/>
  <c r="CM233" i="1"/>
  <c r="K233" i="1"/>
  <c r="CM184" i="1"/>
  <c r="K184" i="1"/>
  <c r="AK606" i="1"/>
  <c r="AZ606" i="1" s="1"/>
  <c r="BB606" i="1" s="1"/>
  <c r="J228" i="1"/>
  <c r="AY228" i="1"/>
  <c r="BS228" i="1"/>
  <c r="AE228" i="1"/>
  <c r="J234" i="1"/>
  <c r="AY234" i="1"/>
  <c r="BS234" i="1"/>
  <c r="AE234" i="1"/>
  <c r="J233" i="1"/>
  <c r="BS233" i="1"/>
  <c r="AE233" i="1"/>
  <c r="AY233" i="1"/>
  <c r="J184" i="1"/>
  <c r="AY184" i="1"/>
  <c r="AE184" i="1"/>
  <c r="BS184" i="1"/>
  <c r="J182" i="1"/>
  <c r="AY182" i="1"/>
  <c r="AE182" i="1"/>
  <c r="BS182" i="1"/>
  <c r="J79" i="1"/>
  <c r="AE79" i="1"/>
  <c r="BS79" i="1"/>
  <c r="AY79" i="1"/>
  <c r="N79" i="1"/>
  <c r="Q79" i="1"/>
  <c r="AF79" i="1" s="1"/>
  <c r="N182" i="1"/>
  <c r="Q182" i="1"/>
  <c r="AF182" i="1" s="1"/>
  <c r="BE606" i="1" l="1"/>
  <c r="BT606" i="1" s="1"/>
  <c r="AK182" i="1"/>
  <c r="AZ182" i="1" s="1"/>
  <c r="AH182" i="1"/>
  <c r="AK79" i="1"/>
  <c r="AZ79" i="1" s="1"/>
  <c r="AH79" i="1"/>
  <c r="J309" i="1"/>
  <c r="M277" i="1"/>
  <c r="DG277" i="1" s="1"/>
  <c r="CM277" i="1" l="1"/>
  <c r="K277" i="1"/>
  <c r="BY606" i="1"/>
  <c r="BV606" i="1"/>
  <c r="J479" i="1"/>
  <c r="BS479" i="1"/>
  <c r="AY479" i="1"/>
  <c r="AE479" i="1"/>
  <c r="J487" i="1"/>
  <c r="BS487" i="1"/>
  <c r="AY487" i="1"/>
  <c r="AE487" i="1"/>
  <c r="J277" i="1"/>
  <c r="BS277" i="1"/>
  <c r="AY277" i="1"/>
  <c r="AE277" i="1"/>
  <c r="J484" i="1"/>
  <c r="BS484" i="1"/>
  <c r="AY484" i="1"/>
  <c r="AE484" i="1"/>
  <c r="J480" i="1"/>
  <c r="BS480" i="1"/>
  <c r="AY480" i="1"/>
  <c r="AE480" i="1"/>
  <c r="J290" i="1"/>
  <c r="BE79" i="1"/>
  <c r="BB79" i="1"/>
  <c r="BE182" i="1"/>
  <c r="BT182" i="1" s="1"/>
  <c r="BB182" i="1"/>
  <c r="CN606" i="1" l="1"/>
  <c r="CS606" i="1" s="1"/>
  <c r="DH606" i="1"/>
  <c r="DM606" i="1" s="1"/>
  <c r="J321" i="1"/>
  <c r="BS321" i="1"/>
  <c r="AY321" i="1"/>
  <c r="AE321" i="1"/>
  <c r="J306" i="1"/>
  <c r="BS306" i="1"/>
  <c r="AY306" i="1"/>
  <c r="AE306" i="1"/>
  <c r="J307" i="1"/>
  <c r="BS307" i="1"/>
  <c r="AY307" i="1"/>
  <c r="AE307" i="1"/>
  <c r="J300" i="1"/>
  <c r="BS300" i="1"/>
  <c r="AY300" i="1"/>
  <c r="AE300" i="1"/>
  <c r="J320" i="1"/>
  <c r="BS320" i="1"/>
  <c r="AY320" i="1"/>
  <c r="AE320" i="1"/>
  <c r="J291" i="1"/>
  <c r="BS291" i="1"/>
  <c r="AY291" i="1"/>
  <c r="AE291" i="1"/>
  <c r="J292" i="1"/>
  <c r="BS292" i="1"/>
  <c r="AY292" i="1"/>
  <c r="AE292" i="1"/>
  <c r="J319" i="1"/>
  <c r="BS319" i="1"/>
  <c r="AY319" i="1"/>
  <c r="AE319" i="1"/>
  <c r="BY182" i="1"/>
  <c r="BV182" i="1"/>
  <c r="BY79" i="1"/>
  <c r="BV79" i="1"/>
  <c r="CN79" i="1" l="1"/>
  <c r="CP79" i="1" s="1"/>
  <c r="DH79" i="1"/>
  <c r="CN182" i="1"/>
  <c r="CS182" i="1" s="1"/>
  <c r="DH182" i="1"/>
  <c r="J336" i="1"/>
  <c r="BS336" i="1"/>
  <c r="AY336" i="1"/>
  <c r="AE336" i="1"/>
  <c r="CS79" i="1" l="1"/>
  <c r="DM79" i="1"/>
  <c r="DJ79" i="1"/>
  <c r="DM182" i="1"/>
  <c r="DJ182" i="1"/>
  <c r="CP182" i="1"/>
  <c r="J335" i="1"/>
  <c r="BS335" i="1"/>
  <c r="AY335" i="1"/>
  <c r="AE335" i="1"/>
  <c r="J328" i="1"/>
  <c r="BS328" i="1"/>
  <c r="AY328" i="1"/>
  <c r="AE328" i="1"/>
  <c r="J331" i="1"/>
  <c r="BS331" i="1"/>
  <c r="AY331" i="1"/>
  <c r="AE331" i="1"/>
  <c r="M360" i="1"/>
  <c r="DG360" i="1" s="1"/>
  <c r="Q360" i="1"/>
  <c r="AF360" i="1" s="1"/>
  <c r="M177" i="1"/>
  <c r="DG177" i="1" s="1"/>
  <c r="CM360" i="1" l="1"/>
  <c r="K360" i="1"/>
  <c r="CM177" i="1"/>
  <c r="K177" i="1"/>
  <c r="J360" i="1"/>
  <c r="BS360" i="1"/>
  <c r="AY360" i="1"/>
  <c r="AE360" i="1"/>
  <c r="J177" i="1"/>
  <c r="AY177" i="1"/>
  <c r="AE177" i="1"/>
  <c r="BS177" i="1"/>
  <c r="AK360" i="1"/>
  <c r="AZ360" i="1" s="1"/>
  <c r="AH360" i="1"/>
  <c r="N360" i="1"/>
  <c r="BE360" i="1" l="1"/>
  <c r="BT360" i="1" s="1"/>
  <c r="BB360" i="1"/>
  <c r="Q228" i="1"/>
  <c r="AF228" i="1" s="1"/>
  <c r="N228" i="1"/>
  <c r="Q234" i="1"/>
  <c r="AF234" i="1" s="1"/>
  <c r="N234" i="1"/>
  <c r="Q233" i="1"/>
  <c r="AF233" i="1" s="1"/>
  <c r="N233" i="1"/>
  <c r="AK233" i="1" l="1"/>
  <c r="AZ233" i="1" s="1"/>
  <c r="AH233" i="1"/>
  <c r="AK234" i="1"/>
  <c r="AZ234" i="1" s="1"/>
  <c r="AH234" i="1"/>
  <c r="AK228" i="1"/>
  <c r="AZ228" i="1" s="1"/>
  <c r="AH228" i="1"/>
  <c r="BY360" i="1"/>
  <c r="BV360" i="1"/>
  <c r="CN360" i="1" l="1"/>
  <c r="CS360" i="1" s="1"/>
  <c r="DH360" i="1"/>
  <c r="BE228" i="1"/>
  <c r="BT228" i="1" s="1"/>
  <c r="BB228" i="1"/>
  <c r="BE234" i="1"/>
  <c r="BT234" i="1" s="1"/>
  <c r="BB234" i="1"/>
  <c r="BE233" i="1"/>
  <c r="BT233" i="1" s="1"/>
  <c r="BB233" i="1"/>
  <c r="N177" i="1"/>
  <c r="Q177" i="1"/>
  <c r="AF177" i="1" s="1"/>
  <c r="CP360" i="1" l="1"/>
  <c r="DM360" i="1"/>
  <c r="DJ360" i="1"/>
  <c r="BY233" i="1"/>
  <c r="BV233" i="1"/>
  <c r="BY234" i="1"/>
  <c r="BV234" i="1"/>
  <c r="BY228" i="1"/>
  <c r="BV228" i="1"/>
  <c r="AK177" i="1"/>
  <c r="AZ177" i="1" s="1"/>
  <c r="AH177" i="1"/>
  <c r="AA353" i="1"/>
  <c r="W353" i="1"/>
  <c r="V353" i="1"/>
  <c r="S353" i="1"/>
  <c r="R353" i="1"/>
  <c r="DG354" i="1"/>
  <c r="Q354" i="1"/>
  <c r="AF354" i="1" s="1"/>
  <c r="AA346" i="1"/>
  <c r="W346" i="1"/>
  <c r="V346" i="1"/>
  <c r="S346" i="1"/>
  <c r="R346" i="1"/>
  <c r="M347" i="1"/>
  <c r="DG347" i="1" s="1"/>
  <c r="CN228" i="1" l="1"/>
  <c r="CS228" i="1" s="1"/>
  <c r="DH228" i="1"/>
  <c r="CN234" i="1"/>
  <c r="CP234" i="1" s="1"/>
  <c r="DH234" i="1"/>
  <c r="CN233" i="1"/>
  <c r="CS233" i="1" s="1"/>
  <c r="DH233" i="1"/>
  <c r="CM354" i="1"/>
  <c r="K354" i="1"/>
  <c r="CM347" i="1"/>
  <c r="K347" i="1"/>
  <c r="AY354" i="1"/>
  <c r="J354" i="1"/>
  <c r="BS354" i="1"/>
  <c r="AE354" i="1"/>
  <c r="J496" i="1"/>
  <c r="BS496" i="1"/>
  <c r="AY496" i="1"/>
  <c r="AE496" i="1"/>
  <c r="J347" i="1"/>
  <c r="BS347" i="1"/>
  <c r="AY347" i="1"/>
  <c r="AE347" i="1"/>
  <c r="AK354" i="1"/>
  <c r="AZ354" i="1" s="1"/>
  <c r="AH354" i="1"/>
  <c r="BE177" i="1"/>
  <c r="BT177" i="1" s="1"/>
  <c r="BB177" i="1"/>
  <c r="CS234" i="1"/>
  <c r="N354" i="1"/>
  <c r="CP233" i="1" l="1"/>
  <c r="CP228" i="1"/>
  <c r="DM233" i="1"/>
  <c r="DJ233" i="1"/>
  <c r="DM234" i="1"/>
  <c r="DJ234" i="1"/>
  <c r="DM228" i="1"/>
  <c r="DJ228" i="1"/>
  <c r="BY177" i="1"/>
  <c r="BV177" i="1"/>
  <c r="BE354" i="1"/>
  <c r="BT354" i="1" s="1"/>
  <c r="BB354" i="1"/>
  <c r="CN177" i="1" l="1"/>
  <c r="CP177" i="1" s="1"/>
  <c r="DH177" i="1"/>
  <c r="BY354" i="1"/>
  <c r="BV354" i="1"/>
  <c r="Q347" i="1"/>
  <c r="AF347" i="1" s="1"/>
  <c r="N347" i="1"/>
  <c r="CS177" i="1" l="1"/>
  <c r="CN354" i="1"/>
  <c r="CS354" i="1" s="1"/>
  <c r="DH354" i="1"/>
  <c r="DM177" i="1"/>
  <c r="DJ177" i="1"/>
  <c r="AK347" i="1"/>
  <c r="AZ347" i="1" s="1"/>
  <c r="AH347" i="1"/>
  <c r="BY212" i="1"/>
  <c r="CN212" i="1" s="1"/>
  <c r="CS212" i="1" s="1"/>
  <c r="DH212" i="1" s="1"/>
  <c r="DM212" i="1" s="1"/>
  <c r="M236" i="1"/>
  <c r="DG236" i="1" s="1"/>
  <c r="M232" i="1"/>
  <c r="DG232" i="1" s="1"/>
  <c r="M231" i="1"/>
  <c r="DG231" i="1" s="1"/>
  <c r="M215" i="1"/>
  <c r="DG215" i="1" s="1"/>
  <c r="M227" i="1"/>
  <c r="DG227" i="1" s="1"/>
  <c r="M226" i="1"/>
  <c r="DG226" i="1" s="1"/>
  <c r="M225" i="1"/>
  <c r="DG225" i="1" s="1"/>
  <c r="M214" i="1"/>
  <c r="DG214" i="1" s="1"/>
  <c r="M213" i="1"/>
  <c r="Q215" i="1"/>
  <c r="AF215" i="1" s="1"/>
  <c r="Q231" i="1"/>
  <c r="AF231" i="1" s="1"/>
  <c r="Q232" i="1"/>
  <c r="AF232" i="1" s="1"/>
  <c r="Q236" i="1"/>
  <c r="AF236" i="1" s="1"/>
  <c r="CP354" i="1" l="1"/>
  <c r="DG213" i="1"/>
  <c r="M237" i="1"/>
  <c r="K237" i="1" s="1"/>
  <c r="K215" i="1"/>
  <c r="K214" i="1"/>
  <c r="DM354" i="1"/>
  <c r="DJ354" i="1"/>
  <c r="CM213" i="1"/>
  <c r="K213" i="1"/>
  <c r="CM225" i="1"/>
  <c r="K225" i="1"/>
  <c r="CM226" i="1"/>
  <c r="K226" i="1"/>
  <c r="CM232" i="1"/>
  <c r="K232" i="1"/>
  <c r="CM227" i="1"/>
  <c r="K227" i="1"/>
  <c r="CM236" i="1"/>
  <c r="K236" i="1"/>
  <c r="CM231" i="1"/>
  <c r="K231" i="1"/>
  <c r="M217" i="1"/>
  <c r="DG217" i="1" s="1"/>
  <c r="CM214" i="1"/>
  <c r="M218" i="1"/>
  <c r="DG218" i="1" s="1"/>
  <c r="CM215" i="1"/>
  <c r="M235" i="1"/>
  <c r="DG235" i="1" s="1"/>
  <c r="M216" i="1"/>
  <c r="DG216" i="1" s="1"/>
  <c r="J225" i="1"/>
  <c r="AY225" i="1"/>
  <c r="BS225" i="1"/>
  <c r="AE225" i="1"/>
  <c r="J231" i="1"/>
  <c r="BS231" i="1"/>
  <c r="AE231" i="1"/>
  <c r="AY231" i="1"/>
  <c r="J236" i="1"/>
  <c r="BS236" i="1"/>
  <c r="AE236" i="1"/>
  <c r="AY236" i="1"/>
  <c r="J213" i="1"/>
  <c r="BS213" i="1"/>
  <c r="AY213" i="1"/>
  <c r="AE213" i="1"/>
  <c r="J227" i="1"/>
  <c r="AY227" i="1"/>
  <c r="BS227" i="1"/>
  <c r="AE227" i="1"/>
  <c r="J214" i="1"/>
  <c r="BS214" i="1"/>
  <c r="AE214" i="1"/>
  <c r="AY214" i="1"/>
  <c r="J226" i="1"/>
  <c r="BS226" i="1"/>
  <c r="AE226" i="1"/>
  <c r="AY226" i="1"/>
  <c r="J215" i="1"/>
  <c r="BS215" i="1"/>
  <c r="AE215" i="1"/>
  <c r="AY215" i="1"/>
  <c r="J232" i="1"/>
  <c r="AY232" i="1"/>
  <c r="BS232" i="1"/>
  <c r="AE232" i="1"/>
  <c r="AK236" i="1"/>
  <c r="AZ236" i="1" s="1"/>
  <c r="AH236" i="1"/>
  <c r="BE347" i="1"/>
  <c r="BT347" i="1" s="1"/>
  <c r="BB347" i="1"/>
  <c r="AK231" i="1"/>
  <c r="AZ231" i="1" s="1"/>
  <c r="AH231" i="1"/>
  <c r="AK232" i="1"/>
  <c r="AZ232" i="1" s="1"/>
  <c r="AH232" i="1"/>
  <c r="AK215" i="1"/>
  <c r="AZ215" i="1" s="1"/>
  <c r="AH215" i="1"/>
  <c r="Q225" i="1"/>
  <c r="AF225" i="1" s="1"/>
  <c r="N215" i="1"/>
  <c r="N236" i="1"/>
  <c r="N232" i="1"/>
  <c r="N231" i="1"/>
  <c r="Q227" i="1"/>
  <c r="AF227" i="1" s="1"/>
  <c r="Q213" i="1"/>
  <c r="AF213" i="1" s="1"/>
  <c r="CM237" i="1" l="1"/>
  <c r="AE237" i="1"/>
  <c r="BS237" i="1"/>
  <c r="AY237" i="1"/>
  <c r="J237" i="1"/>
  <c r="N237" i="1"/>
  <c r="DG237" i="1"/>
  <c r="J218" i="1"/>
  <c r="N218" i="1"/>
  <c r="AE218" i="1"/>
  <c r="BS218" i="1"/>
  <c r="AY218" i="1"/>
  <c r="M221" i="1"/>
  <c r="DG221" i="1" s="1"/>
  <c r="J217" i="1"/>
  <c r="BS217" i="1"/>
  <c r="AY217" i="1"/>
  <c r="M220" i="1"/>
  <c r="DG220" i="1" s="1"/>
  <c r="N217" i="1"/>
  <c r="AE217" i="1"/>
  <c r="CM216" i="1"/>
  <c r="K216" i="1"/>
  <c r="AY235" i="1"/>
  <c r="K235" i="1"/>
  <c r="CM218" i="1"/>
  <c r="K218" i="1"/>
  <c r="CM217" i="1"/>
  <c r="K217" i="1"/>
  <c r="BS235" i="1"/>
  <c r="J235" i="1"/>
  <c r="CM235" i="1"/>
  <c r="N235" i="1"/>
  <c r="AE235" i="1"/>
  <c r="AE216" i="1"/>
  <c r="AY216" i="1"/>
  <c r="BS216" i="1"/>
  <c r="N216" i="1"/>
  <c r="M219" i="1"/>
  <c r="DG219" i="1" s="1"/>
  <c r="J216" i="1"/>
  <c r="BE215" i="1"/>
  <c r="BT215" i="1" s="1"/>
  <c r="BB215" i="1"/>
  <c r="BE232" i="1"/>
  <c r="BT232" i="1" s="1"/>
  <c r="BB232" i="1"/>
  <c r="BE231" i="1"/>
  <c r="BT231" i="1" s="1"/>
  <c r="BB231" i="1"/>
  <c r="BY347" i="1"/>
  <c r="BV347" i="1"/>
  <c r="BE236" i="1"/>
  <c r="BT236" i="1" s="1"/>
  <c r="BB236" i="1"/>
  <c r="AK227" i="1"/>
  <c r="AZ227" i="1" s="1"/>
  <c r="AH227" i="1"/>
  <c r="AK213" i="1"/>
  <c r="AZ213" i="1" s="1"/>
  <c r="AH213" i="1"/>
  <c r="AK225" i="1"/>
  <c r="AZ225" i="1" s="1"/>
  <c r="AH225" i="1"/>
  <c r="N225" i="1"/>
  <c r="N227" i="1"/>
  <c r="N213" i="1"/>
  <c r="BS221" i="1" l="1"/>
  <c r="J221" i="1"/>
  <c r="K221" i="1"/>
  <c r="N221" i="1"/>
  <c r="CM221" i="1"/>
  <c r="AY221" i="1"/>
  <c r="AE221" i="1"/>
  <c r="AE220" i="1"/>
  <c r="CM220" i="1"/>
  <c r="J220" i="1"/>
  <c r="M223" i="1"/>
  <c r="K223" i="1" s="1"/>
  <c r="N220" i="1"/>
  <c r="BS220" i="1"/>
  <c r="M224" i="1"/>
  <c r="DG224" i="1" s="1"/>
  <c r="AY220" i="1"/>
  <c r="K220" i="1"/>
  <c r="CN347" i="1"/>
  <c r="CS347" i="1" s="1"/>
  <c r="DH347" i="1"/>
  <c r="CM219" i="1"/>
  <c r="K219" i="1"/>
  <c r="M222" i="1"/>
  <c r="DG222" i="1" s="1"/>
  <c r="AY219" i="1"/>
  <c r="AE219" i="1"/>
  <c r="N219" i="1"/>
  <c r="J219" i="1"/>
  <c r="BS219" i="1"/>
  <c r="BE225" i="1"/>
  <c r="BT225" i="1" s="1"/>
  <c r="BB225" i="1"/>
  <c r="BE227" i="1"/>
  <c r="BT227" i="1" s="1"/>
  <c r="BB227" i="1"/>
  <c r="BY236" i="1"/>
  <c r="BV236" i="1"/>
  <c r="BY231" i="1"/>
  <c r="BV231" i="1"/>
  <c r="BY232" i="1"/>
  <c r="BV232" i="1"/>
  <c r="BY215" i="1"/>
  <c r="BV215" i="1"/>
  <c r="BE213" i="1"/>
  <c r="BT213" i="1" s="1"/>
  <c r="BB213" i="1"/>
  <c r="Q226" i="1"/>
  <c r="AF226" i="1" s="1"/>
  <c r="N226" i="1"/>
  <c r="CM223" i="1" l="1"/>
  <c r="J223" i="1"/>
  <c r="CM224" i="1"/>
  <c r="CP347" i="1"/>
  <c r="N223" i="1"/>
  <c r="J224" i="1"/>
  <c r="AY224" i="1"/>
  <c r="DG223" i="1"/>
  <c r="BS223" i="1"/>
  <c r="AY223" i="1"/>
  <c r="N224" i="1"/>
  <c r="BS224" i="1"/>
  <c r="AE224" i="1"/>
  <c r="K224" i="1"/>
  <c r="AE223" i="1"/>
  <c r="CN215" i="1"/>
  <c r="CP215" i="1" s="1"/>
  <c r="DH215" i="1"/>
  <c r="DM347" i="1"/>
  <c r="DJ347" i="1"/>
  <c r="CN236" i="1"/>
  <c r="CS236" i="1" s="1"/>
  <c r="DH236" i="1"/>
  <c r="CN232" i="1"/>
  <c r="CS232" i="1" s="1"/>
  <c r="DH232" i="1"/>
  <c r="CN231" i="1"/>
  <c r="CS231" i="1" s="1"/>
  <c r="DH231" i="1"/>
  <c r="CM222" i="1"/>
  <c r="K222" i="1"/>
  <c r="AE222" i="1"/>
  <c r="AY222" i="1"/>
  <c r="BS222" i="1"/>
  <c r="N222" i="1"/>
  <c r="J222" i="1"/>
  <c r="AK226" i="1"/>
  <c r="AZ226" i="1" s="1"/>
  <c r="AH226" i="1"/>
  <c r="BY227" i="1"/>
  <c r="BV227" i="1"/>
  <c r="BY225" i="1"/>
  <c r="BV225" i="1"/>
  <c r="BY213" i="1"/>
  <c r="BV213" i="1"/>
  <c r="P30" i="1"/>
  <c r="CS215" i="1" l="1"/>
  <c r="CP231" i="1"/>
  <c r="CP232" i="1"/>
  <c r="DM236" i="1"/>
  <c r="DJ236" i="1"/>
  <c r="CN213" i="1"/>
  <c r="CP213" i="1" s="1"/>
  <c r="DH213" i="1"/>
  <c r="CN225" i="1"/>
  <c r="CS225" i="1" s="1"/>
  <c r="DH225" i="1"/>
  <c r="CP236" i="1"/>
  <c r="CN227" i="1"/>
  <c r="CS227" i="1" s="1"/>
  <c r="DH227" i="1"/>
  <c r="DM231" i="1"/>
  <c r="DJ231" i="1"/>
  <c r="DJ215" i="1"/>
  <c r="DM215" i="1"/>
  <c r="DM232" i="1"/>
  <c r="DJ232" i="1"/>
  <c r="BE226" i="1"/>
  <c r="BT226" i="1" s="1"/>
  <c r="BB226" i="1"/>
  <c r="P180" i="1"/>
  <c r="M180" i="1"/>
  <c r="DG180" i="1" s="1"/>
  <c r="M158" i="1"/>
  <c r="DG158" i="1" s="1"/>
  <c r="CP225" i="1" l="1"/>
  <c r="CS213" i="1"/>
  <c r="DM225" i="1"/>
  <c r="DJ225" i="1"/>
  <c r="DM213" i="1"/>
  <c r="DJ213" i="1"/>
  <c r="CP227" i="1"/>
  <c r="DM227" i="1"/>
  <c r="DJ227" i="1"/>
  <c r="CM158" i="1"/>
  <c r="K158" i="1"/>
  <c r="CM180" i="1"/>
  <c r="K180" i="1"/>
  <c r="J158" i="1"/>
  <c r="BS158" i="1"/>
  <c r="AY158" i="1"/>
  <c r="AE158" i="1"/>
  <c r="J180" i="1"/>
  <c r="BS180" i="1"/>
  <c r="AY180" i="1"/>
  <c r="AE180" i="1"/>
  <c r="BY226" i="1"/>
  <c r="BV226" i="1"/>
  <c r="Q180" i="1"/>
  <c r="AF180" i="1" s="1"/>
  <c r="N180" i="1"/>
  <c r="CN226" i="1" l="1"/>
  <c r="CS226" i="1" s="1"/>
  <c r="DH226" i="1"/>
  <c r="AH180" i="1"/>
  <c r="AK180" i="1"/>
  <c r="AZ180" i="1" s="1"/>
  <c r="Q197" i="1"/>
  <c r="AF197" i="1" s="1"/>
  <c r="N197" i="1"/>
  <c r="Q196" i="1"/>
  <c r="AF196" i="1" s="1"/>
  <c r="N196" i="1"/>
  <c r="Q195" i="1"/>
  <c r="AF195" i="1" s="1"/>
  <c r="N195" i="1"/>
  <c r="Q194" i="1"/>
  <c r="AF194" i="1" s="1"/>
  <c r="N194" i="1"/>
  <c r="CP226" i="1" l="1"/>
  <c r="DM226" i="1"/>
  <c r="DJ226" i="1"/>
  <c r="AK194" i="1"/>
  <c r="AZ194" i="1" s="1"/>
  <c r="AH194" i="1"/>
  <c r="AK195" i="1"/>
  <c r="AZ195" i="1" s="1"/>
  <c r="AH195" i="1"/>
  <c r="AH196" i="1"/>
  <c r="AK196" i="1"/>
  <c r="AZ196" i="1" s="1"/>
  <c r="AK197" i="1"/>
  <c r="AZ197" i="1" s="1"/>
  <c r="AH197" i="1"/>
  <c r="BE180" i="1"/>
  <c r="BT180" i="1" s="1"/>
  <c r="BB180" i="1"/>
  <c r="P40" i="1"/>
  <c r="BV180" i="1" l="1"/>
  <c r="BY180" i="1"/>
  <c r="BE197" i="1"/>
  <c r="BT197" i="1" s="1"/>
  <c r="BB197" i="1"/>
  <c r="BE195" i="1"/>
  <c r="BT195" i="1" s="1"/>
  <c r="BB195" i="1"/>
  <c r="BE194" i="1"/>
  <c r="BT194" i="1" s="1"/>
  <c r="BB194" i="1"/>
  <c r="BB196" i="1"/>
  <c r="BE196" i="1"/>
  <c r="BT196" i="1" s="1"/>
  <c r="P371" i="1"/>
  <c r="P370" i="1"/>
  <c r="P369" i="1"/>
  <c r="P366" i="1"/>
  <c r="P365" i="1"/>
  <c r="P364" i="1"/>
  <c r="M371" i="1"/>
  <c r="DG371" i="1" s="1"/>
  <c r="M370" i="1"/>
  <c r="DG370" i="1" s="1"/>
  <c r="M369" i="1"/>
  <c r="DG369" i="1" s="1"/>
  <c r="M366" i="1"/>
  <c r="DG366" i="1" s="1"/>
  <c r="M365" i="1"/>
  <c r="DG365" i="1" s="1"/>
  <c r="M364" i="1"/>
  <c r="DG364" i="1" s="1"/>
  <c r="P255" i="1"/>
  <c r="P259" i="1" s="1"/>
  <c r="M255" i="1"/>
  <c r="K255" i="1" s="1"/>
  <c r="P251" i="1"/>
  <c r="P250" i="1"/>
  <c r="P249" i="1"/>
  <c r="P248" i="1"/>
  <c r="AA633" i="1"/>
  <c r="W633" i="1"/>
  <c r="V633" i="1"/>
  <c r="S633" i="1"/>
  <c r="R633" i="1"/>
  <c r="M601" i="1"/>
  <c r="M600" i="1"/>
  <c r="M599" i="1"/>
  <c r="M598" i="1"/>
  <c r="AA597" i="1"/>
  <c r="W597" i="1"/>
  <c r="V597" i="1"/>
  <c r="S597" i="1"/>
  <c r="R597" i="1"/>
  <c r="AA212" i="1"/>
  <c r="W212" i="1"/>
  <c r="V212" i="1"/>
  <c r="S212" i="1"/>
  <c r="R212" i="1"/>
  <c r="M243" i="1"/>
  <c r="M242" i="1"/>
  <c r="M241" i="1"/>
  <c r="DG241" i="1" s="1"/>
  <c r="M240" i="1"/>
  <c r="AA239" i="1"/>
  <c r="W239" i="1"/>
  <c r="V239" i="1"/>
  <c r="S239" i="1"/>
  <c r="R239" i="1"/>
  <c r="AA591" i="1"/>
  <c r="W591" i="1"/>
  <c r="V591" i="1"/>
  <c r="S591" i="1"/>
  <c r="R591" i="1"/>
  <c r="M589" i="1"/>
  <c r="DG589" i="1" s="1"/>
  <c r="M588" i="1"/>
  <c r="DG588" i="1" s="1"/>
  <c r="AA587" i="1"/>
  <c r="W587" i="1"/>
  <c r="V587" i="1"/>
  <c r="S587" i="1"/>
  <c r="R587" i="1"/>
  <c r="AA545" i="1"/>
  <c r="W545" i="1"/>
  <c r="V545" i="1"/>
  <c r="S545" i="1"/>
  <c r="R545" i="1"/>
  <c r="AA528" i="1"/>
  <c r="W528" i="1"/>
  <c r="V528" i="1"/>
  <c r="S528" i="1"/>
  <c r="R528" i="1"/>
  <c r="P525" i="1"/>
  <c r="P524" i="1"/>
  <c r="P521" i="1"/>
  <c r="P520" i="1"/>
  <c r="P519" i="1"/>
  <c r="P518" i="1"/>
  <c r="P517" i="1"/>
  <c r="P516" i="1"/>
  <c r="P515" i="1"/>
  <c r="P512" i="1"/>
  <c r="Q511" i="1"/>
  <c r="N511" i="1"/>
  <c r="AA510" i="1"/>
  <c r="W510" i="1"/>
  <c r="V510" i="1"/>
  <c r="S510" i="1"/>
  <c r="R510" i="1"/>
  <c r="M513" i="1"/>
  <c r="DG513" i="1" s="1"/>
  <c r="AA501" i="1"/>
  <c r="W501" i="1"/>
  <c r="V501" i="1"/>
  <c r="S501" i="1"/>
  <c r="R501" i="1"/>
  <c r="N499" i="1"/>
  <c r="M497" i="1"/>
  <c r="DG497" i="1" s="1"/>
  <c r="M494" i="1"/>
  <c r="DG494" i="1" s="1"/>
  <c r="M493" i="1"/>
  <c r="DG493" i="1" s="1"/>
  <c r="AA477" i="1"/>
  <c r="W477" i="1"/>
  <c r="V477" i="1"/>
  <c r="S477" i="1"/>
  <c r="M430" i="1"/>
  <c r="DG430" i="1" s="1"/>
  <c r="P422" i="1"/>
  <c r="M422" i="1"/>
  <c r="DG422" i="1" s="1"/>
  <c r="P420" i="1"/>
  <c r="Q420" i="1" s="1"/>
  <c r="M420" i="1"/>
  <c r="DG420" i="1" s="1"/>
  <c r="P419" i="1"/>
  <c r="M419" i="1"/>
  <c r="DG419" i="1" s="1"/>
  <c r="P418" i="1"/>
  <c r="M418" i="1"/>
  <c r="DG418" i="1" s="1"/>
  <c r="P417" i="1"/>
  <c r="M417" i="1"/>
  <c r="DG417" i="1" s="1"/>
  <c r="P416" i="1"/>
  <c r="M416" i="1"/>
  <c r="DG416" i="1" s="1"/>
  <c r="P415" i="1"/>
  <c r="M415" i="1"/>
  <c r="DG415" i="1" s="1"/>
  <c r="P412" i="1"/>
  <c r="M412" i="1"/>
  <c r="DG412" i="1" s="1"/>
  <c r="P411" i="1"/>
  <c r="M411" i="1"/>
  <c r="DG411" i="1" s="1"/>
  <c r="P410" i="1"/>
  <c r="M410" i="1"/>
  <c r="DG410" i="1" s="1"/>
  <c r="P409" i="1"/>
  <c r="M409" i="1"/>
  <c r="DG409" i="1" s="1"/>
  <c r="P408" i="1"/>
  <c r="M408" i="1"/>
  <c r="DG408" i="1" s="1"/>
  <c r="P407" i="1"/>
  <c r="M407" i="1"/>
  <c r="DG407" i="1" s="1"/>
  <c r="P406" i="1"/>
  <c r="M406" i="1"/>
  <c r="DG406" i="1" s="1"/>
  <c r="P404" i="1"/>
  <c r="M404" i="1"/>
  <c r="DG404" i="1" s="1"/>
  <c r="P403" i="1"/>
  <c r="M403" i="1"/>
  <c r="DG403" i="1" s="1"/>
  <c r="P402" i="1"/>
  <c r="M402" i="1"/>
  <c r="DG402" i="1" s="1"/>
  <c r="P401" i="1"/>
  <c r="M401" i="1"/>
  <c r="DG401" i="1" s="1"/>
  <c r="P400" i="1"/>
  <c r="M400" i="1"/>
  <c r="DG400" i="1" s="1"/>
  <c r="P399" i="1"/>
  <c r="M399" i="1"/>
  <c r="DG399" i="1" s="1"/>
  <c r="P398" i="1"/>
  <c r="M398" i="1"/>
  <c r="DG398" i="1" s="1"/>
  <c r="P397" i="1"/>
  <c r="M397" i="1"/>
  <c r="DG397" i="1" s="1"/>
  <c r="P396" i="1"/>
  <c r="M396" i="1"/>
  <c r="DG396" i="1" s="1"/>
  <c r="P395" i="1"/>
  <c r="M395" i="1"/>
  <c r="DG395" i="1" s="1"/>
  <c r="P394" i="1"/>
  <c r="M394" i="1"/>
  <c r="DG394" i="1" s="1"/>
  <c r="P393" i="1"/>
  <c r="M393" i="1"/>
  <c r="DG393" i="1" s="1"/>
  <c r="P392" i="1"/>
  <c r="M392" i="1"/>
  <c r="DG392" i="1" s="1"/>
  <c r="P391" i="1"/>
  <c r="M391" i="1"/>
  <c r="DG391" i="1" s="1"/>
  <c r="P390" i="1"/>
  <c r="M390" i="1"/>
  <c r="DG390" i="1" s="1"/>
  <c r="P389" i="1"/>
  <c r="M389" i="1"/>
  <c r="DG389" i="1" s="1"/>
  <c r="AA385" i="1"/>
  <c r="W385" i="1"/>
  <c r="V385" i="1"/>
  <c r="S385" i="1"/>
  <c r="R385" i="1"/>
  <c r="Q439" i="1"/>
  <c r="M434" i="1"/>
  <c r="AA432" i="1"/>
  <c r="W432" i="1"/>
  <c r="V432" i="1"/>
  <c r="S432" i="1"/>
  <c r="R432" i="1"/>
  <c r="AA380" i="1"/>
  <c r="W380" i="1"/>
  <c r="V380" i="1"/>
  <c r="S380" i="1"/>
  <c r="R380" i="1"/>
  <c r="AA363" i="1"/>
  <c r="W363" i="1"/>
  <c r="V363" i="1"/>
  <c r="S363" i="1"/>
  <c r="R363" i="1"/>
  <c r="P361" i="1"/>
  <c r="M361" i="1"/>
  <c r="DG361" i="1" s="1"/>
  <c r="P359" i="1"/>
  <c r="M359" i="1"/>
  <c r="DG359" i="1" s="1"/>
  <c r="P358" i="1"/>
  <c r="M358" i="1"/>
  <c r="DG358" i="1" s="1"/>
  <c r="P355" i="1"/>
  <c r="N351" i="1"/>
  <c r="M350" i="1"/>
  <c r="DG350" i="1" s="1"/>
  <c r="M342" i="1"/>
  <c r="DG342" i="1" s="1"/>
  <c r="M341" i="1"/>
  <c r="DG341" i="1" s="1"/>
  <c r="AA340" i="1"/>
  <c r="W340" i="1"/>
  <c r="V340" i="1"/>
  <c r="S340" i="1"/>
  <c r="R340" i="1"/>
  <c r="Q340" i="1"/>
  <c r="N340" i="1"/>
  <c r="P338" i="1"/>
  <c r="AA337" i="1"/>
  <c r="W337" i="1"/>
  <c r="V337" i="1"/>
  <c r="S337" i="1"/>
  <c r="R337" i="1"/>
  <c r="AA290" i="1"/>
  <c r="W290" i="1"/>
  <c r="V290" i="1"/>
  <c r="S290" i="1"/>
  <c r="R290" i="1"/>
  <c r="J288" i="1"/>
  <c r="J285" i="1"/>
  <c r="Q276" i="1"/>
  <c r="N276" i="1"/>
  <c r="AA266" i="1"/>
  <c r="W266" i="1"/>
  <c r="V266" i="1"/>
  <c r="S266" i="1"/>
  <c r="R266" i="1"/>
  <c r="M264" i="1"/>
  <c r="M263" i="1"/>
  <c r="M262" i="1"/>
  <c r="AA261" i="1"/>
  <c r="W261" i="1"/>
  <c r="V261" i="1"/>
  <c r="S261" i="1"/>
  <c r="R261" i="1"/>
  <c r="AA255" i="1"/>
  <c r="W255" i="1"/>
  <c r="V255" i="1"/>
  <c r="S255" i="1"/>
  <c r="R255" i="1"/>
  <c r="M251" i="1"/>
  <c r="M250" i="1"/>
  <c r="M249" i="1"/>
  <c r="M248" i="1"/>
  <c r="M190" i="1"/>
  <c r="DG190" i="1" s="1"/>
  <c r="AA186" i="1"/>
  <c r="W186" i="1"/>
  <c r="V186" i="1"/>
  <c r="S186" i="1"/>
  <c r="R186" i="1"/>
  <c r="P179" i="1"/>
  <c r="M179" i="1"/>
  <c r="DG179" i="1" s="1"/>
  <c r="P175" i="1"/>
  <c r="M175" i="1"/>
  <c r="DG175" i="1" s="1"/>
  <c r="P174" i="1"/>
  <c r="M174" i="1"/>
  <c r="DG174" i="1" s="1"/>
  <c r="P173" i="1"/>
  <c r="M173" i="1"/>
  <c r="DG173" i="1" s="1"/>
  <c r="P172" i="1"/>
  <c r="M172" i="1"/>
  <c r="DG172" i="1" s="1"/>
  <c r="P171" i="1"/>
  <c r="M171" i="1"/>
  <c r="DG171" i="1" s="1"/>
  <c r="P168" i="1"/>
  <c r="M168" i="1"/>
  <c r="DG168" i="1" s="1"/>
  <c r="P167" i="1"/>
  <c r="M167" i="1"/>
  <c r="DG167" i="1" s="1"/>
  <c r="AA163" i="1"/>
  <c r="W163" i="1"/>
  <c r="V163" i="1"/>
  <c r="S163" i="1"/>
  <c r="R163" i="1"/>
  <c r="M157" i="1"/>
  <c r="DG157" i="1" s="1"/>
  <c r="M156" i="1"/>
  <c r="DG156" i="1" s="1"/>
  <c r="M155" i="1"/>
  <c r="DG155" i="1" s="1"/>
  <c r="AA154" i="1"/>
  <c r="W154" i="1"/>
  <c r="V154" i="1"/>
  <c r="S154" i="1"/>
  <c r="R154" i="1"/>
  <c r="M149" i="1"/>
  <c r="DG149" i="1" s="1"/>
  <c r="M148" i="1"/>
  <c r="DG148" i="1" s="1"/>
  <c r="M147" i="1"/>
  <c r="DG147" i="1" s="1"/>
  <c r="AA146" i="1"/>
  <c r="W146" i="1"/>
  <c r="V146" i="1"/>
  <c r="S146" i="1"/>
  <c r="R146" i="1"/>
  <c r="M141" i="1"/>
  <c r="DG141" i="1" s="1"/>
  <c r="M140" i="1"/>
  <c r="DG140" i="1" s="1"/>
  <c r="M139" i="1"/>
  <c r="DG139" i="1" s="1"/>
  <c r="AA138" i="1"/>
  <c r="W138" i="1"/>
  <c r="V138" i="1"/>
  <c r="S138" i="1"/>
  <c r="R138" i="1"/>
  <c r="M135" i="1"/>
  <c r="DG135" i="1" s="1"/>
  <c r="AA134" i="1"/>
  <c r="W134" i="1"/>
  <c r="V134" i="1"/>
  <c r="S134" i="1"/>
  <c r="R134" i="1"/>
  <c r="M178" i="1"/>
  <c r="DG178" i="1" s="1"/>
  <c r="M133" i="1"/>
  <c r="DG133" i="1" s="1"/>
  <c r="M132" i="1"/>
  <c r="DG132" i="1" s="1"/>
  <c r="M131" i="1"/>
  <c r="DG131" i="1" s="1"/>
  <c r="M130" i="1"/>
  <c r="DG130" i="1" s="1"/>
  <c r="M129" i="1"/>
  <c r="DG129" i="1" s="1"/>
  <c r="M128" i="1"/>
  <c r="DG128" i="1" s="1"/>
  <c r="P126" i="1"/>
  <c r="M126" i="1"/>
  <c r="DG126" i="1" s="1"/>
  <c r="AA119" i="1"/>
  <c r="W119" i="1"/>
  <c r="V119" i="1"/>
  <c r="S119" i="1"/>
  <c r="R119" i="1"/>
  <c r="P98" i="1"/>
  <c r="M98" i="1"/>
  <c r="DG98" i="1" s="1"/>
  <c r="P97" i="1"/>
  <c r="Q99" i="1" s="1"/>
  <c r="AF99" i="1" s="1"/>
  <c r="M97" i="1"/>
  <c r="DG97" i="1" s="1"/>
  <c r="AA96" i="1"/>
  <c r="W96" i="1"/>
  <c r="V96" i="1"/>
  <c r="S96" i="1"/>
  <c r="R96" i="1"/>
  <c r="P118" i="1"/>
  <c r="M118" i="1"/>
  <c r="DG118" i="1" s="1"/>
  <c r="P114" i="1"/>
  <c r="M114" i="1"/>
  <c r="DG114" i="1" s="1"/>
  <c r="AA113" i="1"/>
  <c r="W113" i="1"/>
  <c r="V113" i="1"/>
  <c r="S113" i="1"/>
  <c r="R113" i="1"/>
  <c r="M176" i="1"/>
  <c r="DG176" i="1" s="1"/>
  <c r="M112" i="1"/>
  <c r="DG112" i="1" s="1"/>
  <c r="M111" i="1"/>
  <c r="DG111" i="1" s="1"/>
  <c r="M109" i="1"/>
  <c r="DG109" i="1" s="1"/>
  <c r="M108" i="1"/>
  <c r="DG108" i="1" s="1"/>
  <c r="AA106" i="1"/>
  <c r="W106" i="1"/>
  <c r="V106" i="1"/>
  <c r="S106" i="1"/>
  <c r="R106" i="1"/>
  <c r="P105" i="1"/>
  <c r="M105" i="1"/>
  <c r="DG105" i="1" s="1"/>
  <c r="P104" i="1"/>
  <c r="M104" i="1"/>
  <c r="DG104" i="1" s="1"/>
  <c r="P103" i="1"/>
  <c r="M103" i="1"/>
  <c r="DG103" i="1" s="1"/>
  <c r="AA102" i="1"/>
  <c r="W102" i="1"/>
  <c r="V102" i="1"/>
  <c r="S102" i="1"/>
  <c r="R102" i="1"/>
  <c r="P95" i="1"/>
  <c r="M95" i="1"/>
  <c r="DG95" i="1" s="1"/>
  <c r="P94" i="1"/>
  <c r="M94" i="1"/>
  <c r="DG94" i="1" s="1"/>
  <c r="P93" i="1"/>
  <c r="M93" i="1"/>
  <c r="DG93" i="1" s="1"/>
  <c r="AA92" i="1"/>
  <c r="W92" i="1"/>
  <c r="V92" i="1"/>
  <c r="S92" i="1"/>
  <c r="R92" i="1"/>
  <c r="P91" i="1"/>
  <c r="M91" i="1"/>
  <c r="DG91" i="1" s="1"/>
  <c r="P90" i="1"/>
  <c r="M90" i="1"/>
  <c r="DG90" i="1" s="1"/>
  <c r="P89" i="1"/>
  <c r="M89" i="1"/>
  <c r="DG89" i="1" s="1"/>
  <c r="P88" i="1"/>
  <c r="Q101" i="1" s="1"/>
  <c r="AF101" i="1" s="1"/>
  <c r="M88" i="1"/>
  <c r="DG88" i="1" s="1"/>
  <c r="P87" i="1"/>
  <c r="M87" i="1"/>
  <c r="DG87" i="1" s="1"/>
  <c r="P86" i="1"/>
  <c r="M86" i="1"/>
  <c r="DG86" i="1" s="1"/>
  <c r="P85" i="1"/>
  <c r="M85" i="1"/>
  <c r="DG85" i="1" s="1"/>
  <c r="P84" i="1"/>
  <c r="P183" i="1" s="1"/>
  <c r="Q183" i="1" s="1"/>
  <c r="AF183" i="1" s="1"/>
  <c r="M84" i="1"/>
  <c r="DG84" i="1" s="1"/>
  <c r="AA82" i="1"/>
  <c r="W82" i="1"/>
  <c r="V82" i="1"/>
  <c r="S82" i="1"/>
  <c r="R82" i="1"/>
  <c r="N75" i="1"/>
  <c r="N74" i="1"/>
  <c r="DG71" i="1"/>
  <c r="AA69" i="1"/>
  <c r="W69" i="1"/>
  <c r="V69" i="1"/>
  <c r="S69" i="1"/>
  <c r="R69" i="1"/>
  <c r="AA64" i="1"/>
  <c r="W64" i="1"/>
  <c r="V64" i="1"/>
  <c r="S64" i="1"/>
  <c r="R64" i="1"/>
  <c r="M62" i="1"/>
  <c r="AA60" i="1"/>
  <c r="W60" i="1"/>
  <c r="V60" i="1"/>
  <c r="S60" i="1"/>
  <c r="R60" i="1"/>
  <c r="M52" i="1"/>
  <c r="M51" i="1"/>
  <c r="AA50" i="1"/>
  <c r="W50" i="1"/>
  <c r="V50" i="1"/>
  <c r="S50" i="1"/>
  <c r="R50" i="1"/>
  <c r="AA47" i="1"/>
  <c r="W47" i="1"/>
  <c r="V47" i="1"/>
  <c r="S47" i="1"/>
  <c r="R47" i="1"/>
  <c r="P46" i="1"/>
  <c r="M46" i="1"/>
  <c r="P45" i="1"/>
  <c r="M45" i="1"/>
  <c r="P44" i="1"/>
  <c r="M44" i="1"/>
  <c r="P43" i="1"/>
  <c r="M43" i="1"/>
  <c r="P42" i="1"/>
  <c r="M42" i="1"/>
  <c r="P41" i="1"/>
  <c r="M41" i="1"/>
  <c r="M40" i="1"/>
  <c r="AA38" i="1"/>
  <c r="W38" i="1"/>
  <c r="V38" i="1"/>
  <c r="S38" i="1"/>
  <c r="R38" i="1"/>
  <c r="P36" i="1"/>
  <c r="M36" i="1"/>
  <c r="DG36" i="1" s="1"/>
  <c r="P35" i="1"/>
  <c r="M35" i="1"/>
  <c r="DG35" i="1" s="1"/>
  <c r="P34" i="1"/>
  <c r="M34" i="1"/>
  <c r="DG34" i="1" s="1"/>
  <c r="P33" i="1"/>
  <c r="M33" i="1"/>
  <c r="DG33" i="1" s="1"/>
  <c r="P32" i="1"/>
  <c r="M32" i="1"/>
  <c r="DG32" i="1" s="1"/>
  <c r="J30" i="1"/>
  <c r="M29" i="1"/>
  <c r="DG29" i="1" s="1"/>
  <c r="P25" i="1"/>
  <c r="M25" i="1"/>
  <c r="DG25" i="1" s="1"/>
  <c r="AA24" i="1"/>
  <c r="W24" i="1"/>
  <c r="V24" i="1"/>
  <c r="S24" i="1"/>
  <c r="R24" i="1"/>
  <c r="P23" i="1"/>
  <c r="M23" i="1"/>
  <c r="DG23" i="1" s="1"/>
  <c r="P18" i="1"/>
  <c r="M18" i="1"/>
  <c r="DG18" i="1" s="1"/>
  <c r="P17" i="1"/>
  <c r="M17" i="1"/>
  <c r="DG17" i="1" s="1"/>
  <c r="P15" i="1"/>
  <c r="M15" i="1"/>
  <c r="DG15" i="1" s="1"/>
  <c r="P14" i="1"/>
  <c r="M14" i="1"/>
  <c r="DG14" i="1" s="1"/>
  <c r="P13" i="1"/>
  <c r="M13" i="1"/>
  <c r="DG13" i="1" s="1"/>
  <c r="P12" i="1"/>
  <c r="M11" i="1"/>
  <c r="DG11" i="1" s="1"/>
  <c r="DG434" i="1" l="1"/>
  <c r="M437" i="1"/>
  <c r="DG62" i="1"/>
  <c r="CM62" i="1"/>
  <c r="K84" i="1"/>
  <c r="K341" i="1"/>
  <c r="K342" i="1"/>
  <c r="CN180" i="1"/>
  <c r="CP180" i="1" s="1"/>
  <c r="DH180" i="1"/>
  <c r="K430" i="1"/>
  <c r="CM35" i="1"/>
  <c r="K35" i="1"/>
  <c r="CM71" i="1"/>
  <c r="K71" i="1"/>
  <c r="CM109" i="1"/>
  <c r="K109" i="1"/>
  <c r="CM128" i="1"/>
  <c r="K128" i="1"/>
  <c r="CM157" i="1"/>
  <c r="K157" i="1"/>
  <c r="CM250" i="1"/>
  <c r="K250" i="1"/>
  <c r="CM264" i="1"/>
  <c r="K264" i="1"/>
  <c r="CM359" i="1"/>
  <c r="K359" i="1"/>
  <c r="CM11" i="1"/>
  <c r="K11" i="1"/>
  <c r="CM17" i="1"/>
  <c r="K17" i="1"/>
  <c r="CM44" i="1"/>
  <c r="K44" i="1"/>
  <c r="CM88" i="1"/>
  <c r="K88" i="1"/>
  <c r="CM94" i="1"/>
  <c r="K94" i="1"/>
  <c r="CM111" i="1"/>
  <c r="K111" i="1"/>
  <c r="CM129" i="1"/>
  <c r="K129" i="1"/>
  <c r="CM168" i="1"/>
  <c r="K168" i="1"/>
  <c r="CM174" i="1"/>
  <c r="K174" i="1"/>
  <c r="CM251" i="1"/>
  <c r="K251" i="1"/>
  <c r="CM389" i="1"/>
  <c r="K389" i="1"/>
  <c r="CM393" i="1"/>
  <c r="K393" i="1"/>
  <c r="CM397" i="1"/>
  <c r="K397" i="1"/>
  <c r="CM401" i="1"/>
  <c r="K401" i="1"/>
  <c r="CM406" i="1"/>
  <c r="K406" i="1"/>
  <c r="CM410" i="1"/>
  <c r="K410" i="1"/>
  <c r="CM415" i="1"/>
  <c r="K415" i="1"/>
  <c r="CM419" i="1"/>
  <c r="K419" i="1"/>
  <c r="CM32" i="1"/>
  <c r="K32" i="1"/>
  <c r="CM36" i="1"/>
  <c r="K36" i="1"/>
  <c r="CM40" i="1"/>
  <c r="K40" i="1"/>
  <c r="CM112" i="1"/>
  <c r="K112" i="1"/>
  <c r="CM114" i="1"/>
  <c r="K114" i="1"/>
  <c r="CM130" i="1"/>
  <c r="K130" i="1"/>
  <c r="CM361" i="1"/>
  <c r="K361" i="1"/>
  <c r="CM598" i="1"/>
  <c r="K598" i="1"/>
  <c r="CM364" i="1"/>
  <c r="K364" i="1"/>
  <c r="CM13" i="1"/>
  <c r="K13" i="1"/>
  <c r="CM18" i="1"/>
  <c r="K18" i="1"/>
  <c r="CM41" i="1"/>
  <c r="K41" i="1"/>
  <c r="CM45" i="1"/>
  <c r="K45" i="1"/>
  <c r="CM51" i="1"/>
  <c r="K51" i="1"/>
  <c r="K62" i="1"/>
  <c r="CM85" i="1"/>
  <c r="K85" i="1"/>
  <c r="CM89" i="1"/>
  <c r="K89" i="1"/>
  <c r="CM95" i="1"/>
  <c r="K95" i="1"/>
  <c r="CM103" i="1"/>
  <c r="K103" i="1"/>
  <c r="CM176" i="1"/>
  <c r="K176" i="1"/>
  <c r="CM131" i="1"/>
  <c r="K131" i="1"/>
  <c r="CM171" i="1"/>
  <c r="K171" i="1"/>
  <c r="CM175" i="1"/>
  <c r="K175" i="1"/>
  <c r="CM350" i="1"/>
  <c r="K350" i="1"/>
  <c r="CM390" i="1"/>
  <c r="K390" i="1"/>
  <c r="CM394" i="1"/>
  <c r="K394" i="1"/>
  <c r="CM398" i="1"/>
  <c r="K398" i="1"/>
  <c r="CM402" i="1"/>
  <c r="K402" i="1"/>
  <c r="CM407" i="1"/>
  <c r="K407" i="1"/>
  <c r="CM411" i="1"/>
  <c r="K411" i="1"/>
  <c r="CM416" i="1"/>
  <c r="K416" i="1"/>
  <c r="CM420" i="1"/>
  <c r="K420" i="1"/>
  <c r="CM241" i="1"/>
  <c r="K241" i="1"/>
  <c r="CM599" i="1"/>
  <c r="K599" i="1"/>
  <c r="CM365" i="1"/>
  <c r="K365" i="1"/>
  <c r="CM33" i="1"/>
  <c r="K33" i="1"/>
  <c r="CM52" i="1"/>
  <c r="K52" i="1"/>
  <c r="CM118" i="1"/>
  <c r="K118" i="1"/>
  <c r="CM97" i="1"/>
  <c r="K97" i="1"/>
  <c r="CM132" i="1"/>
  <c r="K132" i="1"/>
  <c r="CM139" i="1"/>
  <c r="K139" i="1"/>
  <c r="CM588" i="1"/>
  <c r="K588" i="1"/>
  <c r="CM600" i="1"/>
  <c r="K600" i="1"/>
  <c r="CM366" i="1"/>
  <c r="K366" i="1"/>
  <c r="CM14" i="1"/>
  <c r="K14" i="1"/>
  <c r="CM23" i="1"/>
  <c r="K23" i="1"/>
  <c r="CM25" i="1"/>
  <c r="K25" i="1"/>
  <c r="CM42" i="1"/>
  <c r="K42" i="1"/>
  <c r="CM46" i="1"/>
  <c r="K46" i="1"/>
  <c r="CM86" i="1"/>
  <c r="K86" i="1"/>
  <c r="CM90" i="1"/>
  <c r="K90" i="1"/>
  <c r="CM104" i="1"/>
  <c r="K104" i="1"/>
  <c r="CM133" i="1"/>
  <c r="K133" i="1"/>
  <c r="CM135" i="1"/>
  <c r="K135" i="1"/>
  <c r="CM140" i="1"/>
  <c r="K140" i="1"/>
  <c r="CM147" i="1"/>
  <c r="K147" i="1"/>
  <c r="CM172" i="1"/>
  <c r="K172" i="1"/>
  <c r="CM179" i="1"/>
  <c r="K179" i="1"/>
  <c r="CM190" i="1"/>
  <c r="K190" i="1"/>
  <c r="CM391" i="1"/>
  <c r="K391" i="1"/>
  <c r="CM395" i="1"/>
  <c r="K395" i="1"/>
  <c r="CM399" i="1"/>
  <c r="K399" i="1"/>
  <c r="CM403" i="1"/>
  <c r="K403" i="1"/>
  <c r="CM408" i="1"/>
  <c r="K408" i="1"/>
  <c r="CM412" i="1"/>
  <c r="K412" i="1"/>
  <c r="CM417" i="1"/>
  <c r="K417" i="1"/>
  <c r="CM422" i="1"/>
  <c r="K422" i="1"/>
  <c r="CM493" i="1"/>
  <c r="K493" i="1"/>
  <c r="CM589" i="1"/>
  <c r="K589" i="1"/>
  <c r="CM601" i="1"/>
  <c r="K601" i="1"/>
  <c r="CM369" i="1"/>
  <c r="K369" i="1"/>
  <c r="CM34" i="1"/>
  <c r="K34" i="1"/>
  <c r="CM98" i="1"/>
  <c r="K98" i="1"/>
  <c r="CM126" i="1"/>
  <c r="K126" i="1"/>
  <c r="CM178" i="1"/>
  <c r="K178" i="1"/>
  <c r="CM141" i="1"/>
  <c r="K141" i="1"/>
  <c r="CM148" i="1"/>
  <c r="K148" i="1"/>
  <c r="CM155" i="1"/>
  <c r="K155" i="1"/>
  <c r="CM248" i="1"/>
  <c r="K248" i="1"/>
  <c r="CM262" i="1"/>
  <c r="K262" i="1"/>
  <c r="CM358" i="1"/>
  <c r="K358" i="1"/>
  <c r="CM434" i="1"/>
  <c r="K434" i="1"/>
  <c r="CM494" i="1"/>
  <c r="K494" i="1"/>
  <c r="CM370" i="1"/>
  <c r="K370" i="1"/>
  <c r="CM15" i="1"/>
  <c r="CM29" i="1"/>
  <c r="K29" i="1"/>
  <c r="CM43" i="1"/>
  <c r="K43" i="1"/>
  <c r="CM87" i="1"/>
  <c r="K87" i="1"/>
  <c r="CM91" i="1"/>
  <c r="K91" i="1"/>
  <c r="CM93" i="1"/>
  <c r="K93" i="1"/>
  <c r="CM105" i="1"/>
  <c r="K105" i="1"/>
  <c r="CM108" i="1"/>
  <c r="K108" i="1"/>
  <c r="CM149" i="1"/>
  <c r="K149" i="1"/>
  <c r="CM156" i="1"/>
  <c r="K156" i="1"/>
  <c r="CM167" i="1"/>
  <c r="K167" i="1"/>
  <c r="CM173" i="1"/>
  <c r="K173" i="1"/>
  <c r="CM249" i="1"/>
  <c r="K249" i="1"/>
  <c r="CM263" i="1"/>
  <c r="K263" i="1"/>
  <c r="CM268" i="1"/>
  <c r="K268" i="1"/>
  <c r="CM392" i="1"/>
  <c r="K392" i="1"/>
  <c r="CM396" i="1"/>
  <c r="K396" i="1"/>
  <c r="CM400" i="1"/>
  <c r="K400" i="1"/>
  <c r="CM404" i="1"/>
  <c r="K404" i="1"/>
  <c r="CM409" i="1"/>
  <c r="K409" i="1"/>
  <c r="CM414" i="1"/>
  <c r="K414" i="1"/>
  <c r="CM418" i="1"/>
  <c r="K418" i="1"/>
  <c r="CM497" i="1"/>
  <c r="K497" i="1"/>
  <c r="CM513" i="1"/>
  <c r="K513" i="1"/>
  <c r="CM371" i="1"/>
  <c r="K371" i="1"/>
  <c r="CM84" i="1"/>
  <c r="M183" i="1"/>
  <c r="DG183" i="1" s="1"/>
  <c r="AK183" i="1"/>
  <c r="AZ183" i="1" s="1"/>
  <c r="AH183" i="1"/>
  <c r="AY341" i="1"/>
  <c r="CM341" i="1"/>
  <c r="AY342" i="1"/>
  <c r="CM342" i="1"/>
  <c r="J430" i="1"/>
  <c r="CM430" i="1"/>
  <c r="AK99" i="1"/>
  <c r="AZ99" i="1" s="1"/>
  <c r="AH99" i="1"/>
  <c r="V81" i="1"/>
  <c r="S275" i="1"/>
  <c r="R275" i="1"/>
  <c r="AA275" i="1"/>
  <c r="V275" i="1"/>
  <c r="W275" i="1"/>
  <c r="AY422" i="1"/>
  <c r="AE422" i="1"/>
  <c r="BS422" i="1"/>
  <c r="J422" i="1"/>
  <c r="AY101" i="1"/>
  <c r="AE101" i="1"/>
  <c r="J101" i="1"/>
  <c r="N101" i="1"/>
  <c r="BS101" i="1"/>
  <c r="AK101" i="1"/>
  <c r="AZ101" i="1" s="1"/>
  <c r="AH101" i="1"/>
  <c r="CM539" i="1"/>
  <c r="CM535" i="1"/>
  <c r="CM538" i="1"/>
  <c r="CM540" i="1"/>
  <c r="CM536" i="1"/>
  <c r="J532" i="1"/>
  <c r="W4" i="1"/>
  <c r="S4" i="1"/>
  <c r="AA4" i="1"/>
  <c r="V4" i="1"/>
  <c r="R4" i="1"/>
  <c r="J545" i="1"/>
  <c r="CM505" i="1"/>
  <c r="M547" i="1"/>
  <c r="DG547" i="1" s="1"/>
  <c r="CM504" i="1"/>
  <c r="AE513" i="1"/>
  <c r="BS513" i="1"/>
  <c r="AY513" i="1"/>
  <c r="N513" i="1"/>
  <c r="J513" i="1"/>
  <c r="J40" i="1"/>
  <c r="AE40" i="1"/>
  <c r="BS40" i="1"/>
  <c r="AY40" i="1"/>
  <c r="J52" i="1"/>
  <c r="AE52" i="1"/>
  <c r="BS52" i="1"/>
  <c r="AY52" i="1"/>
  <c r="J108" i="1"/>
  <c r="AE108" i="1"/>
  <c r="BS108" i="1"/>
  <c r="AY108" i="1"/>
  <c r="J140" i="1"/>
  <c r="BS140" i="1"/>
  <c r="AY140" i="1"/>
  <c r="AE140" i="1"/>
  <c r="BS147" i="1"/>
  <c r="AY147" i="1"/>
  <c r="AE147" i="1"/>
  <c r="J149" i="1"/>
  <c r="BS149" i="1"/>
  <c r="AY149" i="1"/>
  <c r="AE149" i="1"/>
  <c r="J156" i="1"/>
  <c r="BS156" i="1"/>
  <c r="AY156" i="1"/>
  <c r="AE156" i="1"/>
  <c r="J248" i="1"/>
  <c r="BS248" i="1"/>
  <c r="AY248" i="1"/>
  <c r="AE248" i="1"/>
  <c r="J250" i="1"/>
  <c r="BS250" i="1"/>
  <c r="AY250" i="1"/>
  <c r="AE250" i="1"/>
  <c r="J262" i="1"/>
  <c r="BS262" i="1"/>
  <c r="AY262" i="1"/>
  <c r="AE262" i="1"/>
  <c r="J264" i="1"/>
  <c r="BS264" i="1"/>
  <c r="AY264" i="1"/>
  <c r="AE264" i="1"/>
  <c r="J341" i="1"/>
  <c r="BS341" i="1"/>
  <c r="AE341" i="1"/>
  <c r="J348" i="1"/>
  <c r="BS348" i="1"/>
  <c r="AY348" i="1"/>
  <c r="AE348" i="1"/>
  <c r="J350" i="1"/>
  <c r="BS350" i="1"/>
  <c r="AY350" i="1"/>
  <c r="AE350" i="1"/>
  <c r="J355" i="1"/>
  <c r="BS355" i="1"/>
  <c r="AY355" i="1"/>
  <c r="AE355" i="1"/>
  <c r="J358" i="1"/>
  <c r="BS358" i="1"/>
  <c r="AY358" i="1"/>
  <c r="AE358" i="1"/>
  <c r="J359" i="1"/>
  <c r="BS359" i="1"/>
  <c r="AY359" i="1"/>
  <c r="AE359" i="1"/>
  <c r="J361" i="1"/>
  <c r="BS361" i="1"/>
  <c r="AY361" i="1"/>
  <c r="AE361" i="1"/>
  <c r="J434" i="1"/>
  <c r="BS434" i="1"/>
  <c r="AY434" i="1"/>
  <c r="AE434" i="1"/>
  <c r="J494" i="1"/>
  <c r="BS494" i="1"/>
  <c r="AY494" i="1"/>
  <c r="AE494" i="1"/>
  <c r="J497" i="1"/>
  <c r="BS497" i="1"/>
  <c r="AY497" i="1"/>
  <c r="AE497" i="1"/>
  <c r="J492" i="1"/>
  <c r="BS492" i="1"/>
  <c r="AY492" i="1"/>
  <c r="AE492" i="1"/>
  <c r="J490" i="1"/>
  <c r="BS490" i="1"/>
  <c r="AY490" i="1"/>
  <c r="AE490" i="1"/>
  <c r="BS502" i="1"/>
  <c r="AY502" i="1"/>
  <c r="AE502" i="1"/>
  <c r="J589" i="1"/>
  <c r="AY589" i="1"/>
  <c r="AE589" i="1"/>
  <c r="BS589" i="1"/>
  <c r="J241" i="1"/>
  <c r="AY241" i="1"/>
  <c r="AE241" i="1"/>
  <c r="BS241" i="1"/>
  <c r="J599" i="1"/>
  <c r="AY599" i="1"/>
  <c r="AE599" i="1"/>
  <c r="BS599" i="1"/>
  <c r="J601" i="1"/>
  <c r="AY601" i="1"/>
  <c r="AE601" i="1"/>
  <c r="BS601" i="1"/>
  <c r="J365" i="1"/>
  <c r="BS365" i="1"/>
  <c r="AY365" i="1"/>
  <c r="AE365" i="1"/>
  <c r="J369" i="1"/>
  <c r="BS369" i="1"/>
  <c r="AY369" i="1"/>
  <c r="AE369" i="1"/>
  <c r="J371" i="1"/>
  <c r="BS371" i="1"/>
  <c r="AY371" i="1"/>
  <c r="AE371" i="1"/>
  <c r="J41" i="1"/>
  <c r="BS41" i="1"/>
  <c r="AY41" i="1"/>
  <c r="AE41" i="1"/>
  <c r="J42" i="1"/>
  <c r="BS42" i="1"/>
  <c r="AY42" i="1"/>
  <c r="AE42" i="1"/>
  <c r="J43" i="1"/>
  <c r="BS43" i="1"/>
  <c r="AY43" i="1"/>
  <c r="AE43" i="1"/>
  <c r="J44" i="1"/>
  <c r="BS44" i="1"/>
  <c r="AY44" i="1"/>
  <c r="AE44" i="1"/>
  <c r="J45" i="1"/>
  <c r="BS45" i="1"/>
  <c r="AY45" i="1"/>
  <c r="AE45" i="1"/>
  <c r="J46" i="1"/>
  <c r="AE46" i="1"/>
  <c r="BS46" i="1"/>
  <c r="AY46" i="1"/>
  <c r="J51" i="1"/>
  <c r="BS51" i="1"/>
  <c r="AY51" i="1"/>
  <c r="AE51" i="1"/>
  <c r="J107" i="1"/>
  <c r="AE107" i="1"/>
  <c r="AY107" i="1"/>
  <c r="BS107" i="1"/>
  <c r="J109" i="1"/>
  <c r="AE109" i="1"/>
  <c r="AY109" i="1"/>
  <c r="BS109" i="1"/>
  <c r="J126" i="1"/>
  <c r="BS126" i="1"/>
  <c r="AY126" i="1"/>
  <c r="AE126" i="1"/>
  <c r="BS139" i="1"/>
  <c r="AY139" i="1"/>
  <c r="AE139" i="1"/>
  <c r="J141" i="1"/>
  <c r="BS141" i="1"/>
  <c r="AY141" i="1"/>
  <c r="AE141" i="1"/>
  <c r="J148" i="1"/>
  <c r="BS148" i="1"/>
  <c r="AY148" i="1"/>
  <c r="AE148" i="1"/>
  <c r="J155" i="1"/>
  <c r="BS155" i="1"/>
  <c r="AY155" i="1"/>
  <c r="AE155" i="1"/>
  <c r="J157" i="1"/>
  <c r="BS157" i="1"/>
  <c r="AY157" i="1"/>
  <c r="AE157" i="1"/>
  <c r="J179" i="1"/>
  <c r="BS179" i="1"/>
  <c r="AY179" i="1"/>
  <c r="AE179" i="1"/>
  <c r="J190" i="1"/>
  <c r="BS190" i="1"/>
  <c r="AY190" i="1"/>
  <c r="AE190" i="1"/>
  <c r="J249" i="1"/>
  <c r="BS249" i="1"/>
  <c r="AY249" i="1"/>
  <c r="AE249" i="1"/>
  <c r="J251" i="1"/>
  <c r="BS251" i="1"/>
  <c r="AY251" i="1"/>
  <c r="AE251" i="1"/>
  <c r="J263" i="1"/>
  <c r="BS263" i="1"/>
  <c r="AY263" i="1"/>
  <c r="AE263" i="1"/>
  <c r="J268" i="1"/>
  <c r="BS268" i="1"/>
  <c r="AY268" i="1"/>
  <c r="AE268" i="1"/>
  <c r="J342" i="1"/>
  <c r="BS342" i="1"/>
  <c r="AE342" i="1"/>
  <c r="J349" i="1"/>
  <c r="AY349" i="1"/>
  <c r="AE349" i="1"/>
  <c r="BS349" i="1"/>
  <c r="J389" i="1"/>
  <c r="BS389" i="1"/>
  <c r="AY389" i="1"/>
  <c r="AE389" i="1"/>
  <c r="J390" i="1"/>
  <c r="BS390" i="1"/>
  <c r="AY390" i="1"/>
  <c r="AE390" i="1"/>
  <c r="J391" i="1"/>
  <c r="BS391" i="1"/>
  <c r="AY391" i="1"/>
  <c r="AE391" i="1"/>
  <c r="J392" i="1"/>
  <c r="BS392" i="1"/>
  <c r="AY392" i="1"/>
  <c r="AE392" i="1"/>
  <c r="J393" i="1"/>
  <c r="BS393" i="1"/>
  <c r="AY393" i="1"/>
  <c r="AE393" i="1"/>
  <c r="J394" i="1"/>
  <c r="BS394" i="1"/>
  <c r="AY394" i="1"/>
  <c r="AE394" i="1"/>
  <c r="J395" i="1"/>
  <c r="BS395" i="1"/>
  <c r="AY395" i="1"/>
  <c r="AE395" i="1"/>
  <c r="J396" i="1"/>
  <c r="BS396" i="1"/>
  <c r="AY396" i="1"/>
  <c r="AE396" i="1"/>
  <c r="J397" i="1"/>
  <c r="BS397" i="1"/>
  <c r="AY397" i="1"/>
  <c r="AE397" i="1"/>
  <c r="J398" i="1"/>
  <c r="BS398" i="1"/>
  <c r="AY398" i="1"/>
  <c r="AE398" i="1"/>
  <c r="J399" i="1"/>
  <c r="BS399" i="1"/>
  <c r="AY399" i="1"/>
  <c r="AE399" i="1"/>
  <c r="J400" i="1"/>
  <c r="BS400" i="1"/>
  <c r="AY400" i="1"/>
  <c r="AE400" i="1"/>
  <c r="J401" i="1"/>
  <c r="BS401" i="1"/>
  <c r="AY401" i="1"/>
  <c r="AE401" i="1"/>
  <c r="J402" i="1"/>
  <c r="BS402" i="1"/>
  <c r="AY402" i="1"/>
  <c r="AE402" i="1"/>
  <c r="J403" i="1"/>
  <c r="BS403" i="1"/>
  <c r="AY403" i="1"/>
  <c r="AE403" i="1"/>
  <c r="J404" i="1"/>
  <c r="BS404" i="1"/>
  <c r="AY404" i="1"/>
  <c r="AE404" i="1"/>
  <c r="J406" i="1"/>
  <c r="BS406" i="1"/>
  <c r="AY406" i="1"/>
  <c r="AE406" i="1"/>
  <c r="J407" i="1"/>
  <c r="BS407" i="1"/>
  <c r="AY407" i="1"/>
  <c r="AE407" i="1"/>
  <c r="J408" i="1"/>
  <c r="BS408" i="1"/>
  <c r="AY408" i="1"/>
  <c r="AE408" i="1"/>
  <c r="J409" i="1"/>
  <c r="BS409" i="1"/>
  <c r="AY409" i="1"/>
  <c r="AE409" i="1"/>
  <c r="J410" i="1"/>
  <c r="BS410" i="1"/>
  <c r="AY410" i="1"/>
  <c r="AE410" i="1"/>
  <c r="J411" i="1"/>
  <c r="BS411" i="1"/>
  <c r="AY411" i="1"/>
  <c r="AE411" i="1"/>
  <c r="J412" i="1"/>
  <c r="BS412" i="1"/>
  <c r="AY412" i="1"/>
  <c r="AE412" i="1"/>
  <c r="J414" i="1"/>
  <c r="BS414" i="1"/>
  <c r="AY414" i="1"/>
  <c r="AE414" i="1"/>
  <c r="J415" i="1"/>
  <c r="BS415" i="1"/>
  <c r="AY415" i="1"/>
  <c r="AE415" i="1"/>
  <c r="J416" i="1"/>
  <c r="BS416" i="1"/>
  <c r="AY416" i="1"/>
  <c r="AE416" i="1"/>
  <c r="J417" i="1"/>
  <c r="BS417" i="1"/>
  <c r="AY417" i="1"/>
  <c r="AE417" i="1"/>
  <c r="J418" i="1"/>
  <c r="BS418" i="1"/>
  <c r="AY418" i="1"/>
  <c r="AE418" i="1"/>
  <c r="J419" i="1"/>
  <c r="BS419" i="1"/>
  <c r="AY419" i="1"/>
  <c r="AE419" i="1"/>
  <c r="J420" i="1"/>
  <c r="BS420" i="1"/>
  <c r="AY420" i="1"/>
  <c r="AE420" i="1"/>
  <c r="BS430" i="1"/>
  <c r="AY430" i="1"/>
  <c r="AE430" i="1"/>
  <c r="J493" i="1"/>
  <c r="BS493" i="1"/>
  <c r="AY493" i="1"/>
  <c r="AE493" i="1"/>
  <c r="J495" i="1"/>
  <c r="BS495" i="1"/>
  <c r="AY495" i="1"/>
  <c r="AE495" i="1"/>
  <c r="J491" i="1"/>
  <c r="BS491" i="1"/>
  <c r="AY491" i="1"/>
  <c r="AE491" i="1"/>
  <c r="J489" i="1"/>
  <c r="BS489" i="1"/>
  <c r="AY489" i="1"/>
  <c r="AE489" i="1"/>
  <c r="J588" i="1"/>
  <c r="BS588" i="1"/>
  <c r="AY588" i="1"/>
  <c r="AE588" i="1"/>
  <c r="J598" i="1"/>
  <c r="BS598" i="1"/>
  <c r="AY598" i="1"/>
  <c r="AE598" i="1"/>
  <c r="J600" i="1"/>
  <c r="BS600" i="1"/>
  <c r="AY600" i="1"/>
  <c r="AE600" i="1"/>
  <c r="J364" i="1"/>
  <c r="BS364" i="1"/>
  <c r="AY364" i="1"/>
  <c r="AE364" i="1"/>
  <c r="J366" i="1"/>
  <c r="BS366" i="1"/>
  <c r="AY366" i="1"/>
  <c r="AE366" i="1"/>
  <c r="J370" i="1"/>
  <c r="BS370" i="1"/>
  <c r="AY370" i="1"/>
  <c r="AE370" i="1"/>
  <c r="AE135" i="1"/>
  <c r="BS135" i="1"/>
  <c r="AY135" i="1"/>
  <c r="J129" i="1"/>
  <c r="AY129" i="1"/>
  <c r="BS129" i="1"/>
  <c r="AE129" i="1"/>
  <c r="J128" i="1"/>
  <c r="BS128" i="1"/>
  <c r="AE128" i="1"/>
  <c r="AY128" i="1"/>
  <c r="J131" i="1"/>
  <c r="BS131" i="1"/>
  <c r="AE131" i="1"/>
  <c r="AY131" i="1"/>
  <c r="J133" i="1"/>
  <c r="BS133" i="1"/>
  <c r="AE133" i="1"/>
  <c r="AY133" i="1"/>
  <c r="J132" i="1"/>
  <c r="AY132" i="1"/>
  <c r="BS132" i="1"/>
  <c r="AE132" i="1"/>
  <c r="J130" i="1"/>
  <c r="AY130" i="1"/>
  <c r="BS130" i="1"/>
  <c r="AE130" i="1"/>
  <c r="J178" i="1"/>
  <c r="AY178" i="1"/>
  <c r="BS178" i="1"/>
  <c r="AE178" i="1"/>
  <c r="J104" i="1"/>
  <c r="BS104" i="1"/>
  <c r="AY104" i="1"/>
  <c r="AE104" i="1"/>
  <c r="J175" i="1"/>
  <c r="AE175" i="1"/>
  <c r="AY175" i="1"/>
  <c r="BS175" i="1"/>
  <c r="J103" i="1"/>
  <c r="AE103" i="1"/>
  <c r="BS103" i="1"/>
  <c r="AY103" i="1"/>
  <c r="J105" i="1"/>
  <c r="AE105" i="1"/>
  <c r="BS105" i="1"/>
  <c r="AY105" i="1"/>
  <c r="J118" i="1"/>
  <c r="AE118" i="1"/>
  <c r="AY118" i="1"/>
  <c r="BS118" i="1"/>
  <c r="J112" i="1"/>
  <c r="BS112" i="1"/>
  <c r="AY112" i="1"/>
  <c r="AE112" i="1"/>
  <c r="J114" i="1"/>
  <c r="AE114" i="1"/>
  <c r="BS114" i="1"/>
  <c r="AY114" i="1"/>
  <c r="J111" i="1"/>
  <c r="AE111" i="1"/>
  <c r="BS111" i="1"/>
  <c r="AY111" i="1"/>
  <c r="J176" i="1"/>
  <c r="BS176" i="1"/>
  <c r="AE176" i="1"/>
  <c r="AY176" i="1"/>
  <c r="J97" i="1"/>
  <c r="AY97" i="1"/>
  <c r="BS97" i="1"/>
  <c r="AE97" i="1"/>
  <c r="J98" i="1"/>
  <c r="BS98" i="1"/>
  <c r="AE98" i="1"/>
  <c r="AY98" i="1"/>
  <c r="J95" i="1"/>
  <c r="AY95" i="1"/>
  <c r="BS95" i="1"/>
  <c r="AE95" i="1"/>
  <c r="J169" i="1"/>
  <c r="BS169" i="1"/>
  <c r="AY169" i="1"/>
  <c r="AE169" i="1"/>
  <c r="J167" i="1"/>
  <c r="AE167" i="1"/>
  <c r="AY167" i="1"/>
  <c r="BS167" i="1"/>
  <c r="J93" i="1"/>
  <c r="BS93" i="1"/>
  <c r="AY93" i="1"/>
  <c r="AE93" i="1"/>
  <c r="J94" i="1"/>
  <c r="BS94" i="1"/>
  <c r="AE94" i="1"/>
  <c r="AY94" i="1"/>
  <c r="J168" i="1"/>
  <c r="AY168" i="1"/>
  <c r="AE168" i="1"/>
  <c r="BS168" i="1"/>
  <c r="J86" i="1"/>
  <c r="AY86" i="1"/>
  <c r="AE86" i="1"/>
  <c r="BS86" i="1"/>
  <c r="J172" i="1"/>
  <c r="BS172" i="1"/>
  <c r="AY172" i="1"/>
  <c r="AE172" i="1"/>
  <c r="J84" i="1"/>
  <c r="BS84" i="1"/>
  <c r="AE84" i="1"/>
  <c r="AY84" i="1"/>
  <c r="J88" i="1"/>
  <c r="BS88" i="1"/>
  <c r="AY88" i="1"/>
  <c r="AE88" i="1"/>
  <c r="J90" i="1"/>
  <c r="AY90" i="1"/>
  <c r="AE90" i="1"/>
  <c r="BS90" i="1"/>
  <c r="J174" i="1"/>
  <c r="AY174" i="1"/>
  <c r="AE174" i="1"/>
  <c r="BS174" i="1"/>
  <c r="J85" i="1"/>
  <c r="BS85" i="1"/>
  <c r="AY85" i="1"/>
  <c r="AE85" i="1"/>
  <c r="J87" i="1"/>
  <c r="BS87" i="1"/>
  <c r="AY87" i="1"/>
  <c r="AE87" i="1"/>
  <c r="J89" i="1"/>
  <c r="AY89" i="1"/>
  <c r="BS89" i="1"/>
  <c r="AE89" i="1"/>
  <c r="J91" i="1"/>
  <c r="AY91" i="1"/>
  <c r="AE91" i="1"/>
  <c r="BS91" i="1"/>
  <c r="J171" i="1"/>
  <c r="AY171" i="1"/>
  <c r="AE171" i="1"/>
  <c r="BS171" i="1"/>
  <c r="J173" i="1"/>
  <c r="AY173" i="1"/>
  <c r="BS173" i="1"/>
  <c r="AE173" i="1"/>
  <c r="J62" i="1"/>
  <c r="AE62" i="1"/>
  <c r="BS62" i="1"/>
  <c r="AY62" i="1"/>
  <c r="J71" i="1"/>
  <c r="AE71" i="1"/>
  <c r="AY71" i="1"/>
  <c r="BS71" i="1"/>
  <c r="J33" i="1"/>
  <c r="AY33" i="1"/>
  <c r="BS33" i="1"/>
  <c r="AE33" i="1"/>
  <c r="J32" i="1"/>
  <c r="BS32" i="1"/>
  <c r="AE32" i="1"/>
  <c r="AY32" i="1"/>
  <c r="J34" i="1"/>
  <c r="AY34" i="1"/>
  <c r="BS34" i="1"/>
  <c r="AE34" i="1"/>
  <c r="J36" i="1"/>
  <c r="AY36" i="1"/>
  <c r="BS36" i="1"/>
  <c r="AE36" i="1"/>
  <c r="J35" i="1"/>
  <c r="BS35" i="1"/>
  <c r="AE35" i="1"/>
  <c r="AY35" i="1"/>
  <c r="J29" i="1"/>
  <c r="AY29" i="1"/>
  <c r="AE29" i="1"/>
  <c r="BS29" i="1"/>
  <c r="J25" i="1"/>
  <c r="AY25" i="1"/>
  <c r="BS25" i="1"/>
  <c r="AE25" i="1"/>
  <c r="J15" i="1"/>
  <c r="AY15" i="1"/>
  <c r="BS15" i="1"/>
  <c r="AE15" i="1"/>
  <c r="J13" i="1"/>
  <c r="AY13" i="1"/>
  <c r="BS13" i="1"/>
  <c r="AE13" i="1"/>
  <c r="J18" i="1"/>
  <c r="AY18" i="1"/>
  <c r="BS18" i="1"/>
  <c r="AE18" i="1"/>
  <c r="AY11" i="1"/>
  <c r="BS11" i="1"/>
  <c r="AE11" i="1"/>
  <c r="J14" i="1"/>
  <c r="AY14" i="1"/>
  <c r="BS14" i="1"/>
  <c r="AE14" i="1"/>
  <c r="J17" i="1"/>
  <c r="BS17" i="1"/>
  <c r="AE17" i="1"/>
  <c r="AY17" i="1"/>
  <c r="J23" i="1"/>
  <c r="AY23" i="1"/>
  <c r="BS23" i="1"/>
  <c r="AE23" i="1"/>
  <c r="M136" i="1"/>
  <c r="DG136" i="1" s="1"/>
  <c r="J135" i="1"/>
  <c r="M521" i="1"/>
  <c r="DG521" i="1" s="1"/>
  <c r="J510" i="1"/>
  <c r="J502" i="1"/>
  <c r="J147" i="1"/>
  <c r="M338" i="1"/>
  <c r="DG338" i="1" s="1"/>
  <c r="J337" i="1"/>
  <c r="J139" i="1"/>
  <c r="M12" i="1"/>
  <c r="DG12" i="1" s="1"/>
  <c r="J11" i="1"/>
  <c r="M256" i="1"/>
  <c r="J255" i="1"/>
  <c r="BY194" i="1"/>
  <c r="BV194" i="1"/>
  <c r="BY195" i="1"/>
  <c r="BV195" i="1"/>
  <c r="BY197" i="1"/>
  <c r="BV197" i="1"/>
  <c r="BV196" i="1"/>
  <c r="BY196" i="1"/>
  <c r="AA81" i="1"/>
  <c r="S344" i="1"/>
  <c r="W344" i="1"/>
  <c r="AA344" i="1"/>
  <c r="S81" i="1"/>
  <c r="W81" i="1"/>
  <c r="P258" i="1"/>
  <c r="P257" i="1"/>
  <c r="M259" i="1"/>
  <c r="M258" i="1"/>
  <c r="M257" i="1"/>
  <c r="N243" i="1"/>
  <c r="S246" i="1"/>
  <c r="W246" i="1"/>
  <c r="AA246" i="1"/>
  <c r="M519" i="1"/>
  <c r="DG519" i="1" s="1"/>
  <c r="M520" i="1"/>
  <c r="N601" i="1"/>
  <c r="R81" i="1"/>
  <c r="R246" i="1"/>
  <c r="V246" i="1"/>
  <c r="M515" i="1"/>
  <c r="DG515" i="1" s="1"/>
  <c r="M516" i="1"/>
  <c r="DG516" i="1" s="1"/>
  <c r="M524" i="1"/>
  <c r="DG524" i="1" s="1"/>
  <c r="M525" i="1"/>
  <c r="K525" i="1" s="1"/>
  <c r="M512" i="1"/>
  <c r="DG512" i="1" s="1"/>
  <c r="M518" i="1"/>
  <c r="DG518" i="1" s="1"/>
  <c r="M517" i="1"/>
  <c r="DG517" i="1" s="1"/>
  <c r="M548" i="1"/>
  <c r="DG548" i="1" s="1"/>
  <c r="CS180" i="1" l="1"/>
  <c r="DM180" i="1"/>
  <c r="DJ180" i="1"/>
  <c r="CN197" i="1"/>
  <c r="CS197" i="1" s="1"/>
  <c r="DH197" i="1"/>
  <c r="CN195" i="1"/>
  <c r="CS195" i="1" s="1"/>
  <c r="DH195" i="1"/>
  <c r="CN194" i="1"/>
  <c r="CP194" i="1" s="1"/>
  <c r="DH194" i="1"/>
  <c r="K183" i="1"/>
  <c r="CN196" i="1"/>
  <c r="CP196" i="1" s="1"/>
  <c r="DH196" i="1"/>
  <c r="CM136" i="1"/>
  <c r="K136" i="1"/>
  <c r="CM516" i="1"/>
  <c r="K516" i="1"/>
  <c r="CM548" i="1"/>
  <c r="K548" i="1"/>
  <c r="CM515" i="1"/>
  <c r="K515" i="1"/>
  <c r="CM256" i="1"/>
  <c r="K256" i="1"/>
  <c r="CM518" i="1"/>
  <c r="K518" i="1"/>
  <c r="CM521" i="1"/>
  <c r="K521" i="1"/>
  <c r="CM512" i="1"/>
  <c r="K512" i="1"/>
  <c r="CM257" i="1"/>
  <c r="K257" i="1"/>
  <c r="CM12" i="1"/>
  <c r="K12" i="1"/>
  <c r="CM547" i="1"/>
  <c r="K547" i="1"/>
  <c r="CM524" i="1"/>
  <c r="K524" i="1"/>
  <c r="CM259" i="1"/>
  <c r="K259" i="1"/>
  <c r="CM517" i="1"/>
  <c r="K517" i="1"/>
  <c r="CM258" i="1"/>
  <c r="K258" i="1"/>
  <c r="CM519" i="1"/>
  <c r="K519" i="1"/>
  <c r="CM338" i="1"/>
  <c r="K338" i="1"/>
  <c r="BE183" i="1"/>
  <c r="BT183" i="1" s="1"/>
  <c r="BB183" i="1"/>
  <c r="BS183" i="1"/>
  <c r="AY183" i="1"/>
  <c r="N183" i="1"/>
  <c r="AE183" i="1"/>
  <c r="J183" i="1"/>
  <c r="CM183" i="1"/>
  <c r="AA642" i="1"/>
  <c r="Z643" i="1" s="1"/>
  <c r="S642" i="1"/>
  <c r="W642" i="1"/>
  <c r="BE99" i="1"/>
  <c r="BT99" i="1" s="1"/>
  <c r="BB99" i="1"/>
  <c r="BE101" i="1"/>
  <c r="BT101" i="1" s="1"/>
  <c r="BB101" i="1"/>
  <c r="BS540" i="1"/>
  <c r="AE540" i="1"/>
  <c r="AY540" i="1"/>
  <c r="BS536" i="1"/>
  <c r="AY536" i="1"/>
  <c r="BS538" i="1"/>
  <c r="AY538" i="1"/>
  <c r="BS539" i="1"/>
  <c r="AY539" i="1"/>
  <c r="N540" i="1"/>
  <c r="J540" i="1"/>
  <c r="N536" i="1"/>
  <c r="J536" i="1"/>
  <c r="AE536" i="1"/>
  <c r="AY535" i="1"/>
  <c r="N535" i="1"/>
  <c r="AE535" i="1"/>
  <c r="BS535" i="1"/>
  <c r="J535" i="1"/>
  <c r="N537" i="1"/>
  <c r="AE537" i="1"/>
  <c r="J537" i="1"/>
  <c r="N539" i="1"/>
  <c r="J539" i="1"/>
  <c r="AE539" i="1"/>
  <c r="N542" i="1"/>
  <c r="N538" i="1"/>
  <c r="J538" i="1"/>
  <c r="AE538" i="1"/>
  <c r="AE547" i="1"/>
  <c r="BS547" i="1"/>
  <c r="N547" i="1"/>
  <c r="AY547" i="1"/>
  <c r="J547" i="1"/>
  <c r="J504" i="1"/>
  <c r="AY504" i="1"/>
  <c r="BS504" i="1"/>
  <c r="AE504" i="1"/>
  <c r="N504" i="1"/>
  <c r="AE505" i="1"/>
  <c r="BS505" i="1"/>
  <c r="AY505" i="1"/>
  <c r="N505" i="1"/>
  <c r="J505" i="1"/>
  <c r="J549" i="1"/>
  <c r="AY549" i="1"/>
  <c r="AE549" i="1"/>
  <c r="BS549" i="1"/>
  <c r="J160" i="1"/>
  <c r="BS160" i="1"/>
  <c r="AY160" i="1"/>
  <c r="AE160" i="1"/>
  <c r="J258" i="1"/>
  <c r="BS258" i="1"/>
  <c r="AY258" i="1"/>
  <c r="AE258" i="1"/>
  <c r="J256" i="1"/>
  <c r="BS256" i="1"/>
  <c r="AY256" i="1"/>
  <c r="AE256" i="1"/>
  <c r="J143" i="1"/>
  <c r="BS143" i="1"/>
  <c r="AY143" i="1"/>
  <c r="AE143" i="1"/>
  <c r="J523" i="1"/>
  <c r="BS523" i="1"/>
  <c r="AY523" i="1"/>
  <c r="AE523" i="1"/>
  <c r="J548" i="1"/>
  <c r="BS548" i="1"/>
  <c r="AY548" i="1"/>
  <c r="AE548" i="1"/>
  <c r="J512" i="1"/>
  <c r="BS512" i="1"/>
  <c r="AY512" i="1"/>
  <c r="AE512" i="1"/>
  <c r="J525" i="1"/>
  <c r="AE525" i="1"/>
  <c r="AY525" i="1"/>
  <c r="J516" i="1"/>
  <c r="BS516" i="1"/>
  <c r="AY516" i="1"/>
  <c r="AE516" i="1"/>
  <c r="J519" i="1"/>
  <c r="BS519" i="1"/>
  <c r="AY519" i="1"/>
  <c r="AE519" i="1"/>
  <c r="J257" i="1"/>
  <c r="BS257" i="1"/>
  <c r="AY257" i="1"/>
  <c r="AE257" i="1"/>
  <c r="J259" i="1"/>
  <c r="BS259" i="1"/>
  <c r="AY259" i="1"/>
  <c r="AE259" i="1"/>
  <c r="BS488" i="1"/>
  <c r="AY488" i="1"/>
  <c r="AE488" i="1"/>
  <c r="AY555" i="1"/>
  <c r="AE555" i="1"/>
  <c r="BS555" i="1"/>
  <c r="J517" i="1"/>
  <c r="BS517" i="1"/>
  <c r="AY517" i="1"/>
  <c r="AE517" i="1"/>
  <c r="J518" i="1"/>
  <c r="BS518" i="1"/>
  <c r="AY518" i="1"/>
  <c r="AE518" i="1"/>
  <c r="J524" i="1"/>
  <c r="AY524" i="1"/>
  <c r="BS524" i="1"/>
  <c r="AE524" i="1"/>
  <c r="J515" i="1"/>
  <c r="BS515" i="1"/>
  <c r="AY515" i="1"/>
  <c r="AE515" i="1"/>
  <c r="J338" i="1"/>
  <c r="BS338" i="1"/>
  <c r="AY338" i="1"/>
  <c r="AE338" i="1"/>
  <c r="J151" i="1"/>
  <c r="BS151" i="1"/>
  <c r="AY151" i="1"/>
  <c r="AE151" i="1"/>
  <c r="J521" i="1"/>
  <c r="BS521" i="1"/>
  <c r="AY521" i="1"/>
  <c r="AE521" i="1"/>
  <c r="J136" i="1"/>
  <c r="BS136" i="1"/>
  <c r="AY136" i="1"/>
  <c r="AE136" i="1"/>
  <c r="J12" i="1"/>
  <c r="BS12" i="1"/>
  <c r="AE12" i="1"/>
  <c r="AY12" i="1"/>
  <c r="N555" i="1"/>
  <c r="J555" i="1"/>
  <c r="N488" i="1"/>
  <c r="J488" i="1"/>
  <c r="CS196" i="1" l="1"/>
  <c r="CP197" i="1"/>
  <c r="CP195" i="1"/>
  <c r="CS194" i="1"/>
  <c r="DM194" i="1"/>
  <c r="DJ194" i="1"/>
  <c r="DM195" i="1"/>
  <c r="DJ195" i="1"/>
  <c r="DM196" i="1"/>
  <c r="DJ196" i="1"/>
  <c r="DM197" i="1"/>
  <c r="DJ197" i="1"/>
  <c r="BY183" i="1"/>
  <c r="BV183" i="1"/>
  <c r="BY99" i="1"/>
  <c r="BV99" i="1"/>
  <c r="BY101" i="1"/>
  <c r="BV101" i="1"/>
  <c r="AF29" i="1"/>
  <c r="CN99" i="1" l="1"/>
  <c r="CP99" i="1" s="1"/>
  <c r="DH99" i="1"/>
  <c r="CN101" i="1"/>
  <c r="CS101" i="1" s="1"/>
  <c r="DH101" i="1"/>
  <c r="CN183" i="1"/>
  <c r="CP183" i="1" s="1"/>
  <c r="DH183" i="1"/>
  <c r="AK29" i="1"/>
  <c r="AH29" i="1"/>
  <c r="N29" i="1"/>
  <c r="Q36" i="1"/>
  <c r="AF36" i="1" s="1"/>
  <c r="AH36" i="1" s="1"/>
  <c r="N36" i="1"/>
  <c r="CS99" i="1" l="1"/>
  <c r="CS183" i="1"/>
  <c r="CP101" i="1"/>
  <c r="DJ101" i="1"/>
  <c r="DM101" i="1"/>
  <c r="DM183" i="1"/>
  <c r="DJ183" i="1"/>
  <c r="DM99" i="1"/>
  <c r="DJ99" i="1"/>
  <c r="BE29" i="1"/>
  <c r="BT29" i="1" s="1"/>
  <c r="BB29" i="1"/>
  <c r="AK36" i="1"/>
  <c r="AZ36" i="1" s="1"/>
  <c r="BE36" i="1" l="1"/>
  <c r="BT36" i="1" s="1"/>
  <c r="BB36" i="1"/>
  <c r="BV29" i="1"/>
  <c r="BY29" i="1"/>
  <c r="N336" i="1"/>
  <c r="Q328" i="1"/>
  <c r="AF328" i="1" s="1"/>
  <c r="N328" i="1"/>
  <c r="Q331" i="1"/>
  <c r="AF331" i="1" s="1"/>
  <c r="N331" i="1"/>
  <c r="Q335" i="1"/>
  <c r="AF335" i="1" s="1"/>
  <c r="N335" i="1"/>
  <c r="CN29" i="1" l="1"/>
  <c r="CP29" i="1" s="1"/>
  <c r="DH29" i="1"/>
  <c r="BY36" i="1"/>
  <c r="BV36" i="1"/>
  <c r="AK335" i="1"/>
  <c r="AZ335" i="1" s="1"/>
  <c r="AH335" i="1"/>
  <c r="AK331" i="1"/>
  <c r="AZ331" i="1" s="1"/>
  <c r="AH331" i="1"/>
  <c r="AK328" i="1"/>
  <c r="AZ328" i="1" s="1"/>
  <c r="AH328" i="1"/>
  <c r="AH336" i="1"/>
  <c r="CS29" i="1" l="1"/>
  <c r="CN36" i="1"/>
  <c r="CS36" i="1" s="1"/>
  <c r="DH36" i="1"/>
  <c r="DM29" i="1"/>
  <c r="DJ29" i="1"/>
  <c r="BE328" i="1"/>
  <c r="BT328" i="1" s="1"/>
  <c r="BB328" i="1"/>
  <c r="BE331" i="1"/>
  <c r="BT331" i="1" s="1"/>
  <c r="BB331" i="1"/>
  <c r="BE335" i="1"/>
  <c r="BT335" i="1" s="1"/>
  <c r="BB335" i="1"/>
  <c r="BB336" i="1"/>
  <c r="N37" i="1"/>
  <c r="Q32" i="1"/>
  <c r="AF32" i="1" s="1"/>
  <c r="N32" i="1"/>
  <c r="CP36" i="1" l="1"/>
  <c r="DM36" i="1"/>
  <c r="DJ36" i="1"/>
  <c r="BY335" i="1"/>
  <c r="BV335" i="1"/>
  <c r="BY331" i="1"/>
  <c r="BV331" i="1"/>
  <c r="BY328" i="1"/>
  <c r="BV328" i="1"/>
  <c r="BV336" i="1"/>
  <c r="AK32" i="1"/>
  <c r="AZ32" i="1" s="1"/>
  <c r="AH32" i="1"/>
  <c r="Q33" i="1"/>
  <c r="AF33" i="1" s="1"/>
  <c r="N33" i="1"/>
  <c r="Q37" i="1"/>
  <c r="AF37" i="1" s="1"/>
  <c r="Q25" i="1"/>
  <c r="AF25" i="1" s="1"/>
  <c r="N25" i="1"/>
  <c r="Q30" i="1"/>
  <c r="AF30" i="1" s="1"/>
  <c r="N30" i="1"/>
  <c r="Q35" i="1"/>
  <c r="AF35" i="1" s="1"/>
  <c r="N35" i="1"/>
  <c r="CN328" i="1" l="1"/>
  <c r="CP328" i="1" s="1"/>
  <c r="DH328" i="1"/>
  <c r="CN335" i="1"/>
  <c r="CS335" i="1" s="1"/>
  <c r="DH335" i="1"/>
  <c r="CN331" i="1"/>
  <c r="CS331" i="1" s="1"/>
  <c r="DH331" i="1"/>
  <c r="AK30" i="1"/>
  <c r="AZ30" i="1" s="1"/>
  <c r="AH30" i="1"/>
  <c r="AK25" i="1"/>
  <c r="AZ25" i="1" s="1"/>
  <c r="AH25" i="1"/>
  <c r="AK35" i="1"/>
  <c r="AZ35" i="1" s="1"/>
  <c r="AH35" i="1"/>
  <c r="AK33" i="1"/>
  <c r="AZ33" i="1" s="1"/>
  <c r="AH33" i="1"/>
  <c r="CP336" i="1"/>
  <c r="BE32" i="1"/>
  <c r="BT32" i="1" s="1"/>
  <c r="BB32" i="1"/>
  <c r="AK37" i="1"/>
  <c r="AZ37" i="1" s="1"/>
  <c r="AH37" i="1"/>
  <c r="Q34" i="1"/>
  <c r="AF34" i="1" s="1"/>
  <c r="N34" i="1"/>
  <c r="CS328" i="1" l="1"/>
  <c r="CP335" i="1"/>
  <c r="CP331" i="1"/>
  <c r="DM331" i="1"/>
  <c r="DJ331" i="1"/>
  <c r="DM335" i="1"/>
  <c r="DJ335" i="1"/>
  <c r="DM328" i="1"/>
  <c r="DJ328" i="1"/>
  <c r="BE33" i="1"/>
  <c r="BT33" i="1" s="1"/>
  <c r="BB33" i="1"/>
  <c r="BE35" i="1"/>
  <c r="BT35" i="1" s="1"/>
  <c r="BB35" i="1"/>
  <c r="BE25" i="1"/>
  <c r="BT25" i="1" s="1"/>
  <c r="BB25" i="1"/>
  <c r="BE30" i="1"/>
  <c r="BT30" i="1" s="1"/>
  <c r="BB30" i="1"/>
  <c r="AK34" i="1"/>
  <c r="AZ34" i="1" s="1"/>
  <c r="AH34" i="1"/>
  <c r="BY32" i="1"/>
  <c r="BV32" i="1"/>
  <c r="BE37" i="1"/>
  <c r="BT37" i="1" s="1"/>
  <c r="BB37" i="1"/>
  <c r="CN32" i="1" l="1"/>
  <c r="CP32" i="1" s="1"/>
  <c r="DH32" i="1"/>
  <c r="BY30" i="1"/>
  <c r="BV30" i="1"/>
  <c r="BY25" i="1"/>
  <c r="BV25" i="1"/>
  <c r="BY35" i="1"/>
  <c r="BV35" i="1"/>
  <c r="BY33" i="1"/>
  <c r="BV33" i="1"/>
  <c r="BB34" i="1"/>
  <c r="BE34" i="1"/>
  <c r="BT34" i="1" s="1"/>
  <c r="BY37" i="1"/>
  <c r="BV37" i="1"/>
  <c r="Q155" i="1"/>
  <c r="AF155" i="1" s="1"/>
  <c r="N155" i="1"/>
  <c r="Q160" i="1"/>
  <c r="AF160" i="1" s="1"/>
  <c r="AH160" i="1" s="1"/>
  <c r="CS32" i="1" l="1"/>
  <c r="CN35" i="1"/>
  <c r="CS35" i="1" s="1"/>
  <c r="DH35" i="1"/>
  <c r="CN30" i="1"/>
  <c r="CP30" i="1" s="1"/>
  <c r="DH30" i="1"/>
  <c r="CN37" i="1"/>
  <c r="CS37" i="1" s="1"/>
  <c r="DH37" i="1"/>
  <c r="CN25" i="1"/>
  <c r="CS25" i="1" s="1"/>
  <c r="DH25" i="1"/>
  <c r="DM32" i="1"/>
  <c r="DJ32" i="1"/>
  <c r="CN33" i="1"/>
  <c r="CS33" i="1" s="1"/>
  <c r="DH33" i="1"/>
  <c r="AK155" i="1"/>
  <c r="AZ155" i="1" s="1"/>
  <c r="AH155" i="1"/>
  <c r="AK160" i="1"/>
  <c r="AZ160" i="1" s="1"/>
  <c r="BB160" i="1" s="1"/>
  <c r="BV34" i="1"/>
  <c r="BY34" i="1"/>
  <c r="CP35" i="1" l="1"/>
  <c r="CP33" i="1"/>
  <c r="CS30" i="1"/>
  <c r="DJ37" i="1"/>
  <c r="DM37" i="1"/>
  <c r="DM25" i="1"/>
  <c r="DJ25" i="1"/>
  <c r="CP25" i="1"/>
  <c r="DM33" i="1"/>
  <c r="DJ33" i="1"/>
  <c r="DM30" i="1"/>
  <c r="DJ30" i="1"/>
  <c r="CP37" i="1"/>
  <c r="DJ35" i="1"/>
  <c r="DM35" i="1"/>
  <c r="CN34" i="1"/>
  <c r="CP34" i="1" s="1"/>
  <c r="DH34" i="1"/>
  <c r="BE160" i="1"/>
  <c r="BT160" i="1" s="1"/>
  <c r="BV160" i="1" s="1"/>
  <c r="BE155" i="1"/>
  <c r="BT155" i="1" s="1"/>
  <c r="BB155" i="1"/>
  <c r="Q162" i="1"/>
  <c r="AF162" i="1" s="1"/>
  <c r="Q319" i="1"/>
  <c r="AF319" i="1" s="1"/>
  <c r="N319" i="1"/>
  <c r="Q156" i="1"/>
  <c r="AF156" i="1" s="1"/>
  <c r="N156" i="1"/>
  <c r="CS34" i="1" l="1"/>
  <c r="DM34" i="1"/>
  <c r="DJ34" i="1"/>
  <c r="AK156" i="1"/>
  <c r="AH156" i="1"/>
  <c r="AK319" i="1"/>
  <c r="AZ319" i="1" s="1"/>
  <c r="AH319" i="1"/>
  <c r="AK162" i="1"/>
  <c r="AZ162" i="1" s="1"/>
  <c r="AH162" i="1"/>
  <c r="BY155" i="1"/>
  <c r="BV155" i="1"/>
  <c r="BY160" i="1"/>
  <c r="Q157" i="1"/>
  <c r="AF157" i="1" s="1"/>
  <c r="N157" i="1"/>
  <c r="Q404" i="1"/>
  <c r="AF404" i="1" s="1"/>
  <c r="N404" i="1"/>
  <c r="Q158" i="1"/>
  <c r="AF158" i="1" s="1"/>
  <c r="N158" i="1"/>
  <c r="Q320" i="1"/>
  <c r="AF320" i="1" s="1"/>
  <c r="N320" i="1"/>
  <c r="CN160" i="1" l="1"/>
  <c r="CP160" i="1" s="1"/>
  <c r="DH160" i="1"/>
  <c r="CN155" i="1"/>
  <c r="CS155" i="1" s="1"/>
  <c r="DH155" i="1"/>
  <c r="AK320" i="1"/>
  <c r="AZ320" i="1" s="1"/>
  <c r="AH320" i="1"/>
  <c r="AK158" i="1"/>
  <c r="AZ158" i="1" s="1"/>
  <c r="AH158" i="1"/>
  <c r="AK404" i="1"/>
  <c r="AZ404" i="1" s="1"/>
  <c r="AH404" i="1"/>
  <c r="AK157" i="1"/>
  <c r="AZ157" i="1" s="1"/>
  <c r="AH157" i="1"/>
  <c r="BE162" i="1"/>
  <c r="BT162" i="1" s="1"/>
  <c r="BB162" i="1"/>
  <c r="BE319" i="1"/>
  <c r="BT319" i="1" s="1"/>
  <c r="BB319" i="1"/>
  <c r="BB156" i="1"/>
  <c r="BE156" i="1"/>
  <c r="BT156" i="1" s="1"/>
  <c r="Q414" i="1"/>
  <c r="AF414" i="1" s="1"/>
  <c r="AH414" i="1" s="1"/>
  <c r="N414" i="1"/>
  <c r="Q417" i="1"/>
  <c r="AF417" i="1" s="1"/>
  <c r="N417" i="1"/>
  <c r="Q419" i="1"/>
  <c r="AF419" i="1" s="1"/>
  <c r="N419" i="1"/>
  <c r="CS160" i="1" l="1"/>
  <c r="CP155" i="1"/>
  <c r="DM155" i="1"/>
  <c r="DJ155" i="1"/>
  <c r="DM160" i="1"/>
  <c r="DJ160" i="1"/>
  <c r="AK417" i="1"/>
  <c r="AZ417" i="1" s="1"/>
  <c r="AH417" i="1"/>
  <c r="AK414" i="1"/>
  <c r="AZ414" i="1" s="1"/>
  <c r="BV319" i="1"/>
  <c r="BY319" i="1"/>
  <c r="BY162" i="1"/>
  <c r="BV162" i="1"/>
  <c r="BE157" i="1"/>
  <c r="BT157" i="1" s="1"/>
  <c r="BB157" i="1"/>
  <c r="BE404" i="1"/>
  <c r="BT404" i="1" s="1"/>
  <c r="BB404" i="1"/>
  <c r="BE158" i="1"/>
  <c r="BT158" i="1" s="1"/>
  <c r="BB158" i="1"/>
  <c r="BE320" i="1"/>
  <c r="BT320" i="1" s="1"/>
  <c r="BB320" i="1"/>
  <c r="AK419" i="1"/>
  <c r="AZ419" i="1" s="1"/>
  <c r="AH419" i="1"/>
  <c r="BV156" i="1"/>
  <c r="BY156" i="1"/>
  <c r="Q400" i="1"/>
  <c r="AF400" i="1" s="1"/>
  <c r="N400" i="1"/>
  <c r="Q408" i="1"/>
  <c r="AF408" i="1" s="1"/>
  <c r="N408" i="1"/>
  <c r="Q391" i="1"/>
  <c r="AF391" i="1" s="1"/>
  <c r="N391" i="1"/>
  <c r="Q403" i="1"/>
  <c r="AF403" i="1" s="1"/>
  <c r="N403" i="1"/>
  <c r="Q410" i="1"/>
  <c r="AF410" i="1" s="1"/>
  <c r="N410" i="1"/>
  <c r="Q401" i="1"/>
  <c r="AF401" i="1" s="1"/>
  <c r="N401" i="1"/>
  <c r="Q398" i="1"/>
  <c r="AF398" i="1" s="1"/>
  <c r="N398" i="1"/>
  <c r="Q407" i="1"/>
  <c r="AF407" i="1" s="1"/>
  <c r="N407" i="1"/>
  <c r="Q392" i="1"/>
  <c r="AF392" i="1" s="1"/>
  <c r="N392" i="1"/>
  <c r="Q418" i="1"/>
  <c r="AF418" i="1" s="1"/>
  <c r="N418" i="1"/>
  <c r="Q409" i="1"/>
  <c r="AF409" i="1" s="1"/>
  <c r="N409" i="1"/>
  <c r="Q397" i="1"/>
  <c r="AF397" i="1" s="1"/>
  <c r="N397" i="1"/>
  <c r="Q389" i="1"/>
  <c r="AF389" i="1" s="1"/>
  <c r="N389" i="1"/>
  <c r="Q411" i="1"/>
  <c r="AF411" i="1" s="1"/>
  <c r="N411" i="1"/>
  <c r="Q393" i="1"/>
  <c r="AF393" i="1" s="1"/>
  <c r="N393" i="1"/>
  <c r="Q412" i="1"/>
  <c r="AF412" i="1" s="1"/>
  <c r="N412" i="1"/>
  <c r="Q396" i="1"/>
  <c r="AF396" i="1" s="1"/>
  <c r="N396" i="1"/>
  <c r="Q399" i="1"/>
  <c r="AF399" i="1" s="1"/>
  <c r="N399" i="1"/>
  <c r="Q406" i="1"/>
  <c r="AF406" i="1" s="1"/>
  <c r="N406" i="1"/>
  <c r="BE414" i="1" l="1"/>
  <c r="BT414" i="1" s="1"/>
  <c r="BB414" i="1"/>
  <c r="CN156" i="1"/>
  <c r="CS156" i="1" s="1"/>
  <c r="DH156" i="1"/>
  <c r="CN162" i="1"/>
  <c r="CS162" i="1" s="1"/>
  <c r="DH162" i="1"/>
  <c r="CN319" i="1"/>
  <c r="CP319" i="1" s="1"/>
  <c r="DH319" i="1"/>
  <c r="AK406" i="1"/>
  <c r="AZ406" i="1" s="1"/>
  <c r="AH406" i="1"/>
  <c r="AK412" i="1"/>
  <c r="AZ412" i="1" s="1"/>
  <c r="AH412" i="1"/>
  <c r="AK411" i="1"/>
  <c r="AZ411" i="1" s="1"/>
  <c r="AH411" i="1"/>
  <c r="AH397" i="1"/>
  <c r="AK397" i="1"/>
  <c r="AZ397" i="1" s="1"/>
  <c r="AK418" i="1"/>
  <c r="AZ418" i="1" s="1"/>
  <c r="AH418" i="1"/>
  <c r="AK392" i="1"/>
  <c r="AZ392" i="1" s="1"/>
  <c r="AH392" i="1"/>
  <c r="AK407" i="1"/>
  <c r="AZ407" i="1" s="1"/>
  <c r="AH407" i="1"/>
  <c r="AK398" i="1"/>
  <c r="AZ398" i="1" s="1"/>
  <c r="AH398" i="1"/>
  <c r="AH401" i="1"/>
  <c r="AK401" i="1"/>
  <c r="AZ401" i="1" s="1"/>
  <c r="AH410" i="1"/>
  <c r="AK410" i="1"/>
  <c r="AZ410" i="1" s="1"/>
  <c r="AK403" i="1"/>
  <c r="AZ403" i="1" s="1"/>
  <c r="AH403" i="1"/>
  <c r="AK391" i="1"/>
  <c r="AZ391" i="1" s="1"/>
  <c r="AH391" i="1"/>
  <c r="AK408" i="1"/>
  <c r="AZ408" i="1" s="1"/>
  <c r="AH408" i="1"/>
  <c r="AK400" i="1"/>
  <c r="AZ400" i="1" s="1"/>
  <c r="AH400" i="1"/>
  <c r="BE419" i="1"/>
  <c r="BT419" i="1" s="1"/>
  <c r="BB419" i="1"/>
  <c r="BY320" i="1"/>
  <c r="BV320" i="1"/>
  <c r="BY158" i="1"/>
  <c r="BV158" i="1"/>
  <c r="BY404" i="1"/>
  <c r="BV404" i="1"/>
  <c r="BY157" i="1"/>
  <c r="BV157" i="1"/>
  <c r="BE417" i="1"/>
  <c r="BT417" i="1" s="1"/>
  <c r="BB417" i="1"/>
  <c r="AK399" i="1"/>
  <c r="AZ399" i="1" s="1"/>
  <c r="AH399" i="1"/>
  <c r="AK396" i="1"/>
  <c r="AZ396" i="1" s="1"/>
  <c r="AH396" i="1"/>
  <c r="AH393" i="1"/>
  <c r="AK393" i="1"/>
  <c r="AZ393" i="1" s="1"/>
  <c r="AH389" i="1"/>
  <c r="AK389" i="1"/>
  <c r="AZ389" i="1" s="1"/>
  <c r="AK409" i="1"/>
  <c r="AZ409" i="1" s="1"/>
  <c r="AH409" i="1"/>
  <c r="Q402" i="1"/>
  <c r="AF402" i="1" s="1"/>
  <c r="N402" i="1"/>
  <c r="Q390" i="1"/>
  <c r="AF390" i="1" s="1"/>
  <c r="N390" i="1"/>
  <c r="Q395" i="1"/>
  <c r="AF395" i="1" s="1"/>
  <c r="N395" i="1"/>
  <c r="Q415" i="1"/>
  <c r="AF415" i="1" s="1"/>
  <c r="N415" i="1"/>
  <c r="Q416" i="1"/>
  <c r="AF416" i="1" s="1"/>
  <c r="N416" i="1"/>
  <c r="Q394" i="1"/>
  <c r="AF394" i="1" s="1"/>
  <c r="N394" i="1"/>
  <c r="AF420" i="1"/>
  <c r="N420" i="1"/>
  <c r="CP162" i="1" l="1"/>
  <c r="CP156" i="1"/>
  <c r="CS319" i="1"/>
  <c r="BY414" i="1"/>
  <c r="CN414" i="1" s="1"/>
  <c r="BV414" i="1"/>
  <c r="DM319" i="1"/>
  <c r="DJ319" i="1"/>
  <c r="CN320" i="1"/>
  <c r="CS320" i="1" s="1"/>
  <c r="DH320" i="1"/>
  <c r="DM162" i="1"/>
  <c r="DJ162" i="1"/>
  <c r="CN157" i="1"/>
  <c r="CS157" i="1" s="1"/>
  <c r="DH157" i="1"/>
  <c r="DM156" i="1"/>
  <c r="DJ156" i="1"/>
  <c r="CN158" i="1"/>
  <c r="CS158" i="1" s="1"/>
  <c r="DH158" i="1"/>
  <c r="CN404" i="1"/>
  <c r="CS404" i="1" s="1"/>
  <c r="DH404" i="1"/>
  <c r="AK416" i="1"/>
  <c r="AZ416" i="1" s="1"/>
  <c r="AH416" i="1"/>
  <c r="AK395" i="1"/>
  <c r="AZ395" i="1" s="1"/>
  <c r="AH395" i="1"/>
  <c r="AK402" i="1"/>
  <c r="AZ402" i="1" s="1"/>
  <c r="AH402" i="1"/>
  <c r="BE409" i="1"/>
  <c r="BT409" i="1" s="1"/>
  <c r="BB409" i="1"/>
  <c r="BE399" i="1"/>
  <c r="BT399" i="1" s="1"/>
  <c r="BB399" i="1"/>
  <c r="BY419" i="1"/>
  <c r="BV419" i="1"/>
  <c r="BE400" i="1"/>
  <c r="BT400" i="1" s="1"/>
  <c r="BB400" i="1"/>
  <c r="BE408" i="1"/>
  <c r="BT408" i="1" s="1"/>
  <c r="BB408" i="1"/>
  <c r="BE391" i="1"/>
  <c r="BT391" i="1" s="1"/>
  <c r="BB391" i="1"/>
  <c r="BE403" i="1"/>
  <c r="BT403" i="1" s="1"/>
  <c r="BB403" i="1"/>
  <c r="BE398" i="1"/>
  <c r="BT398" i="1" s="1"/>
  <c r="BB398" i="1"/>
  <c r="BE407" i="1"/>
  <c r="BT407" i="1" s="1"/>
  <c r="BB407" i="1"/>
  <c r="BE392" i="1"/>
  <c r="BT392" i="1" s="1"/>
  <c r="BB392" i="1"/>
  <c r="BE418" i="1"/>
  <c r="BT418" i="1" s="1"/>
  <c r="BB418" i="1"/>
  <c r="BE411" i="1"/>
  <c r="BT411" i="1" s="1"/>
  <c r="BB411" i="1"/>
  <c r="BE412" i="1"/>
  <c r="BT412" i="1" s="1"/>
  <c r="BB412" i="1"/>
  <c r="BB406" i="1"/>
  <c r="BE406" i="1"/>
  <c r="BT406" i="1" s="1"/>
  <c r="AK420" i="1"/>
  <c r="AZ420" i="1" s="1"/>
  <c r="AH420" i="1"/>
  <c r="AK394" i="1"/>
  <c r="AZ394" i="1" s="1"/>
  <c r="AH394" i="1"/>
  <c r="AK415" i="1"/>
  <c r="AZ415" i="1" s="1"/>
  <c r="AH415" i="1"/>
  <c r="AK390" i="1"/>
  <c r="AZ390" i="1" s="1"/>
  <c r="AH390" i="1"/>
  <c r="BE396" i="1"/>
  <c r="BT396" i="1" s="1"/>
  <c r="BB396" i="1"/>
  <c r="BY417" i="1"/>
  <c r="BV417" i="1"/>
  <c r="BB389" i="1"/>
  <c r="BE389" i="1"/>
  <c r="BT389" i="1" s="1"/>
  <c r="BB393" i="1"/>
  <c r="BE393" i="1"/>
  <c r="BT393" i="1" s="1"/>
  <c r="BB410" i="1"/>
  <c r="BE410" i="1"/>
  <c r="BT410" i="1" s="1"/>
  <c r="BB401" i="1"/>
  <c r="BE401" i="1"/>
  <c r="BT401" i="1" s="1"/>
  <c r="BB397" i="1"/>
  <c r="BE397" i="1"/>
  <c r="BT397" i="1" s="1"/>
  <c r="CP157" i="1" l="1"/>
  <c r="CP320" i="1"/>
  <c r="CP158" i="1"/>
  <c r="CS414" i="1"/>
  <c r="CP414" i="1"/>
  <c r="DM404" i="1"/>
  <c r="DJ404" i="1"/>
  <c r="DM157" i="1"/>
  <c r="DJ157" i="1"/>
  <c r="CP404" i="1"/>
  <c r="DM158" i="1"/>
  <c r="DJ158" i="1"/>
  <c r="DM320" i="1"/>
  <c r="DJ320" i="1"/>
  <c r="CN417" i="1"/>
  <c r="CS417" i="1" s="1"/>
  <c r="DH417" i="1"/>
  <c r="CN419" i="1"/>
  <c r="CP419" i="1" s="1"/>
  <c r="DH419" i="1"/>
  <c r="DH414" i="1"/>
  <c r="BY396" i="1"/>
  <c r="BV396" i="1"/>
  <c r="BE415" i="1"/>
  <c r="BT415" i="1" s="1"/>
  <c r="BB415" i="1"/>
  <c r="BB420" i="1"/>
  <c r="BE420" i="1"/>
  <c r="BT420" i="1" s="1"/>
  <c r="BY411" i="1"/>
  <c r="BV411" i="1"/>
  <c r="BY418" i="1"/>
  <c r="BV418" i="1"/>
  <c r="BY392" i="1"/>
  <c r="BV392" i="1"/>
  <c r="BY407" i="1"/>
  <c r="BV407" i="1"/>
  <c r="BY398" i="1"/>
  <c r="BV398" i="1"/>
  <c r="BY403" i="1"/>
  <c r="BV403" i="1"/>
  <c r="BY391" i="1"/>
  <c r="BV391" i="1"/>
  <c r="BY408" i="1"/>
  <c r="BV408" i="1"/>
  <c r="BY400" i="1"/>
  <c r="BV400" i="1"/>
  <c r="BY399" i="1"/>
  <c r="BV399" i="1"/>
  <c r="BY409" i="1"/>
  <c r="BV409" i="1"/>
  <c r="BE402" i="1"/>
  <c r="BT402" i="1" s="1"/>
  <c r="BB402" i="1"/>
  <c r="BE395" i="1"/>
  <c r="BT395" i="1" s="1"/>
  <c r="BB395" i="1"/>
  <c r="BB416" i="1"/>
  <c r="BE416" i="1"/>
  <c r="BT416" i="1" s="1"/>
  <c r="BE390" i="1"/>
  <c r="BT390" i="1" s="1"/>
  <c r="BB390" i="1"/>
  <c r="BE394" i="1"/>
  <c r="BT394" i="1" s="1"/>
  <c r="BB394" i="1"/>
  <c r="BY412" i="1"/>
  <c r="BV412" i="1"/>
  <c r="BV397" i="1"/>
  <c r="BY397" i="1"/>
  <c r="BV401" i="1"/>
  <c r="BY401" i="1"/>
  <c r="BV410" i="1"/>
  <c r="BY410" i="1"/>
  <c r="BV393" i="1"/>
  <c r="BY393" i="1"/>
  <c r="BV389" i="1"/>
  <c r="BY389" i="1"/>
  <c r="BV406" i="1"/>
  <c r="BY406" i="1"/>
  <c r="Q179" i="1"/>
  <c r="AF179" i="1" s="1"/>
  <c r="N179" i="1"/>
  <c r="CP417" i="1" l="1"/>
  <c r="CS419" i="1"/>
  <c r="CN403" i="1"/>
  <c r="CP403" i="1" s="1"/>
  <c r="DH403" i="1"/>
  <c r="DM414" i="1"/>
  <c r="DJ414" i="1"/>
  <c r="CN396" i="1"/>
  <c r="CP396" i="1" s="1"/>
  <c r="DH396" i="1"/>
  <c r="CN409" i="1"/>
  <c r="CS409" i="1" s="1"/>
  <c r="DH409" i="1"/>
  <c r="CN400" i="1"/>
  <c r="CS400" i="1" s="1"/>
  <c r="DH400" i="1"/>
  <c r="CN398" i="1"/>
  <c r="CS398" i="1" s="1"/>
  <c r="DH398" i="1"/>
  <c r="CN411" i="1"/>
  <c r="CS411" i="1" s="1"/>
  <c r="DH411" i="1"/>
  <c r="CN418" i="1"/>
  <c r="CP418" i="1" s="1"/>
  <c r="DH418" i="1"/>
  <c r="CN393" i="1"/>
  <c r="CP393" i="1" s="1"/>
  <c r="DH393" i="1"/>
  <c r="DM419" i="1"/>
  <c r="DJ419" i="1"/>
  <c r="CN397" i="1"/>
  <c r="CS397" i="1" s="1"/>
  <c r="DH397" i="1"/>
  <c r="CN399" i="1"/>
  <c r="CP399" i="1" s="1"/>
  <c r="DH399" i="1"/>
  <c r="CN408" i="1"/>
  <c r="CS408" i="1" s="1"/>
  <c r="DH408" i="1"/>
  <c r="CN407" i="1"/>
  <c r="CS407" i="1" s="1"/>
  <c r="DH407" i="1"/>
  <c r="CN389" i="1"/>
  <c r="CP389" i="1" s="1"/>
  <c r="DH389" i="1"/>
  <c r="CN412" i="1"/>
  <c r="CS412" i="1" s="1"/>
  <c r="DH412" i="1"/>
  <c r="CN410" i="1"/>
  <c r="CP410" i="1" s="1"/>
  <c r="DH410" i="1"/>
  <c r="DM417" i="1"/>
  <c r="DJ417" i="1"/>
  <c r="CN391" i="1"/>
  <c r="CS391" i="1" s="1"/>
  <c r="DH391" i="1"/>
  <c r="CN392" i="1"/>
  <c r="CS392" i="1" s="1"/>
  <c r="DH392" i="1"/>
  <c r="CN406" i="1"/>
  <c r="CP406" i="1" s="1"/>
  <c r="DH406" i="1"/>
  <c r="CN401" i="1"/>
  <c r="CP401" i="1" s="1"/>
  <c r="DH401" i="1"/>
  <c r="AK179" i="1"/>
  <c r="AZ179" i="1" s="1"/>
  <c r="AH179" i="1"/>
  <c r="BY394" i="1"/>
  <c r="BV394" i="1"/>
  <c r="BY395" i="1"/>
  <c r="BV395" i="1"/>
  <c r="BY402" i="1"/>
  <c r="BV402" i="1"/>
  <c r="CP408" i="1"/>
  <c r="BY415" i="1"/>
  <c r="BV415" i="1"/>
  <c r="BY390" i="1"/>
  <c r="BV390" i="1"/>
  <c r="BV416" i="1"/>
  <c r="BY416" i="1"/>
  <c r="BV420" i="1"/>
  <c r="BY420" i="1"/>
  <c r="CS393" i="1" l="1"/>
  <c r="CS403" i="1"/>
  <c r="CP400" i="1"/>
  <c r="CS410" i="1"/>
  <c r="CS396" i="1"/>
  <c r="CS406" i="1"/>
  <c r="CP398" i="1"/>
  <c r="CS389" i="1"/>
  <c r="CP397" i="1"/>
  <c r="CS401" i="1"/>
  <c r="CP412" i="1"/>
  <c r="CP391" i="1"/>
  <c r="CS418" i="1"/>
  <c r="CP407" i="1"/>
  <c r="CS399" i="1"/>
  <c r="CP392" i="1"/>
  <c r="CP409" i="1"/>
  <c r="CP411" i="1"/>
  <c r="CN394" i="1"/>
  <c r="CS394" i="1" s="1"/>
  <c r="DH394" i="1"/>
  <c r="DM391" i="1"/>
  <c r="DJ391" i="1"/>
  <c r="DM389" i="1"/>
  <c r="DJ389" i="1"/>
  <c r="DM397" i="1"/>
  <c r="DJ397" i="1"/>
  <c r="DM411" i="1"/>
  <c r="DJ411" i="1"/>
  <c r="DM396" i="1"/>
  <c r="DJ396" i="1"/>
  <c r="DM418" i="1"/>
  <c r="DJ418" i="1"/>
  <c r="DJ392" i="1"/>
  <c r="DM392" i="1"/>
  <c r="DM401" i="1"/>
  <c r="DJ401" i="1"/>
  <c r="DM407" i="1"/>
  <c r="DJ407" i="1"/>
  <c r="DM398" i="1"/>
  <c r="DJ398" i="1"/>
  <c r="DM399" i="1"/>
  <c r="DJ399" i="1"/>
  <c r="CN415" i="1"/>
  <c r="CP415" i="1" s="1"/>
  <c r="DH415" i="1"/>
  <c r="CN402" i="1"/>
  <c r="CS402" i="1" s="1"/>
  <c r="DH402" i="1"/>
  <c r="CN416" i="1"/>
  <c r="CP416" i="1" s="1"/>
  <c r="DH416" i="1"/>
  <c r="DM409" i="1"/>
  <c r="DJ409" i="1"/>
  <c r="DM406" i="1"/>
  <c r="DJ406" i="1"/>
  <c r="DM410" i="1"/>
  <c r="DJ410" i="1"/>
  <c r="DM408" i="1"/>
  <c r="DJ408" i="1"/>
  <c r="DJ393" i="1"/>
  <c r="DM393" i="1"/>
  <c r="DM400" i="1"/>
  <c r="DJ400" i="1"/>
  <c r="DM403" i="1"/>
  <c r="DJ403" i="1"/>
  <c r="DM412" i="1"/>
  <c r="DJ412" i="1"/>
  <c r="CN420" i="1"/>
  <c r="CP420" i="1" s="1"/>
  <c r="DH420" i="1"/>
  <c r="CN390" i="1"/>
  <c r="CS390" i="1" s="1"/>
  <c r="DH390" i="1"/>
  <c r="CN395" i="1"/>
  <c r="CS395" i="1" s="1"/>
  <c r="DH395" i="1"/>
  <c r="BE179" i="1"/>
  <c r="BT179" i="1" s="1"/>
  <c r="BB179" i="1"/>
  <c r="CP394" i="1" l="1"/>
  <c r="CS415" i="1"/>
  <c r="CP395" i="1"/>
  <c r="CP402" i="1"/>
  <c r="CS416" i="1"/>
  <c r="CP390" i="1"/>
  <c r="DM420" i="1"/>
  <c r="DJ420" i="1"/>
  <c r="DM402" i="1"/>
  <c r="DJ402" i="1"/>
  <c r="DM415" i="1"/>
  <c r="DJ415" i="1"/>
  <c r="DM394" i="1"/>
  <c r="DJ394" i="1"/>
  <c r="DM416" i="1"/>
  <c r="DJ416" i="1"/>
  <c r="DM395" i="1"/>
  <c r="DJ395" i="1"/>
  <c r="CS420" i="1"/>
  <c r="DM390" i="1"/>
  <c r="DJ390" i="1"/>
  <c r="BY179" i="1"/>
  <c r="BV179" i="1"/>
  <c r="Q189" i="1"/>
  <c r="AF189" i="1" s="1"/>
  <c r="N189" i="1"/>
  <c r="CN179" i="1" l="1"/>
  <c r="CP179" i="1" s="1"/>
  <c r="DH179" i="1"/>
  <c r="AK189" i="1"/>
  <c r="AZ189" i="1" s="1"/>
  <c r="AH189" i="1"/>
  <c r="CS179" i="1" l="1"/>
  <c r="DM179" i="1"/>
  <c r="DJ179" i="1"/>
  <c r="BB189" i="1"/>
  <c r="BE189" i="1"/>
  <c r="BT189" i="1" s="1"/>
  <c r="N478" i="1"/>
  <c r="Q478" i="1"/>
  <c r="AF478" i="1" s="1"/>
  <c r="Q244" i="1"/>
  <c r="AF244" i="1" s="1"/>
  <c r="AK244" i="1" s="1"/>
  <c r="AZ244" i="1" s="1"/>
  <c r="BE244" i="1" s="1"/>
  <c r="BT244" i="1" s="1"/>
  <c r="BY244" i="1" s="1"/>
  <c r="Q436" i="1"/>
  <c r="AF436" i="1" s="1"/>
  <c r="CN244" i="1" l="1"/>
  <c r="CS244" i="1" s="1"/>
  <c r="DH244" i="1"/>
  <c r="DM244" i="1" s="1"/>
  <c r="AK436" i="1"/>
  <c r="AZ436" i="1" s="1"/>
  <c r="BE436" i="1" s="1"/>
  <c r="BT436" i="1" s="1"/>
  <c r="BY436" i="1" s="1"/>
  <c r="AH436" i="1"/>
  <c r="AK478" i="1"/>
  <c r="AZ478" i="1" s="1"/>
  <c r="AH478" i="1"/>
  <c r="BY189" i="1"/>
  <c r="BV189" i="1"/>
  <c r="CN436" i="1" l="1"/>
  <c r="CS436" i="1" s="1"/>
  <c r="DH436" i="1"/>
  <c r="DM436" i="1" s="1"/>
  <c r="CN189" i="1"/>
  <c r="CP189" i="1" s="1"/>
  <c r="DH189" i="1"/>
  <c r="BE478" i="1"/>
  <c r="BT478" i="1" s="1"/>
  <c r="BB478" i="1"/>
  <c r="AF237" i="1"/>
  <c r="CS189" i="1" l="1"/>
  <c r="DM189" i="1"/>
  <c r="DJ189" i="1"/>
  <c r="AK237" i="1"/>
  <c r="AZ237" i="1" s="1"/>
  <c r="AH237" i="1"/>
  <c r="BY478" i="1"/>
  <c r="BV478" i="1"/>
  <c r="CN478" i="1" l="1"/>
  <c r="CP478" i="1" s="1"/>
  <c r="DH478" i="1"/>
  <c r="BE237" i="1"/>
  <c r="BT237" i="1" s="1"/>
  <c r="BB237" i="1"/>
  <c r="Q214" i="1"/>
  <c r="AF214" i="1" s="1"/>
  <c r="N214" i="1"/>
  <c r="Q240" i="1"/>
  <c r="AF240" i="1" s="1"/>
  <c r="N240" i="1"/>
  <c r="Q241" i="1"/>
  <c r="AF241" i="1" s="1"/>
  <c r="N241" i="1"/>
  <c r="Q151" i="1"/>
  <c r="AF151" i="1" s="1"/>
  <c r="AH151" i="1" s="1"/>
  <c r="Q153" i="1"/>
  <c r="AF153" i="1" s="1"/>
  <c r="AK153" i="1" s="1"/>
  <c r="AZ153" i="1" s="1"/>
  <c r="BE153" i="1" s="1"/>
  <c r="BT153" i="1" s="1"/>
  <c r="BY153" i="1" s="1"/>
  <c r="Q145" i="1"/>
  <c r="AF145" i="1" s="1"/>
  <c r="AK145" i="1" s="1"/>
  <c r="AZ145" i="1" s="1"/>
  <c r="BE145" i="1" s="1"/>
  <c r="BT145" i="1" s="1"/>
  <c r="BY145" i="1" s="1"/>
  <c r="CS478" i="1" l="1"/>
  <c r="CN145" i="1"/>
  <c r="CS145" i="1" s="1"/>
  <c r="DH145" i="1"/>
  <c r="DM145" i="1" s="1"/>
  <c r="CN153" i="1"/>
  <c r="CS153" i="1" s="1"/>
  <c r="DH153" i="1"/>
  <c r="DM153" i="1" s="1"/>
  <c r="DM478" i="1"/>
  <c r="DJ478" i="1"/>
  <c r="AK151" i="1"/>
  <c r="AZ151" i="1" s="1"/>
  <c r="BB151" i="1" s="1"/>
  <c r="AH240" i="1"/>
  <c r="AK240" i="1"/>
  <c r="AZ240" i="1" s="1"/>
  <c r="AK214" i="1"/>
  <c r="AZ214" i="1" s="1"/>
  <c r="AH214" i="1"/>
  <c r="BY237" i="1"/>
  <c r="BV237" i="1"/>
  <c r="AK241" i="1"/>
  <c r="AZ241" i="1" s="1"/>
  <c r="AH241" i="1"/>
  <c r="CN237" i="1" l="1"/>
  <c r="CS237" i="1" s="1"/>
  <c r="DH237" i="1"/>
  <c r="BE214" i="1"/>
  <c r="BT214" i="1" s="1"/>
  <c r="BB214" i="1"/>
  <c r="BE151" i="1"/>
  <c r="BT151" i="1" s="1"/>
  <c r="BV151" i="1" s="1"/>
  <c r="BB240" i="1"/>
  <c r="BE240" i="1"/>
  <c r="BT240" i="1" s="1"/>
  <c r="BB241" i="1"/>
  <c r="BE241" i="1"/>
  <c r="BT241" i="1" s="1"/>
  <c r="Q147" i="1"/>
  <c r="AF147" i="1" s="1"/>
  <c r="N147" i="1"/>
  <c r="Q17" i="1"/>
  <c r="AF17" i="1" s="1"/>
  <c r="N17" i="1"/>
  <c r="CP237" i="1" l="1"/>
  <c r="DM237" i="1"/>
  <c r="DJ237" i="1"/>
  <c r="AK17" i="1"/>
  <c r="AZ17" i="1" s="1"/>
  <c r="AH17" i="1"/>
  <c r="AK147" i="1"/>
  <c r="AZ147" i="1" s="1"/>
  <c r="AH147" i="1"/>
  <c r="BY151" i="1"/>
  <c r="BY214" i="1"/>
  <c r="BV214" i="1"/>
  <c r="BY240" i="1"/>
  <c r="BV241" i="1"/>
  <c r="BY241" i="1"/>
  <c r="Q140" i="1"/>
  <c r="AF140" i="1" s="1"/>
  <c r="N140" i="1"/>
  <c r="Q149" i="1"/>
  <c r="AF149" i="1" s="1"/>
  <c r="N149" i="1"/>
  <c r="CN214" i="1" l="1"/>
  <c r="CS214" i="1" s="1"/>
  <c r="DH214" i="1"/>
  <c r="CN151" i="1"/>
  <c r="CP151" i="1" s="1"/>
  <c r="DH151" i="1"/>
  <c r="CN241" i="1"/>
  <c r="CP241" i="1" s="1"/>
  <c r="DH241" i="1"/>
  <c r="CN240" i="1"/>
  <c r="CP240" i="1" s="1"/>
  <c r="DH240" i="1"/>
  <c r="AK149" i="1"/>
  <c r="AZ149" i="1" s="1"/>
  <c r="AH149" i="1"/>
  <c r="AK140" i="1"/>
  <c r="AZ140" i="1" s="1"/>
  <c r="AH140" i="1"/>
  <c r="BE147" i="1"/>
  <c r="BT147" i="1" s="1"/>
  <c r="BB147" i="1"/>
  <c r="BE17" i="1"/>
  <c r="BT17" i="1" s="1"/>
  <c r="BB17" i="1"/>
  <c r="Q242" i="1"/>
  <c r="AF242" i="1" s="1"/>
  <c r="N242" i="1"/>
  <c r="Q437" i="1"/>
  <c r="AF437" i="1" s="1"/>
  <c r="N437" i="1"/>
  <c r="Q148" i="1"/>
  <c r="AF148" i="1" s="1"/>
  <c r="N148" i="1"/>
  <c r="Q139" i="1"/>
  <c r="AF139" i="1" s="1"/>
  <c r="N139" i="1"/>
  <c r="Q438" i="1"/>
  <c r="AF438" i="1" s="1"/>
  <c r="N438" i="1"/>
  <c r="AF143" i="1"/>
  <c r="AH143" i="1" s="1"/>
  <c r="Q434" i="1"/>
  <c r="AF434" i="1" s="1"/>
  <c r="N434" i="1"/>
  <c r="Q435" i="1"/>
  <c r="AF435" i="1" s="1"/>
  <c r="N435" i="1"/>
  <c r="Q141" i="1"/>
  <c r="AF141" i="1" s="1"/>
  <c r="N141" i="1"/>
  <c r="CP214" i="1" l="1"/>
  <c r="CS151" i="1"/>
  <c r="CS241" i="1"/>
  <c r="DM241" i="1"/>
  <c r="DJ241" i="1"/>
  <c r="CS240" i="1"/>
  <c r="DM151" i="1"/>
  <c r="DJ151" i="1"/>
  <c r="DM240" i="1"/>
  <c r="DJ240" i="1"/>
  <c r="DM214" i="1"/>
  <c r="DJ214" i="1"/>
  <c r="BY17" i="1"/>
  <c r="BV17" i="1"/>
  <c r="BY147" i="1"/>
  <c r="BV147" i="1"/>
  <c r="BE140" i="1"/>
  <c r="BT140" i="1" s="1"/>
  <c r="BB140" i="1"/>
  <c r="BE149" i="1"/>
  <c r="BT149" i="1" s="1"/>
  <c r="BB149" i="1"/>
  <c r="AK141" i="1"/>
  <c r="AH141" i="1"/>
  <c r="AK435" i="1"/>
  <c r="AZ435" i="1" s="1"/>
  <c r="AH435" i="1"/>
  <c r="AK434" i="1"/>
  <c r="AZ434" i="1" s="1"/>
  <c r="AH434" i="1"/>
  <c r="AK143" i="1"/>
  <c r="AZ143" i="1" s="1"/>
  <c r="BB143" i="1" s="1"/>
  <c r="AK438" i="1"/>
  <c r="AZ438" i="1" s="1"/>
  <c r="AH438" i="1"/>
  <c r="AH139" i="1"/>
  <c r="AK139" i="1"/>
  <c r="AZ139" i="1" s="1"/>
  <c r="AK148" i="1"/>
  <c r="AZ148" i="1" s="1"/>
  <c r="AH148" i="1"/>
  <c r="AK437" i="1"/>
  <c r="AZ437" i="1" s="1"/>
  <c r="AH437" i="1"/>
  <c r="AK242" i="1"/>
  <c r="AZ242" i="1" s="1"/>
  <c r="AH242" i="1"/>
  <c r="Q50" i="1"/>
  <c r="CN147" i="1" l="1"/>
  <c r="CS147" i="1" s="1"/>
  <c r="DH147" i="1"/>
  <c r="CN17" i="1"/>
  <c r="CS17" i="1" s="1"/>
  <c r="DH17" i="1"/>
  <c r="AF50" i="1"/>
  <c r="AK50" i="1" s="1"/>
  <c r="BE242" i="1"/>
  <c r="BT242" i="1" s="1"/>
  <c r="BB242" i="1"/>
  <c r="BE148" i="1"/>
  <c r="BT148" i="1" s="1"/>
  <c r="BB148" i="1"/>
  <c r="BE438" i="1"/>
  <c r="BT438" i="1" s="1"/>
  <c r="BB438" i="1"/>
  <c r="BE143" i="1"/>
  <c r="BT143" i="1" s="1"/>
  <c r="BV143" i="1" s="1"/>
  <c r="BE434" i="1"/>
  <c r="BT434" i="1" s="1"/>
  <c r="BB434" i="1"/>
  <c r="BE435" i="1"/>
  <c r="BT435" i="1" s="1"/>
  <c r="BB435" i="1"/>
  <c r="BE141" i="1"/>
  <c r="BT141" i="1" s="1"/>
  <c r="BB141" i="1"/>
  <c r="BY149" i="1"/>
  <c r="BV149" i="1"/>
  <c r="BY140" i="1"/>
  <c r="BV140" i="1"/>
  <c r="BE437" i="1"/>
  <c r="BT437" i="1" s="1"/>
  <c r="BB437" i="1"/>
  <c r="BB139" i="1"/>
  <c r="BE139" i="1"/>
  <c r="BT139" i="1" s="1"/>
  <c r="Q38" i="1"/>
  <c r="AF38" i="1" s="1"/>
  <c r="AK38" i="1" s="1"/>
  <c r="AZ38" i="1" s="1"/>
  <c r="BE38" i="1" s="1"/>
  <c r="BT38" i="1" s="1"/>
  <c r="BY38" i="1" s="1"/>
  <c r="CN38" i="1" s="1"/>
  <c r="CS38" i="1" s="1"/>
  <c r="DH38" i="1" s="1"/>
  <c r="DM38" i="1" s="1"/>
  <c r="CP147" i="1" l="1"/>
  <c r="CP17" i="1"/>
  <c r="DJ17" i="1"/>
  <c r="DM17" i="1"/>
  <c r="CN140" i="1"/>
  <c r="CS140" i="1" s="1"/>
  <c r="DH140" i="1"/>
  <c r="CN149" i="1"/>
  <c r="CS149" i="1" s="1"/>
  <c r="DH149" i="1"/>
  <c r="DM147" i="1"/>
  <c r="DJ147" i="1"/>
  <c r="AZ50" i="1"/>
  <c r="BE50" i="1" s="1"/>
  <c r="BY437" i="1"/>
  <c r="BV437" i="1"/>
  <c r="BY141" i="1"/>
  <c r="BV141" i="1"/>
  <c r="BY435" i="1"/>
  <c r="BV435" i="1"/>
  <c r="BY434" i="1"/>
  <c r="BV434" i="1"/>
  <c r="BY143" i="1"/>
  <c r="BY438" i="1"/>
  <c r="BV438" i="1"/>
  <c r="BY148" i="1"/>
  <c r="BV148" i="1"/>
  <c r="BY242" i="1"/>
  <c r="BV139" i="1"/>
  <c r="BY139" i="1"/>
  <c r="Q523" i="1"/>
  <c r="AF523" i="1" s="1"/>
  <c r="N523" i="1"/>
  <c r="CP149" i="1" l="1"/>
  <c r="CP140" i="1"/>
  <c r="CN438" i="1"/>
  <c r="CS438" i="1" s="1"/>
  <c r="DH438" i="1"/>
  <c r="DM140" i="1"/>
  <c r="DJ140" i="1"/>
  <c r="CN141" i="1"/>
  <c r="CS141" i="1" s="1"/>
  <c r="DH141" i="1"/>
  <c r="CN143" i="1"/>
  <c r="CP143" i="1" s="1"/>
  <c r="DH143" i="1"/>
  <c r="CN242" i="1"/>
  <c r="CP242" i="1" s="1"/>
  <c r="DH242" i="1"/>
  <c r="CN139" i="1"/>
  <c r="CS139" i="1" s="1"/>
  <c r="DH139" i="1"/>
  <c r="CN435" i="1"/>
  <c r="CP435" i="1" s="1"/>
  <c r="DH435" i="1"/>
  <c r="CN437" i="1"/>
  <c r="CS437" i="1" s="1"/>
  <c r="DH437" i="1"/>
  <c r="DM149" i="1"/>
  <c r="DJ149" i="1"/>
  <c r="CN434" i="1"/>
  <c r="CS434" i="1" s="1"/>
  <c r="DH434" i="1"/>
  <c r="CN148" i="1"/>
  <c r="CS148" i="1" s="1"/>
  <c r="DH148" i="1"/>
  <c r="BT50" i="1"/>
  <c r="BY50" i="1" s="1"/>
  <c r="CS50" i="1" s="1"/>
  <c r="AK523" i="1"/>
  <c r="AZ523" i="1" s="1"/>
  <c r="AH523" i="1"/>
  <c r="Q516" i="1"/>
  <c r="AF516" i="1" s="1"/>
  <c r="N516" i="1"/>
  <c r="Q519" i="1"/>
  <c r="AF519" i="1" s="1"/>
  <c r="N519" i="1"/>
  <c r="Q518" i="1"/>
  <c r="AF518" i="1" s="1"/>
  <c r="N518" i="1"/>
  <c r="Q517" i="1"/>
  <c r="AF517" i="1" s="1"/>
  <c r="N517" i="1"/>
  <c r="Q515" i="1"/>
  <c r="AF515" i="1" s="1"/>
  <c r="N515" i="1"/>
  <c r="Q190" i="1"/>
  <c r="AF190" i="1" s="1"/>
  <c r="N190" i="1"/>
  <c r="CP438" i="1" l="1"/>
  <c r="CS242" i="1"/>
  <c r="CS435" i="1"/>
  <c r="CP141" i="1"/>
  <c r="CS143" i="1"/>
  <c r="CP437" i="1"/>
  <c r="CP148" i="1"/>
  <c r="DM148" i="1"/>
  <c r="DJ148" i="1"/>
  <c r="DM435" i="1"/>
  <c r="DJ435" i="1"/>
  <c r="DJ141" i="1"/>
  <c r="DM141" i="1"/>
  <c r="DJ143" i="1"/>
  <c r="DM143" i="1"/>
  <c r="DM437" i="1"/>
  <c r="DJ437" i="1"/>
  <c r="DM434" i="1"/>
  <c r="DJ434" i="1"/>
  <c r="DM139" i="1"/>
  <c r="DJ139" i="1"/>
  <c r="CP139" i="1"/>
  <c r="CP434" i="1"/>
  <c r="DM242" i="1"/>
  <c r="DJ242" i="1"/>
  <c r="DM438" i="1"/>
  <c r="DJ438" i="1"/>
  <c r="AK515" i="1"/>
  <c r="AZ515" i="1" s="1"/>
  <c r="AH515" i="1"/>
  <c r="AK518" i="1"/>
  <c r="AZ518" i="1" s="1"/>
  <c r="AH518" i="1"/>
  <c r="AK516" i="1"/>
  <c r="AZ516" i="1" s="1"/>
  <c r="AH516" i="1"/>
  <c r="BE523" i="1"/>
  <c r="BT523" i="1" s="1"/>
  <c r="BB523" i="1"/>
  <c r="AK517" i="1"/>
  <c r="AZ517" i="1" s="1"/>
  <c r="AH517" i="1"/>
  <c r="AK519" i="1"/>
  <c r="AZ519" i="1" s="1"/>
  <c r="AH519" i="1"/>
  <c r="AK190" i="1"/>
  <c r="AZ190" i="1" s="1"/>
  <c r="AH190" i="1"/>
  <c r="BE519" i="1" l="1"/>
  <c r="BT519" i="1" s="1"/>
  <c r="BB519" i="1"/>
  <c r="BE517" i="1"/>
  <c r="BT517" i="1" s="1"/>
  <c r="BB517" i="1"/>
  <c r="BY523" i="1"/>
  <c r="BV523" i="1"/>
  <c r="BE516" i="1"/>
  <c r="BT516" i="1" s="1"/>
  <c r="BB516" i="1"/>
  <c r="BE518" i="1"/>
  <c r="BT518" i="1" s="1"/>
  <c r="BB518" i="1"/>
  <c r="BE515" i="1"/>
  <c r="BT515" i="1" s="1"/>
  <c r="BB515" i="1"/>
  <c r="BE190" i="1"/>
  <c r="BT190" i="1" s="1"/>
  <c r="BB190" i="1"/>
  <c r="Q247" i="1"/>
  <c r="AF247" i="1" s="1"/>
  <c r="N247" i="1"/>
  <c r="Q267" i="1"/>
  <c r="AF267" i="1" s="1"/>
  <c r="N267" i="1"/>
  <c r="N498" i="1"/>
  <c r="Q498" i="1"/>
  <c r="AF498" i="1" s="1"/>
  <c r="CN523" i="1" l="1"/>
  <c r="CP523" i="1" s="1"/>
  <c r="DH523" i="1"/>
  <c r="BY515" i="1"/>
  <c r="BV515" i="1"/>
  <c r="BY518" i="1"/>
  <c r="BV518" i="1"/>
  <c r="BY516" i="1"/>
  <c r="BV516" i="1"/>
  <c r="CS523" i="1"/>
  <c r="BY517" i="1"/>
  <c r="BV517" i="1"/>
  <c r="BY519" i="1"/>
  <c r="BV519" i="1"/>
  <c r="AK267" i="1"/>
  <c r="AZ267" i="1" s="1"/>
  <c r="AH267" i="1"/>
  <c r="AH498" i="1"/>
  <c r="AK498" i="1"/>
  <c r="AZ498" i="1" s="1"/>
  <c r="AK247" i="1"/>
  <c r="AZ247" i="1" s="1"/>
  <c r="AH247" i="1"/>
  <c r="BY190" i="1"/>
  <c r="BV190" i="1"/>
  <c r="K64" i="2"/>
  <c r="I64" i="2"/>
  <c r="H64" i="2"/>
  <c r="G64" i="2"/>
  <c r="E64" i="2"/>
  <c r="D64" i="2"/>
  <c r="C64" i="2"/>
  <c r="J63" i="2"/>
  <c r="F63" i="2"/>
  <c r="J62" i="2"/>
  <c r="F62" i="2"/>
  <c r="K61" i="2"/>
  <c r="I61" i="2"/>
  <c r="H61" i="2"/>
  <c r="G61" i="2"/>
  <c r="E61" i="2"/>
  <c r="D61" i="2"/>
  <c r="C61" i="2"/>
  <c r="J60" i="2"/>
  <c r="F60" i="2"/>
  <c r="J59" i="2"/>
  <c r="F59" i="2"/>
  <c r="K58" i="2"/>
  <c r="I58" i="2"/>
  <c r="H58" i="2"/>
  <c r="G58" i="2"/>
  <c r="E58" i="2"/>
  <c r="D58" i="2"/>
  <c r="C58" i="2"/>
  <c r="J57" i="2"/>
  <c r="F57" i="2"/>
  <c r="J56" i="2"/>
  <c r="F56" i="2"/>
  <c r="K55" i="2"/>
  <c r="I55" i="2"/>
  <c r="H55" i="2"/>
  <c r="G55" i="2"/>
  <c r="E55" i="2"/>
  <c r="D55" i="2"/>
  <c r="C55" i="2"/>
  <c r="J54" i="2"/>
  <c r="F54" i="2"/>
  <c r="J53" i="2"/>
  <c r="F53" i="2"/>
  <c r="K52" i="2"/>
  <c r="I52" i="2"/>
  <c r="H52" i="2"/>
  <c r="G52" i="2"/>
  <c r="E52" i="2"/>
  <c r="D52" i="2"/>
  <c r="C52" i="2"/>
  <c r="J51" i="2"/>
  <c r="F51" i="2"/>
  <c r="J50" i="2"/>
  <c r="F50" i="2"/>
  <c r="K49" i="2"/>
  <c r="I49" i="2"/>
  <c r="H49" i="2"/>
  <c r="G49" i="2"/>
  <c r="E49" i="2"/>
  <c r="D49" i="2"/>
  <c r="C49" i="2"/>
  <c r="J48" i="2"/>
  <c r="F48" i="2"/>
  <c r="J47" i="2"/>
  <c r="F47" i="2"/>
  <c r="K46" i="2"/>
  <c r="I46" i="2"/>
  <c r="H46" i="2"/>
  <c r="G46" i="2"/>
  <c r="E46" i="2"/>
  <c r="D46" i="2"/>
  <c r="C46" i="2"/>
  <c r="J45" i="2"/>
  <c r="F45" i="2"/>
  <c r="J44" i="2"/>
  <c r="F44" i="2"/>
  <c r="K43" i="2"/>
  <c r="I43" i="2"/>
  <c r="H43" i="2"/>
  <c r="G43" i="2"/>
  <c r="E43" i="2"/>
  <c r="D43" i="2"/>
  <c r="C43" i="2"/>
  <c r="J42" i="2"/>
  <c r="F42" i="2"/>
  <c r="J41" i="2"/>
  <c r="F41" i="2"/>
  <c r="K40" i="2"/>
  <c r="I40" i="2"/>
  <c r="H40" i="2"/>
  <c r="G40" i="2"/>
  <c r="E40" i="2"/>
  <c r="D40" i="2"/>
  <c r="C40" i="2"/>
  <c r="J39" i="2"/>
  <c r="F39" i="2"/>
  <c r="J38" i="2"/>
  <c r="F38" i="2"/>
  <c r="K37" i="2"/>
  <c r="I37" i="2"/>
  <c r="H37" i="2"/>
  <c r="G37" i="2"/>
  <c r="E37" i="2"/>
  <c r="D37" i="2"/>
  <c r="C37" i="2"/>
  <c r="J36" i="2"/>
  <c r="F36" i="2"/>
  <c r="J35" i="2"/>
  <c r="F35" i="2"/>
  <c r="K34" i="2"/>
  <c r="I34" i="2"/>
  <c r="H34" i="2"/>
  <c r="G34" i="2"/>
  <c r="E34" i="2"/>
  <c r="D34" i="2"/>
  <c r="C34" i="2"/>
  <c r="J33" i="2"/>
  <c r="F33" i="2"/>
  <c r="J32" i="2"/>
  <c r="F32" i="2"/>
  <c r="K31" i="2"/>
  <c r="I31" i="2"/>
  <c r="H31" i="2"/>
  <c r="G31" i="2"/>
  <c r="E31" i="2"/>
  <c r="D31" i="2"/>
  <c r="C31" i="2"/>
  <c r="J30" i="2"/>
  <c r="F30" i="2"/>
  <c r="J29" i="2"/>
  <c r="F29" i="2"/>
  <c r="K28" i="2"/>
  <c r="I28" i="2"/>
  <c r="H28" i="2"/>
  <c r="G28" i="2"/>
  <c r="E28" i="2"/>
  <c r="D28" i="2"/>
  <c r="C28" i="2"/>
  <c r="J27" i="2"/>
  <c r="F27" i="2"/>
  <c r="J26" i="2"/>
  <c r="F26" i="2"/>
  <c r="K25" i="2"/>
  <c r="I25" i="2"/>
  <c r="H25" i="2"/>
  <c r="G25" i="2"/>
  <c r="E25" i="2"/>
  <c r="D25" i="2"/>
  <c r="C25" i="2"/>
  <c r="J24" i="2"/>
  <c r="F24" i="2"/>
  <c r="J23" i="2"/>
  <c r="F23" i="2"/>
  <c r="K22" i="2"/>
  <c r="I22" i="2"/>
  <c r="H22" i="2"/>
  <c r="G22" i="2"/>
  <c r="E22" i="2"/>
  <c r="D22" i="2"/>
  <c r="C22" i="2"/>
  <c r="J21" i="2"/>
  <c r="F21" i="2"/>
  <c r="J20" i="2"/>
  <c r="F20" i="2"/>
  <c r="K19" i="2"/>
  <c r="I19" i="2"/>
  <c r="H19" i="2"/>
  <c r="G19" i="2"/>
  <c r="E19" i="2"/>
  <c r="D19" i="2"/>
  <c r="C19" i="2"/>
  <c r="J18" i="2"/>
  <c r="F18" i="2"/>
  <c r="J17" i="2"/>
  <c r="F17" i="2"/>
  <c r="K16" i="2"/>
  <c r="I16" i="2"/>
  <c r="H16" i="2"/>
  <c r="G16" i="2"/>
  <c r="E16" i="2"/>
  <c r="D16" i="2"/>
  <c r="C16" i="2"/>
  <c r="J15" i="2"/>
  <c r="F15" i="2"/>
  <c r="J14" i="2"/>
  <c r="F14" i="2"/>
  <c r="K13" i="2"/>
  <c r="I13" i="2"/>
  <c r="H13" i="2"/>
  <c r="G13" i="2"/>
  <c r="E13" i="2"/>
  <c r="D13" i="2"/>
  <c r="C13" i="2"/>
  <c r="J12" i="2"/>
  <c r="F12" i="2"/>
  <c r="J11" i="2"/>
  <c r="F11" i="2"/>
  <c r="CN516" i="1" l="1"/>
  <c r="CP516" i="1" s="1"/>
  <c r="DH516" i="1"/>
  <c r="CN190" i="1"/>
  <c r="CS190" i="1" s="1"/>
  <c r="DH190" i="1"/>
  <c r="CN519" i="1"/>
  <c r="CS519" i="1" s="1"/>
  <c r="DH519" i="1"/>
  <c r="CN518" i="1"/>
  <c r="CS518" i="1" s="1"/>
  <c r="DH518" i="1"/>
  <c r="CN517" i="1"/>
  <c r="CP517" i="1" s="1"/>
  <c r="DH517" i="1"/>
  <c r="CN515" i="1"/>
  <c r="CP515" i="1" s="1"/>
  <c r="DH515" i="1"/>
  <c r="DM523" i="1"/>
  <c r="DJ523" i="1"/>
  <c r="F52" i="2"/>
  <c r="F28" i="2"/>
  <c r="F31" i="2"/>
  <c r="J46" i="2"/>
  <c r="J31" i="2"/>
  <c r="BB267" i="1"/>
  <c r="BE267" i="1"/>
  <c r="BT267" i="1" s="1"/>
  <c r="BB498" i="1"/>
  <c r="BE498" i="1"/>
  <c r="BT498" i="1" s="1"/>
  <c r="BE247" i="1"/>
  <c r="BT247" i="1" s="1"/>
  <c r="BB247" i="1"/>
  <c r="F40" i="2"/>
  <c r="F46" i="2"/>
  <c r="F16" i="2"/>
  <c r="J16" i="2"/>
  <c r="J22" i="2"/>
  <c r="J28" i="2"/>
  <c r="J37" i="2"/>
  <c r="J55" i="2"/>
  <c r="J61" i="2"/>
  <c r="J25" i="2"/>
  <c r="J34" i="2"/>
  <c r="J40" i="2"/>
  <c r="J49" i="2"/>
  <c r="J58" i="2"/>
  <c r="J64" i="2"/>
  <c r="F64" i="2"/>
  <c r="F61" i="2"/>
  <c r="F58" i="2"/>
  <c r="F55" i="2"/>
  <c r="J52" i="2"/>
  <c r="F49" i="2"/>
  <c r="F43" i="2"/>
  <c r="J43" i="2"/>
  <c r="F37" i="2"/>
  <c r="F34" i="2"/>
  <c r="F25" i="2"/>
  <c r="F22" i="2"/>
  <c r="J19" i="2"/>
  <c r="F19" i="2"/>
  <c r="J13" i="2"/>
  <c r="F13" i="2"/>
  <c r="G10" i="2"/>
  <c r="C10" i="2"/>
  <c r="E10" i="2"/>
  <c r="K10" i="2"/>
  <c r="F9" i="2"/>
  <c r="D10" i="2"/>
  <c r="I10" i="2"/>
  <c r="J9" i="2"/>
  <c r="H10" i="2"/>
  <c r="F8" i="2"/>
  <c r="J8" i="2"/>
  <c r="CS516" i="1" l="1"/>
  <c r="CS517" i="1"/>
  <c r="CP519" i="1"/>
  <c r="CS515" i="1"/>
  <c r="CP190" i="1"/>
  <c r="CP518" i="1"/>
  <c r="DM519" i="1"/>
  <c r="DJ519" i="1"/>
  <c r="DM515" i="1"/>
  <c r="DJ515" i="1"/>
  <c r="DM190" i="1"/>
  <c r="DJ190" i="1"/>
  <c r="DM518" i="1"/>
  <c r="DJ518" i="1"/>
  <c r="DM517" i="1"/>
  <c r="DJ517" i="1"/>
  <c r="DM516" i="1"/>
  <c r="DJ516" i="1"/>
  <c r="BV498" i="1"/>
  <c r="BY498" i="1"/>
  <c r="CN498" i="1" s="1"/>
  <c r="BV267" i="1"/>
  <c r="BY267" i="1"/>
  <c r="BY247" i="1"/>
  <c r="BV247" i="1"/>
  <c r="J10" i="2"/>
  <c r="F10" i="2"/>
  <c r="CN267" i="1" l="1"/>
  <c r="CP267" i="1" s="1"/>
  <c r="DH267" i="1"/>
  <c r="CN247" i="1"/>
  <c r="CS247" i="1" s="1"/>
  <c r="DH247" i="1"/>
  <c r="CP498" i="1"/>
  <c r="CS498" i="1"/>
  <c r="DH498" i="1" s="1"/>
  <c r="CS267" i="1" l="1"/>
  <c r="DM498" i="1"/>
  <c r="DJ498" i="1"/>
  <c r="DM247" i="1"/>
  <c r="DJ247" i="1"/>
  <c r="CP247" i="1"/>
  <c r="DM267" i="1"/>
  <c r="DJ267" i="1"/>
  <c r="Q288" i="1"/>
  <c r="AF288" i="1" s="1"/>
  <c r="N288" i="1"/>
  <c r="AK288" i="1" l="1"/>
  <c r="AZ288" i="1" s="1"/>
  <c r="AH288" i="1"/>
  <c r="BE288" i="1" l="1"/>
  <c r="BT288" i="1" s="1"/>
  <c r="BB288" i="1"/>
  <c r="BY288" i="1" l="1"/>
  <c r="BV288" i="1"/>
  <c r="CN288" i="1" l="1"/>
  <c r="CS288" i="1" s="1"/>
  <c r="DH288" i="1"/>
  <c r="Q137" i="1"/>
  <c r="AF137" i="1" s="1"/>
  <c r="AK137" i="1" s="1"/>
  <c r="AZ137" i="1" s="1"/>
  <c r="BE137" i="1" s="1"/>
  <c r="BT137" i="1" s="1"/>
  <c r="BY137" i="1" s="1"/>
  <c r="Q21" i="2"/>
  <c r="P21" i="2"/>
  <c r="M21" i="2"/>
  <c r="L21" i="2"/>
  <c r="CP288" i="1" l="1"/>
  <c r="CN137" i="1"/>
  <c r="CS137" i="1" s="1"/>
  <c r="DH137" i="1"/>
  <c r="DM137" i="1" s="1"/>
  <c r="DM288" i="1"/>
  <c r="DJ288" i="1"/>
  <c r="N21" i="2"/>
  <c r="L20" i="2"/>
  <c r="L22" i="2" s="1"/>
  <c r="O20" i="2"/>
  <c r="P20" i="2"/>
  <c r="P22" i="2" s="1"/>
  <c r="Q20" i="2"/>
  <c r="Q22" i="2" s="1"/>
  <c r="O21" i="2"/>
  <c r="R21" i="2" s="1"/>
  <c r="M20" i="2"/>
  <c r="S21" i="2" l="1"/>
  <c r="R20" i="2"/>
  <c r="R22" i="2" s="1"/>
  <c r="O22" i="2"/>
  <c r="M22" i="2"/>
  <c r="N20" i="2"/>
  <c r="Q131" i="1" l="1"/>
  <c r="AF131" i="1" s="1"/>
  <c r="N131" i="1"/>
  <c r="S20" i="2"/>
  <c r="S22" i="2" s="1"/>
  <c r="N22" i="2"/>
  <c r="AK131" i="1" l="1"/>
  <c r="AZ131" i="1" s="1"/>
  <c r="AH131" i="1"/>
  <c r="Q178" i="1"/>
  <c r="AF178" i="1" s="1"/>
  <c r="N178" i="1"/>
  <c r="Q133" i="1"/>
  <c r="AF133" i="1" s="1"/>
  <c r="N133" i="1"/>
  <c r="Q132" i="1"/>
  <c r="AF132" i="1" s="1"/>
  <c r="N132" i="1"/>
  <c r="Q129" i="1"/>
  <c r="AF129" i="1" s="1"/>
  <c r="N129" i="1"/>
  <c r="Q130" i="1"/>
  <c r="AF130" i="1" s="1"/>
  <c r="N130" i="1"/>
  <c r="Q128" i="1"/>
  <c r="AF128" i="1" s="1"/>
  <c r="N128" i="1"/>
  <c r="Q135" i="1"/>
  <c r="AF135" i="1" s="1"/>
  <c r="N135" i="1"/>
  <c r="Q136" i="1"/>
  <c r="AF136" i="1" s="1"/>
  <c r="N136" i="1"/>
  <c r="AK136" i="1" l="1"/>
  <c r="AZ136" i="1" s="1"/>
  <c r="AH136" i="1"/>
  <c r="AK130" i="1"/>
  <c r="AZ130" i="1" s="1"/>
  <c r="AH130" i="1"/>
  <c r="AK129" i="1"/>
  <c r="AZ129" i="1" s="1"/>
  <c r="AH129" i="1"/>
  <c r="AK132" i="1"/>
  <c r="AZ132" i="1" s="1"/>
  <c r="AH132" i="1"/>
  <c r="AK133" i="1"/>
  <c r="AZ133" i="1" s="1"/>
  <c r="AH133" i="1"/>
  <c r="AK178" i="1"/>
  <c r="AZ178" i="1" s="1"/>
  <c r="AH178" i="1"/>
  <c r="BE131" i="1"/>
  <c r="BT131" i="1" s="1"/>
  <c r="BB131" i="1"/>
  <c r="AK135" i="1"/>
  <c r="AZ135" i="1" s="1"/>
  <c r="AH135" i="1"/>
  <c r="AK128" i="1"/>
  <c r="AZ128" i="1" s="1"/>
  <c r="AH128" i="1"/>
  <c r="Q58" i="1"/>
  <c r="AF58" i="1" s="1"/>
  <c r="N58" i="1"/>
  <c r="BE135" i="1" l="1"/>
  <c r="BT135" i="1" s="1"/>
  <c r="BB135" i="1"/>
  <c r="BY131" i="1"/>
  <c r="BV131" i="1"/>
  <c r="BE178" i="1"/>
  <c r="BT178" i="1" s="1"/>
  <c r="BB178" i="1"/>
  <c r="BB133" i="1"/>
  <c r="BE133" i="1"/>
  <c r="BT133" i="1" s="1"/>
  <c r="BE132" i="1"/>
  <c r="BT132" i="1" s="1"/>
  <c r="BB132" i="1"/>
  <c r="BB129" i="1"/>
  <c r="BE129" i="1"/>
  <c r="BT129" i="1" s="1"/>
  <c r="BE130" i="1"/>
  <c r="BT130" i="1" s="1"/>
  <c r="BB130" i="1"/>
  <c r="BE136" i="1"/>
  <c r="BT136" i="1" s="1"/>
  <c r="BB136" i="1"/>
  <c r="BE128" i="1"/>
  <c r="BT128" i="1" s="1"/>
  <c r="BB128" i="1"/>
  <c r="AK58" i="1"/>
  <c r="AZ58" i="1" s="1"/>
  <c r="AH58" i="1"/>
  <c r="Q193" i="1"/>
  <c r="AF193" i="1" s="1"/>
  <c r="N193" i="1"/>
  <c r="Q56" i="1"/>
  <c r="AF56" i="1" s="1"/>
  <c r="N56" i="1"/>
  <c r="Q59" i="1"/>
  <c r="AF59" i="1" s="1"/>
  <c r="N59" i="1"/>
  <c r="N61" i="1" s="1"/>
  <c r="CN131" i="1" l="1"/>
  <c r="CS131" i="1" s="1"/>
  <c r="DH131" i="1"/>
  <c r="AK193" i="1"/>
  <c r="AZ193" i="1" s="1"/>
  <c r="AH193" i="1"/>
  <c r="BY136" i="1"/>
  <c r="BV136" i="1"/>
  <c r="BY130" i="1"/>
  <c r="BV130" i="1"/>
  <c r="BY132" i="1"/>
  <c r="BV132" i="1"/>
  <c r="BY178" i="1"/>
  <c r="BV178" i="1"/>
  <c r="BY135" i="1"/>
  <c r="BV135" i="1"/>
  <c r="BY128" i="1"/>
  <c r="BV128" i="1"/>
  <c r="BV129" i="1"/>
  <c r="BY129" i="1"/>
  <c r="BV133" i="1"/>
  <c r="BY133" i="1"/>
  <c r="AK59" i="1"/>
  <c r="AZ59" i="1" s="1"/>
  <c r="AH59" i="1"/>
  <c r="AH61" i="1" s="1"/>
  <c r="BE58" i="1"/>
  <c r="BT58" i="1" s="1"/>
  <c r="BB58" i="1"/>
  <c r="AK56" i="1"/>
  <c r="AZ56" i="1" s="1"/>
  <c r="AH56" i="1"/>
  <c r="CP131" i="1" l="1"/>
  <c r="CN129" i="1"/>
  <c r="CP129" i="1" s="1"/>
  <c r="DH129" i="1"/>
  <c r="CN128" i="1"/>
  <c r="CP128" i="1" s="1"/>
  <c r="DH128" i="1"/>
  <c r="CN135" i="1"/>
  <c r="CS135" i="1" s="1"/>
  <c r="DH135" i="1"/>
  <c r="CN130" i="1"/>
  <c r="CS130" i="1" s="1"/>
  <c r="DH130" i="1"/>
  <c r="DM131" i="1"/>
  <c r="DJ131" i="1"/>
  <c r="CN136" i="1"/>
  <c r="CS136" i="1" s="1"/>
  <c r="DH136" i="1"/>
  <c r="CN178" i="1"/>
  <c r="CP178" i="1" s="1"/>
  <c r="DH178" i="1"/>
  <c r="CN132" i="1"/>
  <c r="CS132" i="1" s="1"/>
  <c r="DH132" i="1"/>
  <c r="CN133" i="1"/>
  <c r="CP133" i="1" s="1"/>
  <c r="DH133" i="1"/>
  <c r="BE193" i="1"/>
  <c r="BT193" i="1" s="1"/>
  <c r="BB193" i="1"/>
  <c r="BE59" i="1"/>
  <c r="BT59" i="1" s="1"/>
  <c r="BB59" i="1"/>
  <c r="BB61" i="1" s="1"/>
  <c r="BY58" i="1"/>
  <c r="BV58" i="1"/>
  <c r="BE56" i="1"/>
  <c r="BT56" i="1" s="1"/>
  <c r="BB56" i="1"/>
  <c r="Q257" i="1"/>
  <c r="AF257" i="1" s="1"/>
  <c r="N257" i="1"/>
  <c r="Q259" i="1"/>
  <c r="AF259" i="1" s="1"/>
  <c r="N259" i="1"/>
  <c r="Q258" i="1"/>
  <c r="AF258" i="1" s="1"/>
  <c r="N258" i="1"/>
  <c r="CS128" i="1" l="1"/>
  <c r="CS133" i="1"/>
  <c r="CS178" i="1"/>
  <c r="CP135" i="1"/>
  <c r="CS129" i="1"/>
  <c r="CP136" i="1"/>
  <c r="CP130" i="1"/>
  <c r="DJ132" i="1"/>
  <c r="DM132" i="1"/>
  <c r="DM178" i="1"/>
  <c r="DJ178" i="1"/>
  <c r="DM135" i="1"/>
  <c r="DJ135" i="1"/>
  <c r="DM136" i="1"/>
  <c r="DJ136" i="1"/>
  <c r="DJ128" i="1"/>
  <c r="DM128" i="1"/>
  <c r="DJ130" i="1"/>
  <c r="DM130" i="1"/>
  <c r="CP132" i="1"/>
  <c r="DM133" i="1"/>
  <c r="DJ133" i="1"/>
  <c r="DM129" i="1"/>
  <c r="DJ129" i="1"/>
  <c r="CN58" i="1"/>
  <c r="CP58" i="1" s="1"/>
  <c r="DH58" i="1"/>
  <c r="AK258" i="1"/>
  <c r="AZ258" i="1" s="1"/>
  <c r="AH258" i="1"/>
  <c r="AK257" i="1"/>
  <c r="AZ257" i="1" s="1"/>
  <c r="AH257" i="1"/>
  <c r="BY193" i="1"/>
  <c r="BV193" i="1"/>
  <c r="AK259" i="1"/>
  <c r="AZ259" i="1" s="1"/>
  <c r="AH259" i="1"/>
  <c r="BY59" i="1"/>
  <c r="BV59" i="1"/>
  <c r="BV61" i="1" s="1"/>
  <c r="BY56" i="1"/>
  <c r="BV56" i="1"/>
  <c r="Q268" i="1"/>
  <c r="AF268" i="1" s="1"/>
  <c r="N268" i="1"/>
  <c r="CS58" i="1" l="1"/>
  <c r="CN59" i="1"/>
  <c r="CS59" i="1" s="1"/>
  <c r="DH59" i="1"/>
  <c r="DM58" i="1"/>
  <c r="DJ58" i="1"/>
  <c r="CN193" i="1"/>
  <c r="CP193" i="1" s="1"/>
  <c r="DH193" i="1"/>
  <c r="CN56" i="1"/>
  <c r="CP56" i="1" s="1"/>
  <c r="DH56" i="1"/>
  <c r="AH268" i="1"/>
  <c r="AK268" i="1"/>
  <c r="AZ268" i="1" s="1"/>
  <c r="BE259" i="1"/>
  <c r="BT259" i="1" s="1"/>
  <c r="BB259" i="1"/>
  <c r="BE257" i="1"/>
  <c r="BT257" i="1" s="1"/>
  <c r="BB257" i="1"/>
  <c r="BB258" i="1"/>
  <c r="BE258" i="1"/>
  <c r="BT258" i="1" s="1"/>
  <c r="CP59" i="1" l="1"/>
  <c r="CP61" i="1" s="1"/>
  <c r="CS193" i="1"/>
  <c r="CS56" i="1"/>
  <c r="DJ56" i="1"/>
  <c r="DM56" i="1"/>
  <c r="DM59" i="1"/>
  <c r="DJ59" i="1"/>
  <c r="DJ61" i="1" s="1"/>
  <c r="DJ193" i="1"/>
  <c r="DM193" i="1"/>
  <c r="BY257" i="1"/>
  <c r="BV257" i="1"/>
  <c r="BY259" i="1"/>
  <c r="BV259" i="1"/>
  <c r="BV258" i="1"/>
  <c r="BY258" i="1"/>
  <c r="BB268" i="1"/>
  <c r="BE268" i="1"/>
  <c r="BT268" i="1" s="1"/>
  <c r="Q255" i="1"/>
  <c r="AF255" i="1" s="1"/>
  <c r="N255" i="1"/>
  <c r="Q62" i="1"/>
  <c r="AF62" i="1" s="1"/>
  <c r="N62" i="1"/>
  <c r="Q63" i="1"/>
  <c r="AF63" i="1" s="1"/>
  <c r="N63" i="1"/>
  <c r="CN257" i="1" l="1"/>
  <c r="CP257" i="1" s="1"/>
  <c r="DH257" i="1"/>
  <c r="CN258" i="1"/>
  <c r="CP258" i="1" s="1"/>
  <c r="DH258" i="1"/>
  <c r="CN259" i="1"/>
  <c r="CS259" i="1" s="1"/>
  <c r="DH259" i="1"/>
  <c r="AK255" i="1"/>
  <c r="AZ255" i="1" s="1"/>
  <c r="AH255" i="1"/>
  <c r="AK63" i="1"/>
  <c r="AZ63" i="1" s="1"/>
  <c r="AH63" i="1"/>
  <c r="BV268" i="1"/>
  <c r="BY268" i="1"/>
  <c r="AK62" i="1"/>
  <c r="AZ62" i="1" s="1"/>
  <c r="AH62" i="1"/>
  <c r="Q111" i="1"/>
  <c r="AF111" i="1" s="1"/>
  <c r="N111" i="1"/>
  <c r="Q269" i="1"/>
  <c r="AF269" i="1" s="1"/>
  <c r="N269" i="1"/>
  <c r="N256" i="1"/>
  <c r="Q256" i="1"/>
  <c r="AF256" i="1" s="1"/>
  <c r="N260" i="1"/>
  <c r="Q260" i="1"/>
  <c r="AF260" i="1" s="1"/>
  <c r="Q49" i="1"/>
  <c r="CS257" i="1" l="1"/>
  <c r="CS258" i="1"/>
  <c r="DM258" i="1"/>
  <c r="DJ258" i="1"/>
  <c r="CP259" i="1"/>
  <c r="DM257" i="1"/>
  <c r="DJ257" i="1"/>
  <c r="DM259" i="1"/>
  <c r="DJ259" i="1"/>
  <c r="CN268" i="1"/>
  <c r="CS268" i="1" s="1"/>
  <c r="DH268" i="1"/>
  <c r="AF49" i="1"/>
  <c r="AK49" i="1" s="1"/>
  <c r="AK269" i="1"/>
  <c r="AZ269" i="1" s="1"/>
  <c r="AH269" i="1"/>
  <c r="AK111" i="1"/>
  <c r="AZ111" i="1" s="1"/>
  <c r="AH111" i="1"/>
  <c r="BB63" i="1"/>
  <c r="BE63" i="1"/>
  <c r="BT63" i="1" s="1"/>
  <c r="BE255" i="1"/>
  <c r="BT255" i="1" s="1"/>
  <c r="BB255" i="1"/>
  <c r="AH260" i="1"/>
  <c r="AK260" i="1"/>
  <c r="AZ260" i="1" s="1"/>
  <c r="AK256" i="1"/>
  <c r="AZ256" i="1" s="1"/>
  <c r="AH256" i="1"/>
  <c r="BB62" i="1"/>
  <c r="BE62" i="1"/>
  <c r="BT62" i="1" s="1"/>
  <c r="Q109" i="1"/>
  <c r="AF109" i="1" s="1"/>
  <c r="N109" i="1"/>
  <c r="Q103" i="1"/>
  <c r="AF103" i="1" s="1"/>
  <c r="N103" i="1"/>
  <c r="Q107" i="1"/>
  <c r="AF107" i="1" s="1"/>
  <c r="N107" i="1"/>
  <c r="Q48" i="1"/>
  <c r="Q36" i="2"/>
  <c r="P36" i="2"/>
  <c r="O36" i="2"/>
  <c r="O35" i="2"/>
  <c r="Q48" i="2"/>
  <c r="P48" i="2"/>
  <c r="P47" i="2"/>
  <c r="L48" i="2"/>
  <c r="Q51" i="2"/>
  <c r="O50" i="2"/>
  <c r="L51" i="2"/>
  <c r="CP268" i="1" l="1"/>
  <c r="DM268" i="1"/>
  <c r="DJ268" i="1"/>
  <c r="AH49" i="1"/>
  <c r="AF48" i="1"/>
  <c r="AK107" i="1"/>
  <c r="AZ107" i="1" s="1"/>
  <c r="AH107" i="1"/>
  <c r="AK103" i="1"/>
  <c r="AZ103" i="1" s="1"/>
  <c r="AH103" i="1"/>
  <c r="AK109" i="1"/>
  <c r="AH109" i="1"/>
  <c r="BE256" i="1"/>
  <c r="BT256" i="1" s="1"/>
  <c r="BB256" i="1"/>
  <c r="BV255" i="1"/>
  <c r="BY255" i="1"/>
  <c r="CN255" i="1" s="1"/>
  <c r="BE111" i="1"/>
  <c r="BT111" i="1" s="1"/>
  <c r="BB111" i="1"/>
  <c r="BE269" i="1"/>
  <c r="BT269" i="1" s="1"/>
  <c r="BB269" i="1"/>
  <c r="BB260" i="1"/>
  <c r="BE260" i="1"/>
  <c r="BT260" i="1" s="1"/>
  <c r="BV63" i="1"/>
  <c r="BY63" i="1"/>
  <c r="BV62" i="1"/>
  <c r="BY62" i="1"/>
  <c r="Q112" i="1"/>
  <c r="AF112" i="1" s="1"/>
  <c r="N112" i="1"/>
  <c r="N108" i="1"/>
  <c r="Q108" i="1"/>
  <c r="AF108" i="1" s="1"/>
  <c r="Q176" i="1"/>
  <c r="AF176" i="1" s="1"/>
  <c r="N176" i="1"/>
  <c r="O17" i="2"/>
  <c r="L18" i="2"/>
  <c r="M18" i="2"/>
  <c r="O18" i="2"/>
  <c r="Q18" i="2"/>
  <c r="L42" i="2"/>
  <c r="M42" i="2"/>
  <c r="O42" i="2"/>
  <c r="P42" i="2"/>
  <c r="Q42" i="2"/>
  <c r="R36" i="2"/>
  <c r="P18" i="2"/>
  <c r="Q17" i="2"/>
  <c r="Q19" i="2" s="1"/>
  <c r="L41" i="2"/>
  <c r="O41" i="2"/>
  <c r="P41" i="2"/>
  <c r="P49" i="2"/>
  <c r="L50" i="2"/>
  <c r="L52" i="2" s="1"/>
  <c r="M50" i="2"/>
  <c r="P50" i="2"/>
  <c r="Q50" i="2"/>
  <c r="Q52" i="2" s="1"/>
  <c r="L47" i="2"/>
  <c r="L49" i="2" s="1"/>
  <c r="O47" i="2"/>
  <c r="Q47" i="2"/>
  <c r="Q49" i="2" s="1"/>
  <c r="L35" i="2"/>
  <c r="P35" i="2"/>
  <c r="P37" i="2" s="1"/>
  <c r="Q35" i="2"/>
  <c r="Q37" i="2" s="1"/>
  <c r="L17" i="2"/>
  <c r="L19" i="2" s="1"/>
  <c r="P17" i="2"/>
  <c r="M41" i="2"/>
  <c r="Q41" i="2"/>
  <c r="P51" i="2"/>
  <c r="M51" i="2"/>
  <c r="N51" i="2" s="1"/>
  <c r="O51" i="2"/>
  <c r="O52" i="2" s="1"/>
  <c r="M47" i="2"/>
  <c r="M48" i="2"/>
  <c r="N48" i="2" s="1"/>
  <c r="O48" i="2"/>
  <c r="R48" i="2" s="1"/>
  <c r="O37" i="2"/>
  <c r="M35" i="2"/>
  <c r="L36" i="2"/>
  <c r="M36" i="2"/>
  <c r="M17" i="2"/>
  <c r="CN63" i="1" l="1"/>
  <c r="CS63" i="1" s="1"/>
  <c r="DH63" i="1"/>
  <c r="CN62" i="1"/>
  <c r="CP62" i="1" s="1"/>
  <c r="DH62" i="1"/>
  <c r="AK48" i="1"/>
  <c r="AH48" i="1"/>
  <c r="BE49" i="1"/>
  <c r="BT49" i="1" s="1"/>
  <c r="BB49" i="1"/>
  <c r="AK176" i="1"/>
  <c r="AZ176" i="1" s="1"/>
  <c r="AH176" i="1"/>
  <c r="AK112" i="1"/>
  <c r="AZ112" i="1" s="1"/>
  <c r="AH112" i="1"/>
  <c r="BY269" i="1"/>
  <c r="BV269" i="1"/>
  <c r="BY111" i="1"/>
  <c r="BV111" i="1"/>
  <c r="BY256" i="1"/>
  <c r="BV256" i="1"/>
  <c r="BE109" i="1"/>
  <c r="BT109" i="1" s="1"/>
  <c r="BB109" i="1"/>
  <c r="BE103" i="1"/>
  <c r="BB103" i="1"/>
  <c r="BE107" i="1"/>
  <c r="BB107" i="1"/>
  <c r="AK108" i="1"/>
  <c r="AH108" i="1"/>
  <c r="BY260" i="1"/>
  <c r="BV260" i="1"/>
  <c r="CS255" i="1"/>
  <c r="DH255" i="1" s="1"/>
  <c r="CP255" i="1"/>
  <c r="N18" i="2"/>
  <c r="N42" i="2"/>
  <c r="P43" i="2"/>
  <c r="R18" i="2"/>
  <c r="O19" i="2"/>
  <c r="M19" i="2"/>
  <c r="Q43" i="2"/>
  <c r="M43" i="2"/>
  <c r="R42" i="2"/>
  <c r="P52" i="2"/>
  <c r="P19" i="2"/>
  <c r="R47" i="2"/>
  <c r="R49" i="2" s="1"/>
  <c r="L37" i="2"/>
  <c r="N41" i="2"/>
  <c r="L43" i="2"/>
  <c r="R41" i="2"/>
  <c r="O43" i="2"/>
  <c r="R50" i="2"/>
  <c r="R35" i="2"/>
  <c r="R37" i="2" s="1"/>
  <c r="N50" i="2"/>
  <c r="N52" i="2" s="1"/>
  <c r="N35" i="2"/>
  <c r="R17" i="2"/>
  <c r="O49" i="2"/>
  <c r="S48" i="2"/>
  <c r="M49" i="2"/>
  <c r="R51" i="2"/>
  <c r="S51" i="2" s="1"/>
  <c r="M52" i="2"/>
  <c r="N47" i="2"/>
  <c r="N36" i="2"/>
  <c r="S36" i="2" s="1"/>
  <c r="M37" i="2"/>
  <c r="N17" i="2"/>
  <c r="CP63" i="1" l="1"/>
  <c r="CS62" i="1"/>
  <c r="CN111" i="1"/>
  <c r="CP111" i="1" s="1"/>
  <c r="DH111" i="1"/>
  <c r="CN260" i="1"/>
  <c r="CS260" i="1" s="1"/>
  <c r="DH260" i="1"/>
  <c r="CN269" i="1"/>
  <c r="CS269" i="1" s="1"/>
  <c r="DH269" i="1"/>
  <c r="DM255" i="1"/>
  <c r="DJ255" i="1"/>
  <c r="DM62" i="1"/>
  <c r="DJ62" i="1"/>
  <c r="DM63" i="1"/>
  <c r="DJ63" i="1"/>
  <c r="CN256" i="1"/>
  <c r="CP256" i="1" s="1"/>
  <c r="DH256" i="1"/>
  <c r="BY49" i="1"/>
  <c r="BV49" i="1"/>
  <c r="BE48" i="1"/>
  <c r="BT48" i="1" s="1"/>
  <c r="BB48" i="1"/>
  <c r="BE108" i="1"/>
  <c r="BT108" i="1" s="1"/>
  <c r="BB108" i="1"/>
  <c r="BY107" i="1"/>
  <c r="BV107" i="1"/>
  <c r="BY103" i="1"/>
  <c r="BV103" i="1"/>
  <c r="BY109" i="1"/>
  <c r="BV109" i="1"/>
  <c r="BE112" i="1"/>
  <c r="BT112" i="1" s="1"/>
  <c r="BB112" i="1"/>
  <c r="BE176" i="1"/>
  <c r="BT176" i="1" s="1"/>
  <c r="BB176" i="1"/>
  <c r="Q71" i="1"/>
  <c r="AF71" i="1" s="1"/>
  <c r="N71" i="1"/>
  <c r="Q72" i="1"/>
  <c r="AF72" i="1" s="1"/>
  <c r="N72" i="1"/>
  <c r="Q73" i="1"/>
  <c r="AF73" i="1" s="1"/>
  <c r="N73" i="1"/>
  <c r="S18" i="2"/>
  <c r="S42" i="2"/>
  <c r="R43" i="2"/>
  <c r="R19" i="2"/>
  <c r="S47" i="2"/>
  <c r="S49" i="2" s="1"/>
  <c r="S50" i="2"/>
  <c r="S52" i="2" s="1"/>
  <c r="S35" i="2"/>
  <c r="S37" i="2" s="1"/>
  <c r="S41" i="2"/>
  <c r="S43" i="2" s="1"/>
  <c r="N43" i="2"/>
  <c r="S17" i="2"/>
  <c r="R52" i="2"/>
  <c r="N49" i="2"/>
  <c r="N19" i="2"/>
  <c r="N37" i="2"/>
  <c r="CP260" i="1" l="1"/>
  <c r="CS256" i="1"/>
  <c r="CS111" i="1"/>
  <c r="CN107" i="1"/>
  <c r="CS107" i="1" s="1"/>
  <c r="DH107" i="1"/>
  <c r="CN49" i="1"/>
  <c r="CS49" i="1" s="1"/>
  <c r="DH49" i="1"/>
  <c r="DM256" i="1"/>
  <c r="DJ256" i="1"/>
  <c r="DM269" i="1"/>
  <c r="DJ269" i="1"/>
  <c r="DM260" i="1"/>
  <c r="DJ260" i="1"/>
  <c r="CN109" i="1"/>
  <c r="CP109" i="1" s="1"/>
  <c r="DH109" i="1"/>
  <c r="CP269" i="1"/>
  <c r="DM111" i="1"/>
  <c r="DJ111" i="1"/>
  <c r="CN103" i="1"/>
  <c r="CS103" i="1" s="1"/>
  <c r="DH103" i="1"/>
  <c r="BY48" i="1"/>
  <c r="BV48" i="1"/>
  <c r="AK73" i="1"/>
  <c r="AZ73" i="1" s="1"/>
  <c r="AH73" i="1"/>
  <c r="AK72" i="1"/>
  <c r="AZ72" i="1" s="1"/>
  <c r="AH72" i="1"/>
  <c r="AK71" i="1"/>
  <c r="AZ71" i="1" s="1"/>
  <c r="AH71" i="1"/>
  <c r="BY176" i="1"/>
  <c r="BV176" i="1"/>
  <c r="BY112" i="1"/>
  <c r="BV112" i="1"/>
  <c r="BY108" i="1"/>
  <c r="BV108" i="1"/>
  <c r="S19" i="2"/>
  <c r="O30" i="2"/>
  <c r="Q54" i="2"/>
  <c r="P54" i="2"/>
  <c r="O54" i="2"/>
  <c r="Q15" i="2"/>
  <c r="Q14" i="2"/>
  <c r="P15" i="2"/>
  <c r="P14" i="2"/>
  <c r="O15" i="2"/>
  <c r="R15" i="2" s="1"/>
  <c r="O14" i="2"/>
  <c r="O12" i="2"/>
  <c r="M63" i="2"/>
  <c r="L63" i="2"/>
  <c r="M60" i="2"/>
  <c r="L60" i="2"/>
  <c r="M57" i="2"/>
  <c r="L57" i="2"/>
  <c r="N57" i="2" s="1"/>
  <c r="M39" i="2"/>
  <c r="L39" i="2"/>
  <c r="N39" i="2" s="1"/>
  <c r="M15" i="2"/>
  <c r="M14" i="2"/>
  <c r="L15" i="2"/>
  <c r="L14" i="2"/>
  <c r="CP49" i="1" l="1"/>
  <c r="CP107" i="1"/>
  <c r="CS109" i="1"/>
  <c r="CN176" i="1"/>
  <c r="CS176" i="1" s="1"/>
  <c r="DH176" i="1"/>
  <c r="DM109" i="1"/>
  <c r="DJ109" i="1"/>
  <c r="DJ49" i="1"/>
  <c r="DM49" i="1"/>
  <c r="CN112" i="1"/>
  <c r="CS112" i="1" s="1"/>
  <c r="DH112" i="1"/>
  <c r="CP103" i="1"/>
  <c r="CN108" i="1"/>
  <c r="CP108" i="1" s="1"/>
  <c r="DH108" i="1"/>
  <c r="CN48" i="1"/>
  <c r="CS48" i="1" s="1"/>
  <c r="DH48" i="1"/>
  <c r="DM107" i="1"/>
  <c r="DJ107" i="1"/>
  <c r="DM103" i="1"/>
  <c r="DJ103" i="1"/>
  <c r="BE71" i="1"/>
  <c r="BT71" i="1" s="1"/>
  <c r="BB71" i="1"/>
  <c r="BB72" i="1"/>
  <c r="BE72" i="1"/>
  <c r="BT72" i="1" s="1"/>
  <c r="BE73" i="1"/>
  <c r="BT73" i="1" s="1"/>
  <c r="BB73" i="1"/>
  <c r="Q51" i="1"/>
  <c r="AF51" i="1" s="1"/>
  <c r="AK51" i="1" s="1"/>
  <c r="AZ51" i="1" s="1"/>
  <c r="BE51" i="1" s="1"/>
  <c r="BT51" i="1" s="1"/>
  <c r="BY51" i="1" s="1"/>
  <c r="N70" i="1"/>
  <c r="Q70" i="1"/>
  <c r="AF70" i="1" s="1"/>
  <c r="N15" i="2"/>
  <c r="S15" i="2" s="1"/>
  <c r="P30" i="2"/>
  <c r="Q30" i="2"/>
  <c r="L27" i="2"/>
  <c r="L53" i="2"/>
  <c r="P27" i="2"/>
  <c r="Q27" i="2"/>
  <c r="O33" i="2"/>
  <c r="O39" i="2"/>
  <c r="P39" i="2"/>
  <c r="Q39" i="2"/>
  <c r="O57" i="2"/>
  <c r="P57" i="2"/>
  <c r="Q57" i="2"/>
  <c r="O60" i="2"/>
  <c r="P60" i="2"/>
  <c r="Q60" i="2"/>
  <c r="O63" i="2"/>
  <c r="P63" i="2"/>
  <c r="Q63" i="2"/>
  <c r="N63" i="2"/>
  <c r="P33" i="2"/>
  <c r="Q33" i="2"/>
  <c r="R54" i="2"/>
  <c r="N60" i="2"/>
  <c r="L26" i="2"/>
  <c r="M54" i="2"/>
  <c r="P16" i="2"/>
  <c r="P26" i="2"/>
  <c r="P32" i="2"/>
  <c r="O38" i="2"/>
  <c r="Q38" i="2"/>
  <c r="P56" i="2"/>
  <c r="P59" i="2"/>
  <c r="O62" i="2"/>
  <c r="Q62" i="2"/>
  <c r="L32" i="2"/>
  <c r="M32" i="2"/>
  <c r="L38" i="2"/>
  <c r="M38" i="2"/>
  <c r="M40" i="2" s="1"/>
  <c r="L56" i="2"/>
  <c r="M56" i="2"/>
  <c r="M58" i="2" s="1"/>
  <c r="L59" i="2"/>
  <c r="L61" i="2" s="1"/>
  <c r="L62" i="2"/>
  <c r="M62" i="2"/>
  <c r="M64" i="2" s="1"/>
  <c r="P53" i="2"/>
  <c r="P55" i="2" s="1"/>
  <c r="Q53" i="2"/>
  <c r="Q55" i="2" s="1"/>
  <c r="P29" i="2"/>
  <c r="Q29" i="2"/>
  <c r="M16" i="2"/>
  <c r="L54" i="2"/>
  <c r="Q16" i="2"/>
  <c r="Q26" i="2"/>
  <c r="O32" i="2"/>
  <c r="Q32" i="2"/>
  <c r="P38" i="2"/>
  <c r="P40" i="2" s="1"/>
  <c r="O56" i="2"/>
  <c r="Q56" i="2"/>
  <c r="Q59" i="2"/>
  <c r="P62" i="2"/>
  <c r="L29" i="2"/>
  <c r="M59" i="2"/>
  <c r="O59" i="2"/>
  <c r="M53" i="2"/>
  <c r="O53" i="2"/>
  <c r="O29" i="2"/>
  <c r="O26" i="2"/>
  <c r="O11" i="2"/>
  <c r="M26" i="2"/>
  <c r="O27" i="2"/>
  <c r="M27" i="2"/>
  <c r="L33" i="2"/>
  <c r="M33" i="2"/>
  <c r="M29" i="2"/>
  <c r="L30" i="2"/>
  <c r="M30" i="2"/>
  <c r="O16" i="2"/>
  <c r="R14" i="2"/>
  <c r="R16" i="2" s="1"/>
  <c r="N14" i="2"/>
  <c r="L16" i="2"/>
  <c r="L8" i="2"/>
  <c r="P8" i="2"/>
  <c r="L9" i="2"/>
  <c r="M23" i="2"/>
  <c r="CP176" i="1" l="1"/>
  <c r="CS108" i="1"/>
  <c r="CP112" i="1"/>
  <c r="DM112" i="1"/>
  <c r="DJ112" i="1"/>
  <c r="DM48" i="1"/>
  <c r="DJ48" i="1"/>
  <c r="CN51" i="1"/>
  <c r="CS51" i="1" s="1"/>
  <c r="DH51" i="1"/>
  <c r="DM51" i="1" s="1"/>
  <c r="CP48" i="1"/>
  <c r="DJ108" i="1"/>
  <c r="DM108" i="1"/>
  <c r="DM176" i="1"/>
  <c r="DJ176" i="1"/>
  <c r="AK70" i="1"/>
  <c r="AZ70" i="1" s="1"/>
  <c r="AH70" i="1"/>
  <c r="BY73" i="1"/>
  <c r="BV73" i="1"/>
  <c r="BY71" i="1"/>
  <c r="BV71" i="1"/>
  <c r="BV72" i="1"/>
  <c r="BY72" i="1"/>
  <c r="Q292" i="1"/>
  <c r="AF292" i="1" s="1"/>
  <c r="N292" i="1"/>
  <c r="N29" i="2"/>
  <c r="Q58" i="2"/>
  <c r="R57" i="2"/>
  <c r="S57" i="2" s="1"/>
  <c r="P28" i="2"/>
  <c r="Q40" i="2"/>
  <c r="L55" i="2"/>
  <c r="N27" i="2"/>
  <c r="Q64" i="2"/>
  <c r="P31" i="2"/>
  <c r="L28" i="2"/>
  <c r="R63" i="2"/>
  <c r="S63" i="2" s="1"/>
  <c r="R60" i="2"/>
  <c r="S60" i="2" s="1"/>
  <c r="R30" i="2"/>
  <c r="Q61" i="2"/>
  <c r="P58" i="2"/>
  <c r="Q28" i="2"/>
  <c r="Q31" i="2"/>
  <c r="R27" i="2"/>
  <c r="P64" i="2"/>
  <c r="P61" i="2"/>
  <c r="R39" i="2"/>
  <c r="S39" i="2" s="1"/>
  <c r="P34" i="2"/>
  <c r="R33" i="2"/>
  <c r="Q34" i="2"/>
  <c r="Q8" i="2"/>
  <c r="P23" i="2"/>
  <c r="L31" i="2"/>
  <c r="L34" i="2"/>
  <c r="N32" i="2"/>
  <c r="O24" i="2"/>
  <c r="Q9" i="2"/>
  <c r="R26" i="2"/>
  <c r="L64" i="2"/>
  <c r="N62" i="2"/>
  <c r="O34" i="2"/>
  <c r="R32" i="2"/>
  <c r="Q23" i="2"/>
  <c r="N38" i="2"/>
  <c r="L40" i="2"/>
  <c r="R56" i="2"/>
  <c r="O58" i="2"/>
  <c r="N56" i="2"/>
  <c r="L58" i="2"/>
  <c r="R62" i="2"/>
  <c r="O64" i="2"/>
  <c r="O40" i="2"/>
  <c r="R38" i="2"/>
  <c r="P24" i="2"/>
  <c r="Q24" i="2"/>
  <c r="N54" i="2"/>
  <c r="S54" i="2" s="1"/>
  <c r="M61" i="2"/>
  <c r="N59" i="2"/>
  <c r="N61" i="2" s="1"/>
  <c r="R59" i="2"/>
  <c r="O61" i="2"/>
  <c r="N53" i="2"/>
  <c r="M55" i="2"/>
  <c r="O55" i="2"/>
  <c r="R53" i="2"/>
  <c r="R29" i="2"/>
  <c r="O31" i="2"/>
  <c r="O23" i="2"/>
  <c r="M12" i="2"/>
  <c r="Q12" i="2"/>
  <c r="Q11" i="2"/>
  <c r="P12" i="2"/>
  <c r="M11" i="2"/>
  <c r="O13" i="2"/>
  <c r="M9" i="2"/>
  <c r="N9" i="2" s="1"/>
  <c r="O9" i="2"/>
  <c r="O8" i="2"/>
  <c r="P9" i="2"/>
  <c r="M28" i="2"/>
  <c r="N26" i="2"/>
  <c r="O28" i="2"/>
  <c r="N33" i="2"/>
  <c r="M34" i="2"/>
  <c r="N30" i="2"/>
  <c r="M31" i="2"/>
  <c r="L24" i="2"/>
  <c r="N16" i="2"/>
  <c r="S14" i="2"/>
  <c r="S16" i="2" s="1"/>
  <c r="L12" i="2"/>
  <c r="L10" i="2"/>
  <c r="M8" i="2"/>
  <c r="N8" i="2" s="1"/>
  <c r="L23" i="2"/>
  <c r="N23" i="2" s="1"/>
  <c r="M24" i="2"/>
  <c r="L11" i="2"/>
  <c r="CN71" i="1" l="1"/>
  <c r="CP71" i="1" s="1"/>
  <c r="DH71" i="1"/>
  <c r="CN73" i="1"/>
  <c r="CP73" i="1" s="1"/>
  <c r="DH73" i="1"/>
  <c r="CN72" i="1"/>
  <c r="CP72" i="1" s="1"/>
  <c r="DH72" i="1"/>
  <c r="AK292" i="1"/>
  <c r="AZ292" i="1" s="1"/>
  <c r="AH292" i="1"/>
  <c r="BB70" i="1"/>
  <c r="BE70" i="1"/>
  <c r="BT70" i="1" s="1"/>
  <c r="R31" i="2"/>
  <c r="R40" i="2"/>
  <c r="N28" i="2"/>
  <c r="S27" i="2"/>
  <c r="R64" i="2"/>
  <c r="R58" i="2"/>
  <c r="S30" i="2"/>
  <c r="R28" i="2"/>
  <c r="S33" i="2"/>
  <c r="R34" i="2"/>
  <c r="Q10" i="2"/>
  <c r="N55" i="2"/>
  <c r="S32" i="2"/>
  <c r="O25" i="2"/>
  <c r="R24" i="2"/>
  <c r="Q25" i="2"/>
  <c r="P25" i="2"/>
  <c r="S56" i="2"/>
  <c r="S58" i="2" s="1"/>
  <c r="N58" i="2"/>
  <c r="N40" i="2"/>
  <c r="S38" i="2"/>
  <c r="S40" i="2" s="1"/>
  <c r="S62" i="2"/>
  <c r="S64" i="2" s="1"/>
  <c r="N64" i="2"/>
  <c r="R9" i="2"/>
  <c r="S9" i="2" s="1"/>
  <c r="S29" i="2"/>
  <c r="S31" i="2" s="1"/>
  <c r="N24" i="2"/>
  <c r="N12" i="2"/>
  <c r="P10" i="2"/>
  <c r="M13" i="2"/>
  <c r="O10" i="2"/>
  <c r="R8" i="2"/>
  <c r="S8" i="2" s="1"/>
  <c r="S59" i="2"/>
  <c r="S61" i="2" s="1"/>
  <c r="R61" i="2"/>
  <c r="S53" i="2"/>
  <c r="S55" i="2" s="1"/>
  <c r="R55" i="2"/>
  <c r="R23" i="2"/>
  <c r="Q13" i="2"/>
  <c r="R12" i="2"/>
  <c r="N11" i="2"/>
  <c r="S26" i="2"/>
  <c r="S28" i="2" s="1"/>
  <c r="N31" i="2"/>
  <c r="N34" i="2"/>
  <c r="M25" i="2"/>
  <c r="M10" i="2"/>
  <c r="N10" i="2"/>
  <c r="L25" i="2"/>
  <c r="L13" i="2"/>
  <c r="Q602" i="1"/>
  <c r="AF602" i="1" s="1"/>
  <c r="AK602" i="1" s="1"/>
  <c r="AZ602" i="1" s="1"/>
  <c r="BE602" i="1" s="1"/>
  <c r="BT602" i="1" s="1"/>
  <c r="BY602" i="1" s="1"/>
  <c r="CS71" i="1" l="1"/>
  <c r="CS73" i="1"/>
  <c r="CS72" i="1"/>
  <c r="CN602" i="1"/>
  <c r="CS602" i="1" s="1"/>
  <c r="DH602" i="1"/>
  <c r="DM602" i="1" s="1"/>
  <c r="DM73" i="1"/>
  <c r="DJ73" i="1"/>
  <c r="DM72" i="1"/>
  <c r="DJ72" i="1"/>
  <c r="DM71" i="1"/>
  <c r="DJ71" i="1"/>
  <c r="BE292" i="1"/>
  <c r="BT292" i="1" s="1"/>
  <c r="BB292" i="1"/>
  <c r="BV70" i="1"/>
  <c r="BY70" i="1"/>
  <c r="S34" i="2"/>
  <c r="N13" i="2"/>
  <c r="S24" i="2"/>
  <c r="R25" i="2"/>
  <c r="R10" i="2"/>
  <c r="N25" i="2"/>
  <c r="S12" i="2"/>
  <c r="S10" i="2"/>
  <c r="S23" i="2"/>
  <c r="CN70" i="1" l="1"/>
  <c r="CS70" i="1" s="1"/>
  <c r="DH70" i="1"/>
  <c r="BY292" i="1"/>
  <c r="BV292" i="1"/>
  <c r="S25" i="2"/>
  <c r="CP70" i="1" l="1"/>
  <c r="CN292" i="1"/>
  <c r="CP292" i="1" s="1"/>
  <c r="DH292" i="1"/>
  <c r="DM70" i="1"/>
  <c r="DJ70" i="1"/>
  <c r="Q358" i="1"/>
  <c r="AF358" i="1" s="1"/>
  <c r="N358" i="1"/>
  <c r="CS292" i="1" l="1"/>
  <c r="DM292" i="1"/>
  <c r="DJ292" i="1"/>
  <c r="AK358" i="1"/>
  <c r="AZ358" i="1" s="1"/>
  <c r="AH358" i="1"/>
  <c r="Q285" i="1"/>
  <c r="AF285" i="1" s="1"/>
  <c r="N285" i="1"/>
  <c r="N489" i="1"/>
  <c r="Q489" i="1"/>
  <c r="AF489" i="1" s="1"/>
  <c r="N492" i="1"/>
  <c r="Q492" i="1"/>
  <c r="AF492" i="1" s="1"/>
  <c r="Q496" i="1"/>
  <c r="AF496" i="1" s="1"/>
  <c r="N496" i="1"/>
  <c r="Q491" i="1"/>
  <c r="AF491" i="1" s="1"/>
  <c r="N491" i="1"/>
  <c r="N490" i="1"/>
  <c r="Q490" i="1"/>
  <c r="AF490" i="1" s="1"/>
  <c r="Q487" i="1"/>
  <c r="AF487" i="1" s="1"/>
  <c r="N487" i="1"/>
  <c r="Q64" i="1"/>
  <c r="AF64" i="1" s="1"/>
  <c r="AK64" i="1" s="1"/>
  <c r="AZ64" i="1" s="1"/>
  <c r="BE64" i="1" s="1"/>
  <c r="BT64" i="1" s="1"/>
  <c r="BY64" i="1" s="1"/>
  <c r="CN64" i="1" s="1"/>
  <c r="CS64" i="1" s="1"/>
  <c r="DH64" i="1" s="1"/>
  <c r="DM64" i="1" s="1"/>
  <c r="AK487" i="1" l="1"/>
  <c r="AZ487" i="1" s="1"/>
  <c r="AH487" i="1"/>
  <c r="AK491" i="1"/>
  <c r="AZ491" i="1" s="1"/>
  <c r="AH491" i="1"/>
  <c r="AK496" i="1"/>
  <c r="AZ496" i="1" s="1"/>
  <c r="AH496" i="1"/>
  <c r="AK285" i="1"/>
  <c r="AZ285" i="1" s="1"/>
  <c r="AH285" i="1"/>
  <c r="BE358" i="1"/>
  <c r="BT358" i="1" s="1"/>
  <c r="BB358" i="1"/>
  <c r="AK490" i="1"/>
  <c r="AZ490" i="1" s="1"/>
  <c r="AH490" i="1"/>
  <c r="AK492" i="1"/>
  <c r="AZ492" i="1" s="1"/>
  <c r="AH492" i="1"/>
  <c r="AK489" i="1"/>
  <c r="AZ489" i="1" s="1"/>
  <c r="AH489" i="1"/>
  <c r="Q430" i="1"/>
  <c r="AF430" i="1" s="1"/>
  <c r="AH430" i="1" s="1"/>
  <c r="N430" i="1"/>
  <c r="Q15" i="1"/>
  <c r="AF15" i="1" s="1"/>
  <c r="N15" i="1"/>
  <c r="N65" i="1"/>
  <c r="Q65" i="1"/>
  <c r="AF65" i="1" s="1"/>
  <c r="Q67" i="1"/>
  <c r="AF67" i="1" s="1"/>
  <c r="N67" i="1"/>
  <c r="AK67" i="1" l="1"/>
  <c r="AZ67" i="1" s="1"/>
  <c r="AH67" i="1"/>
  <c r="AK15" i="1"/>
  <c r="AZ15" i="1" s="1"/>
  <c r="AH15" i="1"/>
  <c r="AK430" i="1"/>
  <c r="AZ430" i="1" s="1"/>
  <c r="BB430" i="1" s="1"/>
  <c r="BE489" i="1"/>
  <c r="BT489" i="1" s="1"/>
  <c r="BB489" i="1"/>
  <c r="BE492" i="1"/>
  <c r="BT492" i="1" s="1"/>
  <c r="BB492" i="1"/>
  <c r="BE490" i="1"/>
  <c r="BT490" i="1" s="1"/>
  <c r="BB490" i="1"/>
  <c r="BY358" i="1"/>
  <c r="BV358" i="1"/>
  <c r="BB285" i="1"/>
  <c r="BE285" i="1"/>
  <c r="BT285" i="1" s="1"/>
  <c r="BE496" i="1"/>
  <c r="BT496" i="1" s="1"/>
  <c r="BB496" i="1"/>
  <c r="BE491" i="1"/>
  <c r="BT491" i="1" s="1"/>
  <c r="BB491" i="1"/>
  <c r="BE487" i="1"/>
  <c r="BT487" i="1" s="1"/>
  <c r="BB487" i="1"/>
  <c r="AH65" i="1"/>
  <c r="AK65" i="1"/>
  <c r="AZ65" i="1" s="1"/>
  <c r="Q66" i="1"/>
  <c r="AF66" i="1" s="1"/>
  <c r="N66" i="1"/>
  <c r="N68" i="1"/>
  <c r="Q68" i="1"/>
  <c r="AF68" i="1" s="1"/>
  <c r="Q264" i="1"/>
  <c r="AF264" i="1" s="1"/>
  <c r="N264" i="1"/>
  <c r="Q263" i="1"/>
  <c r="AF263" i="1" s="1"/>
  <c r="N263" i="1"/>
  <c r="Q262" i="1"/>
  <c r="AF262" i="1" s="1"/>
  <c r="N262" i="1"/>
  <c r="CN358" i="1" l="1"/>
  <c r="CP358" i="1" s="1"/>
  <c r="DH358" i="1"/>
  <c r="AK264" i="1"/>
  <c r="AZ264" i="1" s="1"/>
  <c r="AH264" i="1"/>
  <c r="AH66" i="1"/>
  <c r="AK66" i="1"/>
  <c r="AZ66" i="1" s="1"/>
  <c r="BY487" i="1"/>
  <c r="BV487" i="1"/>
  <c r="BY496" i="1"/>
  <c r="BV496" i="1"/>
  <c r="BY490" i="1"/>
  <c r="BV490" i="1"/>
  <c r="BY492" i="1"/>
  <c r="BV492" i="1"/>
  <c r="BY489" i="1"/>
  <c r="BV489" i="1"/>
  <c r="BE430" i="1"/>
  <c r="BT430" i="1" s="1"/>
  <c r="BV430" i="1" s="1"/>
  <c r="BB15" i="1"/>
  <c r="BE15" i="1"/>
  <c r="BT15" i="1" s="1"/>
  <c r="BE67" i="1"/>
  <c r="BT67" i="1" s="1"/>
  <c r="BB67" i="1"/>
  <c r="AK262" i="1"/>
  <c r="AZ262" i="1" s="1"/>
  <c r="AH262" i="1"/>
  <c r="AK263" i="1"/>
  <c r="AZ263" i="1" s="1"/>
  <c r="AH263" i="1"/>
  <c r="BY491" i="1"/>
  <c r="BV491" i="1"/>
  <c r="AK68" i="1"/>
  <c r="AZ68" i="1" s="1"/>
  <c r="AH68" i="1"/>
  <c r="BE65" i="1"/>
  <c r="BT65" i="1" s="1"/>
  <c r="BB65" i="1"/>
  <c r="BY285" i="1"/>
  <c r="BV285" i="1"/>
  <c r="CS358" i="1" l="1"/>
  <c r="CN492" i="1"/>
  <c r="CS492" i="1" s="1"/>
  <c r="DH492" i="1"/>
  <c r="CN487" i="1"/>
  <c r="CS487" i="1" s="1"/>
  <c r="DH487" i="1"/>
  <c r="CN490" i="1"/>
  <c r="CP490" i="1" s="1"/>
  <c r="DH490" i="1"/>
  <c r="CN491" i="1"/>
  <c r="CS491" i="1" s="1"/>
  <c r="DH491" i="1"/>
  <c r="DJ358" i="1"/>
  <c r="DM358" i="1"/>
  <c r="CN285" i="1"/>
  <c r="CP285" i="1" s="1"/>
  <c r="DH285" i="1"/>
  <c r="CN489" i="1"/>
  <c r="CS489" i="1" s="1"/>
  <c r="DH489" i="1"/>
  <c r="CN496" i="1"/>
  <c r="CS496" i="1" s="1"/>
  <c r="DH496" i="1"/>
  <c r="BY65" i="1"/>
  <c r="BV65" i="1"/>
  <c r="BE263" i="1"/>
  <c r="BT263" i="1" s="1"/>
  <c r="BB263" i="1"/>
  <c r="BE262" i="1"/>
  <c r="BT262" i="1" s="1"/>
  <c r="BB262" i="1"/>
  <c r="BY67" i="1"/>
  <c r="BV67" i="1"/>
  <c r="BY430" i="1"/>
  <c r="BE264" i="1"/>
  <c r="BT264" i="1" s="1"/>
  <c r="BB264" i="1"/>
  <c r="BB68" i="1"/>
  <c r="BE68" i="1"/>
  <c r="BT68" i="1" s="1"/>
  <c r="BV15" i="1"/>
  <c r="BY15" i="1"/>
  <c r="BE66" i="1"/>
  <c r="BT66" i="1" s="1"/>
  <c r="BB66" i="1"/>
  <c r="Q41" i="1"/>
  <c r="AF41" i="1" s="1"/>
  <c r="N41" i="1"/>
  <c r="Q44" i="1"/>
  <c r="AF44" i="1" s="1"/>
  <c r="N44" i="1"/>
  <c r="CP487" i="1" l="1"/>
  <c r="CP492" i="1"/>
  <c r="CS285" i="1"/>
  <c r="CS490" i="1"/>
  <c r="CP489" i="1"/>
  <c r="DM491" i="1"/>
  <c r="DJ491" i="1"/>
  <c r="DM489" i="1"/>
  <c r="DJ489" i="1"/>
  <c r="DM490" i="1"/>
  <c r="DJ490" i="1"/>
  <c r="CP491" i="1"/>
  <c r="DM285" i="1"/>
  <c r="DJ285" i="1"/>
  <c r="DM487" i="1"/>
  <c r="DJ487" i="1"/>
  <c r="DM496" i="1"/>
  <c r="DJ496" i="1"/>
  <c r="CP496" i="1"/>
  <c r="CN430" i="1"/>
  <c r="CP430" i="1" s="1"/>
  <c r="DH430" i="1"/>
  <c r="DM492" i="1"/>
  <c r="DJ492" i="1"/>
  <c r="CN15" i="1"/>
  <c r="CP15" i="1" s="1"/>
  <c r="DH15" i="1"/>
  <c r="CN67" i="1"/>
  <c r="CS67" i="1" s="1"/>
  <c r="DH67" i="1"/>
  <c r="CN65" i="1"/>
  <c r="CP65" i="1" s="1"/>
  <c r="DH65" i="1"/>
  <c r="AK41" i="1"/>
  <c r="AZ41" i="1" s="1"/>
  <c r="AH41" i="1"/>
  <c r="BY264" i="1"/>
  <c r="BV264" i="1"/>
  <c r="BY262" i="1"/>
  <c r="BV262" i="1"/>
  <c r="BY263" i="1"/>
  <c r="BV263" i="1"/>
  <c r="AK44" i="1"/>
  <c r="AZ44" i="1" s="1"/>
  <c r="BB44" i="1" s="1"/>
  <c r="AH44" i="1"/>
  <c r="BY66" i="1"/>
  <c r="BV66" i="1"/>
  <c r="BV68" i="1"/>
  <c r="BY68" i="1"/>
  <c r="CP67" i="1" l="1"/>
  <c r="CS15" i="1"/>
  <c r="CS430" i="1"/>
  <c r="CN262" i="1"/>
  <c r="CP262" i="1" s="1"/>
  <c r="DH262" i="1"/>
  <c r="DM65" i="1"/>
  <c r="DJ65" i="1"/>
  <c r="DM430" i="1"/>
  <c r="DJ430" i="1"/>
  <c r="CN66" i="1"/>
  <c r="CS66" i="1" s="1"/>
  <c r="DH66" i="1"/>
  <c r="CS65" i="1"/>
  <c r="DM15" i="1"/>
  <c r="DJ15" i="1"/>
  <c r="CN68" i="1"/>
  <c r="CS68" i="1" s="1"/>
  <c r="DH68" i="1"/>
  <c r="CN264" i="1"/>
  <c r="CP264" i="1" s="1"/>
  <c r="DH264" i="1"/>
  <c r="CN263" i="1"/>
  <c r="CP263" i="1" s="1"/>
  <c r="DH263" i="1"/>
  <c r="DJ67" i="1"/>
  <c r="DM67" i="1"/>
  <c r="BE44" i="1"/>
  <c r="BT44" i="1" s="1"/>
  <c r="BE41" i="1"/>
  <c r="BT41" i="1" s="1"/>
  <c r="BB41" i="1"/>
  <c r="Q42" i="1"/>
  <c r="AF42" i="1" s="1"/>
  <c r="N42" i="1"/>
  <c r="Q45" i="1"/>
  <c r="AF45" i="1" s="1"/>
  <c r="N45" i="1"/>
  <c r="Q46" i="1"/>
  <c r="AF46" i="1" s="1"/>
  <c r="N46" i="1"/>
  <c r="CS262" i="1" l="1"/>
  <c r="CP68" i="1"/>
  <c r="DM66" i="1"/>
  <c r="DJ66" i="1"/>
  <c r="DM264" i="1"/>
  <c r="DJ264" i="1"/>
  <c r="CP66" i="1"/>
  <c r="DM68" i="1"/>
  <c r="DJ68" i="1"/>
  <c r="CS263" i="1"/>
  <c r="CS264" i="1"/>
  <c r="DM262" i="1"/>
  <c r="DJ262" i="1"/>
  <c r="DM263" i="1"/>
  <c r="DJ263" i="1"/>
  <c r="BY41" i="1"/>
  <c r="BV41" i="1"/>
  <c r="BY44" i="1"/>
  <c r="BV44" i="1"/>
  <c r="AK46" i="1"/>
  <c r="AZ46" i="1" s="1"/>
  <c r="BB46" i="1" s="1"/>
  <c r="AH46" i="1"/>
  <c r="AK45" i="1"/>
  <c r="AZ45" i="1" s="1"/>
  <c r="BB45" i="1" s="1"/>
  <c r="AH45" i="1"/>
  <c r="AK42" i="1"/>
  <c r="AZ42" i="1" s="1"/>
  <c r="AH42" i="1"/>
  <c r="Q600" i="1"/>
  <c r="AF600" i="1" s="1"/>
  <c r="N600" i="1"/>
  <c r="Q598" i="1"/>
  <c r="AF598" i="1" s="1"/>
  <c r="N598" i="1"/>
  <c r="Q599" i="1"/>
  <c r="AF599" i="1" s="1"/>
  <c r="N599" i="1"/>
  <c r="CN41" i="1" l="1"/>
  <c r="CS41" i="1" s="1"/>
  <c r="DH41" i="1"/>
  <c r="CN44" i="1"/>
  <c r="CS44" i="1" s="1"/>
  <c r="DH44" i="1"/>
  <c r="AK599" i="1"/>
  <c r="AZ599" i="1" s="1"/>
  <c r="AH599" i="1"/>
  <c r="AK600" i="1"/>
  <c r="AZ600" i="1" s="1"/>
  <c r="AH600" i="1"/>
  <c r="BE45" i="1"/>
  <c r="BT45" i="1" s="1"/>
  <c r="BE46" i="1"/>
  <c r="BT46" i="1" s="1"/>
  <c r="AH598" i="1"/>
  <c r="AK598" i="1"/>
  <c r="AZ598" i="1" s="1"/>
  <c r="BE42" i="1"/>
  <c r="BT42" i="1" s="1"/>
  <c r="BB42" i="1"/>
  <c r="Q378" i="1"/>
  <c r="AF378" i="1" s="1"/>
  <c r="N378" i="1"/>
  <c r="CP41" i="1" l="1"/>
  <c r="CP44" i="1"/>
  <c r="DJ44" i="1"/>
  <c r="DM44" i="1"/>
  <c r="DJ41" i="1"/>
  <c r="DM41" i="1"/>
  <c r="BY46" i="1"/>
  <c r="BV46" i="1"/>
  <c r="BY45" i="1"/>
  <c r="BV45" i="1"/>
  <c r="BB600" i="1"/>
  <c r="BE600" i="1"/>
  <c r="BT600" i="1" s="1"/>
  <c r="BB599" i="1"/>
  <c r="BE599" i="1"/>
  <c r="BT599" i="1" s="1"/>
  <c r="AK378" i="1"/>
  <c r="AZ378" i="1" s="1"/>
  <c r="AH378" i="1"/>
  <c r="BY42" i="1"/>
  <c r="BV42" i="1"/>
  <c r="BB598" i="1"/>
  <c r="BE598" i="1"/>
  <c r="BT598" i="1" s="1"/>
  <c r="CN42" i="1" l="1"/>
  <c r="CP42" i="1" s="1"/>
  <c r="DH42" i="1"/>
  <c r="CN45" i="1"/>
  <c r="CP45" i="1" s="1"/>
  <c r="DH45" i="1"/>
  <c r="CN46" i="1"/>
  <c r="CS46" i="1" s="1"/>
  <c r="DH46" i="1"/>
  <c r="BE378" i="1"/>
  <c r="BT378" i="1" s="1"/>
  <c r="BB378" i="1"/>
  <c r="BV598" i="1"/>
  <c r="BY598" i="1"/>
  <c r="BY599" i="1"/>
  <c r="BV599" i="1"/>
  <c r="BV600" i="1"/>
  <c r="BY600" i="1"/>
  <c r="Q371" i="1"/>
  <c r="AF371" i="1" s="1"/>
  <c r="N371" i="1"/>
  <c r="Q254" i="1"/>
  <c r="AF254" i="1" s="1"/>
  <c r="N254" i="1"/>
  <c r="Q169" i="1"/>
  <c r="AF169" i="1" s="1"/>
  <c r="N169" i="1"/>
  <c r="Q167" i="1"/>
  <c r="AF167" i="1" s="1"/>
  <c r="N167" i="1"/>
  <c r="Q251" i="1"/>
  <c r="AF251" i="1" s="1"/>
  <c r="N251" i="1"/>
  <c r="Q484" i="1"/>
  <c r="AF484" i="1" s="1"/>
  <c r="N484" i="1"/>
  <c r="Q54" i="1"/>
  <c r="AF54" i="1" s="1"/>
  <c r="N54" i="1"/>
  <c r="Q588" i="1"/>
  <c r="AF588" i="1" s="1"/>
  <c r="N588" i="1"/>
  <c r="Q593" i="1"/>
  <c r="AF593" i="1" s="1"/>
  <c r="N593" i="1"/>
  <c r="Q191" i="1"/>
  <c r="AF191" i="1" s="1"/>
  <c r="N191" i="1"/>
  <c r="Q594" i="1"/>
  <c r="AF594" i="1" s="1"/>
  <c r="N594" i="1"/>
  <c r="N187" i="1"/>
  <c r="Q187" i="1"/>
  <c r="AF187" i="1" s="1"/>
  <c r="N122" i="1"/>
  <c r="Q122" i="1"/>
  <c r="AF122" i="1" s="1"/>
  <c r="N595" i="1"/>
  <c r="Q595" i="1"/>
  <c r="AF595" i="1" s="1"/>
  <c r="N188" i="1"/>
  <c r="Q188" i="1"/>
  <c r="AF188" i="1" s="1"/>
  <c r="N592" i="1"/>
  <c r="Q592" i="1"/>
  <c r="AF592" i="1" s="1"/>
  <c r="N381" i="1"/>
  <c r="Q381" i="1"/>
  <c r="AF381" i="1" s="1"/>
  <c r="N529" i="1"/>
  <c r="Q529" i="1"/>
  <c r="AF529" i="1" s="1"/>
  <c r="Q121" i="1"/>
  <c r="AF121" i="1" s="1"/>
  <c r="N121" i="1"/>
  <c r="Q493" i="1"/>
  <c r="AF493" i="1" s="1"/>
  <c r="N493" i="1"/>
  <c r="N249" i="1"/>
  <c r="Q249" i="1"/>
  <c r="AF249" i="1" s="1"/>
  <c r="N184" i="1"/>
  <c r="Q184" i="1"/>
  <c r="AF184" i="1" s="1"/>
  <c r="N192" i="1"/>
  <c r="Q192" i="1"/>
  <c r="AF192" i="1" s="1"/>
  <c r="N200" i="1"/>
  <c r="Q200" i="1"/>
  <c r="AF200" i="1" s="1"/>
  <c r="CS45" i="1" l="1"/>
  <c r="CS42" i="1"/>
  <c r="CP46" i="1"/>
  <c r="CN598" i="1"/>
  <c r="CS598" i="1" s="1"/>
  <c r="DH598" i="1"/>
  <c r="DJ46" i="1"/>
  <c r="DM46" i="1"/>
  <c r="CN600" i="1"/>
  <c r="CP600" i="1" s="1"/>
  <c r="DH600" i="1"/>
  <c r="DJ45" i="1"/>
  <c r="DM45" i="1"/>
  <c r="DJ42" i="1"/>
  <c r="DM42" i="1"/>
  <c r="CN599" i="1"/>
  <c r="CS599" i="1" s="1"/>
  <c r="DH599" i="1"/>
  <c r="AK184" i="1"/>
  <c r="AZ184" i="1" s="1"/>
  <c r="AH184" i="1"/>
  <c r="AH121" i="1"/>
  <c r="AK121" i="1"/>
  <c r="AZ121" i="1" s="1"/>
  <c r="AK594" i="1"/>
  <c r="AZ594" i="1" s="1"/>
  <c r="AH594" i="1"/>
  <c r="AK593" i="1"/>
  <c r="AZ593" i="1" s="1"/>
  <c r="AH593" i="1"/>
  <c r="AK588" i="1"/>
  <c r="AZ588" i="1" s="1"/>
  <c r="AH588" i="1"/>
  <c r="AK54" i="1"/>
  <c r="AH54" i="1"/>
  <c r="AK484" i="1"/>
  <c r="AZ484" i="1" s="1"/>
  <c r="AH484" i="1"/>
  <c r="AK251" i="1"/>
  <c r="AZ251" i="1" s="1"/>
  <c r="AH251" i="1"/>
  <c r="AK167" i="1"/>
  <c r="AZ167" i="1" s="1"/>
  <c r="AH167" i="1"/>
  <c r="AK169" i="1"/>
  <c r="AZ169" i="1" s="1"/>
  <c r="AH169" i="1"/>
  <c r="AH254" i="1"/>
  <c r="AK254" i="1"/>
  <c r="AZ254" i="1" s="1"/>
  <c r="AK371" i="1"/>
  <c r="AZ371" i="1" s="1"/>
  <c r="AH371" i="1"/>
  <c r="BY378" i="1"/>
  <c r="BV378" i="1"/>
  <c r="AK200" i="1"/>
  <c r="AH200" i="1"/>
  <c r="AK192" i="1"/>
  <c r="AZ192" i="1" s="1"/>
  <c r="AH192" i="1"/>
  <c r="AK249" i="1"/>
  <c r="AZ249" i="1" s="1"/>
  <c r="AH249" i="1"/>
  <c r="AK493" i="1"/>
  <c r="AZ493" i="1" s="1"/>
  <c r="AH493" i="1"/>
  <c r="AH529" i="1"/>
  <c r="AK529" i="1"/>
  <c r="AZ529" i="1" s="1"/>
  <c r="AK381" i="1"/>
  <c r="AZ381" i="1" s="1"/>
  <c r="AH381" i="1"/>
  <c r="AH592" i="1"/>
  <c r="AK592" i="1"/>
  <c r="AZ592" i="1" s="1"/>
  <c r="AK595" i="1"/>
  <c r="AZ595" i="1" s="1"/>
  <c r="AH595" i="1"/>
  <c r="AH122" i="1"/>
  <c r="AK122" i="1"/>
  <c r="AZ122" i="1" s="1"/>
  <c r="CP598" i="1"/>
  <c r="AK191" i="1"/>
  <c r="AZ191" i="1" s="1"/>
  <c r="AH191" i="1"/>
  <c r="AH187" i="1"/>
  <c r="AK187" i="1"/>
  <c r="AZ187" i="1" s="1"/>
  <c r="AH188" i="1"/>
  <c r="AK188" i="1"/>
  <c r="AZ188" i="1" s="1"/>
  <c r="Q250" i="1"/>
  <c r="AF250" i="1" s="1"/>
  <c r="N250" i="1"/>
  <c r="N52" i="1"/>
  <c r="Q52" i="1"/>
  <c r="AF52" i="1" s="1"/>
  <c r="Q43" i="1"/>
  <c r="AF43" i="1" s="1"/>
  <c r="N43" i="1"/>
  <c r="Q508" i="1"/>
  <c r="AF508" i="1" s="1"/>
  <c r="N508" i="1"/>
  <c r="Q18" i="1"/>
  <c r="AF18" i="1" s="1"/>
  <c r="N18" i="1"/>
  <c r="Q93" i="1"/>
  <c r="AF93" i="1" s="1"/>
  <c r="N93" i="1"/>
  <c r="Q174" i="1"/>
  <c r="AF174" i="1" s="1"/>
  <c r="N174" i="1"/>
  <c r="Q104" i="1"/>
  <c r="AF104" i="1" s="1"/>
  <c r="N104" i="1"/>
  <c r="Q90" i="1"/>
  <c r="AF90" i="1" s="1"/>
  <c r="N90" i="1"/>
  <c r="Q95" i="1"/>
  <c r="AF95" i="1" s="1"/>
  <c r="N95" i="1"/>
  <c r="Q422" i="1"/>
  <c r="AF422" i="1" s="1"/>
  <c r="AH422" i="1" s="1"/>
  <c r="N422" i="1"/>
  <c r="Q355" i="1"/>
  <c r="AF355" i="1" s="1"/>
  <c r="N355" i="1"/>
  <c r="Q359" i="1"/>
  <c r="AF359" i="1" s="1"/>
  <c r="N359" i="1"/>
  <c r="Q88" i="1"/>
  <c r="AF88" i="1" s="1"/>
  <c r="N88" i="1"/>
  <c r="Q361" i="1"/>
  <c r="AF361" i="1" s="1"/>
  <c r="N361" i="1"/>
  <c r="Q309" i="1"/>
  <c r="AF309" i="1" s="1"/>
  <c r="AH309" i="1" s="1"/>
  <c r="N309" i="1"/>
  <c r="Q349" i="1"/>
  <c r="AF349" i="1" s="1"/>
  <c r="N349" i="1"/>
  <c r="Q277" i="1"/>
  <c r="AF277" i="1" s="1"/>
  <c r="N277" i="1"/>
  <c r="Q126" i="1"/>
  <c r="AF126" i="1" s="1"/>
  <c r="N126" i="1"/>
  <c r="Q94" i="1"/>
  <c r="AF94" i="1" s="1"/>
  <c r="N94" i="1"/>
  <c r="Q383" i="1"/>
  <c r="AF383" i="1" s="1"/>
  <c r="N383" i="1"/>
  <c r="Q350" i="1"/>
  <c r="AF350" i="1" s="1"/>
  <c r="N350" i="1"/>
  <c r="Q338" i="1"/>
  <c r="AF338" i="1" s="1"/>
  <c r="N338" i="1"/>
  <c r="Q512" i="1"/>
  <c r="AF512" i="1" s="1"/>
  <c r="N512" i="1"/>
  <c r="Q521" i="1"/>
  <c r="AF521" i="1" s="1"/>
  <c r="N521" i="1"/>
  <c r="Q118" i="1"/>
  <c r="AF118" i="1" s="1"/>
  <c r="N118" i="1"/>
  <c r="Q522" i="1"/>
  <c r="AF522" i="1" s="1"/>
  <c r="N522" i="1"/>
  <c r="Q520" i="1"/>
  <c r="AF520" i="1" s="1"/>
  <c r="N520" i="1"/>
  <c r="Q124" i="1"/>
  <c r="AF124" i="1" s="1"/>
  <c r="N124" i="1"/>
  <c r="Q589" i="1"/>
  <c r="AF589" i="1" s="1"/>
  <c r="N589" i="1"/>
  <c r="Q524" i="1"/>
  <c r="AF524" i="1" s="1"/>
  <c r="N524" i="1"/>
  <c r="Q525" i="1"/>
  <c r="AF525" i="1" s="1"/>
  <c r="N525" i="1"/>
  <c r="Q14" i="1"/>
  <c r="AF14" i="1" s="1"/>
  <c r="N14" i="1"/>
  <c r="Q548" i="1"/>
  <c r="AF548" i="1" s="1"/>
  <c r="N548" i="1"/>
  <c r="Q549" i="1"/>
  <c r="AF549" i="1" s="1"/>
  <c r="N549" i="1"/>
  <c r="Q98" i="1"/>
  <c r="AF98" i="1" s="1"/>
  <c r="N98" i="1"/>
  <c r="Q291" i="1"/>
  <c r="AF291" i="1" s="1"/>
  <c r="N291" i="1"/>
  <c r="Q97" i="1"/>
  <c r="AF97" i="1" s="1"/>
  <c r="N97" i="1"/>
  <c r="Q248" i="1"/>
  <c r="AF248" i="1" s="1"/>
  <c r="N248" i="1"/>
  <c r="Q85" i="1"/>
  <c r="AF85" i="1" s="1"/>
  <c r="N85" i="1"/>
  <c r="Q84" i="1"/>
  <c r="AF84" i="1" s="1"/>
  <c r="N84" i="1"/>
  <c r="Q168" i="1"/>
  <c r="AF168" i="1" s="1"/>
  <c r="N168" i="1"/>
  <c r="Q172" i="1"/>
  <c r="AF172" i="1" s="1"/>
  <c r="N172" i="1"/>
  <c r="Q87" i="1"/>
  <c r="AF87" i="1" s="1"/>
  <c r="N87" i="1"/>
  <c r="Q173" i="1"/>
  <c r="AF173" i="1" s="1"/>
  <c r="N173" i="1"/>
  <c r="Q348" i="1"/>
  <c r="AF348" i="1" s="1"/>
  <c r="N348" i="1"/>
  <c r="Q307" i="1"/>
  <c r="AF307" i="1" s="1"/>
  <c r="N307" i="1"/>
  <c r="Q502" i="1"/>
  <c r="AF502" i="1" s="1"/>
  <c r="N502" i="1"/>
  <c r="Q369" i="1"/>
  <c r="AF369" i="1" s="1"/>
  <c r="N369" i="1"/>
  <c r="Q370" i="1"/>
  <c r="AF370" i="1" s="1"/>
  <c r="N370" i="1"/>
  <c r="Q300" i="1"/>
  <c r="AF300" i="1" s="1"/>
  <c r="N300" i="1"/>
  <c r="N326" i="1"/>
  <c r="Q321" i="1"/>
  <c r="AF321" i="1" s="1"/>
  <c r="N321" i="1"/>
  <c r="Q306" i="1"/>
  <c r="AF306" i="1" s="1"/>
  <c r="N306" i="1"/>
  <c r="Q91" i="1"/>
  <c r="AF91" i="1" s="1"/>
  <c r="N91" i="1"/>
  <c r="N11" i="1"/>
  <c r="Q11" i="1"/>
  <c r="AF11" i="1" s="1"/>
  <c r="Q105" i="1"/>
  <c r="AF105" i="1" s="1"/>
  <c r="N105" i="1"/>
  <c r="N123" i="1"/>
  <c r="Q123" i="1"/>
  <c r="AF123" i="1" s="1"/>
  <c r="N252" i="1"/>
  <c r="Q252" i="1"/>
  <c r="AF252" i="1" s="1"/>
  <c r="Q341" i="1"/>
  <c r="AF341" i="1" s="1"/>
  <c r="N341" i="1"/>
  <c r="Q175" i="1"/>
  <c r="AF175" i="1" s="1"/>
  <c r="N175" i="1"/>
  <c r="Q342" i="1"/>
  <c r="AF342" i="1" s="1"/>
  <c r="N342" i="1"/>
  <c r="Q125" i="1"/>
  <c r="AF125" i="1" s="1"/>
  <c r="N125" i="1"/>
  <c r="Q497" i="1"/>
  <c r="AF497" i="1" s="1"/>
  <c r="N497" i="1"/>
  <c r="Q171" i="1"/>
  <c r="AF171" i="1" s="1"/>
  <c r="N171" i="1"/>
  <c r="CP599" i="1" l="1"/>
  <c r="CS600" i="1"/>
  <c r="CN378" i="1"/>
  <c r="CS378" i="1" s="1"/>
  <c r="DH378" i="1"/>
  <c r="DM600" i="1"/>
  <c r="DJ600" i="1"/>
  <c r="DM599" i="1"/>
  <c r="DJ599" i="1"/>
  <c r="DM598" i="1"/>
  <c r="DJ598" i="1"/>
  <c r="AK252" i="1"/>
  <c r="AZ252" i="1" s="1"/>
  <c r="AH252" i="1"/>
  <c r="AK11" i="1"/>
  <c r="AZ11" i="1" s="1"/>
  <c r="AH11" i="1"/>
  <c r="AK300" i="1"/>
  <c r="AZ300" i="1" s="1"/>
  <c r="AH300" i="1"/>
  <c r="AK173" i="1"/>
  <c r="AZ173" i="1" s="1"/>
  <c r="AH173" i="1"/>
  <c r="AK172" i="1"/>
  <c r="AZ172" i="1" s="1"/>
  <c r="AH172" i="1"/>
  <c r="AK84" i="1"/>
  <c r="AZ84" i="1" s="1"/>
  <c r="AH84" i="1"/>
  <c r="AK248" i="1"/>
  <c r="AZ248" i="1" s="1"/>
  <c r="AH248" i="1"/>
  <c r="AK291" i="1"/>
  <c r="AZ291" i="1" s="1"/>
  <c r="AH291" i="1"/>
  <c r="AK14" i="1"/>
  <c r="AH14" i="1"/>
  <c r="AK525" i="1"/>
  <c r="AZ525" i="1" s="1"/>
  <c r="AH525" i="1"/>
  <c r="AK524" i="1"/>
  <c r="AZ524" i="1" s="1"/>
  <c r="AH524" i="1"/>
  <c r="AK589" i="1"/>
  <c r="AZ589" i="1" s="1"/>
  <c r="AH589" i="1"/>
  <c r="AK124" i="1"/>
  <c r="AZ124" i="1" s="1"/>
  <c r="AH124" i="1"/>
  <c r="AK520" i="1"/>
  <c r="AZ520" i="1" s="1"/>
  <c r="AH520" i="1"/>
  <c r="AK522" i="1"/>
  <c r="AZ522" i="1" s="1"/>
  <c r="AH522" i="1"/>
  <c r="AK118" i="1"/>
  <c r="AZ118" i="1" s="1"/>
  <c r="AH118" i="1"/>
  <c r="AK521" i="1"/>
  <c r="AZ521" i="1" s="1"/>
  <c r="AH521" i="1"/>
  <c r="AK512" i="1"/>
  <c r="AZ512" i="1" s="1"/>
  <c r="AH512" i="1"/>
  <c r="AK338" i="1"/>
  <c r="AZ338" i="1" s="1"/>
  <c r="AH338" i="1"/>
  <c r="AK350" i="1"/>
  <c r="AZ350" i="1" s="1"/>
  <c r="AH350" i="1"/>
  <c r="AK383" i="1"/>
  <c r="AZ383" i="1" s="1"/>
  <c r="AH383" i="1"/>
  <c r="AK94" i="1"/>
  <c r="AZ94" i="1" s="1"/>
  <c r="AH94" i="1"/>
  <c r="AK126" i="1"/>
  <c r="AZ126" i="1" s="1"/>
  <c r="AH126" i="1"/>
  <c r="AK277" i="1"/>
  <c r="AZ277" i="1" s="1"/>
  <c r="AH277" i="1"/>
  <c r="AK349" i="1"/>
  <c r="AZ349" i="1" s="1"/>
  <c r="AH349" i="1"/>
  <c r="AK309" i="1"/>
  <c r="AZ309" i="1" s="1"/>
  <c r="BB309" i="1" s="1"/>
  <c r="AK361" i="1"/>
  <c r="AZ361" i="1" s="1"/>
  <c r="AH361" i="1"/>
  <c r="AK88" i="1"/>
  <c r="AZ88" i="1" s="1"/>
  <c r="AH88" i="1"/>
  <c r="AH359" i="1"/>
  <c r="AK359" i="1"/>
  <c r="AZ359" i="1" s="1"/>
  <c r="AK355" i="1"/>
  <c r="AZ355" i="1" s="1"/>
  <c r="AH355" i="1"/>
  <c r="AK422" i="1"/>
  <c r="AZ422" i="1" s="1"/>
  <c r="BB422" i="1" s="1"/>
  <c r="AK95" i="1"/>
  <c r="AH95" i="1"/>
  <c r="AH90" i="1"/>
  <c r="AK90" i="1"/>
  <c r="AZ90" i="1" s="1"/>
  <c r="AK104" i="1"/>
  <c r="AZ104" i="1" s="1"/>
  <c r="AH104" i="1"/>
  <c r="AK174" i="1"/>
  <c r="AZ174" i="1" s="1"/>
  <c r="AH174" i="1"/>
  <c r="AK93" i="1"/>
  <c r="AZ93" i="1" s="1"/>
  <c r="AH93" i="1"/>
  <c r="AK18" i="1"/>
  <c r="AZ18" i="1" s="1"/>
  <c r="AH18" i="1"/>
  <c r="AK508" i="1"/>
  <c r="AZ508" i="1" s="1"/>
  <c r="AH508" i="1"/>
  <c r="AK43" i="1"/>
  <c r="AZ43" i="1" s="1"/>
  <c r="AH43" i="1"/>
  <c r="AK250" i="1"/>
  <c r="AZ250" i="1" s="1"/>
  <c r="AH250" i="1"/>
  <c r="BE595" i="1"/>
  <c r="BT595" i="1" s="1"/>
  <c r="BE381" i="1"/>
  <c r="BT381" i="1" s="1"/>
  <c r="BB381" i="1"/>
  <c r="BE493" i="1"/>
  <c r="BT493" i="1" s="1"/>
  <c r="BB493" i="1"/>
  <c r="BB249" i="1"/>
  <c r="BE249" i="1"/>
  <c r="BT249" i="1" s="1"/>
  <c r="BE192" i="1"/>
  <c r="BT192" i="1" s="1"/>
  <c r="BB192" i="1"/>
  <c r="BE200" i="1"/>
  <c r="BT200" i="1" s="1"/>
  <c r="BB200" i="1"/>
  <c r="BE371" i="1"/>
  <c r="BT371" i="1" s="1"/>
  <c r="BB371" i="1"/>
  <c r="BE169" i="1"/>
  <c r="BT169" i="1" s="1"/>
  <c r="BB169" i="1"/>
  <c r="BE167" i="1"/>
  <c r="BT167" i="1" s="1"/>
  <c r="BB167" i="1"/>
  <c r="BE251" i="1"/>
  <c r="BT251" i="1" s="1"/>
  <c r="BB251" i="1"/>
  <c r="BE484" i="1"/>
  <c r="BT484" i="1" s="1"/>
  <c r="BB484" i="1"/>
  <c r="BE54" i="1"/>
  <c r="BT54" i="1" s="1"/>
  <c r="BB54" i="1"/>
  <c r="BE588" i="1"/>
  <c r="BT588" i="1" s="1"/>
  <c r="BB588" i="1"/>
  <c r="BE593" i="1"/>
  <c r="BT593" i="1" s="1"/>
  <c r="BB593" i="1"/>
  <c r="BE594" i="1"/>
  <c r="BT594" i="1" s="1"/>
  <c r="BE184" i="1"/>
  <c r="BT184" i="1" s="1"/>
  <c r="BB184" i="1"/>
  <c r="AK123" i="1"/>
  <c r="AZ123" i="1" s="1"/>
  <c r="AH123" i="1"/>
  <c r="AK502" i="1"/>
  <c r="AZ502" i="1" s="1"/>
  <c r="AH502" i="1"/>
  <c r="AK307" i="1"/>
  <c r="AZ307" i="1" s="1"/>
  <c r="AH307" i="1"/>
  <c r="AK348" i="1"/>
  <c r="AZ348" i="1" s="1"/>
  <c r="AH348" i="1"/>
  <c r="AK87" i="1"/>
  <c r="AZ87" i="1" s="1"/>
  <c r="AH87" i="1"/>
  <c r="AK168" i="1"/>
  <c r="AZ168" i="1" s="1"/>
  <c r="AH168" i="1"/>
  <c r="AK85" i="1"/>
  <c r="AZ85" i="1" s="1"/>
  <c r="AH85" i="1"/>
  <c r="AK97" i="1"/>
  <c r="AZ97" i="1" s="1"/>
  <c r="AH97" i="1"/>
  <c r="AK98" i="1"/>
  <c r="AZ98" i="1" s="1"/>
  <c r="AH98" i="1"/>
  <c r="AH171" i="1"/>
  <c r="AK171" i="1"/>
  <c r="AZ171" i="1" s="1"/>
  <c r="AK497" i="1"/>
  <c r="AZ497" i="1" s="1"/>
  <c r="AH497" i="1"/>
  <c r="AH125" i="1"/>
  <c r="AK125" i="1"/>
  <c r="AZ125" i="1" s="1"/>
  <c r="AK342" i="1"/>
  <c r="AZ342" i="1" s="1"/>
  <c r="AH342" i="1"/>
  <c r="AH175" i="1"/>
  <c r="AK175" i="1"/>
  <c r="AZ175" i="1" s="1"/>
  <c r="AK341" i="1"/>
  <c r="AZ341" i="1" s="1"/>
  <c r="AH341" i="1"/>
  <c r="AK105" i="1"/>
  <c r="AZ105" i="1" s="1"/>
  <c r="AH105" i="1"/>
  <c r="AH306" i="1"/>
  <c r="AK306" i="1"/>
  <c r="AZ306" i="1" s="1"/>
  <c r="AH321" i="1"/>
  <c r="AK321" i="1"/>
  <c r="AZ321" i="1" s="1"/>
  <c r="AK52" i="1"/>
  <c r="AZ52" i="1" s="1"/>
  <c r="AH52" i="1"/>
  <c r="BB122" i="1"/>
  <c r="BE122" i="1"/>
  <c r="BT122" i="1" s="1"/>
  <c r="BE592" i="1"/>
  <c r="BT592" i="1" s="1"/>
  <c r="BB592" i="1"/>
  <c r="BB529" i="1"/>
  <c r="BE529" i="1"/>
  <c r="BT529" i="1" s="1"/>
  <c r="BB254" i="1"/>
  <c r="BE254" i="1"/>
  <c r="BT254" i="1" s="1"/>
  <c r="BB121" i="1"/>
  <c r="BE121" i="1"/>
  <c r="BT121" i="1" s="1"/>
  <c r="AK548" i="1"/>
  <c r="AZ548" i="1" s="1"/>
  <c r="AH548" i="1"/>
  <c r="AK549" i="1"/>
  <c r="AZ549" i="1" s="1"/>
  <c r="AH549" i="1"/>
  <c r="AK370" i="1"/>
  <c r="AZ370" i="1" s="1"/>
  <c r="AH370" i="1"/>
  <c r="AK369" i="1"/>
  <c r="AZ369" i="1" s="1"/>
  <c r="AH369" i="1"/>
  <c r="AH326" i="1"/>
  <c r="BB188" i="1"/>
  <c r="BE188" i="1"/>
  <c r="BT188" i="1" s="1"/>
  <c r="BE191" i="1"/>
  <c r="BT191" i="1" s="1"/>
  <c r="BB191" i="1"/>
  <c r="BE187" i="1"/>
  <c r="BT187" i="1" s="1"/>
  <c r="BB187" i="1"/>
  <c r="AK91" i="1"/>
  <c r="AZ91" i="1" s="1"/>
  <c r="AH91" i="1"/>
  <c r="Q23" i="1"/>
  <c r="AF23" i="1" s="1"/>
  <c r="N23" i="1"/>
  <c r="Q120" i="1"/>
  <c r="AF120" i="1" s="1"/>
  <c r="N120" i="1"/>
  <c r="Q114" i="1"/>
  <c r="AF114" i="1" s="1"/>
  <c r="N114" i="1"/>
  <c r="Q89" i="1"/>
  <c r="AF89" i="1" s="1"/>
  <c r="N89" i="1"/>
  <c r="CP378" i="1" l="1"/>
  <c r="DJ378" i="1"/>
  <c r="DM378" i="1"/>
  <c r="BE105" i="1"/>
  <c r="BT105" i="1" s="1"/>
  <c r="BB105" i="1"/>
  <c r="BE497" i="1"/>
  <c r="BT497" i="1" s="1"/>
  <c r="BB497" i="1"/>
  <c r="BE98" i="1"/>
  <c r="BT98" i="1" s="1"/>
  <c r="BB98" i="1"/>
  <c r="BE85" i="1"/>
  <c r="BT85" i="1" s="1"/>
  <c r="BB85" i="1"/>
  <c r="BE87" i="1"/>
  <c r="BT87" i="1" s="1"/>
  <c r="BB87" i="1"/>
  <c r="BE307" i="1"/>
  <c r="BT307" i="1" s="1"/>
  <c r="BB307" i="1"/>
  <c r="BE123" i="1"/>
  <c r="BT123" i="1" s="1"/>
  <c r="BB123" i="1"/>
  <c r="BY184" i="1"/>
  <c r="BV184" i="1"/>
  <c r="BY593" i="1"/>
  <c r="BV593" i="1"/>
  <c r="BY54" i="1"/>
  <c r="BV54" i="1"/>
  <c r="BY484" i="1"/>
  <c r="BV484" i="1"/>
  <c r="BY251" i="1"/>
  <c r="BV251" i="1"/>
  <c r="BY167" i="1"/>
  <c r="BV167" i="1"/>
  <c r="BY169" i="1"/>
  <c r="BV169" i="1"/>
  <c r="BY371" i="1"/>
  <c r="BV371" i="1"/>
  <c r="BY200" i="1"/>
  <c r="BV200" i="1"/>
  <c r="BY192" i="1"/>
  <c r="BV192" i="1"/>
  <c r="BY493" i="1"/>
  <c r="BV493" i="1"/>
  <c r="BY381" i="1"/>
  <c r="BV381" i="1"/>
  <c r="BY595" i="1"/>
  <c r="BV595" i="1"/>
  <c r="BE250" i="1"/>
  <c r="BT250" i="1" s="1"/>
  <c r="BB250" i="1"/>
  <c r="BE43" i="1"/>
  <c r="BT43" i="1" s="1"/>
  <c r="BB43" i="1"/>
  <c r="BE508" i="1"/>
  <c r="BT508" i="1" s="1"/>
  <c r="BB508" i="1"/>
  <c r="BE18" i="1"/>
  <c r="BB18" i="1"/>
  <c r="BE93" i="1"/>
  <c r="BT93" i="1" s="1"/>
  <c r="BB93" i="1"/>
  <c r="BE174" i="1"/>
  <c r="BT174" i="1" s="1"/>
  <c r="BB174" i="1"/>
  <c r="BE104" i="1"/>
  <c r="BT104" i="1" s="1"/>
  <c r="BB104" i="1"/>
  <c r="BE95" i="1"/>
  <c r="BT95" i="1" s="1"/>
  <c r="BB95" i="1"/>
  <c r="BE422" i="1"/>
  <c r="BT422" i="1" s="1"/>
  <c r="BV422" i="1" s="1"/>
  <c r="BE355" i="1"/>
  <c r="BT355" i="1" s="1"/>
  <c r="BB355" i="1"/>
  <c r="BE88" i="1"/>
  <c r="BT88" i="1" s="1"/>
  <c r="BB88" i="1"/>
  <c r="BE361" i="1"/>
  <c r="BT361" i="1" s="1"/>
  <c r="BB361" i="1"/>
  <c r="BE309" i="1"/>
  <c r="BT309" i="1" s="1"/>
  <c r="BV309" i="1" s="1"/>
  <c r="BE349" i="1"/>
  <c r="BT349" i="1" s="1"/>
  <c r="BB349" i="1"/>
  <c r="BE277" i="1"/>
  <c r="BT277" i="1" s="1"/>
  <c r="BB277" i="1"/>
  <c r="BE126" i="1"/>
  <c r="BT126" i="1" s="1"/>
  <c r="BB126" i="1"/>
  <c r="BE94" i="1"/>
  <c r="BT94" i="1" s="1"/>
  <c r="BB94" i="1"/>
  <c r="BE383" i="1"/>
  <c r="BT383" i="1" s="1"/>
  <c r="BB383" i="1"/>
  <c r="BE350" i="1"/>
  <c r="BT350" i="1" s="1"/>
  <c r="BB350" i="1"/>
  <c r="BE338" i="1"/>
  <c r="BT338" i="1" s="1"/>
  <c r="BB338" i="1"/>
  <c r="BE512" i="1"/>
  <c r="BT512" i="1" s="1"/>
  <c r="BB512" i="1"/>
  <c r="BE521" i="1"/>
  <c r="BT521" i="1" s="1"/>
  <c r="BB521" i="1"/>
  <c r="BE118" i="1"/>
  <c r="BT118" i="1" s="1"/>
  <c r="BB118" i="1"/>
  <c r="BE522" i="1"/>
  <c r="BT522" i="1" s="1"/>
  <c r="BB522" i="1"/>
  <c r="BE520" i="1"/>
  <c r="BT520" i="1" s="1"/>
  <c r="BB520" i="1"/>
  <c r="BE124" i="1"/>
  <c r="BB124" i="1"/>
  <c r="BE589" i="1"/>
  <c r="BT589" i="1" s="1"/>
  <c r="BB589" i="1"/>
  <c r="BE524" i="1"/>
  <c r="BT524" i="1" s="1"/>
  <c r="BB524" i="1"/>
  <c r="BE525" i="1"/>
  <c r="BT525" i="1" s="1"/>
  <c r="BB525" i="1"/>
  <c r="BE14" i="1"/>
  <c r="BT14" i="1" s="1"/>
  <c r="BB14" i="1"/>
  <c r="BE291" i="1"/>
  <c r="BT291" i="1" s="1"/>
  <c r="BB291" i="1"/>
  <c r="BE248" i="1"/>
  <c r="BT248" i="1" s="1"/>
  <c r="BB248" i="1"/>
  <c r="BE84" i="1"/>
  <c r="BT84" i="1" s="1"/>
  <c r="BB84" i="1"/>
  <c r="BE172" i="1"/>
  <c r="BT172" i="1" s="1"/>
  <c r="BB172" i="1"/>
  <c r="BE173" i="1"/>
  <c r="BT173" i="1" s="1"/>
  <c r="BB173" i="1"/>
  <c r="BE300" i="1"/>
  <c r="BT300" i="1" s="1"/>
  <c r="BB300" i="1"/>
  <c r="BE11" i="1"/>
  <c r="BT11" i="1" s="1"/>
  <c r="BB11" i="1"/>
  <c r="BE252" i="1"/>
  <c r="BT252" i="1" s="1"/>
  <c r="BB252" i="1"/>
  <c r="BY592" i="1"/>
  <c r="BV592" i="1"/>
  <c r="BE52" i="1"/>
  <c r="BT52" i="1" s="1"/>
  <c r="BB52" i="1"/>
  <c r="BE341" i="1"/>
  <c r="BT341" i="1" s="1"/>
  <c r="BB341" i="1"/>
  <c r="BE342" i="1"/>
  <c r="BT342" i="1" s="1"/>
  <c r="BB342" i="1"/>
  <c r="BE97" i="1"/>
  <c r="BT97" i="1" s="1"/>
  <c r="BB97" i="1"/>
  <c r="BE168" i="1"/>
  <c r="BT168" i="1" s="1"/>
  <c r="BB168" i="1"/>
  <c r="BB348" i="1"/>
  <c r="BE348" i="1"/>
  <c r="BT348" i="1" s="1"/>
  <c r="BE502" i="1"/>
  <c r="BT502" i="1" s="1"/>
  <c r="BB502" i="1"/>
  <c r="BY594" i="1"/>
  <c r="BV594" i="1"/>
  <c r="BY588" i="1"/>
  <c r="BV588" i="1"/>
  <c r="AK89" i="1"/>
  <c r="AZ89" i="1" s="1"/>
  <c r="AH89" i="1"/>
  <c r="AK114" i="1"/>
  <c r="AZ114" i="1" s="1"/>
  <c r="AH114" i="1"/>
  <c r="AK120" i="1"/>
  <c r="AZ120" i="1" s="1"/>
  <c r="AH120" i="1"/>
  <c r="AK23" i="1"/>
  <c r="AZ23" i="1" s="1"/>
  <c r="AH23" i="1"/>
  <c r="BY121" i="1"/>
  <c r="BV121" i="1"/>
  <c r="BV254" i="1"/>
  <c r="BY254" i="1"/>
  <c r="BV529" i="1"/>
  <c r="BY529" i="1"/>
  <c r="CN529" i="1" s="1"/>
  <c r="BV122" i="1"/>
  <c r="BY122" i="1"/>
  <c r="BB321" i="1"/>
  <c r="BE321" i="1"/>
  <c r="BT321" i="1" s="1"/>
  <c r="BE306" i="1"/>
  <c r="BT306" i="1" s="1"/>
  <c r="BB306" i="1"/>
  <c r="BB175" i="1"/>
  <c r="BE175" i="1"/>
  <c r="BT175" i="1" s="1"/>
  <c r="BB125" i="1"/>
  <c r="BE125" i="1"/>
  <c r="BT125" i="1" s="1"/>
  <c r="BB171" i="1"/>
  <c r="BE171" i="1"/>
  <c r="BT171" i="1" s="1"/>
  <c r="BV249" i="1"/>
  <c r="BY249" i="1"/>
  <c r="BE90" i="1"/>
  <c r="BT90" i="1" s="1"/>
  <c r="BB90" i="1"/>
  <c r="BB359" i="1"/>
  <c r="BE359" i="1"/>
  <c r="BT359" i="1" s="1"/>
  <c r="BE548" i="1"/>
  <c r="BT548" i="1" s="1"/>
  <c r="BB548" i="1"/>
  <c r="BE549" i="1"/>
  <c r="BT549" i="1" s="1"/>
  <c r="BB549" i="1"/>
  <c r="BB370" i="1"/>
  <c r="BE370" i="1"/>
  <c r="BT370" i="1" s="1"/>
  <c r="BB369" i="1"/>
  <c r="BE369" i="1"/>
  <c r="BT369" i="1" s="1"/>
  <c r="BB326" i="1"/>
  <c r="BY191" i="1"/>
  <c r="BV191" i="1"/>
  <c r="BY187" i="1"/>
  <c r="BV187" i="1"/>
  <c r="BV188" i="1"/>
  <c r="BY188" i="1"/>
  <c r="BE91" i="1"/>
  <c r="BT91" i="1" s="1"/>
  <c r="BB91" i="1"/>
  <c r="CN588" i="1" l="1"/>
  <c r="CP588" i="1" s="1"/>
  <c r="DH588" i="1"/>
  <c r="CN381" i="1"/>
  <c r="CS381" i="1" s="1"/>
  <c r="DH381" i="1"/>
  <c r="CN371" i="1"/>
  <c r="CP371" i="1" s="1"/>
  <c r="DH371" i="1"/>
  <c r="CN484" i="1"/>
  <c r="CS484" i="1" s="1"/>
  <c r="DH484" i="1"/>
  <c r="CN594" i="1"/>
  <c r="CS594" i="1" s="1"/>
  <c r="DH594" i="1"/>
  <c r="CN592" i="1"/>
  <c r="CP592" i="1" s="1"/>
  <c r="DH592" i="1"/>
  <c r="CN493" i="1"/>
  <c r="CP493" i="1" s="1"/>
  <c r="DH493" i="1"/>
  <c r="CN169" i="1"/>
  <c r="CS169" i="1" s="1"/>
  <c r="DH169" i="1"/>
  <c r="CN54" i="1"/>
  <c r="CP54" i="1" s="1"/>
  <c r="DH54" i="1"/>
  <c r="CN187" i="1"/>
  <c r="CP187" i="1" s="1"/>
  <c r="DH187" i="1"/>
  <c r="CN249" i="1"/>
  <c r="CP249" i="1" s="1"/>
  <c r="DH249" i="1"/>
  <c r="CN254" i="1"/>
  <c r="CP254" i="1" s="1"/>
  <c r="DH254" i="1"/>
  <c r="CN192" i="1"/>
  <c r="CP192" i="1" s="1"/>
  <c r="DH192" i="1"/>
  <c r="CN167" i="1"/>
  <c r="CP167" i="1" s="1"/>
  <c r="DH167" i="1"/>
  <c r="CN593" i="1"/>
  <c r="CS593" i="1" s="1"/>
  <c r="DH593" i="1"/>
  <c r="CN122" i="1"/>
  <c r="CS122" i="1" s="1"/>
  <c r="DH122" i="1"/>
  <c r="CN191" i="1"/>
  <c r="CS191" i="1" s="1"/>
  <c r="DH191" i="1"/>
  <c r="CN188" i="1"/>
  <c r="CS188" i="1" s="1"/>
  <c r="DH188" i="1"/>
  <c r="CN121" i="1"/>
  <c r="CS121" i="1" s="1"/>
  <c r="DH121" i="1"/>
  <c r="CN595" i="1"/>
  <c r="CS595" i="1" s="1"/>
  <c r="DH595" i="1"/>
  <c r="CN200" i="1"/>
  <c r="CP200" i="1" s="1"/>
  <c r="DH200" i="1"/>
  <c r="CN251" i="1"/>
  <c r="CP251" i="1" s="1"/>
  <c r="DH251" i="1"/>
  <c r="CN184" i="1"/>
  <c r="CS184" i="1" s="1"/>
  <c r="DH184" i="1"/>
  <c r="BE23" i="1"/>
  <c r="BT23" i="1" s="1"/>
  <c r="BB23" i="1"/>
  <c r="BE120" i="1"/>
  <c r="BT120" i="1" s="1"/>
  <c r="BB120" i="1"/>
  <c r="BE114" i="1"/>
  <c r="BT114" i="1" s="1"/>
  <c r="BB114" i="1"/>
  <c r="BE89" i="1"/>
  <c r="BT89" i="1" s="1"/>
  <c r="BB89" i="1"/>
  <c r="BY502" i="1"/>
  <c r="BV502" i="1"/>
  <c r="BY168" i="1"/>
  <c r="BV168" i="1"/>
  <c r="BY97" i="1"/>
  <c r="BV97" i="1"/>
  <c r="BY342" i="1"/>
  <c r="BV342" i="1"/>
  <c r="BY341" i="1"/>
  <c r="BV341" i="1"/>
  <c r="BY52" i="1"/>
  <c r="BV52" i="1"/>
  <c r="BY252" i="1"/>
  <c r="BV252" i="1"/>
  <c r="BV11" i="1"/>
  <c r="BY11" i="1"/>
  <c r="BV300" i="1"/>
  <c r="BY300" i="1"/>
  <c r="BY173" i="1"/>
  <c r="BV173" i="1"/>
  <c r="BY172" i="1"/>
  <c r="BV172" i="1"/>
  <c r="BY84" i="1"/>
  <c r="BV84" i="1"/>
  <c r="BY248" i="1"/>
  <c r="BV248" i="1"/>
  <c r="BY291" i="1"/>
  <c r="BV291" i="1"/>
  <c r="BY14" i="1"/>
  <c r="BV14" i="1"/>
  <c r="BY525" i="1"/>
  <c r="BV525" i="1"/>
  <c r="BY524" i="1"/>
  <c r="BV524" i="1"/>
  <c r="BY589" i="1"/>
  <c r="BV589" i="1"/>
  <c r="BY124" i="1"/>
  <c r="BV124" i="1"/>
  <c r="BY520" i="1"/>
  <c r="CN520" i="1" s="1"/>
  <c r="BV520" i="1"/>
  <c r="BY522" i="1"/>
  <c r="BV522" i="1"/>
  <c r="BY118" i="1"/>
  <c r="BV118" i="1"/>
  <c r="BY521" i="1"/>
  <c r="BV521" i="1"/>
  <c r="BY512" i="1"/>
  <c r="BV512" i="1"/>
  <c r="BY338" i="1"/>
  <c r="BV338" i="1"/>
  <c r="BY350" i="1"/>
  <c r="BV350" i="1"/>
  <c r="BY383" i="1"/>
  <c r="BV383" i="1"/>
  <c r="BY94" i="1"/>
  <c r="BV94" i="1"/>
  <c r="BY126" i="1"/>
  <c r="BV126" i="1"/>
  <c r="BY277" i="1"/>
  <c r="BV277" i="1"/>
  <c r="BY349" i="1"/>
  <c r="BV349" i="1"/>
  <c r="BY309" i="1"/>
  <c r="BY361" i="1"/>
  <c r="BV361" i="1"/>
  <c r="BY88" i="1"/>
  <c r="BV88" i="1"/>
  <c r="BY355" i="1"/>
  <c r="BV355" i="1"/>
  <c r="BY422" i="1"/>
  <c r="BY95" i="1"/>
  <c r="BV95" i="1"/>
  <c r="BY104" i="1"/>
  <c r="BV104" i="1"/>
  <c r="BY174" i="1"/>
  <c r="BV174" i="1"/>
  <c r="BY93" i="1"/>
  <c r="BV93" i="1"/>
  <c r="BY18" i="1"/>
  <c r="BV18" i="1"/>
  <c r="BY508" i="1"/>
  <c r="BV508" i="1"/>
  <c r="BV43" i="1"/>
  <c r="BY43" i="1"/>
  <c r="BY250" i="1"/>
  <c r="BV250" i="1"/>
  <c r="BY123" i="1"/>
  <c r="BV123" i="1"/>
  <c r="BY307" i="1"/>
  <c r="BV307" i="1"/>
  <c r="BY87" i="1"/>
  <c r="BV87" i="1"/>
  <c r="BY85" i="1"/>
  <c r="BV85" i="1"/>
  <c r="BV98" i="1"/>
  <c r="BY98" i="1"/>
  <c r="BY497" i="1"/>
  <c r="BV497" i="1"/>
  <c r="BY105" i="1"/>
  <c r="BV105" i="1"/>
  <c r="BY90" i="1"/>
  <c r="BV90" i="1"/>
  <c r="BY306" i="1"/>
  <c r="BV306" i="1"/>
  <c r="BV359" i="1"/>
  <c r="BY359" i="1"/>
  <c r="BV171" i="1"/>
  <c r="BY171" i="1"/>
  <c r="BV125" i="1"/>
  <c r="BY125" i="1"/>
  <c r="BV175" i="1"/>
  <c r="BY175" i="1"/>
  <c r="BY321" i="1"/>
  <c r="BV321" i="1"/>
  <c r="CS529" i="1"/>
  <c r="DH529" i="1" s="1"/>
  <c r="CP529" i="1"/>
  <c r="BV348" i="1"/>
  <c r="BY348" i="1"/>
  <c r="BY548" i="1"/>
  <c r="BV548" i="1"/>
  <c r="BY549" i="1"/>
  <c r="BV549" i="1"/>
  <c r="BV370" i="1"/>
  <c r="BY370" i="1"/>
  <c r="BV369" i="1"/>
  <c r="BY369" i="1"/>
  <c r="BV326" i="1"/>
  <c r="BY91" i="1"/>
  <c r="BV91" i="1"/>
  <c r="Q495" i="1"/>
  <c r="AF495" i="1" s="1"/>
  <c r="N495" i="1"/>
  <c r="CS251" i="1" l="1"/>
  <c r="CP594" i="1"/>
  <c r="CS192" i="1"/>
  <c r="CS592" i="1"/>
  <c r="CP593" i="1"/>
  <c r="CS588" i="1"/>
  <c r="CS371" i="1"/>
  <c r="CP381" i="1"/>
  <c r="CP191" i="1"/>
  <c r="CP188" i="1"/>
  <c r="CS200" i="1"/>
  <c r="CP121" i="1"/>
  <c r="CS493" i="1"/>
  <c r="CS249" i="1"/>
  <c r="CP595" i="1"/>
  <c r="CS254" i="1"/>
  <c r="CS54" i="1"/>
  <c r="CP484" i="1"/>
  <c r="CS167" i="1"/>
  <c r="CS187" i="1"/>
  <c r="CP122" i="1"/>
  <c r="CP184" i="1"/>
  <c r="CP169" i="1"/>
  <c r="CN88" i="1"/>
  <c r="CS88" i="1" s="1"/>
  <c r="DH88" i="1"/>
  <c r="CN300" i="1"/>
  <c r="CS300" i="1" s="1"/>
  <c r="DH300" i="1"/>
  <c r="DJ529" i="1"/>
  <c r="DM529" i="1"/>
  <c r="CN306" i="1"/>
  <c r="CS306" i="1" s="1"/>
  <c r="DH306" i="1"/>
  <c r="CN123" i="1"/>
  <c r="CP123" i="1" s="1"/>
  <c r="DH123" i="1"/>
  <c r="CN508" i="1"/>
  <c r="CS508" i="1" s="1"/>
  <c r="DH508" i="1"/>
  <c r="CN104" i="1"/>
  <c r="CP104" i="1" s="1"/>
  <c r="DH104" i="1"/>
  <c r="CN126" i="1"/>
  <c r="CS126" i="1" s="1"/>
  <c r="DH126" i="1"/>
  <c r="CN338" i="1"/>
  <c r="CP338" i="1" s="1"/>
  <c r="DH338" i="1"/>
  <c r="CN522" i="1"/>
  <c r="CS522" i="1" s="1"/>
  <c r="DH522" i="1"/>
  <c r="CN524" i="1"/>
  <c r="CS524" i="1" s="1"/>
  <c r="DH524" i="1"/>
  <c r="CN248" i="1"/>
  <c r="CS248" i="1" s="1"/>
  <c r="DH248" i="1"/>
  <c r="CN52" i="1"/>
  <c r="CP52" i="1" s="1"/>
  <c r="DH52" i="1"/>
  <c r="CN168" i="1"/>
  <c r="CS168" i="1" s="1"/>
  <c r="DH168" i="1"/>
  <c r="CN549" i="1"/>
  <c r="CP549" i="1" s="1"/>
  <c r="DH549" i="1"/>
  <c r="CN171" i="1"/>
  <c r="CS171" i="1" s="1"/>
  <c r="DH171" i="1"/>
  <c r="CN361" i="1"/>
  <c r="CS361" i="1" s="1"/>
  <c r="DH361" i="1"/>
  <c r="CN11" i="1"/>
  <c r="CP11" i="1" s="1"/>
  <c r="DH11" i="1"/>
  <c r="DM184" i="1"/>
  <c r="DJ184" i="1"/>
  <c r="DM121" i="1"/>
  <c r="DJ121" i="1"/>
  <c r="DM593" i="1"/>
  <c r="DJ593" i="1"/>
  <c r="DM249" i="1"/>
  <c r="DJ249" i="1"/>
  <c r="DJ493" i="1"/>
  <c r="DM493" i="1"/>
  <c r="DM371" i="1"/>
  <c r="DJ371" i="1"/>
  <c r="CN125" i="1"/>
  <c r="CP125" i="1" s="1"/>
  <c r="DH125" i="1"/>
  <c r="DM122" i="1"/>
  <c r="DJ122" i="1"/>
  <c r="CN548" i="1"/>
  <c r="CS548" i="1" s="1"/>
  <c r="DH548" i="1"/>
  <c r="CN90" i="1"/>
  <c r="CS90" i="1" s="1"/>
  <c r="DH90" i="1"/>
  <c r="CN85" i="1"/>
  <c r="CS85" i="1" s="1"/>
  <c r="DH85" i="1"/>
  <c r="CN18" i="1"/>
  <c r="CS18" i="1" s="1"/>
  <c r="DH18" i="1"/>
  <c r="CN95" i="1"/>
  <c r="CS95" i="1" s="1"/>
  <c r="DH95" i="1"/>
  <c r="CN309" i="1"/>
  <c r="CP309" i="1" s="1"/>
  <c r="DH309" i="1"/>
  <c r="CN512" i="1"/>
  <c r="CS512" i="1" s="1"/>
  <c r="DH512" i="1"/>
  <c r="CN525" i="1"/>
  <c r="CS525" i="1" s="1"/>
  <c r="DH525" i="1"/>
  <c r="CN84" i="1"/>
  <c r="CP84" i="1" s="1"/>
  <c r="DH84" i="1"/>
  <c r="CN341" i="1"/>
  <c r="CS341" i="1" s="1"/>
  <c r="DH341" i="1"/>
  <c r="CN502" i="1"/>
  <c r="CP502" i="1" s="1"/>
  <c r="DH502" i="1"/>
  <c r="DJ484" i="1"/>
  <c r="DM484" i="1"/>
  <c r="CN91" i="1"/>
  <c r="CS91" i="1" s="1"/>
  <c r="DH91" i="1"/>
  <c r="CN369" i="1"/>
  <c r="CP369" i="1" s="1"/>
  <c r="DH369" i="1"/>
  <c r="CN348" i="1"/>
  <c r="CS348" i="1" s="1"/>
  <c r="DH348" i="1"/>
  <c r="CN422" i="1"/>
  <c r="CP422" i="1" s="1"/>
  <c r="DH422" i="1"/>
  <c r="DM251" i="1"/>
  <c r="DJ251" i="1"/>
  <c r="DM188" i="1"/>
  <c r="DJ188" i="1"/>
  <c r="DM167" i="1"/>
  <c r="DJ167" i="1"/>
  <c r="DJ187" i="1"/>
  <c r="DM187" i="1"/>
  <c r="DM592" i="1"/>
  <c r="DJ592" i="1"/>
  <c r="DM381" i="1"/>
  <c r="DJ381" i="1"/>
  <c r="CN98" i="1"/>
  <c r="CP98" i="1" s="1"/>
  <c r="DH98" i="1"/>
  <c r="DM169" i="1"/>
  <c r="DJ169" i="1"/>
  <c r="CN321" i="1"/>
  <c r="CP321" i="1" s="1"/>
  <c r="DH321" i="1"/>
  <c r="CN105" i="1"/>
  <c r="CS105" i="1" s="1"/>
  <c r="DH105" i="1"/>
  <c r="CN87" i="1"/>
  <c r="CS87" i="1" s="1"/>
  <c r="DH87" i="1"/>
  <c r="CN250" i="1"/>
  <c r="CS250" i="1" s="1"/>
  <c r="DH250" i="1"/>
  <c r="CN93" i="1"/>
  <c r="CP93" i="1" s="1"/>
  <c r="DH93" i="1"/>
  <c r="CN349" i="1"/>
  <c r="CS349" i="1" s="1"/>
  <c r="DH349" i="1"/>
  <c r="CN383" i="1"/>
  <c r="CS383" i="1" s="1"/>
  <c r="DH383" i="1"/>
  <c r="CN521" i="1"/>
  <c r="CP521" i="1" s="1"/>
  <c r="DH521" i="1"/>
  <c r="CN124" i="1"/>
  <c r="CS124" i="1" s="1"/>
  <c r="DH124" i="1"/>
  <c r="CN14" i="1"/>
  <c r="CS14" i="1" s="1"/>
  <c r="DH14" i="1"/>
  <c r="CN172" i="1"/>
  <c r="CS172" i="1" s="1"/>
  <c r="DH172" i="1"/>
  <c r="CN252" i="1"/>
  <c r="CS252" i="1" s="1"/>
  <c r="DH252" i="1"/>
  <c r="CN342" i="1"/>
  <c r="CS342" i="1" s="1"/>
  <c r="DH342" i="1"/>
  <c r="DM595" i="1"/>
  <c r="DJ595" i="1"/>
  <c r="CN370" i="1"/>
  <c r="CS370" i="1" s="1"/>
  <c r="DH370" i="1"/>
  <c r="CN175" i="1"/>
  <c r="CS175" i="1" s="1"/>
  <c r="DH175" i="1"/>
  <c r="CN359" i="1"/>
  <c r="CS359" i="1" s="1"/>
  <c r="DH359" i="1"/>
  <c r="CN43" i="1"/>
  <c r="CS43" i="1" s="1"/>
  <c r="DH43" i="1"/>
  <c r="CN355" i="1"/>
  <c r="CS355" i="1" s="1"/>
  <c r="DH355" i="1"/>
  <c r="DM200" i="1"/>
  <c r="DJ200" i="1"/>
  <c r="DJ191" i="1"/>
  <c r="DM191" i="1"/>
  <c r="DJ192" i="1"/>
  <c r="DM192" i="1"/>
  <c r="DJ54" i="1"/>
  <c r="DM54" i="1"/>
  <c r="DM594" i="1"/>
  <c r="DJ594" i="1"/>
  <c r="DJ588" i="1"/>
  <c r="DM588" i="1"/>
  <c r="DM254" i="1"/>
  <c r="DJ254" i="1"/>
  <c r="CN497" i="1"/>
  <c r="CP497" i="1" s="1"/>
  <c r="DH497" i="1"/>
  <c r="CN307" i="1"/>
  <c r="CS307" i="1" s="1"/>
  <c r="DH307" i="1"/>
  <c r="CN174" i="1"/>
  <c r="CS174" i="1" s="1"/>
  <c r="DH174" i="1"/>
  <c r="CN277" i="1"/>
  <c r="CS277" i="1" s="1"/>
  <c r="DH277" i="1"/>
  <c r="CN350" i="1"/>
  <c r="CP350" i="1" s="1"/>
  <c r="DH350" i="1"/>
  <c r="CN118" i="1"/>
  <c r="CS118" i="1" s="1"/>
  <c r="DH118" i="1"/>
  <c r="CN589" i="1"/>
  <c r="CS589" i="1" s="1"/>
  <c r="DH589" i="1"/>
  <c r="CN291" i="1"/>
  <c r="CP291" i="1" s="1"/>
  <c r="DH291" i="1"/>
  <c r="CN173" i="1"/>
  <c r="CP173" i="1" s="1"/>
  <c r="DH173" i="1"/>
  <c r="CN97" i="1"/>
  <c r="CS97" i="1" s="1"/>
  <c r="DH97" i="1"/>
  <c r="CN94" i="1"/>
  <c r="CS94" i="1" s="1"/>
  <c r="DH94" i="1"/>
  <c r="CS520" i="1"/>
  <c r="DH520" i="1" s="1"/>
  <c r="CP520" i="1"/>
  <c r="BY89" i="1"/>
  <c r="BV89" i="1"/>
  <c r="BY114" i="1"/>
  <c r="BV114" i="1"/>
  <c r="BY120" i="1"/>
  <c r="BV120" i="1"/>
  <c r="BY23" i="1"/>
  <c r="BV23" i="1"/>
  <c r="AH495" i="1"/>
  <c r="AK495" i="1"/>
  <c r="AZ495" i="1" s="1"/>
  <c r="CP326" i="1"/>
  <c r="Q494" i="1"/>
  <c r="AF494" i="1" s="1"/>
  <c r="N494" i="1"/>
  <c r="Q480" i="1"/>
  <c r="AF480" i="1" s="1"/>
  <c r="N480" i="1"/>
  <c r="Q479" i="1"/>
  <c r="AF479" i="1" s="1"/>
  <c r="N479" i="1"/>
  <c r="CP383" i="1" l="1"/>
  <c r="CP361" i="1"/>
  <c r="CS123" i="1"/>
  <c r="CS338" i="1"/>
  <c r="CS125" i="1"/>
  <c r="CS52" i="1"/>
  <c r="CP348" i="1"/>
  <c r="CP512" i="1"/>
  <c r="CS502" i="1"/>
  <c r="CP370" i="1"/>
  <c r="CS422" i="1"/>
  <c r="CP525" i="1"/>
  <c r="CP172" i="1"/>
  <c r="CP88" i="1"/>
  <c r="CS173" i="1"/>
  <c r="CP508" i="1"/>
  <c r="CP300" i="1"/>
  <c r="CP250" i="1"/>
  <c r="CP522" i="1"/>
  <c r="CP252" i="1"/>
  <c r="CS521" i="1"/>
  <c r="CP175" i="1"/>
  <c r="CS98" i="1"/>
  <c r="CP355" i="1"/>
  <c r="CS350" i="1"/>
  <c r="CP307" i="1"/>
  <c r="CS104" i="1"/>
  <c r="CP124" i="1"/>
  <c r="CP359" i="1"/>
  <c r="CS549" i="1"/>
  <c r="CP548" i="1"/>
  <c r="CP342" i="1"/>
  <c r="CP524" i="1"/>
  <c r="CP95" i="1"/>
  <c r="CS321" i="1"/>
  <c r="CP97" i="1"/>
  <c r="CP168" i="1"/>
  <c r="CP91" i="1"/>
  <c r="CP85" i="1"/>
  <c r="CS84" i="1"/>
  <c r="CP118" i="1"/>
  <c r="CP87" i="1"/>
  <c r="CS11" i="1"/>
  <c r="CP18" i="1"/>
  <c r="CP171" i="1"/>
  <c r="CP94" i="1"/>
  <c r="CP341" i="1"/>
  <c r="CP349" i="1"/>
  <c r="CP14" i="1"/>
  <c r="CS497" i="1"/>
  <c r="CS93" i="1"/>
  <c r="CS309" i="1"/>
  <c r="CP43" i="1"/>
  <c r="CS369" i="1"/>
  <c r="CP105" i="1"/>
  <c r="CP248" i="1"/>
  <c r="CP126" i="1"/>
  <c r="CP90" i="1"/>
  <c r="CP306" i="1"/>
  <c r="CS291" i="1"/>
  <c r="CP589" i="1"/>
  <c r="CP277" i="1"/>
  <c r="CP174" i="1"/>
  <c r="DM291" i="1"/>
  <c r="DJ291" i="1"/>
  <c r="DM277" i="1"/>
  <c r="DJ277" i="1"/>
  <c r="DM43" i="1"/>
  <c r="DJ43" i="1"/>
  <c r="DM14" i="1"/>
  <c r="DJ14" i="1"/>
  <c r="DM349" i="1"/>
  <c r="DJ349" i="1"/>
  <c r="DM105" i="1"/>
  <c r="DJ105" i="1"/>
  <c r="DM369" i="1"/>
  <c r="DJ369" i="1"/>
  <c r="DM341" i="1"/>
  <c r="DJ341" i="1"/>
  <c r="DM309" i="1"/>
  <c r="DJ309" i="1"/>
  <c r="DM90" i="1"/>
  <c r="DJ90" i="1"/>
  <c r="DM171" i="1"/>
  <c r="DJ171" i="1"/>
  <c r="DJ248" i="1"/>
  <c r="DM248" i="1"/>
  <c r="DM126" i="1"/>
  <c r="DJ126" i="1"/>
  <c r="DJ306" i="1"/>
  <c r="DM306" i="1"/>
  <c r="CN23" i="1"/>
  <c r="CS23" i="1" s="1"/>
  <c r="DH23" i="1"/>
  <c r="DM589" i="1"/>
  <c r="DJ589" i="1"/>
  <c r="DM174" i="1"/>
  <c r="DJ174" i="1"/>
  <c r="DJ359" i="1"/>
  <c r="DM359" i="1"/>
  <c r="DM342" i="1"/>
  <c r="DJ342" i="1"/>
  <c r="DM124" i="1"/>
  <c r="DJ124" i="1"/>
  <c r="DM93" i="1"/>
  <c r="DJ93" i="1"/>
  <c r="DJ321" i="1"/>
  <c r="DM321" i="1"/>
  <c r="DM91" i="1"/>
  <c r="DJ91" i="1"/>
  <c r="DJ84" i="1"/>
  <c r="DM84" i="1"/>
  <c r="DJ95" i="1"/>
  <c r="DM95" i="1"/>
  <c r="DM548" i="1"/>
  <c r="DJ548" i="1"/>
  <c r="DM549" i="1"/>
  <c r="DJ549" i="1"/>
  <c r="DM524" i="1"/>
  <c r="DJ524" i="1"/>
  <c r="DM104" i="1"/>
  <c r="DJ104" i="1"/>
  <c r="CN120" i="1"/>
  <c r="CP120" i="1" s="1"/>
  <c r="DH120" i="1"/>
  <c r="DM520" i="1"/>
  <c r="DJ520" i="1"/>
  <c r="DJ97" i="1"/>
  <c r="DM97" i="1"/>
  <c r="DM118" i="1"/>
  <c r="DJ118" i="1"/>
  <c r="DJ307" i="1"/>
  <c r="DM307" i="1"/>
  <c r="DM175" i="1"/>
  <c r="DJ175" i="1"/>
  <c r="DJ252" i="1"/>
  <c r="DM252" i="1"/>
  <c r="DM521" i="1"/>
  <c r="DJ521" i="1"/>
  <c r="DM250" i="1"/>
  <c r="DJ250" i="1"/>
  <c r="DM422" i="1"/>
  <c r="DJ422" i="1"/>
  <c r="DM525" i="1"/>
  <c r="DJ525" i="1"/>
  <c r="DM18" i="1"/>
  <c r="DJ18" i="1"/>
  <c r="DM11" i="1"/>
  <c r="DJ11" i="1"/>
  <c r="DM168" i="1"/>
  <c r="DJ168" i="1"/>
  <c r="DM522" i="1"/>
  <c r="DJ522" i="1"/>
  <c r="DM508" i="1"/>
  <c r="DJ508" i="1"/>
  <c r="DM300" i="1"/>
  <c r="DJ300" i="1"/>
  <c r="CN114" i="1"/>
  <c r="CP114" i="1" s="1"/>
  <c r="DH114" i="1"/>
  <c r="DM173" i="1"/>
  <c r="DJ173" i="1"/>
  <c r="DM350" i="1"/>
  <c r="DJ350" i="1"/>
  <c r="DM497" i="1"/>
  <c r="DJ497" i="1"/>
  <c r="DM355" i="1"/>
  <c r="DJ355" i="1"/>
  <c r="DM370" i="1"/>
  <c r="DJ370" i="1"/>
  <c r="DM172" i="1"/>
  <c r="DJ172" i="1"/>
  <c r="DM383" i="1"/>
  <c r="DJ383" i="1"/>
  <c r="DM87" i="1"/>
  <c r="DJ87" i="1"/>
  <c r="DM98" i="1"/>
  <c r="DJ98" i="1"/>
  <c r="DM348" i="1"/>
  <c r="DJ348" i="1"/>
  <c r="DM502" i="1"/>
  <c r="DJ502" i="1"/>
  <c r="DM512" i="1"/>
  <c r="DJ512" i="1"/>
  <c r="DM85" i="1"/>
  <c r="DJ85" i="1"/>
  <c r="DM125" i="1"/>
  <c r="DJ125" i="1"/>
  <c r="DM361" i="1"/>
  <c r="DJ361" i="1"/>
  <c r="DM52" i="1"/>
  <c r="DJ52" i="1"/>
  <c r="DM338" i="1"/>
  <c r="DJ338" i="1"/>
  <c r="DM123" i="1"/>
  <c r="DJ123" i="1"/>
  <c r="DM88" i="1"/>
  <c r="DJ88" i="1"/>
  <c r="CN89" i="1"/>
  <c r="CP89" i="1" s="1"/>
  <c r="DH89" i="1"/>
  <c r="DJ94" i="1"/>
  <c r="DM94" i="1"/>
  <c r="AK479" i="1"/>
  <c r="AZ479" i="1" s="1"/>
  <c r="AH479" i="1"/>
  <c r="AK480" i="1"/>
  <c r="AZ480" i="1" s="1"/>
  <c r="AH480" i="1"/>
  <c r="AK494" i="1"/>
  <c r="AZ494" i="1" s="1"/>
  <c r="AH494" i="1"/>
  <c r="BB495" i="1"/>
  <c r="BE495" i="1"/>
  <c r="BT495" i="1" s="1"/>
  <c r="CP23" i="1" l="1"/>
  <c r="CS89" i="1"/>
  <c r="CS114" i="1"/>
  <c r="CS120" i="1"/>
  <c r="DM89" i="1"/>
  <c r="DJ89" i="1"/>
  <c r="DM114" i="1"/>
  <c r="DJ114" i="1"/>
  <c r="DM23" i="1"/>
  <c r="DJ23" i="1"/>
  <c r="DJ120" i="1"/>
  <c r="DM120" i="1"/>
  <c r="BE480" i="1"/>
  <c r="BT480" i="1" s="1"/>
  <c r="BB480" i="1"/>
  <c r="BE494" i="1"/>
  <c r="BT494" i="1" s="1"/>
  <c r="BB494" i="1"/>
  <c r="BE479" i="1"/>
  <c r="BT479" i="1" s="1"/>
  <c r="BB479" i="1"/>
  <c r="BV495" i="1"/>
  <c r="BY495" i="1"/>
  <c r="Q12" i="1"/>
  <c r="AF12" i="1" s="1"/>
  <c r="N12" i="1"/>
  <c r="CN495" i="1" l="1"/>
  <c r="CS495" i="1" s="1"/>
  <c r="DH495" i="1"/>
  <c r="AK12" i="1"/>
  <c r="AZ12" i="1" s="1"/>
  <c r="AH12" i="1"/>
  <c r="BY479" i="1"/>
  <c r="BV479" i="1"/>
  <c r="BY494" i="1"/>
  <c r="BV494" i="1"/>
  <c r="BY480" i="1"/>
  <c r="BV480" i="1"/>
  <c r="Q13" i="1"/>
  <c r="AF13" i="1" s="1"/>
  <c r="N13" i="1"/>
  <c r="CP495" i="1" l="1"/>
  <c r="CN494" i="1"/>
  <c r="CP494" i="1" s="1"/>
  <c r="DH494" i="1"/>
  <c r="CN479" i="1"/>
  <c r="CS479" i="1" s="1"/>
  <c r="DH479" i="1"/>
  <c r="DM495" i="1"/>
  <c r="DJ495" i="1"/>
  <c r="CN480" i="1"/>
  <c r="CS480" i="1" s="1"/>
  <c r="DH480" i="1"/>
  <c r="BE12" i="1"/>
  <c r="BT12" i="1" s="1"/>
  <c r="BB12" i="1"/>
  <c r="AK13" i="1"/>
  <c r="AZ13" i="1" s="1"/>
  <c r="AH13" i="1"/>
  <c r="P11" i="2"/>
  <c r="CS494" i="1" l="1"/>
  <c r="CP479" i="1"/>
  <c r="DM480" i="1"/>
  <c r="DJ480" i="1"/>
  <c r="DM479" i="1"/>
  <c r="DJ479" i="1"/>
  <c r="DM494" i="1"/>
  <c r="DJ494" i="1"/>
  <c r="CP480" i="1"/>
  <c r="BE13" i="1"/>
  <c r="BT13" i="1" s="1"/>
  <c r="BB13" i="1"/>
  <c r="BY12" i="1"/>
  <c r="BV12" i="1"/>
  <c r="Q365" i="1"/>
  <c r="AF365" i="1" s="1"/>
  <c r="N365" i="1"/>
  <c r="Q366" i="1"/>
  <c r="AF366" i="1" s="1"/>
  <c r="N366" i="1"/>
  <c r="P13" i="2"/>
  <c r="R11" i="2"/>
  <c r="CN12" i="1" l="1"/>
  <c r="CS12" i="1" s="1"/>
  <c r="DH12" i="1"/>
  <c r="AK365" i="1"/>
  <c r="AZ365" i="1" s="1"/>
  <c r="AH365" i="1"/>
  <c r="BY13" i="1"/>
  <c r="BV13" i="1"/>
  <c r="AK366" i="1"/>
  <c r="AZ366" i="1" s="1"/>
  <c r="AH366" i="1"/>
  <c r="R13" i="2"/>
  <c r="S11" i="2"/>
  <c r="S13" i="2" s="1"/>
  <c r="CP12" i="1" l="1"/>
  <c r="CN13" i="1"/>
  <c r="CP13" i="1" s="1"/>
  <c r="DH13" i="1"/>
  <c r="DM12" i="1"/>
  <c r="DJ12" i="1"/>
  <c r="BE366" i="1"/>
  <c r="BT366" i="1" s="1"/>
  <c r="BB366" i="1"/>
  <c r="BE365" i="1"/>
  <c r="BT365" i="1" s="1"/>
  <c r="BB365" i="1"/>
  <c r="Q45" i="2"/>
  <c r="Q2" i="2"/>
  <c r="Q44" i="2"/>
  <c r="Q3" i="2"/>
  <c r="CS13" i="1" l="1"/>
  <c r="DJ13" i="1"/>
  <c r="DM13" i="1"/>
  <c r="BY365" i="1"/>
  <c r="BV365" i="1"/>
  <c r="BV366" i="1"/>
  <c r="BY366" i="1"/>
  <c r="N39" i="1"/>
  <c r="Q39" i="1"/>
  <c r="AF39" i="1" s="1"/>
  <c r="Q86" i="1"/>
  <c r="AF86" i="1" s="1"/>
  <c r="N86" i="1"/>
  <c r="Q253" i="1"/>
  <c r="AF253" i="1" s="1"/>
  <c r="N253" i="1"/>
  <c r="Q4" i="2"/>
  <c r="Q46" i="2"/>
  <c r="P3" i="2"/>
  <c r="P45" i="2"/>
  <c r="P44" i="2"/>
  <c r="CN366" i="1" l="1"/>
  <c r="CP366" i="1" s="1"/>
  <c r="DH366" i="1"/>
  <c r="CN365" i="1"/>
  <c r="CS365" i="1" s="1"/>
  <c r="DH365" i="1"/>
  <c r="AK253" i="1"/>
  <c r="AZ253" i="1" s="1"/>
  <c r="AH253" i="1"/>
  <c r="AK86" i="1"/>
  <c r="AZ86" i="1" s="1"/>
  <c r="AH86" i="1"/>
  <c r="AK39" i="1"/>
  <c r="AZ39" i="1" s="1"/>
  <c r="AH39" i="1"/>
  <c r="P46" i="2"/>
  <c r="P2" i="2"/>
  <c r="P4" i="2" s="1"/>
  <c r="O45" i="2"/>
  <c r="R45" i="2" s="1"/>
  <c r="O44" i="2"/>
  <c r="R44" i="2" s="1"/>
  <c r="O3" i="2"/>
  <c r="R3" i="2" s="1"/>
  <c r="CS366" i="1" l="1"/>
  <c r="DM365" i="1"/>
  <c r="DJ365" i="1"/>
  <c r="CP365" i="1"/>
  <c r="DM366" i="1"/>
  <c r="DJ366" i="1"/>
  <c r="BE39" i="1"/>
  <c r="BT39" i="1" s="1"/>
  <c r="BB39" i="1"/>
  <c r="BB86" i="1"/>
  <c r="BE86" i="1"/>
  <c r="BT86" i="1" s="1"/>
  <c r="BE253" i="1"/>
  <c r="BT253" i="1" s="1"/>
  <c r="BB253" i="1"/>
  <c r="R46" i="2"/>
  <c r="O46" i="2"/>
  <c r="O2" i="2"/>
  <c r="BY253" i="1" l="1"/>
  <c r="BV253" i="1"/>
  <c r="BY39" i="1"/>
  <c r="BV39" i="1"/>
  <c r="BY86" i="1"/>
  <c r="BV86" i="1"/>
  <c r="O4" i="2"/>
  <c r="R2" i="2"/>
  <c r="R4" i="2" s="1"/>
  <c r="M3" i="2"/>
  <c r="M45" i="2"/>
  <c r="M44" i="2"/>
  <c r="CN39" i="1" l="1"/>
  <c r="CS39" i="1" s="1"/>
  <c r="DH39" i="1"/>
  <c r="CN86" i="1"/>
  <c r="CP86" i="1" s="1"/>
  <c r="DH86" i="1"/>
  <c r="CN253" i="1"/>
  <c r="CP253" i="1" s="1"/>
  <c r="DH253" i="1"/>
  <c r="M46" i="2"/>
  <c r="M2" i="2"/>
  <c r="M4" i="2" s="1"/>
  <c r="L44" i="2"/>
  <c r="L45" i="2"/>
  <c r="N45" i="2" s="1"/>
  <c r="S45" i="2" s="1"/>
  <c r="L3" i="2"/>
  <c r="CP39" i="1" l="1"/>
  <c r="CS86" i="1"/>
  <c r="CS253" i="1"/>
  <c r="DJ39" i="1"/>
  <c r="DM39" i="1"/>
  <c r="DM253" i="1"/>
  <c r="DJ253" i="1"/>
  <c r="DJ86" i="1"/>
  <c r="DM86" i="1"/>
  <c r="L46" i="2"/>
  <c r="N44" i="2"/>
  <c r="S44" i="2" s="1"/>
  <c r="S46" i="2" s="1"/>
  <c r="L2" i="2"/>
  <c r="L4" i="2" s="1"/>
  <c r="K2" i="2"/>
  <c r="N46" i="2" l="1"/>
  <c r="N2" i="2"/>
  <c r="K3" i="2"/>
  <c r="N3" i="2" s="1"/>
  <c r="K4" i="2" l="1"/>
  <c r="N4" i="2"/>
  <c r="I3" i="2"/>
  <c r="I2" i="2" l="1"/>
  <c r="I4" i="2" s="1"/>
  <c r="H3" i="2"/>
  <c r="H2" i="2" l="1"/>
  <c r="H4" i="2" s="1"/>
  <c r="G3" i="2"/>
  <c r="J3" i="2" s="1"/>
  <c r="G2" i="2" l="1"/>
  <c r="J2" i="2" l="1"/>
  <c r="J4" i="2" s="1"/>
  <c r="G4" i="2"/>
  <c r="E3" i="2"/>
  <c r="E2" i="2" l="1"/>
  <c r="E4" i="2" s="1"/>
  <c r="D3" i="2"/>
  <c r="D2" i="2" l="1"/>
  <c r="D4" i="2" s="1"/>
  <c r="C3" i="2"/>
  <c r="F3" i="2" s="1"/>
  <c r="S3" i="2" s="1"/>
  <c r="C2" i="2" l="1"/>
  <c r="F2" i="2" l="1"/>
  <c r="C4" i="2"/>
  <c r="F4" i="2" l="1"/>
  <c r="S2" i="2"/>
  <c r="S4" i="2" s="1"/>
  <c r="R344" i="1"/>
  <c r="R642" i="1" s="1"/>
  <c r="V344" i="1"/>
  <c r="V642" i="1" s="1"/>
  <c r="V643" i="1" s="1"/>
  <c r="R643" i="1" l="1"/>
  <c r="B643" i="1" l="1"/>
</calcChain>
</file>

<file path=xl/comments1.xml><?xml version="1.0" encoding="utf-8"?>
<comments xmlns="http://schemas.openxmlformats.org/spreadsheetml/2006/main">
  <authors>
    <author>Молоков Александр Сергеевич</author>
    <author>Бизюлев Александр Николаевич</author>
    <author>alatortsev</author>
  </authors>
  <commentList>
    <comment ref="BT1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склада 61</t>
        </r>
      </text>
    </comment>
    <comment ref="BT20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</t>
        </r>
      </text>
    </comment>
    <comment ref="BT22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</t>
        </r>
      </text>
    </comment>
    <comment ref="AZ29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оп данным 61-склада на 08.07.25</t>
        </r>
      </text>
    </comment>
    <comment ref="BT7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
</t>
        </r>
      </text>
    </comment>
    <comment ref="BT79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</t>
        </r>
      </text>
    </comment>
    <comment ref="CQ121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Остаток в Милар</t>
        </r>
      </text>
    </comment>
    <comment ref="L12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списание шпильки, но дюбель дюраль списывается Шорох-3</t>
        </r>
      </text>
    </comment>
    <comment ref="L14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+5шт от КБ 29.01.25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07.04.25 исправлено с Корпус _ МСШЕ.735214.006-01 на Корпус _ МСШЕ.735214.006</t>
        </r>
      </text>
    </comment>
    <comment ref="L14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+3шт от КБ 29.01.25</t>
        </r>
      </text>
    </comment>
    <comment ref="AZ156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 на 08.07.25</t>
        </r>
      </text>
    </comment>
    <comment ref="L16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8шт передали в КБ 15.01.25</t>
        </r>
      </text>
    </comment>
    <comment ref="AI229" authorId="1" shapeId="0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03.04 - 1 шт. под ремонт</t>
        </r>
      </text>
    </comment>
    <comment ref="P353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5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2шт стоят в ВЧНП</t>
        </r>
      </text>
    </comment>
    <comment ref="L356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7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8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9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0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1" authorId="2" shapeId="0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AZ608" authorId="0" shapeId="0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07.08.25 Швецов Михаил упаковал в коробки и положили на склад</t>
        </r>
      </text>
    </comment>
  </commentList>
</comments>
</file>

<file path=xl/sharedStrings.xml><?xml version="1.0" encoding="utf-8"?>
<sst xmlns="http://schemas.openxmlformats.org/spreadsheetml/2006/main" count="2159" uniqueCount="1004">
  <si>
    <t>№</t>
  </si>
  <si>
    <t>Наименование</t>
  </si>
  <si>
    <t>Кол-во в  изделии</t>
  </si>
  <si>
    <t>Применяемость</t>
  </si>
  <si>
    <t>Цена</t>
  </si>
  <si>
    <t>План</t>
  </si>
  <si>
    <t>Потребность</t>
  </si>
  <si>
    <t>Примечание</t>
  </si>
  <si>
    <t>ГШВА-2</t>
  </si>
  <si>
    <t>Срок поставки</t>
  </si>
  <si>
    <t>ООО «Радиоинж»</t>
  </si>
  <si>
    <t>1 мес.</t>
  </si>
  <si>
    <t>Апрель</t>
  </si>
  <si>
    <t>Май</t>
  </si>
  <si>
    <t>Июнь</t>
  </si>
  <si>
    <t>Мех. доработка корпуса</t>
  </si>
  <si>
    <t>Монтаж печатных плат</t>
  </si>
  <si>
    <t>ТАИС-ИП3</t>
  </si>
  <si>
    <t>Шорох-3</t>
  </si>
  <si>
    <t>ООО "ТС27"</t>
  </si>
  <si>
    <t>Детали корпуса БП</t>
  </si>
  <si>
    <t>Шелкография передней панели</t>
  </si>
  <si>
    <t>4-5 нед.</t>
  </si>
  <si>
    <t>2-3 нед.</t>
  </si>
  <si>
    <t>АСМик-1</t>
  </si>
  <si>
    <t>ОМS-2000</t>
  </si>
  <si>
    <t>Логотип</t>
  </si>
  <si>
    <t>Шильдик</t>
  </si>
  <si>
    <t>ООО "РЕЗОНИТ"</t>
  </si>
  <si>
    <t>4 нед.</t>
  </si>
  <si>
    <t>Плата ОМS-2000 регулировочная</t>
  </si>
  <si>
    <t>УС-6</t>
  </si>
  <si>
    <t>Шелкография корпуса</t>
  </si>
  <si>
    <t>ООО "Апгрейд Бюро"</t>
  </si>
  <si>
    <t>2 нед.</t>
  </si>
  <si>
    <t>Печатные платы</t>
  </si>
  <si>
    <t>Трансформатор</t>
  </si>
  <si>
    <t>Трансформаторы</t>
  </si>
  <si>
    <t>ЗАО "ПРОМИНФОРМ"</t>
  </si>
  <si>
    <t>5 нед.</t>
  </si>
  <si>
    <t>Монтажный комплект</t>
  </si>
  <si>
    <t>Приспособление для крепления вибровозбудителя ПЭД-5 на трубы</t>
  </si>
  <si>
    <t>Монтажная площадка для вибровозбудителя ПЭД-5</t>
  </si>
  <si>
    <t>Крепежный дюбель (дюраль)</t>
  </si>
  <si>
    <t>Крепежный дюбель (сталь)</t>
  </si>
  <si>
    <t>Кронштейн  для крепления акустических излучателей (прямой)</t>
  </si>
  <si>
    <t>Кронштейн  для крепления акустических излучателей (угловой)</t>
  </si>
  <si>
    <t>2-4 нед.</t>
  </si>
  <si>
    <t>БПУ-1</t>
  </si>
  <si>
    <t>Детали корпуса</t>
  </si>
  <si>
    <t>ООО "Практика"</t>
  </si>
  <si>
    <t>1 к-кт</t>
  </si>
  <si>
    <t>ПЭД-8А</t>
  </si>
  <si>
    <t>Основание</t>
  </si>
  <si>
    <t>Детали корпуса (корпус, крышка)</t>
  </si>
  <si>
    <t>4-6 нед.</t>
  </si>
  <si>
    <t>Изготовление кабеля</t>
  </si>
  <si>
    <t>АИ-8А/Н</t>
  </si>
  <si>
    <t>Наклейка объемная (Лого)</t>
  </si>
  <si>
    <t>АИ-8А-мини</t>
  </si>
  <si>
    <t>Приспособление для крепления вибровозбудителя ПЭД-8А на трубы</t>
  </si>
  <si>
    <t>Шорох-5Л</t>
  </si>
  <si>
    <t>Монтажная площадка (тип 1 - на стекло)</t>
  </si>
  <si>
    <t>Монтажная площадка (тип 2 - на перегор.)</t>
  </si>
  <si>
    <t>Монтажная площадка (тип 3 - на раму)</t>
  </si>
  <si>
    <t>Крепежный дюбель (тип 1 - сталь)</t>
  </si>
  <si>
    <t>Крепежный дюбель (тип 2 - дюраль)</t>
  </si>
  <si>
    <t>Шпилька резьбовая (к дюбелям)</t>
  </si>
  <si>
    <t>Генератор шума Старкад-11</t>
  </si>
  <si>
    <t>Индуктор ИС11-01</t>
  </si>
  <si>
    <t>Индуктор ИС11-02</t>
  </si>
  <si>
    <t>Генераторы шума Старкад</t>
  </si>
  <si>
    <t>Антенная система ИС32-02</t>
  </si>
  <si>
    <t>4,5-5 мес.</t>
  </si>
  <si>
    <t>Шорох-2МИ</t>
  </si>
  <si>
    <t>Шепот, Талис-НЧ-М1, Вензель-М3</t>
  </si>
  <si>
    <t>ООО "ТОРЭЛ"</t>
  </si>
  <si>
    <t>3-4 нед.</t>
  </si>
  <si>
    <t>Профиль радиаторный</t>
  </si>
  <si>
    <t>Мех. доработка профиля радиаторного</t>
  </si>
  <si>
    <t>Кронштейн для модуля УНЧ</t>
  </si>
  <si>
    <t>Прокладка теплопроводящая</t>
  </si>
  <si>
    <t>3 нед.</t>
  </si>
  <si>
    <t>БАШМ</t>
  </si>
  <si>
    <t>Изготовление корпуса</t>
  </si>
  <si>
    <t>Общие позиции для Шорох-5Л</t>
  </si>
  <si>
    <t>УЭК</t>
  </si>
  <si>
    <t>П/ж укладка УЭК</t>
  </si>
  <si>
    <t>1-1,5 мес.</t>
  </si>
  <si>
    <t>Коммутатор КУ-02</t>
  </si>
  <si>
    <t>Печатная плата</t>
  </si>
  <si>
    <t>ИП Лукин К.А.</t>
  </si>
  <si>
    <t>2 мес.</t>
  </si>
  <si>
    <t>Колонка Шорох-2МИк</t>
  </si>
  <si>
    <t>Радиоканал Р-ШМ-Б или А</t>
  </si>
  <si>
    <t>П/ж укладка для радиоканала</t>
  </si>
  <si>
    <t>К-кт повышения радиуса действия радиоканала</t>
  </si>
  <si>
    <t>доп. опция</t>
  </si>
  <si>
    <t>Антенна DS 2300-7BV360</t>
  </si>
  <si>
    <t>Антенна DS 2400-14</t>
  </si>
  <si>
    <t>ООО НПФ "DELTA-SATELLITE"</t>
  </si>
  <si>
    <t>3 мес.</t>
  </si>
  <si>
    <t>Держатель микрофона</t>
  </si>
  <si>
    <t>Арматура транспортной укладки</t>
  </si>
  <si>
    <t>11-13 нед.</t>
  </si>
  <si>
    <t>Система Шорох-3</t>
  </si>
  <si>
    <t>Система Шорох-5Л</t>
  </si>
  <si>
    <t>Блок БСП-М1</t>
  </si>
  <si>
    <t>ТАЛИС-УНЧ</t>
  </si>
  <si>
    <t>УРСЛ</t>
  </si>
  <si>
    <t>Сборка аккумуляторная</t>
  </si>
  <si>
    <t>ООО "ТИСТАН"</t>
  </si>
  <si>
    <t>Шорох-3, Шепот, Тритон</t>
  </si>
  <si>
    <t>Блок БСП</t>
  </si>
  <si>
    <t>П/ж укладка Тритон</t>
  </si>
  <si>
    <t>Анализатор Тритон</t>
  </si>
  <si>
    <t>Система ВЕНЗЕЛЬ-М3</t>
  </si>
  <si>
    <t>Детали</t>
  </si>
  <si>
    <t>Панели</t>
  </si>
  <si>
    <t>Фальш-панель</t>
  </si>
  <si>
    <t>Система СИГУРД</t>
  </si>
  <si>
    <t>Ложемент</t>
  </si>
  <si>
    <t>СИГУРД-ИК</t>
  </si>
  <si>
    <t>Модуль IRDA</t>
  </si>
  <si>
    <t>Лосев Л.С.</t>
  </si>
  <si>
    <t>ЦОС-МК-14</t>
  </si>
  <si>
    <t>ООО "Сигнал-Т"</t>
  </si>
  <si>
    <t>14 нед.</t>
  </si>
  <si>
    <t>Сумка малая</t>
  </si>
  <si>
    <t>Транспортная укладка</t>
  </si>
  <si>
    <t>Стол поворотный СПДУ-1</t>
  </si>
  <si>
    <t>Изготовление деталей и сборка стола</t>
  </si>
  <si>
    <t>Аппаратура управления</t>
  </si>
  <si>
    <t>Тара деревянная</t>
  </si>
  <si>
    <t>по отд. заказу</t>
  </si>
  <si>
    <t>Палатки экранирующие</t>
  </si>
  <si>
    <t>Палатка-М1</t>
  </si>
  <si>
    <t>Палатка-М2</t>
  </si>
  <si>
    <t>3-4 мес.</t>
  </si>
  <si>
    <t>ПРОЧИЕ</t>
  </si>
  <si>
    <t>Гарантийные пломбы</t>
  </si>
  <si>
    <t>Все оборудование</t>
  </si>
  <si>
    <t>Отдельные комплектующие и материалы</t>
  </si>
  <si>
    <t>Январь</t>
  </si>
  <si>
    <t>Февраль</t>
  </si>
  <si>
    <t>Март</t>
  </si>
  <si>
    <t>Рабочая укладка</t>
  </si>
  <si>
    <t>Комплекс Лазурит</t>
  </si>
  <si>
    <t>Модуль Шорох-2МИ
(Изготовление корпуса и сборка)</t>
  </si>
  <si>
    <t>БПУ-1 - 1 шт.
ПЭД-8А - в 1 кор. 48 шт.,
АИ-8А-мини - в 1 кор. 24 шт.,
монт. к-кт</t>
  </si>
  <si>
    <t xml:space="preserve">24 шт. на 1 кор.
ПЭД-8А, АИ-8А-мини </t>
  </si>
  <si>
    <t xml:space="preserve">1 шт. на 1 кор.
ПЭД-8А </t>
  </si>
  <si>
    <t>1 шт. на 1 кор. БПУ-1</t>
  </si>
  <si>
    <t>1-2 нед</t>
  </si>
  <si>
    <t>Преобразователи и излучатели (покупные)</t>
  </si>
  <si>
    <t>ИТОГО</t>
  </si>
  <si>
    <t>за месяц</t>
  </si>
  <si>
    <t>Итого</t>
  </si>
  <si>
    <t>Всего</t>
  </si>
  <si>
    <t>Июль</t>
  </si>
  <si>
    <t>1 кв.</t>
  </si>
  <si>
    <t>2 кв.</t>
  </si>
  <si>
    <t>Август</t>
  </si>
  <si>
    <t>Сентябрь</t>
  </si>
  <si>
    <t>Октябрь</t>
  </si>
  <si>
    <t>3 кв.</t>
  </si>
  <si>
    <t>Ноябрь</t>
  </si>
  <si>
    <t>Декабрь</t>
  </si>
  <si>
    <t>4 кв.</t>
  </si>
  <si>
    <t>Год</t>
  </si>
  <si>
    <t>1,5 мес.</t>
  </si>
  <si>
    <t>Кабель  РК-50</t>
  </si>
  <si>
    <t>ОКБ КП</t>
  </si>
  <si>
    <t>40 м</t>
  </si>
  <si>
    <t>1-2 нед.</t>
  </si>
  <si>
    <t>1-1,5 мес</t>
  </si>
  <si>
    <t>4 шт.</t>
  </si>
  <si>
    <t>цена с мех. дор. корп</t>
  </si>
  <si>
    <t>11 шт.</t>
  </si>
  <si>
    <t>12 шт. из 1 профиля</t>
  </si>
  <si>
    <t>2 шт.</t>
  </si>
  <si>
    <t xml:space="preserve">Этикетка "ТАИС_номер" </t>
  </si>
  <si>
    <t xml:space="preserve">Этикетка "ТАИС_клеммы" </t>
  </si>
  <si>
    <t>Тара (коробка К402)</t>
  </si>
  <si>
    <t>90 дн.</t>
  </si>
  <si>
    <t>Талис-НЧ-М1</t>
  </si>
  <si>
    <t>Нач. скл. остаток</t>
  </si>
  <si>
    <t>Расход</t>
  </si>
  <si>
    <t>Кон. скл. остаток</t>
  </si>
  <si>
    <t>В закупку</t>
  </si>
  <si>
    <t>ООО "Центр РТИ"</t>
  </si>
  <si>
    <t>ООО ПМ "Миларес проджект"</t>
  </si>
  <si>
    <t>7 нед.</t>
  </si>
  <si>
    <t>ИП Бурлуцкий</t>
  </si>
  <si>
    <t>Планка-панель</t>
  </si>
  <si>
    <t>Планка</t>
  </si>
  <si>
    <t>Общие покупные позиции для систем</t>
  </si>
  <si>
    <t>Шепот</t>
  </si>
  <si>
    <t>ОМТО</t>
  </si>
  <si>
    <t>Калибратор CAL-200</t>
  </si>
  <si>
    <t>Шепот - 1 шт.
Тритон - 1 шт.</t>
  </si>
  <si>
    <t>Адаптер прямого входа ADP005</t>
  </si>
  <si>
    <t>Акселерометр AP98-100-01</t>
  </si>
  <si>
    <t>Система ТАЛИС-НЧ Лайт</t>
  </si>
  <si>
    <t>Система ТАЛИС-НЧ-М1</t>
  </si>
  <si>
    <t>Модуль защиты</t>
  </si>
  <si>
    <t>Антенная система ИС32-01</t>
  </si>
  <si>
    <t>Провод ПРКС 3*0,75 кв.мм.</t>
  </si>
  <si>
    <t>5 м</t>
  </si>
  <si>
    <t>Доп. опция Сигурд</t>
  </si>
  <si>
    <t>Вкладыш (изделие A№1/ВКЛ-2 (480х411)</t>
  </si>
  <si>
    <t>ООО "Завод Эталон"</t>
  </si>
  <si>
    <t>Телефон В - 1 шт.</t>
  </si>
  <si>
    <t>ИС32-01 - 1 шт
Телефон В - 1 шт.</t>
  </si>
  <si>
    <t>Доработка радиоканала</t>
  </si>
  <si>
    <t>Комплектующие</t>
  </si>
  <si>
    <t>Комлпектующие</t>
  </si>
  <si>
    <t>АО "НИИ СТТ"</t>
  </si>
  <si>
    <t>Кейс Peli 1060</t>
  </si>
  <si>
    <t xml:space="preserve"> </t>
  </si>
  <si>
    <t>Кейс ЭКСП 270-1</t>
  </si>
  <si>
    <t>Общие заказные позиции для систем</t>
  </si>
  <si>
    <t>Штатив Continent A3</t>
  </si>
  <si>
    <t>Конвертор Aten USB-RS232 (UC-232A)</t>
  </si>
  <si>
    <t>Наклейка на тару</t>
  </si>
  <si>
    <t>АИ-8А/П</t>
  </si>
  <si>
    <t>АИ-8А/У</t>
  </si>
  <si>
    <t>Модуль акустический настенный Орфей МА исп.1 (н)</t>
  </si>
  <si>
    <t>АИ-8А/Н, АИ-8А/П</t>
  </si>
  <si>
    <t>АИ-8А/Н, П, У</t>
  </si>
  <si>
    <t>Влагозащищенный динамик Visaton FR 8 WP/8 белый</t>
  </si>
  <si>
    <t>Общие позиции для излучателей АИ-8А</t>
  </si>
  <si>
    <t>Динамик VCT-6</t>
  </si>
  <si>
    <t>Акустический преобразователь АП-1</t>
  </si>
  <si>
    <t>Фланец</t>
  </si>
  <si>
    <t>Дисконнектор</t>
  </si>
  <si>
    <t>ОМS-2000М</t>
  </si>
  <si>
    <t>Общие позиции для излучателей ОМS</t>
  </si>
  <si>
    <t>Сетевой адаптер</t>
  </si>
  <si>
    <t>Старкад - опция</t>
  </si>
  <si>
    <t>Устройство внешней индикации</t>
  </si>
  <si>
    <t>Опция</t>
  </si>
  <si>
    <t>Пульт ДУ</t>
  </si>
  <si>
    <t>ОМS</t>
  </si>
  <si>
    <t>1-2 мес.</t>
  </si>
  <si>
    <t>Ложемент АКБ</t>
  </si>
  <si>
    <t>Кнопка выхода КС-05 (провод 3 м)</t>
  </si>
  <si>
    <t>Фирма СЕАН</t>
  </si>
  <si>
    <t>Модуль акустический потолочный "Орфей МА" исп.1 (п)</t>
  </si>
  <si>
    <t>Этикетка УВИ</t>
  </si>
  <si>
    <t>Доработка корпуса</t>
  </si>
  <si>
    <t>Старкад</t>
  </si>
  <si>
    <t>Талис-М1</t>
  </si>
  <si>
    <t>Талис-НЧ</t>
  </si>
  <si>
    <t>Тритон</t>
  </si>
  <si>
    <t>Сигурд-ИК</t>
  </si>
  <si>
    <t>СПДУ</t>
  </si>
  <si>
    <t>Стентор-мини</t>
  </si>
  <si>
    <t>Вензель + Обертон</t>
  </si>
  <si>
    <t>Шепот, Талис-НЧ, Вензель</t>
  </si>
  <si>
    <t>Лазурит</t>
  </si>
  <si>
    <t>Палатки</t>
  </si>
  <si>
    <t>Телефон-В</t>
  </si>
  <si>
    <t>Прочее оборуд. и компл.</t>
  </si>
  <si>
    <t>Динамик P28-8D (без покрытия)</t>
  </si>
  <si>
    <t>80001 - 80511</t>
  </si>
  <si>
    <t>Ключ-ВП (СЛ)</t>
  </si>
  <si>
    <t>Система Обертон</t>
  </si>
  <si>
    <t>ТЕЛЕФОН-Н2</t>
  </si>
  <si>
    <t>ЗМТ-5</t>
  </si>
  <si>
    <t>Радиатор</t>
  </si>
  <si>
    <t>доп. Сигурд-М5/М6</t>
  </si>
  <si>
    <t>Микрофон TMS130E20/*</t>
  </si>
  <si>
    <t>Наконечник медный НШВИ 0,75-8</t>
  </si>
  <si>
    <t>Шумомер L&amp;D824А (с предусил. PRM902)</t>
  </si>
  <si>
    <t>Модуль Key-VP(IT)</t>
  </si>
  <si>
    <t>Модуль Key-VP(SL)</t>
  </si>
  <si>
    <t>Экран</t>
  </si>
  <si>
    <t>Лакировка корпуса</t>
  </si>
  <si>
    <t>Ключ-ВП(ИТ)
Ключ-ВП(СЛ)</t>
  </si>
  <si>
    <t>Упаковка (короб К497)</t>
  </si>
  <si>
    <t>Упаковка (короб К962/3)</t>
  </si>
  <si>
    <t>Упаковка (мод. К972/1В)
Вкладыш "К962-3_BPU-1"</t>
  </si>
  <si>
    <t>Упаковка (мод. К972/2В)
Вкладыш "К962-3_stenka"</t>
  </si>
  <si>
    <t>Упаковка (короб К649)</t>
  </si>
  <si>
    <t>Упаковка (мод. К972/3В)
Вкладыш "К962-3_razdelitel"</t>
  </si>
  <si>
    <t>Упаковка (изделие A№1, 235х165х77 мм)</t>
  </si>
  <si>
    <t>ТАЛИС-НЧ-ПЭС</t>
  </si>
  <si>
    <t>ПП talis_nchgerber</t>
  </si>
  <si>
    <t>ПП TALIS_MEZ</t>
  </si>
  <si>
    <t>ПП TALIS_MEZ2</t>
  </si>
  <si>
    <t>ПП TalisFinalGerber</t>
  </si>
  <si>
    <t>Панель лицевая МСШЕ.741128.018</t>
  </si>
  <si>
    <t>Панель МСШЕ.741512.003</t>
  </si>
  <si>
    <t>Панель монтажная МСШЕ.741218.001</t>
  </si>
  <si>
    <t>Фальш-панель МСШЕ.754479.008</t>
  </si>
  <si>
    <t>Фальш-панель МСШЕ.305424.004</t>
  </si>
  <si>
    <t>Накладка МСШЕ.741356.001</t>
  </si>
  <si>
    <t>Накладка МСШЕ.741532.001</t>
  </si>
  <si>
    <t>Пластина МСШЕ.741134.012</t>
  </si>
  <si>
    <t>Пластина МСШЕ.741134.012-01</t>
  </si>
  <si>
    <t>Накладка МСШЕ.741268.001</t>
  </si>
  <si>
    <t>Уголок МСШЕ.745212.002</t>
  </si>
  <si>
    <t>Уголок МСШЕ.745212.004</t>
  </si>
  <si>
    <t>Уголок МСШЕ.745222.005</t>
  </si>
  <si>
    <t>Уголок МСШЕ.745352.003</t>
  </si>
  <si>
    <t>Основание МСШЕ.745512.003</t>
  </si>
  <si>
    <t>Кожух ПЭВМ МСШЕ.745535.010</t>
  </si>
  <si>
    <t>Кожух экранирующий МСШЕ.745535.011</t>
  </si>
  <si>
    <t>Планка МСШЕ.746612.003</t>
  </si>
  <si>
    <t>Кронштейн ЦОС</t>
  </si>
  <si>
    <t>Подставка SSD</t>
  </si>
  <si>
    <t>Втулка резьбовая МСШЕ.758448.006</t>
  </si>
  <si>
    <t>Имитатор ВЧН</t>
  </si>
  <si>
    <t>Вензель-М3</t>
  </si>
  <si>
    <t>Вензель-М3, Обертон</t>
  </si>
  <si>
    <t>Вензель-М3 новая</t>
  </si>
  <si>
    <t>КБ</t>
  </si>
  <si>
    <t>Фильтр 220</t>
  </si>
  <si>
    <t>OFSL</t>
  </si>
  <si>
    <t>filter_venz2_r7</t>
  </si>
  <si>
    <t>Plata_PL1</t>
  </si>
  <si>
    <t>imshfi</t>
  </si>
  <si>
    <t>IPMKF</t>
  </si>
  <si>
    <t>OFLS220</t>
  </si>
  <si>
    <t>Ключ-ВП (220)</t>
  </si>
  <si>
    <t>5 шт.</t>
  </si>
  <si>
    <t>IPM-N</t>
  </si>
  <si>
    <t>PKR2MI-N</t>
  </si>
  <si>
    <t>NG-15M</t>
  </si>
  <si>
    <t>PLATA-F</t>
  </si>
  <si>
    <t>ИП Жеребкер</t>
  </si>
  <si>
    <t>БП14-5</t>
  </si>
  <si>
    <t>АТБ Электроника</t>
  </si>
  <si>
    <t>ООО "АЛИНАПАК"</t>
  </si>
  <si>
    <t>Алмаз-Сервис</t>
  </si>
  <si>
    <t xml:space="preserve">Стойка GATOR FRAMEWORKS GFW-SPK-2000 (штатив для УЭК) </t>
  </si>
  <si>
    <t>Адаптер под стойки ATHLETIC GBOX-2 (головка штатива УЭК)</t>
  </si>
  <si>
    <t>Блок ВЧНП-1</t>
  </si>
  <si>
    <t>Генератор шума Старкад-33</t>
  </si>
  <si>
    <t>Аванс</t>
  </si>
  <si>
    <t>Модуль Key-VP(220)</t>
  </si>
  <si>
    <t>Ключ-ВП(220)</t>
  </si>
  <si>
    <t xml:space="preserve">
ООО «Радиоинж»
ООО "Апгрейд Бюро"</t>
  </si>
  <si>
    <t>Наклейка-пломба</t>
  </si>
  <si>
    <t>Световод</t>
  </si>
  <si>
    <t>Вставка МСШЕ.741126.009</t>
  </si>
  <si>
    <t>Пакет с zip-замком (40х60 мм)</t>
  </si>
  <si>
    <t>Пакет с zip-замком (80х120 мм)</t>
  </si>
  <si>
    <t>AMPL30-N</t>
  </si>
  <si>
    <t>Адаптер ADP024
(переходник для CAL 200)</t>
  </si>
  <si>
    <t>Штатив Velbon EX-230
(вместо  Continent B1)</t>
  </si>
  <si>
    <t>970001К-970100К</t>
  </si>
  <si>
    <t>Упаковка (пакет возд.-пуз. 16х21)</t>
  </si>
  <si>
    <t>Шильдик на кейс</t>
  </si>
  <si>
    <t>Шильд "Лого-Н2"</t>
  </si>
  <si>
    <t>ИП Плясов</t>
  </si>
  <si>
    <t>Голограмма для ЗУ и АКБ</t>
  </si>
  <si>
    <t>ФО, РЭ</t>
  </si>
  <si>
    <t>УпакТехнологии</t>
  </si>
  <si>
    <t>Упаковка (короб + вставка)</t>
  </si>
  <si>
    <t>Система ТАЛИС-НЧ-М2</t>
  </si>
  <si>
    <t>Талис-НЧ-М1,
Талис-НЧ-М2,
Талис-НЧ Лайт</t>
  </si>
  <si>
    <t>Общие позиции для Шорох-3</t>
  </si>
  <si>
    <t>Микрофон TMS130F20</t>
  </si>
  <si>
    <t>Модуль</t>
  </si>
  <si>
    <t>Ок. расчет</t>
  </si>
  <si>
    <t>Талис-НЧ-М1,
Талис-НЧ-М2 - Опц.
Талис-НЧ Лайт</t>
  </si>
  <si>
    <t>Штатив Velbon EX-Macro</t>
  </si>
  <si>
    <t>ТАЛИС-НЧ-М2 - 1 шт.</t>
  </si>
  <si>
    <t>УЭК-М1</t>
  </si>
  <si>
    <t xml:space="preserve">Электронный блок для цифровой обработки сигнала
</t>
  </si>
  <si>
    <t>Потребн.
Год</t>
  </si>
  <si>
    <t>Потребн.
2 кв. План</t>
  </si>
  <si>
    <t>Потребн.
3 кв. План</t>
  </si>
  <si>
    <t>Потребн.
4 кв. План</t>
  </si>
  <si>
    <t>ТАЛИС-УНЧ,
ТАЛИС-УНЧ-М2</t>
  </si>
  <si>
    <t>ТАЛИС-УНЧ
ТАЛИС-УНЧ-М2</t>
  </si>
  <si>
    <t>ТАЛИС-УНЧ-М2</t>
  </si>
  <si>
    <t>Наклейка Зав. № УНЧ</t>
  </si>
  <si>
    <t>ТАЛИС-НЧ-ПЭС,
ТАЛИС-НЧ-ПЭС-М2</t>
  </si>
  <si>
    <t>ТАЛИС-НЧ-ПЭС-М2</t>
  </si>
  <si>
    <t>Наклейка Зав. № ПЭС</t>
  </si>
  <si>
    <t>Наклейка Зав. №</t>
  </si>
  <si>
    <r>
      <t xml:space="preserve">Талис-НЧ-М1
</t>
    </r>
    <r>
      <rPr>
        <b/>
        <sz val="11"/>
        <color rgb="FF0070C0"/>
        <rFont val="Calibri"/>
        <family val="2"/>
        <charset val="204"/>
        <scheme val="minor"/>
      </rPr>
      <t>0074 - 0076</t>
    </r>
  </si>
  <si>
    <r>
      <t xml:space="preserve">ТАЛИС-УНЧ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</si>
  <si>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</si>
  <si>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ТАЛИС-НЧ-ПЭС-М2
</t>
    </r>
    <r>
      <rPr>
        <b/>
        <sz val="11"/>
        <color rgb="FF0070C0"/>
        <rFont val="Calibri"/>
        <family val="2"/>
        <charset val="204"/>
        <scheme val="minor"/>
      </rPr>
      <t>0011 - 0049</t>
    </r>
  </si>
  <si>
    <t>Крышка_МСШЕ.741134.007</t>
  </si>
  <si>
    <t>Шепот - 1 шт..</t>
  </si>
  <si>
    <t>Старкад-32, 33</t>
  </si>
  <si>
    <t>Панель лицевая_МСШЕ.754479.001</t>
  </si>
  <si>
    <t>Панель лицевая_МСШЕ.741126.002</t>
  </si>
  <si>
    <t>Панель задняя_МСШЕ.741128.008</t>
  </si>
  <si>
    <t>Панель лицевая_МСШЕ.741126.002-01</t>
  </si>
  <si>
    <t>00599-00668</t>
  </si>
  <si>
    <t>ПП Talis_LFA_M2_B1 (Мезонин)</t>
  </si>
  <si>
    <t>ПП Talis_LFA_M2_B2 (Мезонин 2)</t>
  </si>
  <si>
    <t>1 шт.</t>
  </si>
  <si>
    <t>Документация (РЭ на систему)</t>
  </si>
  <si>
    <t>Основание ИВА-310</t>
  </si>
  <si>
    <t>Система Каскад</t>
  </si>
  <si>
    <t>П/ж укладка Шепот</t>
  </si>
  <si>
    <t>ЭМ GS310</t>
  </si>
  <si>
    <t>Шелест-М2</t>
  </si>
  <si>
    <t>Гравировка панелей корпуса</t>
  </si>
  <si>
    <t>Гравировка корпуса</t>
  </si>
  <si>
    <t>Доработка радиатора</t>
  </si>
  <si>
    <t>Мех. доработка панелей корпуса</t>
  </si>
  <si>
    <t>Шайба резиновая</t>
  </si>
  <si>
    <t>Кронштейн модуля ЦОС горизонтальный</t>
  </si>
  <si>
    <t xml:space="preserve">Кронштейн для УЭК
</t>
  </si>
  <si>
    <r>
      <t xml:space="preserve">Система ТАЛИС-НЧ-М1 </t>
    </r>
    <r>
      <rPr>
        <b/>
        <sz val="11"/>
        <color rgb="FFFF0000"/>
        <rFont val="Calibri"/>
        <family val="2"/>
        <charset val="204"/>
        <scheme val="minor"/>
      </rPr>
      <t>модернизация</t>
    </r>
  </si>
  <si>
    <t>Сумка малая Талис-НЧ-М2</t>
  </si>
  <si>
    <r>
      <t xml:space="preserve">Шелест-М2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</si>
  <si>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r>
      <t xml:space="preserve">УЭК-М1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</si>
  <si>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Панель лицевая_МСШЕ.754479.001-02</t>
  </si>
  <si>
    <t>Сертификат</t>
  </si>
  <si>
    <t>Вкладыш</t>
  </si>
  <si>
    <t>Документация (РЭ на БП14-5)</t>
  </si>
  <si>
    <t>Дисплейный модуль в сборе</t>
  </si>
  <si>
    <t>Крышка внутренняя (пластик)</t>
  </si>
  <si>
    <t>Крышка внешняя (пластик)</t>
  </si>
  <si>
    <t>Заглушка отсека SIM-карты (черная)</t>
  </si>
  <si>
    <t>Клавиатура H3520 russian (черная)</t>
  </si>
  <si>
    <t>Клавиатура пленочная H3520</t>
  </si>
  <si>
    <t>Аккумуляторная батарея X208 (3,7В, 800мА)</t>
  </si>
  <si>
    <r>
      <t xml:space="preserve">910326А - 910375А  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</si>
  <si>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t>Заглушка разъема USB черная</t>
  </si>
  <si>
    <t>Динамик GH59-1511</t>
  </si>
  <si>
    <t>Корпус динамика с защитной декоративной сеткой</t>
  </si>
  <si>
    <t>Модуль PS V1.3</t>
  </si>
  <si>
    <t>ЭМ USB_Hub_1.1</t>
  </si>
  <si>
    <t>ЦОС-МК-14 - 1 шт.
Вензель-М3 - 1 шт.
Обертон - 1 шт.</t>
  </si>
  <si>
    <t>DSP Unit v6+</t>
  </si>
  <si>
    <t>ПП Talis_LFA_M2_MB_V2</t>
  </si>
  <si>
    <t>Доработка профиля</t>
  </si>
  <si>
    <t>Панель задняя_МСШЕ.741138.007-01</t>
  </si>
  <si>
    <r>
      <t xml:space="preserve">Талис-УНЧ-М2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</si>
  <si>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Адаптер</t>
  </si>
  <si>
    <t>Подставка</t>
  </si>
  <si>
    <t>Уплотнитель</t>
  </si>
  <si>
    <r>
      <rPr>
        <b/>
        <sz val="11"/>
        <color rgb="FFFF0000"/>
        <rFont val="Calibri"/>
        <family val="2"/>
        <charset val="204"/>
        <scheme val="minor"/>
      </rPr>
      <t>01911-02085</t>
    </r>
    <r>
      <rPr>
        <b/>
        <sz val="11"/>
        <color rgb="FF0070C0"/>
        <rFont val="Calibri"/>
        <family val="2"/>
        <charset val="204"/>
        <scheme val="minor"/>
      </rPr>
      <t xml:space="preserve">
02086-02285</t>
    </r>
  </si>
  <si>
    <t>Имитатор-модулятор</t>
  </si>
  <si>
    <t>ПЭД-8А, АИ-8А/Мини</t>
  </si>
  <si>
    <t>Общие позиции для ПЭД-8А и Мини</t>
  </si>
  <si>
    <t>Доработка корпуса G120 (Ап. Управл.)</t>
  </si>
  <si>
    <t>Доработка корпуса G939G (ПДУ)</t>
  </si>
  <si>
    <t>0056, 0057</t>
  </si>
  <si>
    <t>Вставка USBB</t>
  </si>
  <si>
    <t>Сектор экрана</t>
  </si>
  <si>
    <t>Панель лицевая пульт СПДУ-1</t>
  </si>
  <si>
    <r>
      <rPr>
        <b/>
        <sz val="11"/>
        <color rgb="FFFF0000"/>
        <rFont val="Calibri"/>
        <family val="2"/>
        <charset val="204"/>
        <scheme val="minor"/>
      </rPr>
      <t>МИ725-19 - МИ740-19</t>
    </r>
    <r>
      <rPr>
        <b/>
        <sz val="11"/>
        <color rgb="FF0070C0"/>
        <rFont val="Calibri"/>
        <family val="2"/>
        <charset val="204"/>
        <scheme val="minor"/>
      </rPr>
      <t xml:space="preserve">
МИ741-21 - МИ755-21</t>
    </r>
  </si>
  <si>
    <t>Зарядное устройство BURO XCJ-021-EM-1A</t>
  </si>
  <si>
    <t>USB-разветвитель TP-LINK UH700</t>
  </si>
  <si>
    <t>Мех. доработка корпуса G909G</t>
  </si>
  <si>
    <t>Мех. доработка корпуса 20-21</t>
  </si>
  <si>
    <t>Мех. доработка корпуса 20-22</t>
  </si>
  <si>
    <t>Мех. доработка корпуса G229</t>
  </si>
  <si>
    <t>Рамка в кейс (доработка рамки, запрессовка втулок) МСШЕ.305413.002</t>
  </si>
  <si>
    <t>Рамка в крышку (изготовление рамки, запрессовка втулок) МСШЕ.741128.016</t>
  </si>
  <si>
    <t>Зарядное устройство ACS110 Traveller</t>
  </si>
  <si>
    <t>Кабель BNC PLUG TO ALLIGATOR CLIP HB-A150</t>
  </si>
  <si>
    <t>Талис-НЧ-М2</t>
  </si>
  <si>
    <t>Токосъемник измерительный ТИ2-1</t>
  </si>
  <si>
    <t>Нагрузка проходная «BNC»,
50 Ом, 1ГГц / 2Вт</t>
  </si>
  <si>
    <t>Переходник BNC гнездо - штекер 3.5 мм</t>
  </si>
  <si>
    <t>Пластиковый контейнер T-33</t>
  </si>
  <si>
    <t>Талис-НЧ-М1,
Талис-НЧ-М2</t>
  </si>
  <si>
    <t>Модульный адаптер Greenlee TurTEL8
(Аналог: адаптер Greenlee PA1902)</t>
  </si>
  <si>
    <t>Кабель акустический Vention BABBH
(Jack 6,5mm M/Jack 3,5mm M, длина 2 м)</t>
  </si>
  <si>
    <t>Система Тандем</t>
  </si>
  <si>
    <t>Ключ-ВП (ИТ)</t>
  </si>
  <si>
    <t>УВИ</t>
  </si>
  <si>
    <t>Упаковка</t>
  </si>
  <si>
    <t>Техпластина пористая</t>
  </si>
  <si>
    <t>Корпус стола</t>
  </si>
  <si>
    <r>
      <t xml:space="preserve">Изготовление корпуса и сборка УЭК
</t>
    </r>
    <r>
      <rPr>
        <b/>
        <sz val="11"/>
        <color rgb="FFFF0000"/>
        <rFont val="Calibri"/>
        <family val="2"/>
        <charset val="204"/>
        <scheme val="minor"/>
      </rPr>
      <t>Замена корпус УЭК-М1</t>
    </r>
  </si>
  <si>
    <t>Гайка N-тип</t>
  </si>
  <si>
    <t>Никитин</t>
  </si>
  <si>
    <t>Мех. доработка</t>
  </si>
  <si>
    <t>Наклейки</t>
  </si>
  <si>
    <t>Фильтр СЛ</t>
  </si>
  <si>
    <t>Имитатор ПМ</t>
  </si>
  <si>
    <t>Гайка BNC</t>
  </si>
  <si>
    <t>Программное обеспечение</t>
  </si>
  <si>
    <r>
      <t xml:space="preserve">ТАЛИС-УНЧ-М2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0115 - 0149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0150 - 0249</t>
    </r>
  </si>
  <si>
    <r>
      <t xml:space="preserve">Талис-НЧ-М2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0115 - 0144 </t>
    </r>
    <r>
      <rPr>
        <b/>
        <sz val="11"/>
        <color rgb="FF0070C0"/>
        <rFont val="Calibri"/>
        <family val="2"/>
        <charset val="204"/>
        <scheme val="minor"/>
      </rPr>
      <t xml:space="preserve">                0145 - 0194</t>
    </r>
  </si>
  <si>
    <t>Изготовление корпуса и сборка УЭК-М1</t>
  </si>
  <si>
    <t>Старкад-32М</t>
  </si>
  <si>
    <t xml:space="preserve">SK32M_main_v1.0 </t>
  </si>
  <si>
    <t xml:space="preserve">SK32M_generator_v1.0 </t>
  </si>
  <si>
    <t>SK32M_antenna 2-3GHz_v1.0</t>
  </si>
  <si>
    <t>010651-011650</t>
  </si>
  <si>
    <t>Доработка крышки корпуса</t>
  </si>
  <si>
    <t>Каркас и тент (для М1)</t>
  </si>
  <si>
    <t>Кофр и рюкзак (для М1)</t>
  </si>
  <si>
    <t>Каркас и тент (для М2)</t>
  </si>
  <si>
    <t>Кофр и рюкзак (для М2)</t>
  </si>
  <si>
    <t>ТАЛИС-НЧ-М1 - 1 шт.
Вензель - 1 шт.
Обертон - 1 шт. Опц.
Шепот - опция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</si>
  <si>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</si>
  <si>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</si>
  <si>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</si>
  <si>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</si>
  <si>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</si>
  <si>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</si>
  <si>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
РОСС RU.01.1450.СДхххх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</si>
  <si>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</si>
  <si>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
РОСС RU.01.4376.ТнчДхххх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</si>
  <si>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</si>
  <si>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
РОСС RU.01.4601.КДхххх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</si>
  <si>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</si>
  <si>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Тандем-Дельта</t>
    </r>
    <r>
      <rPr>
        <sz val="11"/>
        <color theme="1"/>
        <rFont val="Calibri"/>
        <family val="2"/>
        <charset val="204"/>
        <scheme val="minor"/>
      </rPr>
      <t>»</t>
    </r>
  </si>
  <si>
    <t>Печатная плата oms2000m_v1</t>
  </si>
  <si>
    <t>ПЭД-8А, АИ-8А*</t>
  </si>
  <si>
    <t>Монтаж ПП Talis_LFA_M2_MB_V2</t>
  </si>
  <si>
    <t>Основание МСШЕ.745512.001</t>
  </si>
  <si>
    <t>Кожух аккумуляторного отсека
МСШЕ.745535.002</t>
  </si>
  <si>
    <t>Кожух экранирующий основной
МСШЕ.745535.006</t>
  </si>
  <si>
    <t>Кожух экранирующий дополнительный
МСШЕ.745535.007</t>
  </si>
  <si>
    <t>Винт МСШЕ.758156.001</t>
  </si>
  <si>
    <t>Стойка МСШЕ.746612.001</t>
  </si>
  <si>
    <t>Направляющая МСШЕ.741625.001</t>
  </si>
  <si>
    <t>Планка МСШЕ.754142.001</t>
  </si>
  <si>
    <t>5-6 нед.</t>
  </si>
  <si>
    <t>Профиль лицевой МСШЕ.746452.005</t>
  </si>
  <si>
    <t>Профиль правый МСШЕ.746452.007</t>
  </si>
  <si>
    <t>Профиль левый МСШЕ.746452.008</t>
  </si>
  <si>
    <t>ООО "ПроМ"</t>
  </si>
  <si>
    <t>Корпус _ МСШЕ.735214.006-01</t>
  </si>
  <si>
    <t>Основание _ МСШЕ.741274.002</t>
  </si>
  <si>
    <t>Корпус_МСШЕ.735214.006-02</t>
  </si>
  <si>
    <t>Основание_МСШЕ.741274.002-01</t>
  </si>
  <si>
    <r>
      <rPr>
        <b/>
        <sz val="11"/>
        <color rgb="FFFF0000"/>
        <rFont val="Calibri"/>
        <family val="2"/>
        <charset val="204"/>
        <scheme val="minor"/>
      </rPr>
      <t xml:space="preserve">0113 - 0137 </t>
    </r>
    <r>
      <rPr>
        <b/>
        <sz val="11"/>
        <color rgb="FF0070C0"/>
        <rFont val="Calibri"/>
        <family val="2"/>
        <charset val="204"/>
        <scheme val="minor"/>
      </rPr>
      <t xml:space="preserve">                 0138 - 0179</t>
    </r>
  </si>
  <si>
    <t>Профиль задний МСШЕ.746452.006-01</t>
  </si>
  <si>
    <r>
      <rPr>
        <b/>
        <sz val="11"/>
        <color rgb="FFFF0000"/>
        <rFont val="Calibri"/>
        <family val="2"/>
        <charset val="204"/>
        <scheme val="minor"/>
      </rPr>
      <t>287 - 306</t>
    </r>
    <r>
      <rPr>
        <b/>
        <sz val="11"/>
        <color rgb="FF0070C0"/>
        <rFont val="Calibri"/>
        <family val="2"/>
        <charset val="204"/>
        <scheme val="minor"/>
      </rPr>
      <t xml:space="preserve">
307 - 326</t>
    </r>
  </si>
  <si>
    <t>Доработка Панель лицевая МСШЕ.746465.007</t>
  </si>
  <si>
    <t>Доработка Панель задняя МСШЕ.746465.006</t>
  </si>
  <si>
    <t>Покраска корпуса</t>
  </si>
  <si>
    <t>Калибратор акустический «Защита-К»</t>
  </si>
  <si>
    <r>
      <t xml:space="preserve">Генератор шума Старкад-32
</t>
    </r>
    <r>
      <rPr>
        <b/>
        <sz val="11"/>
        <color rgb="FFFF0000"/>
        <rFont val="Calibri"/>
        <family val="2"/>
        <charset val="204"/>
        <scheme val="minor"/>
      </rPr>
      <t>(модернизированный до Старкад-33)</t>
    </r>
  </si>
  <si>
    <t>00605-00629</t>
  </si>
  <si>
    <r>
      <rPr>
        <b/>
        <sz val="11"/>
        <color rgb="FFFF0000"/>
        <rFont val="Calibri"/>
        <family val="2"/>
        <charset val="204"/>
        <scheme val="minor"/>
      </rPr>
      <t>00230-00404</t>
    </r>
    <r>
      <rPr>
        <b/>
        <sz val="11"/>
        <color rgb="FF0070C0"/>
        <rFont val="Calibri"/>
        <family val="2"/>
        <charset val="204"/>
        <scheme val="minor"/>
      </rPr>
      <t xml:space="preserve">
00405-00604
</t>
    </r>
    <r>
      <rPr>
        <b/>
        <sz val="11"/>
        <color rgb="FF7030A0"/>
        <rFont val="Calibri"/>
        <family val="2"/>
        <charset val="204"/>
        <scheme val="minor"/>
      </rPr>
      <t xml:space="preserve">00605-00629   </t>
    </r>
    <r>
      <rPr>
        <b/>
        <sz val="11"/>
        <color rgb="FF0070C0"/>
        <rFont val="Calibri"/>
        <family val="2"/>
        <charset val="204"/>
        <scheme val="minor"/>
      </rPr>
      <t xml:space="preserve">            </t>
    </r>
  </si>
  <si>
    <t>Потребн.
1 пг. НГ</t>
  </si>
  <si>
    <t>ООО "Мирсо Мария"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</si>
  <si>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bp14_5v5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</si>
  <si>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bp14_5v5</t>
    </r>
  </si>
  <si>
    <t>ООО "СПРИНТИКА-ПРО"</t>
  </si>
  <si>
    <t>АО "Техно"</t>
  </si>
  <si>
    <t xml:space="preserve">ООО фирма "Проинтех" </t>
  </si>
  <si>
    <t>ООО "ПК Тара-24"</t>
  </si>
  <si>
    <t>ООО "ТД ПроКейс"
(ООО "АЛМИ Бэг")</t>
  </si>
  <si>
    <t>4-5 мес.</t>
  </si>
  <si>
    <t>1,5-2 мес.</t>
  </si>
  <si>
    <t>6 мес</t>
  </si>
  <si>
    <t>5 мес.</t>
  </si>
  <si>
    <r>
      <t xml:space="preserve">Печатная плата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</si>
  <si>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Монтаж ПП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</si>
  <si>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shoroh5_led_v1</t>
    </r>
  </si>
  <si>
    <r>
      <t xml:space="preserve">Печатные платы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</si>
  <si>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Монтаж ПП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</si>
  <si>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PL_UM4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</si>
  <si>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</si>
  <si>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</si>
  <si>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</si>
  <si>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</si>
  <si>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</si>
  <si>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</si>
  <si>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Модуль </t>
    </r>
    <r>
      <rPr>
        <b/>
        <sz val="11"/>
        <color theme="1"/>
        <rFont val="Calibri"/>
        <family val="2"/>
        <charset val="204"/>
        <scheme val="minor"/>
      </rPr>
      <t>Cellular_10_8_2017_11_27</t>
    </r>
  </si>
  <si>
    <t>Адаптер_МСШЕ.711351.002
(переходник для «Защита-К»)</t>
  </si>
  <si>
    <r>
      <t xml:space="preserve">Купрум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</si>
  <si>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Купрум</t>
  </si>
  <si>
    <t>Удлинитель патч-корда
LAN-PCEXT/U5E-5.0-GY</t>
  </si>
  <si>
    <t>Кабель Cablexpert телефонный
TC6P4C-2M</t>
  </si>
  <si>
    <t>Крышка ТСВ_ТПП МСШЕ.735213.001</t>
  </si>
  <si>
    <t>Основание КСПЭВ МСШЕ.735213.002</t>
  </si>
  <si>
    <t>Основание КСПЭВ МСШЕ.735213.002-01</t>
  </si>
  <si>
    <t>Подставка верхняя МСШЕ.741128.023</t>
  </si>
  <si>
    <t>Подставка нижняя МСШЕ.741512.004</t>
  </si>
  <si>
    <t>Прижим ТСВ МСШЕ.758584.005</t>
  </si>
  <si>
    <t>Прижим ТПП МСШЕ.758584.006</t>
  </si>
  <si>
    <t>3D-печать</t>
  </si>
  <si>
    <t>CD для записи ПО</t>
  </si>
  <si>
    <r>
      <t>CD с ПО «</t>
    </r>
    <r>
      <rPr>
        <b/>
        <sz val="11"/>
        <color theme="1"/>
        <rFont val="Calibri"/>
        <family val="2"/>
        <charset val="204"/>
        <scheme val="minor"/>
      </rPr>
      <t>Шорох-ДУ</t>
    </r>
    <r>
      <rPr>
        <sz val="11"/>
        <color theme="1"/>
        <rFont val="Calibri"/>
        <family val="2"/>
        <charset val="204"/>
        <scheme val="minor"/>
      </rPr>
      <t>»</t>
    </r>
  </si>
  <si>
    <t>Документация (РП на ПО)</t>
  </si>
  <si>
    <t>miniDVD-диск в пластиковом футляре</t>
  </si>
  <si>
    <t>Вкладыш DVD-бокса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</si>
  <si>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</si>
  <si>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Panel_bp14_5_number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</si>
  <si>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Panel_GHVA2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</si>
  <si>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Зав. номер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</si>
  <si>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Этикетка на разъем питания</t>
    </r>
    <r>
      <rPr>
        <sz val="11"/>
        <color theme="1"/>
        <rFont val="Calibri"/>
        <family val="2"/>
        <charset val="204"/>
        <scheme val="minor"/>
      </rPr>
      <t>"</t>
    </r>
  </si>
  <si>
    <t>Наклейка "АСМик-1"</t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</si>
  <si>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</si>
  <si>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</si>
  <si>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OMS-2000М_reg</t>
    </r>
  </si>
  <si>
    <t>Панель лицевая БПУ-1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</si>
  <si>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</si>
  <si>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АИ-8А/П_внешняя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</si>
  <si>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Пульт ДУ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</si>
  <si>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Ключ-ВП(ИТ)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</si>
  <si>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Ключ-ВП(СЛ)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</si>
  <si>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</si>
  <si>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</si>
  <si>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t>Наклейка
Устройство зарядное Талис-УНЧ-М2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</si>
  <si>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Талис-НЧ-М2_укладка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</si>
  <si>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Талис-НЧ-М1_укладка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</si>
  <si>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УНЧ-М2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</si>
  <si>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ПЭС-М2</t>
    </r>
  </si>
  <si>
    <r>
      <t>Наклейка «</t>
    </r>
    <r>
      <rPr>
        <b/>
        <sz val="11"/>
        <rFont val="Calibri"/>
        <family val="2"/>
        <charset val="204"/>
        <scheme val="minor"/>
      </rPr>
      <t>Сигурд-ИК_заводской номер</t>
    </r>
    <r>
      <rPr>
        <sz val="11"/>
        <rFont val="Calibri"/>
        <family val="2"/>
        <charset val="204"/>
        <scheme val="minor"/>
      </rPr>
      <t>»</t>
    </r>
  </si>
  <si>
    <t>Лицевая панель ЦОС</t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</si>
  <si>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СПДУ-1</t>
    </r>
  </si>
  <si>
    <r>
      <t>Этикетка_</t>
    </r>
    <r>
      <rPr>
        <b/>
        <sz val="11"/>
        <rFont val="Calibri"/>
        <family val="2"/>
        <charset val="204"/>
        <scheme val="minor"/>
      </rPr>
      <t>Оптрон</t>
    </r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</si>
  <si>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ПРМ_ПРД</t>
    </r>
  </si>
  <si>
    <r>
      <t>Этикетка_</t>
    </r>
    <r>
      <rPr>
        <b/>
        <sz val="11"/>
        <rFont val="Calibri"/>
        <family val="2"/>
        <charset val="204"/>
        <scheme val="minor"/>
      </rPr>
      <t>Комплект_ЗИП</t>
    </r>
  </si>
  <si>
    <r>
      <t>Этикетка_</t>
    </r>
    <r>
      <rPr>
        <b/>
        <sz val="11"/>
        <rFont val="Calibri"/>
        <family val="2"/>
        <charset val="204"/>
        <scheme val="minor"/>
      </rPr>
      <t>Знак_заземление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</si>
  <si>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Вензель-М3_укладка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</si>
  <si>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ИМСВЧН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</si>
  <si>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ИПМ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</si>
  <si>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ОФЛС220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</si>
  <si>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ОФСЛ</t>
    </r>
  </si>
  <si>
    <t>БСП-M1_панель лицевая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</si>
  <si>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Громкоговоритель_заводской номер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</si>
  <si>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</si>
  <si>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УЭК-М1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</si>
  <si>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ТСВ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</si>
  <si>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ТПП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</si>
  <si>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КСПЭВ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</si>
  <si>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Эквивалент нагрузки 4,7 кОм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</si>
  <si>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UTP5e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</si>
  <si>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NYM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</si>
  <si>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
"</t>
    </r>
    <r>
      <rPr>
        <b/>
        <sz val="11"/>
        <color theme="1"/>
        <rFont val="Calibri"/>
        <family val="2"/>
        <charset val="204"/>
        <scheme val="minor"/>
      </rPr>
      <t>Эквивалент нагрузки 1 Ом</t>
    </r>
    <r>
      <rPr>
        <sz val="11"/>
        <color theme="1"/>
        <rFont val="Calibri"/>
        <family val="2"/>
        <charset val="204"/>
        <scheme val="minor"/>
      </rPr>
      <t>"</t>
    </r>
  </si>
  <si>
    <t>Этикетка БП Шелест-М2</t>
  </si>
  <si>
    <r>
      <rPr>
        <b/>
        <sz val="11"/>
        <color rgb="FFFF0000"/>
        <rFont val="Calibri"/>
        <family val="2"/>
        <charset val="204"/>
        <scheme val="minor"/>
      </rPr>
      <t xml:space="preserve">010329 - 011328   </t>
    </r>
    <r>
      <rPr>
        <b/>
        <sz val="11"/>
        <color rgb="FF0070C0"/>
        <rFont val="Calibri"/>
        <family val="2"/>
        <charset val="204"/>
        <scheme val="minor"/>
      </rPr>
      <t xml:space="preserve">    011329 - 012028</t>
    </r>
  </si>
  <si>
    <t>Кольцо резиновое 7,00х1,5 (007-010-1,5) 
(для адаптеров к калибраторам CAL-200 и "Защита-К"</t>
  </si>
  <si>
    <t>Адаптер Защита-К - 1 шт.</t>
  </si>
  <si>
    <t>Намотка трансформатора
(заказ № РН-821)</t>
  </si>
  <si>
    <t>Намотка дросселя (заказ № РН-694)</t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</si>
  <si>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Сетевой адаптер 9В 2А</t>
    </r>
    <r>
      <rPr>
        <sz val="11"/>
        <color theme="1"/>
        <rFont val="Calibri"/>
        <family val="2"/>
        <charset val="204"/>
        <scheme val="minor"/>
      </rPr>
      <t>"</t>
    </r>
  </si>
  <si>
    <t>Потребн.
1 кв. План</t>
  </si>
  <si>
    <t>Потребн.
НГ</t>
  </si>
  <si>
    <r>
      <t>Поиск-USB (</t>
    </r>
    <r>
      <rPr>
        <i/>
        <sz val="11"/>
        <color theme="1"/>
        <rFont val="Calibri"/>
        <family val="2"/>
        <charset val="204"/>
        <scheme val="minor"/>
      </rPr>
      <t>на защищенном CD</t>
    </r>
    <r>
      <rPr>
        <sz val="11"/>
        <color theme="1"/>
        <rFont val="Calibri"/>
        <family val="2"/>
        <charset val="204"/>
        <scheme val="minor"/>
      </rPr>
      <t>)</t>
    </r>
  </si>
  <si>
    <t>ВП-1 (ПЭД-5)</t>
  </si>
  <si>
    <t>ВП-2 (ПЭД-6)</t>
  </si>
  <si>
    <t>1 квартал 2025</t>
  </si>
  <si>
    <t>Расчет 50% за 1000 шт.</t>
  </si>
  <si>
    <t>ООО "ТД ПроКейс"</t>
  </si>
  <si>
    <t>ТМ Графика</t>
  </si>
  <si>
    <t>ИП Лукин</t>
  </si>
  <si>
    <t>ООО "Милар-ЕМС"</t>
  </si>
  <si>
    <t>ООО "Премиум Партнер"</t>
  </si>
  <si>
    <r>
      <t xml:space="preserve">Шепот-М1 </t>
    </r>
    <r>
      <rPr>
        <b/>
        <sz val="11"/>
        <color rgb="FFFF0000"/>
        <rFont val="Calibri"/>
        <family val="2"/>
        <charset val="204"/>
        <scheme val="minor"/>
      </rPr>
      <t>+ модернизация</t>
    </r>
  </si>
  <si>
    <r>
      <t>Талис-НЧ-М1 - 2 шт.
Талис-НЧ-М2 - 2 шт.
Талис-НЧ Лайт - 1 шт.</t>
    </r>
    <r>
      <rPr>
        <sz val="11"/>
        <color rgb="FFFF0000"/>
        <rFont val="Calibri"/>
        <family val="2"/>
        <charset val="204"/>
        <scheme val="minor"/>
      </rPr>
      <t xml:space="preserve">
</t>
    </r>
    <r>
      <rPr>
        <sz val="11"/>
        <color theme="1"/>
        <rFont val="Calibri"/>
        <family val="2"/>
        <charset val="204"/>
        <scheme val="minor"/>
      </rPr>
      <t>Вензель-М3 - опция</t>
    </r>
  </si>
  <si>
    <t>ТАЛИС-НЧ-М1, Вензель-М3,
Обертон</t>
  </si>
  <si>
    <t>Талис-НЧ-М1, Вензель-М3, Обертон</t>
  </si>
  <si>
    <t>УЭК, УЭК-М1</t>
  </si>
  <si>
    <t>Шепот, Талис-НЧ-М1, Вензель-М3
Обертон</t>
  </si>
  <si>
    <t>Стентор-Мини - 1 шт
Талис-М3 - Опция</t>
  </si>
  <si>
    <t xml:space="preserve">
ТАЛИС-НЧ-М2 - 1 шт.</t>
  </si>
  <si>
    <t>Шепот - 1 шт.
ТАЛИС-НЧ-М1 - 1 шт.
ТАЛИС-НЧ-М2 - 1 шт.
Тритон - 1 шт. Опция
Вензель - опция</t>
  </si>
  <si>
    <t>Шепот - 1 шт.
ТАЛИС-НЧ-М1 - 1 шт.
ТАЛИС-НЧ-М2 - 1 шт.</t>
  </si>
  <si>
    <t>Шепот - 3 шт.
ТАЛИС-НЧ-М1 - 1 шт
Вензель - опция.</t>
  </si>
  <si>
    <t>Тритон - 1 шт.
Сигурд - 1 шт.</t>
  </si>
  <si>
    <t>ТАЛИС-НЧ-М2 - 1 шт.
Тритон - 1 шт.
Вензель - опция</t>
  </si>
  <si>
    <t>Шепот - 2 шт.
ТАЛИС-НЧ-М1 - 1 шт.</t>
  </si>
  <si>
    <t>Талис-НЧ-М1,
Вензель-М3, Обертон - Опция</t>
  </si>
  <si>
    <t xml:space="preserve">Талис-НЧ-М1, Вензель-М3, Обертон </t>
  </si>
  <si>
    <t>Изделие мод. К1481
(360*360*100 мм, короб сборный, f.0427, М3 бурый г/к) c 1 цв. печатью</t>
  </si>
  <si>
    <t>Пакет ВП3 50х50 (ТБ)</t>
  </si>
  <si>
    <t>ИС32-01 - 1 шт
Сигурд-ИК - 1 шт.</t>
  </si>
  <si>
    <r>
      <t xml:space="preserve">БСП-М1
</t>
    </r>
    <r>
      <rPr>
        <b/>
        <sz val="11"/>
        <color rgb="FFFF0000"/>
        <rFont val="Calibri"/>
        <family val="2"/>
        <charset val="204"/>
        <scheme val="minor"/>
      </rPr>
      <t xml:space="preserve">ADC 20561 -ADC 20610
</t>
    </r>
    <r>
      <rPr>
        <b/>
        <sz val="11"/>
        <color rgb="FF0070C0"/>
        <rFont val="Calibri"/>
        <family val="2"/>
        <charset val="204"/>
        <scheme val="minor"/>
      </rPr>
      <t>ADC 20611 -ADC 20635</t>
    </r>
  </si>
  <si>
    <r>
      <rPr>
        <b/>
        <sz val="11"/>
        <color rgb="FFFF0000"/>
        <rFont val="Calibri"/>
        <family val="2"/>
        <charset val="204"/>
        <scheme val="minor"/>
      </rPr>
      <t xml:space="preserve">ГР 998-22 -
ГР 1097-22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 ГР 1098-24 -                       ГР 1197-24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</si>
  <si>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Талис-Дельта</t>
    </r>
    <r>
      <rPr>
        <sz val="11"/>
        <color theme="1"/>
        <rFont val="Calibri"/>
        <family val="2"/>
        <charset val="204"/>
        <scheme val="minor"/>
      </rPr>
      <t>»</t>
    </r>
  </si>
  <si>
    <t>Система ТАЛИС-М3</t>
  </si>
  <si>
    <r>
      <t>CD для ПО «</t>
    </r>
    <r>
      <rPr>
        <b/>
        <sz val="11"/>
        <rFont val="Calibri"/>
        <family val="2"/>
        <charset val="204"/>
        <scheme val="minor"/>
      </rPr>
      <t>Тандем-Дельта</t>
    </r>
    <r>
      <rPr>
        <sz val="11"/>
        <rFont val="Calibri"/>
        <family val="2"/>
        <charset val="204"/>
        <scheme val="minor"/>
      </rPr>
      <t>»
РОСС RU.01.4740.ТмДхххх</t>
    </r>
  </si>
  <si>
    <r>
      <t>CD для ПО «</t>
    </r>
    <r>
      <rPr>
        <b/>
        <sz val="11"/>
        <rFont val="Calibri"/>
        <family val="2"/>
        <charset val="204"/>
        <scheme val="minor"/>
      </rPr>
      <t>Талис-Дельта</t>
    </r>
    <r>
      <rPr>
        <sz val="11"/>
        <rFont val="Calibri"/>
        <family val="2"/>
        <charset val="204"/>
        <scheme val="minor"/>
      </rPr>
      <t>»
РОСС RU.01.4802.ТДхххх</t>
    </r>
  </si>
  <si>
    <r>
      <rPr>
        <b/>
        <sz val="11"/>
        <color rgb="FFFF0000"/>
        <rFont val="Calibri"/>
        <family val="2"/>
        <charset val="204"/>
        <scheme val="minor"/>
      </rPr>
      <t>11415 - 12414</t>
    </r>
    <r>
      <rPr>
        <b/>
        <sz val="11"/>
        <color rgb="FF0070C0"/>
        <rFont val="Calibri"/>
        <family val="2"/>
        <charset val="204"/>
        <scheme val="minor"/>
      </rPr>
      <t xml:space="preserve">
12415 – 14164</t>
    </r>
  </si>
  <si>
    <t>Расчет 50% за 3000 шт.</t>
  </si>
  <si>
    <t>Расчет 50% за 15000 шт.</t>
  </si>
  <si>
    <t>Расчет 50% за 2000 шт.</t>
  </si>
  <si>
    <t>Детали корпуса (подставка)</t>
  </si>
  <si>
    <t>Детали корпуса (крышка)</t>
  </si>
  <si>
    <t>АИ-8А/Н, П, У, Мини</t>
  </si>
  <si>
    <t>Расчет 50% за 5000 шт.</t>
  </si>
  <si>
    <t>Сигурд-НЧ</t>
  </si>
  <si>
    <r>
      <rPr>
        <b/>
        <sz val="11"/>
        <color rgb="FFFF0000"/>
        <rFont val="Calibri"/>
        <family val="2"/>
        <charset val="204"/>
        <scheme val="minor"/>
      </rPr>
      <t xml:space="preserve">950951К-951060К </t>
    </r>
    <r>
      <rPr>
        <b/>
        <sz val="11"/>
        <color rgb="FF0070C0"/>
        <rFont val="Calibri"/>
        <family val="2"/>
        <charset val="204"/>
        <scheme val="minor"/>
      </rPr>
      <t>951061К-951160К</t>
    </r>
  </si>
  <si>
    <t>Расчет 60% за 100 шт.</t>
  </si>
  <si>
    <t>Расчет 50% за 500 шт</t>
  </si>
  <si>
    <t>Расчет 50% за 100 шт</t>
  </si>
  <si>
    <t>Аванс 50% за 150 шт.
Расчет 50% за 600 шт.</t>
  </si>
  <si>
    <t>2 квартал 2025</t>
  </si>
  <si>
    <t>3 квартал 2025</t>
  </si>
  <si>
    <t>4 квартал 2025</t>
  </si>
  <si>
    <t>1 квартал 2026</t>
  </si>
  <si>
    <t>Аванс 50% за 500 шт.</t>
  </si>
  <si>
    <t>Аванс 50% за 1000 шт.</t>
  </si>
  <si>
    <t>Расчет 50% за 500 шт.</t>
  </si>
  <si>
    <t>Аванс 50% за 100 шт.</t>
  </si>
  <si>
    <t>Аванс 50% за 5 шт</t>
  </si>
  <si>
    <t>Аванс за 5 шт</t>
  </si>
  <si>
    <t>Расчет 50% за 5 шт</t>
  </si>
  <si>
    <t>Расчет 50% за 280 шт.</t>
  </si>
  <si>
    <t>Расчет 50% за 150 шт.</t>
  </si>
  <si>
    <t>Аванс 50% за 280 шт.</t>
  </si>
  <si>
    <t>Расчет 50% за 1486 шт.</t>
  </si>
  <si>
    <t>Аванс за 400 шт.</t>
  </si>
  <si>
    <t>Аванс 50% за 3000 шт.</t>
  </si>
  <si>
    <t>Расчет 50% за 200 шт.</t>
  </si>
  <si>
    <t>Аванс за 5000 шт.</t>
  </si>
  <si>
    <t>Аванс за 3000 шт.</t>
  </si>
  <si>
    <t>Аванс 50% за 200 шт.
Расчет 50% за 100 шт.</t>
  </si>
  <si>
    <t>Аванс 50% за 15 шт.</t>
  </si>
  <si>
    <t>Расчет 50% за 15 шт.</t>
  </si>
  <si>
    <t>Аванс 40% за 700 шт.
Расчет 60% за 500 шт.</t>
  </si>
  <si>
    <t>Расчет 60% за 700 шт.</t>
  </si>
  <si>
    <t>Аванс 50% за 400 шт.</t>
  </si>
  <si>
    <t>Расчет 50% за 400 шт.</t>
  </si>
  <si>
    <t>Талис-НЧ-М1 (мод.)
Шелест-М2 - 1 шт.
Сигурд-НЧ - 2 шт.
Талис-НЧ-ПЭС-М2 - опция</t>
  </si>
  <si>
    <r>
      <t xml:space="preserve">Шепот - 2 шт.
</t>
    </r>
    <r>
      <rPr>
        <sz val="11"/>
        <color rgb="FFFF0000"/>
        <rFont val="Calibri"/>
        <family val="2"/>
        <charset val="204"/>
        <scheme val="minor"/>
      </rPr>
      <t xml:space="preserve">Талис М3
</t>
    </r>
    <r>
      <rPr>
        <sz val="11"/>
        <color theme="1"/>
        <rFont val="Calibri"/>
        <family val="2"/>
        <charset val="204"/>
        <scheme val="minor"/>
      </rPr>
      <t xml:space="preserve">ТАЛИС-НЧ-М1 - 1 шт.
ТАЛИС-НЧ-М2 - 1 шт.
Тритон - 1 шт.
Вензель-М3, Обертон - опция
Каскад - 1 шт.
</t>
    </r>
    <r>
      <rPr>
        <sz val="11"/>
        <rFont val="Calibri"/>
        <family val="2"/>
        <charset val="204"/>
        <scheme val="minor"/>
      </rPr>
      <t>Тандем - опция
Шепот-М1 - 1 шт.</t>
    </r>
    <r>
      <rPr>
        <sz val="11"/>
        <color theme="1"/>
        <rFont val="Calibri"/>
        <family val="2"/>
        <charset val="204"/>
        <scheme val="minor"/>
      </rPr>
      <t xml:space="preserve">
Сигурд-НЧ - опция</t>
    </r>
  </si>
  <si>
    <t>Талис-НЧ-М2,
Каскад,
Тандем - опция,
Талис-М3
Сигурд-НЧ - опция</t>
  </si>
  <si>
    <t>Талис-НЧ-М1 (мод.),
Талис-НЧ-М2,
Каскад,
Тандем - опция,
Талис-М3
Сигурд-НЧ - опция</t>
  </si>
  <si>
    <r>
      <t xml:space="preserve">Тандем
Талис-М3 - опция
</t>
    </r>
    <r>
      <rPr>
        <sz val="11"/>
        <color rgb="FFFF0000"/>
        <rFont val="Calibri"/>
        <family val="2"/>
        <charset val="204"/>
        <scheme val="minor"/>
      </rPr>
      <t>Титан</t>
    </r>
  </si>
  <si>
    <t>USB_Flash</t>
  </si>
  <si>
    <t>Аванс 40% за 300 шт.</t>
  </si>
  <si>
    <t>Расчет 60% за 300 шт.</t>
  </si>
  <si>
    <t xml:space="preserve">Основание TNC-N </t>
  </si>
  <si>
    <t xml:space="preserve">Крышка TNC-N </t>
  </si>
  <si>
    <t>Заглушка TNC-S58P</t>
  </si>
  <si>
    <t>Гайка TNC пластмассовая</t>
  </si>
  <si>
    <t>Аванс 50% за 50 шт.</t>
  </si>
  <si>
    <t>Расчет 50% за 50 шт.</t>
  </si>
  <si>
    <t>Аванс за 50 шт.</t>
  </si>
  <si>
    <t>Аванс 60% за 70 шт.</t>
  </si>
  <si>
    <t>Расчет 40% за 70 шт.</t>
  </si>
  <si>
    <t>Аванс 50% за 650 шт.</t>
  </si>
  <si>
    <t>Аванс 50% за 300 шт.</t>
  </si>
  <si>
    <t>Аванс 50% за 7500 шт.</t>
  </si>
  <si>
    <t>Аванс 50% за 200 шт.</t>
  </si>
  <si>
    <t>Аванс 50% за 600 шт.</t>
  </si>
  <si>
    <t>Расчет 50% за 650 шт.</t>
  </si>
  <si>
    <t>Расчет 50% за 300 шт.</t>
  </si>
  <si>
    <t>Расчет 50% за 7500 шт.</t>
  </si>
  <si>
    <t>Расчет 50% за 600 шт.</t>
  </si>
  <si>
    <t>Аванс за 60 шт.</t>
  </si>
  <si>
    <t>Аванс за 700 шт.</t>
  </si>
  <si>
    <t>Аванс за 300 шт.</t>
  </si>
  <si>
    <t>Аванс за 200 шт.</t>
  </si>
  <si>
    <t>Аванс за 250 шт.</t>
  </si>
  <si>
    <t>Аванс за 4000 шт.</t>
  </si>
  <si>
    <r>
      <rPr>
        <b/>
        <sz val="11"/>
        <color rgb="FFFF0000"/>
        <rFont val="Calibri"/>
        <family val="2"/>
        <charset val="204"/>
        <scheme val="minor"/>
      </rPr>
      <t xml:space="preserve">904256К-904755К </t>
    </r>
    <r>
      <rPr>
        <b/>
        <sz val="11"/>
        <color rgb="FF0070C0"/>
        <rFont val="Calibri"/>
        <family val="2"/>
        <charset val="204"/>
        <scheme val="minor"/>
      </rPr>
      <t xml:space="preserve">   904756К-905455К</t>
    </r>
  </si>
  <si>
    <r>
      <rPr>
        <b/>
        <sz val="11"/>
        <color rgb="FFFF0000"/>
        <rFont val="Calibri"/>
        <family val="2"/>
        <charset val="204"/>
        <scheme val="minor"/>
      </rPr>
      <t xml:space="preserve">0345 - 0364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0365 - 0394</t>
    </r>
  </si>
  <si>
    <t>Аванс 50% за 3000 шт.
Расчет 50% за 3000 шт.</t>
  </si>
  <si>
    <t>Аванс и Расчет за 4 шт.</t>
  </si>
  <si>
    <t>Аванс 50% за 6500 шт.</t>
  </si>
  <si>
    <t>ООО « ТитуЛ-С»
ООО "ТД ПроКейс"</t>
  </si>
  <si>
    <t>Расчет 50% за 6142 шт.</t>
  </si>
  <si>
    <t>ООО "Милар-ЕМС"
Мехдеталь</t>
  </si>
  <si>
    <t>ИП Евневич (ТМ Графика)</t>
  </si>
  <si>
    <t>ООО "Завод Эталон"
ООО "РЕЗОНИТ"</t>
  </si>
  <si>
    <t>ООО "ПЛОМБА XXI ВЕК" (Моспломба)</t>
  </si>
  <si>
    <t>ООО "Милар-ЕМС"
ИП Жеребкер</t>
  </si>
  <si>
    <t>ОМР</t>
  </si>
  <si>
    <t>ООО "Милар-ЕМС"
ООО «Радиоинж»</t>
  </si>
  <si>
    <t>ИП Тимонин</t>
  </si>
  <si>
    <t>Система Шепот (снято с пр-ва)</t>
  </si>
  <si>
    <t>3Dplastic.ru (ИП Кутуров)</t>
  </si>
  <si>
    <t>ТЕЛЕФОН-В (снято с пр-ва)</t>
  </si>
  <si>
    <t>i3Dpro (ООО "МЕРИТОГРУПП")</t>
  </si>
  <si>
    <t>ООО “Стикер ру"</t>
  </si>
  <si>
    <t>Корпус _ МСШЕ.735214.006</t>
  </si>
  <si>
    <t>Аванс 50% за 700 шт</t>
  </si>
  <si>
    <t>Расчет 50% за 700 шт</t>
  </si>
  <si>
    <t>Расчет 100% за 1 шт.</t>
  </si>
  <si>
    <t>Аванс 50% за 62 шт.</t>
  </si>
  <si>
    <t>окончат.Расчет 50% за 62 шт.</t>
  </si>
  <si>
    <t>Расчет окончат за 500 шт.</t>
  </si>
  <si>
    <t>заявка в ОМТО 14.05.25</t>
  </si>
  <si>
    <t>ООО "АЛИНАПАК"
ООО Картоника</t>
  </si>
  <si>
    <t>аванс 50% за 2 шт</t>
  </si>
  <si>
    <t>окончат расчте за 2 шт</t>
  </si>
  <si>
    <t>Аванс 50% за 5000 шт.</t>
  </si>
  <si>
    <t>аванс 50% за 600 шт</t>
  </si>
  <si>
    <t>аванс 50% за 2000 шт</t>
  </si>
  <si>
    <t>ок.расчет 50% за 600 шт</t>
  </si>
  <si>
    <t>ок.расчет 50% за 2000 шт</t>
  </si>
  <si>
    <t>на склад ПрО 11.06.25</t>
  </si>
  <si>
    <t>аванс 50% за 400 шт
ок.расчет 50% за 400 шт</t>
  </si>
  <si>
    <t>приход - август 2025</t>
  </si>
  <si>
    <r>
      <t xml:space="preserve">
23</t>
    </r>
    <r>
      <rPr>
        <b/>
        <sz val="8"/>
        <color rgb="FFFF0000"/>
        <rFont val="Calibri"/>
        <family val="2"/>
        <charset val="204"/>
        <scheme val="minor"/>
      </rPr>
      <t xml:space="preserve">01-2800
</t>
    </r>
    <r>
      <rPr>
        <b/>
        <sz val="8"/>
        <color theme="4" tint="-0.249977111117893"/>
        <rFont val="Calibri"/>
        <family val="2"/>
        <charset val="204"/>
        <scheme val="minor"/>
      </rPr>
      <t>2801-3550
3551-4050</t>
    </r>
  </si>
  <si>
    <t>един. Расчет за 100 шт</t>
  </si>
  <si>
    <t>ООО "Милар-ЕМС"
ООО Мехдеталь</t>
  </si>
  <si>
    <t>единый расчет за 500 шт</t>
  </si>
  <si>
    <t>50% аванс за 505 шт</t>
  </si>
  <si>
    <t>50% ок.расчет за 505 шт</t>
  </si>
  <si>
    <t>50% аванс за 500 шт</t>
  </si>
  <si>
    <t>50% аванс за 17 шт</t>
  </si>
  <si>
    <t>50% аванс за 505 шт ОМТО</t>
  </si>
  <si>
    <t>ок расчет ОТМО</t>
  </si>
  <si>
    <t>авнс 50% за 300 шт</t>
  </si>
  <si>
    <t>ок расчет за 300 шт</t>
  </si>
  <si>
    <t>ок расчет за 3 шт</t>
  </si>
  <si>
    <t>50% авнс за 4000 шт</t>
  </si>
  <si>
    <t>расчет за 1000 шт</t>
  </si>
  <si>
    <t>аванс 50% за 400 шт</t>
  </si>
  <si>
    <t>аванс 50% за 50 шт</t>
  </si>
  <si>
    <t>ок расчет за 400 шт</t>
  </si>
  <si>
    <t>ок расчет за 50 шт</t>
  </si>
  <si>
    <t>аванс 50% за 700 шт</t>
  </si>
  <si>
    <t>ок расчет за 700 шт</t>
  </si>
  <si>
    <t>авнс 50% за 5000 шт</t>
  </si>
  <si>
    <t>ок расчкет за 5000 шт</t>
  </si>
  <si>
    <t>аванс 50%</t>
  </si>
  <si>
    <t>ок рачсет</t>
  </si>
  <si>
    <t>аванс 50% за 5 шт</t>
  </si>
  <si>
    <t>ок расчет за 5 шт</t>
  </si>
  <si>
    <t>за 10 шт</t>
  </si>
  <si>
    <t>аванс 50% за 15 шт</t>
  </si>
  <si>
    <t>ок расчет з 5 шт</t>
  </si>
  <si>
    <t>расчет за 5 шт</t>
  </si>
  <si>
    <t>аванс 50 % за 5 шт</t>
  </si>
  <si>
    <t xml:space="preserve"> за 5 шт</t>
  </si>
  <si>
    <t>авнас 50% за 10 шт</t>
  </si>
  <si>
    <t>ок расчет за 10 шт</t>
  </si>
  <si>
    <t>аванс 50% за 70 шт</t>
  </si>
  <si>
    <t>ок расчет за 70 шт</t>
  </si>
  <si>
    <t>аванс 50% за 25 шт</t>
  </si>
  <si>
    <t>ававнс 50 % за 3 шт</t>
  </si>
  <si>
    <t>аванс 70 % за 10 шт</t>
  </si>
  <si>
    <t>приход 500 шт</t>
  </si>
  <si>
    <t>приход 1500 шт</t>
  </si>
  <si>
    <t>50% ок.расчет за 17 шт
авнс 50% за 20 шт
ок расчет за 20 шт</t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</si>
  <si>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Сигурд-SP-Тест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</si>
  <si>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Шепот-Лайт</t>
    </r>
    <r>
      <rPr>
        <sz val="11"/>
        <color theme="1"/>
        <rFont val="Calibri"/>
        <family val="2"/>
        <charset val="204"/>
        <scheme val="minor"/>
      </rPr>
      <t>», "</t>
    </r>
    <r>
      <rPr>
        <b/>
        <sz val="11"/>
        <color theme="1"/>
        <rFont val="Calibri"/>
        <family val="2"/>
        <charset val="204"/>
        <scheme val="minor"/>
      </rPr>
      <t>Шепот-Вариант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</si>
  <si>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MAX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</si>
  <si>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Сигурд-Лайт"-Интерфейс-Тест"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</si>
  <si>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Pro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</si>
  <si>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</si>
  <si>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Тандем-Дельта-Кит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</si>
  <si>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</si>
  <si>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</si>
  <si>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Сигурд-НЧ-Дельта»</t>
    </r>
  </si>
  <si>
    <r>
      <t>Вкладыш CD-бокса ПО</t>
    </r>
    <r>
      <rPr>
        <b/>
        <sz val="11"/>
        <color theme="1"/>
        <rFont val="Calibri"/>
        <family val="2"/>
        <charset val="204"/>
        <scheme val="minor"/>
      </rPr>
      <t xml:space="preserve"> «Сигурд-НЧ-Дельта»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</si>
  <si>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</si>
  <si>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</si>
  <si>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t>12 недель</t>
  </si>
  <si>
    <t>100 % за 20 шт</t>
  </si>
  <si>
    <t>50% аванс за 1000 шт</t>
  </si>
  <si>
    <t>ок.асчет за 1000 шт</t>
  </si>
  <si>
    <t>ОМТО заявка 36</t>
  </si>
  <si>
    <t>заказ 38 в ОМТО</t>
  </si>
  <si>
    <t>50% аванс за 1066 шт</t>
  </si>
  <si>
    <t>50% ок.расчет за 1066 шт</t>
  </si>
  <si>
    <t>Стержень ферритовый М2000НМ1-31 4,5*17</t>
  </si>
  <si>
    <t>Клеммник 15EDGKM-3,5-06P-14-00A(H) (ответная часть)</t>
  </si>
  <si>
    <t>Штекер NP-117A (SP112-1) (2.5х5.5х9.5мм)</t>
  </si>
  <si>
    <t>Вилка RJ9 TP4P4C (DS1121-01)</t>
  </si>
  <si>
    <t>Вилка RJ14 KLS12-RJ12-6P4C</t>
  </si>
  <si>
    <t>ок арсчет за 5 шт</t>
  </si>
  <si>
    <t>Комплектующие на плату излучателя</t>
  </si>
  <si>
    <t>Индуктивность SRR1240-102K (1000мкГн, Bourns)</t>
  </si>
  <si>
    <t>Динамик 3W 8Ом 100*100*35мм YD100RV45-B</t>
  </si>
  <si>
    <t>заказ 34 в ОМТО</t>
  </si>
  <si>
    <t xml:space="preserve">Разъем питания (гнездо 2,1х5,5x10,0 мм) с проводом 20 см </t>
  </si>
  <si>
    <t>Отвертка TORX T6 H 80 3,0х75</t>
  </si>
  <si>
    <t>заявка 32 в ОМТО</t>
  </si>
  <si>
    <t>М2000НМ, 7х4х2, Сердечник ферритовый кольцевой</t>
  </si>
  <si>
    <t>заказ 31 в ОМТО</t>
  </si>
  <si>
    <t>Разъем XLR-MC-104</t>
  </si>
  <si>
    <t>Разъем XLR-MC-103</t>
  </si>
  <si>
    <t>заявка 24 в ОМТО</t>
  </si>
  <si>
    <t>УЭК-М1/КС-Э</t>
  </si>
  <si>
    <t>Провод ПуГВ 1х0,5 черн</t>
  </si>
  <si>
    <t>23 заявка в ООМТО</t>
  </si>
  <si>
    <t>ААВ заказ</t>
  </si>
  <si>
    <t>ОМР, ООО "КОМПАНИЯ РЕКОРДСМЕН", ИП Зябрев Андрей Евгеньевич</t>
  </si>
  <si>
    <t>комлектация</t>
  </si>
  <si>
    <t>заявка 39 в ОМТО</t>
  </si>
  <si>
    <t>заявка 40 в ОМТО</t>
  </si>
  <si>
    <t>комплектующие ОМТО</t>
  </si>
  <si>
    <t>заявка 41 в ОМТО</t>
  </si>
  <si>
    <t>ок.расчет за 1066 шт</t>
  </si>
  <si>
    <t>50% аванс за 510 шт</t>
  </si>
  <si>
    <t>50% аванс за 240 шт</t>
  </si>
  <si>
    <t>аванс 50% за 3000 шт ОПЛ</t>
  </si>
  <si>
    <t>аванс 50% за 5000 шт ОПЛ</t>
  </si>
  <si>
    <t>ок расчет за 20 шт</t>
  </si>
  <si>
    <t>аванс 50% за 20 шт</t>
  </si>
  <si>
    <t>ок.расчет за 510 шт</t>
  </si>
  <si>
    <t>ок.расчет за 3000 шт ОПЛ</t>
  </si>
  <si>
    <t>авнс 50% за 300 шт
ок расчет за 300 шт</t>
  </si>
  <si>
    <t>авнс 50% за 4000 шт</t>
  </si>
  <si>
    <t>расчет за 4000 шт</t>
  </si>
  <si>
    <t>аванс 50% за 400 шт ОПЛ</t>
  </si>
  <si>
    <t>аванс 50% за 800 шт ОПЛ</t>
  </si>
  <si>
    <t>расчет за 200 шт</t>
  </si>
  <si>
    <t>аванс 50% за 700 шт ОПЛ</t>
  </si>
  <si>
    <t>ок.расчет за 5000 шт ОПЛ</t>
  </si>
  <si>
    <t>аванс 50% за 600 шт ОПЛ
ок.расчет за 600 шт</t>
  </si>
  <si>
    <t>аванс 50% за 30 шт ОПЛ</t>
  </si>
  <si>
    <t>рсчет за 6 шт</t>
  </si>
  <si>
    <t>расчет за 10 шт</t>
  </si>
  <si>
    <t>ок.расчет за 20 шт</t>
  </si>
  <si>
    <t>аванс 50% за 25 шт ОПЛ</t>
  </si>
  <si>
    <t>ок.расчет за 5 шт</t>
  </si>
  <si>
    <t>ок.расчет за 10 шт</t>
  </si>
  <si>
    <t>ок расчте за 30 шт</t>
  </si>
  <si>
    <t>ок.расчет за 25 шт</t>
  </si>
  <si>
    <t>заявка 46 в ОМТО</t>
  </si>
  <si>
    <t>заявка 45 в ОМТО</t>
  </si>
  <si>
    <t>апрапр</t>
  </si>
  <si>
    <t>Коробка коммутационная (разветвительная) низковольтная КС-4 на защелках SLT 10355</t>
  </si>
  <si>
    <t>заявка 47 в ОМТО</t>
  </si>
  <si>
    <t>заказывать по требованию от КБ</t>
  </si>
  <si>
    <t>изготавливает КБ</t>
  </si>
  <si>
    <t>запросить от КБ количество</t>
  </si>
  <si>
    <t>ООО «Радиоинж»
ИП Лукин</t>
  </si>
  <si>
    <t>ожидание поставки</t>
  </si>
  <si>
    <t>ок.расчет за 4000 шт</t>
  </si>
  <si>
    <t>аванс 50% за 200 шт ОПЛ
ок.расчет за 200 шт</t>
  </si>
  <si>
    <t>ок.расчет за 70 шт</t>
  </si>
  <si>
    <t>расчет за 120 шт</t>
  </si>
  <si>
    <t>расчет за 60 шт</t>
  </si>
  <si>
    <t>ок расчет</t>
  </si>
  <si>
    <t>приход 5000 шт</t>
  </si>
  <si>
    <t>расчет за 3000 шт</t>
  </si>
  <si>
    <r>
      <rPr>
        <b/>
        <sz val="11"/>
        <color rgb="FFFF0000"/>
        <rFont val="Calibri"/>
        <family val="2"/>
        <charset val="204"/>
        <scheme val="minor"/>
      </rPr>
      <t xml:space="preserve">0148 - 0247    </t>
    </r>
    <r>
      <rPr>
        <b/>
        <sz val="11"/>
        <color rgb="FF0070C0"/>
        <rFont val="Calibri"/>
        <family val="2"/>
        <charset val="204"/>
        <scheme val="minor"/>
      </rPr>
      <t xml:space="preserve">             0248 - 0297
0298-0302 (КБ)</t>
    </r>
  </si>
  <si>
    <t>расчет за 200 шт (ОТКЛ от БДДС)</t>
  </si>
  <si>
    <t>заявка 42 в ОМТО</t>
  </si>
  <si>
    <t>расчет за 50 шт</t>
  </si>
  <si>
    <t>авнс 50% за 400 шт УВЛ БДДС</t>
  </si>
  <si>
    <t>ок расчет за 400 шт увл БДДС</t>
  </si>
  <si>
    <t>аванс 50% за 5 шт УВЛ БДДС</t>
  </si>
  <si>
    <t>аванс 50% за 20 шт УВЛ БДДС</t>
  </si>
  <si>
    <t>аванс 50% за 40 шт УВЛ БДДС</t>
  </si>
  <si>
    <t>аванс 50% за 10 шт УВЛ БДДС</t>
  </si>
  <si>
    <t>ок расчет за 5 шт увл БДДС</t>
  </si>
  <si>
    <t>расчет . откл от БДДС</t>
  </si>
  <si>
    <t>заявка 49 в ОМТО</t>
  </si>
  <si>
    <t>расчет за 50 шт изм БДДВ</t>
  </si>
  <si>
    <t>за 5 шт</t>
  </si>
  <si>
    <t>расчет за 10 000 шт ИЗМ БДДС</t>
  </si>
  <si>
    <t>расчет за 5 шт ИЗМ БДДС</t>
  </si>
  <si>
    <t>аванс 50% за 5 шт
ок.расчет за 15 шт
ок.расчет за 5 шт</t>
  </si>
  <si>
    <t>Ложемент «ЦОС 1060»</t>
  </si>
  <si>
    <t xml:space="preserve">Ложемент верхний МСШЕ.301316.008
Ложемент нижний МСШЕ.323369.001
</t>
  </si>
  <si>
    <t>аванс 50% за 400 шт увел БДДС</t>
  </si>
  <si>
    <t>аванс за 3000 шт</t>
  </si>
  <si>
    <t>заявка 50 в ОМТО</t>
  </si>
  <si>
    <t>заявка в ОМР 24.11.25</t>
  </si>
  <si>
    <t>Прокладка электрокартон тип2 
МСШЕ.754165.002-01</t>
  </si>
  <si>
    <t>Прокладка резина тип2 
МСШЕ.754165.001-01</t>
  </si>
  <si>
    <t>Эталон</t>
  </si>
  <si>
    <r>
      <rPr>
        <b/>
        <sz val="7"/>
        <color rgb="FFFF0000"/>
        <rFont val="Calibri"/>
        <family val="2"/>
        <charset val="204"/>
        <scheme val="minor"/>
      </rPr>
      <t xml:space="preserve">00020501-00023500 
</t>
    </r>
    <r>
      <rPr>
        <b/>
        <sz val="7"/>
        <color theme="3" tint="0.39997558519241921"/>
        <rFont val="Calibri"/>
        <family val="2"/>
        <charset val="204"/>
        <scheme val="minor"/>
      </rPr>
      <t>00023501-00026500</t>
    </r>
    <r>
      <rPr>
        <b/>
        <sz val="11"/>
        <color rgb="FFFF0000"/>
        <rFont val="Calibri"/>
        <family val="2"/>
        <charset val="204"/>
        <scheme val="minor"/>
      </rPr>
      <t xml:space="preserve">
00026501-0002950</t>
    </r>
  </si>
  <si>
    <t>Этикетка гарантийная 26х12 тип БС 
(Пломба на разъем USB)</t>
  </si>
  <si>
    <t>Резонит</t>
  </si>
  <si>
    <t>расчет за 6 шт</t>
  </si>
  <si>
    <t xml:space="preserve">Упаковка (короб К229/3)
(131*112*67 мм, Короб сборный, М3 бурый г/к) </t>
  </si>
  <si>
    <t>Упаковка (короб К122/1)
(110*57*37 мм, Короб сборный f.0427, М3 бурый г/к)</t>
  </si>
  <si>
    <t>готовим флексопечать</t>
  </si>
  <si>
    <t>аванс 50% за 1000 шт</t>
  </si>
  <si>
    <t>аванс 50% за 1000шт НЕЗАЛ БДДС
ок.расч за 1000шт ИЗМ БДДС
ок.расч за 1000шт НЕЗАЛ БДДС</t>
  </si>
  <si>
    <t>аванс+расч за 100 шт срочн НЕЗАЛ БДДС</t>
  </si>
  <si>
    <t>Эталон+ПРОМ</t>
  </si>
  <si>
    <t>расчет 100% за 300 шт</t>
  </si>
  <si>
    <t>расчет 100% за 5000 шт</t>
  </si>
  <si>
    <t>Панель нижняя для БПУ-1
(Декоративная пленочная панель нижняя для "БПУ-1")</t>
  </si>
  <si>
    <t>пришло 10 шт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</si>
  <si>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УВИ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25х10мм пленка белая глянцевая Orajet 3640+ матовая.
Клеевой слой</t>
    </r>
  </si>
  <si>
    <r>
      <rPr>
        <b/>
        <sz val="8"/>
        <color rgb="FFFF0000"/>
        <rFont val="Calibri"/>
        <family val="2"/>
        <charset val="204"/>
        <scheme val="minor"/>
      </rPr>
      <t xml:space="preserve">00080 - 00139
</t>
    </r>
    <r>
      <rPr>
        <b/>
        <sz val="8"/>
        <color rgb="FF0070C0"/>
        <rFont val="Calibri"/>
        <family val="2"/>
        <charset val="204"/>
        <scheme val="minor"/>
      </rPr>
      <t xml:space="preserve">00140 - 00189
</t>
    </r>
    <r>
      <rPr>
        <b/>
        <sz val="11"/>
        <color rgb="FF0070C0"/>
        <rFont val="Calibri"/>
        <family val="2"/>
        <charset val="204"/>
        <scheme val="minor"/>
      </rPr>
      <t>00190 - 00240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</si>
  <si>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shoroh5_led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sz val="8"/>
        <color theme="1"/>
        <rFont val="Calibri"/>
        <family val="2"/>
        <charset val="204"/>
        <scheme val="minor"/>
      </rPr>
      <t>Винил 0,2 мм, размеры 69,8х46,2 мм пленка белая глянцевая Orajet 3640+ матовая.
Клеевой слой.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</si>
  <si>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БПУ-1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38х17мм пленка белая глянцевая Orajet 3640+ матовая.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</si>
  <si>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БПУ-1_Этикетка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103,5х70мм пленка белая глянцевая Orajet 3640+ матовая.</t>
    </r>
  </si>
  <si>
    <r>
      <rPr>
        <b/>
        <sz val="8"/>
        <color rgb="FFFF0000"/>
        <rFont val="Calibri"/>
        <family val="2"/>
        <charset val="204"/>
        <scheme val="minor"/>
      </rPr>
      <t>05951 -06300</t>
    </r>
    <r>
      <rPr>
        <b/>
        <sz val="8"/>
        <color rgb="FF0070C0"/>
        <rFont val="Calibri"/>
        <family val="2"/>
        <charset val="204"/>
        <scheme val="minor"/>
      </rPr>
      <t xml:space="preserve">          
06301 – 06700  </t>
    </r>
    <r>
      <rPr>
        <b/>
        <sz val="11"/>
        <color rgb="FF0070C0"/>
        <rFont val="Calibri"/>
        <family val="2"/>
        <charset val="204"/>
        <scheme val="minor"/>
      </rPr>
      <t xml:space="preserve">       
06701 - 07000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</si>
  <si>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Вибровозбудитель ПЭД-8А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</si>
  <si>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930501В-933500В  
</t>
    </r>
    <r>
      <rPr>
        <b/>
        <sz val="8"/>
        <color theme="4" tint="-0.249977111117893"/>
        <rFont val="Calibri"/>
        <family val="2"/>
        <charset val="204"/>
        <scheme val="minor"/>
      </rPr>
      <t>933501В-937500В</t>
    </r>
    <r>
      <rPr>
        <b/>
        <sz val="11"/>
        <color rgb="FF0070C0"/>
        <rFont val="Calibri"/>
        <family val="2"/>
        <charset val="204"/>
        <scheme val="minor"/>
      </rPr>
      <t xml:space="preserve">
937501В - 941500В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</si>
  <si>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АИ-8А_Мини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</si>
  <si>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0070C0"/>
        <rFont val="Calibri"/>
        <family val="2"/>
        <charset val="204"/>
        <scheme val="minor"/>
      </rPr>
      <t xml:space="preserve">
</t>
    </r>
    <r>
      <rPr>
        <b/>
        <sz val="8"/>
        <color rgb="FFFF0000"/>
        <rFont val="Calibri"/>
        <family val="2"/>
        <charset val="204"/>
        <scheme val="minor"/>
      </rPr>
      <t xml:space="preserve">935551А – 936050А   
</t>
    </r>
    <r>
      <rPr>
        <b/>
        <sz val="8"/>
        <color rgb="FF0070C0"/>
        <rFont val="Calibri"/>
        <family val="2"/>
        <charset val="204"/>
        <scheme val="minor"/>
      </rPr>
      <t xml:space="preserve">936051А – 936450А
</t>
    </r>
    <r>
      <rPr>
        <b/>
        <sz val="11"/>
        <color rgb="FF0070C0"/>
        <rFont val="Calibri"/>
        <family val="2"/>
        <charset val="204"/>
        <scheme val="minor"/>
      </rPr>
      <t>936451А - 938000А</t>
    </r>
  </si>
  <si>
    <r>
      <t xml:space="preserve">910326А - 910375А  
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</si>
  <si>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АИ-8А/Н_внешняя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30х60мм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</si>
  <si>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FF0000"/>
        <rFont val="Calibri"/>
        <family val="2"/>
        <charset val="204"/>
        <scheme val="minor"/>
      </rPr>
      <t xml:space="preserve">903121А - 903570А </t>
    </r>
    <r>
      <rPr>
        <b/>
        <sz val="8"/>
        <color rgb="FF0070C0"/>
        <rFont val="Calibri"/>
        <family val="2"/>
        <charset val="204"/>
        <scheme val="minor"/>
      </rPr>
      <t xml:space="preserve"> 
903571А – 903820А
</t>
    </r>
    <r>
      <rPr>
        <b/>
        <sz val="11"/>
        <color rgb="FF0070C0"/>
        <rFont val="Calibri"/>
        <family val="2"/>
        <charset val="204"/>
        <scheme val="minor"/>
      </rPr>
      <t>903821А - 904300А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</si>
  <si>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</si>
  <si>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АИ-8А/У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</si>
  <si>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920901А - 920950А  </t>
    </r>
    <r>
      <rPr>
        <b/>
        <sz val="8"/>
        <color rgb="FF0070C0"/>
        <rFont val="Calibri"/>
        <family val="2"/>
        <charset val="204"/>
        <scheme val="minor"/>
      </rPr>
      <t xml:space="preserve">   
920951А -921150А
</t>
    </r>
    <r>
      <rPr>
        <b/>
        <sz val="11"/>
        <color rgb="FF0070C0"/>
        <rFont val="Calibri"/>
        <family val="2"/>
        <charset val="204"/>
        <scheme val="minor"/>
      </rPr>
      <t>921151А - 921351А</t>
    </r>
  </si>
  <si>
    <t>надо забирать</t>
  </si>
  <si>
    <t>аванс 70% за 16 шт</t>
  </si>
  <si>
    <t>ок расчет 30% за 16 шт</t>
  </si>
  <si>
    <t>ок.расчет</t>
  </si>
  <si>
    <t>Спец</t>
  </si>
  <si>
    <t>Произв.</t>
  </si>
  <si>
    <t>Спецификация</t>
  </si>
  <si>
    <t>Производство</t>
  </si>
  <si>
    <t>1 кварт</t>
  </si>
  <si>
    <t>4 кварт</t>
  </si>
  <si>
    <t>3 кварт</t>
  </si>
  <si>
    <t>2 кварт</t>
  </si>
  <si>
    <t>EFD 6-412-A Flux Plus, Флюс-гель безотмывочный, 10г</t>
  </si>
  <si>
    <t>заявка 53 в ОМТО</t>
  </si>
  <si>
    <t>заказать в конце марта</t>
  </si>
  <si>
    <t>1 кв. 2026</t>
  </si>
  <si>
    <t>4 кв. 2025</t>
  </si>
  <si>
    <t>3 кв. 2025</t>
  </si>
  <si>
    <t>2 кв. 2025</t>
  </si>
  <si>
    <t>1 кв. 2025</t>
  </si>
  <si>
    <t>Режим Большой таблицы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</si>
</sst>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8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i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FFC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rgb="FF92D050"/>
      <name val="Calibri"/>
      <family val="2"/>
      <charset val="204"/>
      <scheme val="minor"/>
    </font>
    <font>
      <b/>
      <sz val="7"/>
      <color rgb="FFFF0000"/>
      <name val="Calibri"/>
      <family val="2"/>
      <charset val="204"/>
      <scheme val="minor"/>
    </font>
    <font>
      <b/>
      <sz val="7"/>
      <color theme="3" tint="0.39997558519241921"/>
      <name val="Calibri"/>
      <family val="2"/>
      <charset val="204"/>
      <scheme val="minor"/>
    </font>
    <font>
      <sz val="9"/>
      <color rgb="FFFF0000"/>
      <name val="Calibri"/>
      <family val="2"/>
      <charset val="204"/>
      <scheme val="minor"/>
    </font>
    <font>
      <b/>
      <sz val="8"/>
      <color rgb="FF0070C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0" fillId="0" borderId="0">
      <alignment horizontal="left"/>
    </xf>
  </cellStyleXfs>
  <cellXfs count="84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/>
    <xf numFmtId="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4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10" xfId="0" applyFill="1" applyBorder="1"/>
    <xf numFmtId="0" fontId="0" fillId="0" borderId="10" xfId="0" applyBorder="1" applyAlignment="1">
      <alignment horizontal="left"/>
    </xf>
    <xf numFmtId="0" fontId="0" fillId="0" borderId="10" xfId="0" applyBorder="1" applyAlignment="1">
      <alignment wrapText="1"/>
    </xf>
    <xf numFmtId="0" fontId="0" fillId="2" borderId="10" xfId="0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" fontId="0" fillId="0" borderId="8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0" fontId="4" fillId="0" borderId="10" xfId="0" applyFont="1" applyBorder="1" applyAlignment="1">
      <alignment horizontal="left" vertical="center" wrapText="1"/>
    </xf>
    <xf numFmtId="0" fontId="4" fillId="0" borderId="10" xfId="0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5" borderId="29" xfId="0" applyFill="1" applyBorder="1"/>
    <xf numFmtId="0" fontId="2" fillId="5" borderId="29" xfId="0" applyFont="1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11" xfId="0" applyFont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4" borderId="26" xfId="0" applyFill="1" applyBorder="1"/>
    <xf numFmtId="0" fontId="3" fillId="4" borderId="26" xfId="0" applyFont="1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2" fillId="4" borderId="26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left" vertical="center" wrapText="1"/>
    </xf>
    <xf numFmtId="0" fontId="0" fillId="0" borderId="11" xfId="0" applyBorder="1" applyAlignment="1">
      <alignment wrapText="1"/>
    </xf>
    <xf numFmtId="0" fontId="1" fillId="0" borderId="15" xfId="0" applyFont="1" applyBorder="1" applyAlignment="1">
      <alignment horizontal="center"/>
    </xf>
    <xf numFmtId="0" fontId="0" fillId="0" borderId="35" xfId="0" applyBorder="1"/>
    <xf numFmtId="0" fontId="0" fillId="0" borderId="35" xfId="0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4" fillId="0" borderId="11" xfId="0" applyFont="1" applyBorder="1"/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41" xfId="0" applyBorder="1"/>
    <xf numFmtId="0" fontId="0" fillId="0" borderId="41" xfId="0" applyBorder="1" applyAlignment="1">
      <alignment horizontal="center"/>
    </xf>
    <xf numFmtId="0" fontId="4" fillId="0" borderId="41" xfId="0" applyFont="1" applyBorder="1"/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9" xfId="0" applyBorder="1" applyAlignment="1">
      <alignment wrapText="1"/>
    </xf>
    <xf numFmtId="0" fontId="0" fillId="4" borderId="26" xfId="0" applyFill="1" applyBorder="1" applyAlignment="1">
      <alignment wrapText="1"/>
    </xf>
    <xf numFmtId="0" fontId="2" fillId="5" borderId="26" xfId="0" applyFont="1" applyFill="1" applyBorder="1" applyAlignment="1">
      <alignment horizontal="center"/>
    </xf>
    <xf numFmtId="0" fontId="0" fillId="3" borderId="26" xfId="0" applyFill="1" applyBorder="1"/>
    <xf numFmtId="0" fontId="0" fillId="3" borderId="26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0" fillId="3" borderId="26" xfId="0" applyFill="1" applyBorder="1" applyAlignment="1">
      <alignment wrapText="1"/>
    </xf>
    <xf numFmtId="0" fontId="3" fillId="4" borderId="26" xfId="0" applyFont="1" applyFill="1" applyBorder="1" applyAlignment="1">
      <alignment horizontal="center" wrapText="1"/>
    </xf>
    <xf numFmtId="0" fontId="1" fillId="0" borderId="11" xfId="0" applyFont="1" applyBorder="1"/>
    <xf numFmtId="0" fontId="0" fillId="5" borderId="2" xfId="0" applyFill="1" applyBorder="1"/>
    <xf numFmtId="0" fontId="2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/>
    <xf numFmtId="0" fontId="3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0" borderId="9" xfId="0" applyFont="1" applyBorder="1"/>
    <xf numFmtId="0" fontId="0" fillId="5" borderId="2" xfId="0" applyFill="1" applyBorder="1" applyAlignment="1">
      <alignment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4" fontId="0" fillId="0" borderId="21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4" fontId="0" fillId="5" borderId="31" xfId="0" applyNumberFormat="1" applyFill="1" applyBorder="1" applyAlignment="1">
      <alignment horizontal="center"/>
    </xf>
    <xf numFmtId="4" fontId="0" fillId="5" borderId="32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4" fontId="0" fillId="4" borderId="17" xfId="0" applyNumberFormat="1" applyFill="1" applyBorder="1" applyAlignment="1">
      <alignment horizontal="center"/>
    </xf>
    <xf numFmtId="4" fontId="0" fillId="0" borderId="19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4" fontId="0" fillId="5" borderId="5" xfId="0" applyNumberFormat="1" applyFill="1" applyBorder="1" applyAlignment="1">
      <alignment horizontal="center"/>
    </xf>
    <xf numFmtId="4" fontId="0" fillId="5" borderId="6" xfId="0" applyNumberFormat="1" applyFill="1" applyBorder="1" applyAlignment="1">
      <alignment horizontal="center"/>
    </xf>
    <xf numFmtId="4" fontId="0" fillId="0" borderId="37" xfId="0" applyNumberFormat="1" applyBorder="1" applyAlignment="1">
      <alignment horizontal="center"/>
    </xf>
    <xf numFmtId="4" fontId="0" fillId="0" borderId="38" xfId="0" applyNumberFormat="1" applyBorder="1" applyAlignment="1">
      <alignment horizontal="center"/>
    </xf>
    <xf numFmtId="4" fontId="0" fillId="0" borderId="40" xfId="0" applyNumberFormat="1" applyBorder="1" applyAlignment="1">
      <alignment horizontal="center"/>
    </xf>
    <xf numFmtId="4" fontId="0" fillId="0" borderId="43" xfId="0" applyNumberFormat="1" applyBorder="1" applyAlignment="1">
      <alignment horizontal="center"/>
    </xf>
    <xf numFmtId="4" fontId="0" fillId="0" borderId="44" xfId="0" applyNumberFormat="1" applyBorder="1" applyAlignment="1">
      <alignment horizontal="center"/>
    </xf>
    <xf numFmtId="4" fontId="0" fillId="0" borderId="46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16" xfId="0" applyNumberFormat="1" applyFill="1" applyBorder="1" applyAlignment="1">
      <alignment horizontal="center"/>
    </xf>
    <xf numFmtId="4" fontId="0" fillId="3" borderId="17" xfId="0" applyNumberFormat="1" applyFill="1" applyBorder="1" applyAlignment="1">
      <alignment horizontal="center"/>
    </xf>
    <xf numFmtId="4" fontId="0" fillId="5" borderId="16" xfId="0" applyNumberFormat="1" applyFill="1" applyBorder="1" applyAlignment="1">
      <alignment horizontal="center"/>
    </xf>
    <xf numFmtId="4" fontId="0" fillId="5" borderId="17" xfId="0" applyNumberFormat="1" applyFill="1" applyBorder="1" applyAlignment="1">
      <alignment horizontal="center"/>
    </xf>
    <xf numFmtId="0" fontId="0" fillId="6" borderId="0" xfId="0" applyFill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4" fontId="0" fillId="6" borderId="16" xfId="0" applyNumberFormat="1" applyFill="1" applyBorder="1" applyAlignment="1">
      <alignment horizontal="center"/>
    </xf>
    <xf numFmtId="4" fontId="0" fillId="6" borderId="17" xfId="0" applyNumberForma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7" borderId="21" xfId="0" applyFill="1" applyBorder="1" applyAlignment="1">
      <alignment horizontal="center" vertical="center" wrapText="1"/>
    </xf>
    <xf numFmtId="4" fontId="4" fillId="0" borderId="11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4" fillId="0" borderId="10" xfId="0" applyNumberFormat="1" applyFont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4" fontId="0" fillId="8" borderId="24" xfId="0" applyNumberFormat="1" applyFill="1" applyBorder="1" applyAlignment="1">
      <alignment horizontal="center"/>
    </xf>
    <xf numFmtId="4" fontId="0" fillId="8" borderId="4" xfId="0" applyNumberFormat="1" applyFill="1" applyBorder="1" applyAlignment="1">
      <alignment horizontal="center"/>
    </xf>
    <xf numFmtId="4" fontId="0" fillId="8" borderId="25" xfId="0" applyNumberFormat="1" applyFill="1" applyBorder="1" applyAlignment="1">
      <alignment horizontal="center"/>
    </xf>
    <xf numFmtId="4" fontId="0" fillId="8" borderId="43" xfId="0" applyNumberFormat="1" applyFill="1" applyBorder="1" applyAlignment="1">
      <alignment horizontal="center"/>
    </xf>
    <xf numFmtId="4" fontId="0" fillId="8" borderId="44" xfId="0" applyNumberFormat="1" applyFill="1" applyBorder="1" applyAlignment="1">
      <alignment horizontal="center"/>
    </xf>
    <xf numFmtId="4" fontId="0" fillId="8" borderId="45" xfId="0" applyNumberFormat="1" applyFill="1" applyBorder="1" applyAlignment="1">
      <alignment horizontal="center"/>
    </xf>
    <xf numFmtId="4" fontId="0" fillId="8" borderId="5" xfId="0" applyNumberFormat="1" applyFill="1" applyBorder="1" applyAlignment="1">
      <alignment horizontal="center"/>
    </xf>
    <xf numFmtId="4" fontId="0" fillId="8" borderId="6" xfId="0" applyNumberFormat="1" applyFill="1" applyBorder="1" applyAlignment="1">
      <alignment horizontal="center"/>
    </xf>
    <xf numFmtId="4" fontId="0" fillId="8" borderId="7" xfId="0" applyNumberForma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4" fontId="0" fillId="9" borderId="24" xfId="0" applyNumberFormat="1" applyFill="1" applyBorder="1" applyAlignment="1">
      <alignment horizontal="center"/>
    </xf>
    <xf numFmtId="4" fontId="0" fillId="9" borderId="4" xfId="0" applyNumberFormat="1" applyFill="1" applyBorder="1" applyAlignment="1">
      <alignment horizontal="center"/>
    </xf>
    <xf numFmtId="4" fontId="0" fillId="9" borderId="25" xfId="0" applyNumberFormat="1" applyFill="1" applyBorder="1" applyAlignment="1">
      <alignment horizontal="center"/>
    </xf>
    <xf numFmtId="4" fontId="0" fillId="9" borderId="43" xfId="0" applyNumberFormat="1" applyFill="1" applyBorder="1" applyAlignment="1">
      <alignment horizontal="center"/>
    </xf>
    <xf numFmtId="4" fontId="0" fillId="9" borderId="44" xfId="0" applyNumberFormat="1" applyFill="1" applyBorder="1" applyAlignment="1">
      <alignment horizontal="center"/>
    </xf>
    <xf numFmtId="4" fontId="0" fillId="9" borderId="45" xfId="0" applyNumberFormat="1" applyFill="1" applyBorder="1" applyAlignment="1">
      <alignment horizontal="center"/>
    </xf>
    <xf numFmtId="4" fontId="0" fillId="9" borderId="5" xfId="0" applyNumberFormat="1" applyFill="1" applyBorder="1" applyAlignment="1">
      <alignment horizontal="center"/>
    </xf>
    <xf numFmtId="4" fontId="0" fillId="9" borderId="6" xfId="0" applyNumberFormat="1" applyFill="1" applyBorder="1" applyAlignment="1">
      <alignment horizontal="center"/>
    </xf>
    <xf numFmtId="4" fontId="0" fillId="9" borderId="7" xfId="0" applyNumberFormat="1" applyFill="1" applyBorder="1" applyAlignment="1">
      <alignment horizontal="center"/>
    </xf>
    <xf numFmtId="0" fontId="7" fillId="10" borderId="5" xfId="0" applyFont="1" applyFill="1" applyBorder="1" applyAlignment="1">
      <alignment horizontal="center"/>
    </xf>
    <xf numFmtId="0" fontId="7" fillId="10" borderId="6" xfId="0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4" fontId="0" fillId="10" borderId="4" xfId="0" applyNumberFormat="1" applyFill="1" applyBorder="1" applyAlignment="1">
      <alignment horizontal="center"/>
    </xf>
    <xf numFmtId="4" fontId="0" fillId="10" borderId="25" xfId="0" applyNumberFormat="1" applyFill="1" applyBorder="1" applyAlignment="1">
      <alignment horizontal="center"/>
    </xf>
    <xf numFmtId="4" fontId="0" fillId="10" borderId="43" xfId="0" applyNumberFormat="1" applyFill="1" applyBorder="1" applyAlignment="1">
      <alignment horizontal="center"/>
    </xf>
    <xf numFmtId="4" fontId="0" fillId="10" borderId="44" xfId="0" applyNumberFormat="1" applyFill="1" applyBorder="1" applyAlignment="1">
      <alignment horizontal="center"/>
    </xf>
    <xf numFmtId="4" fontId="0" fillId="10" borderId="45" xfId="0" applyNumberFormat="1" applyFill="1" applyBorder="1" applyAlignment="1">
      <alignment horizontal="center"/>
    </xf>
    <xf numFmtId="4" fontId="0" fillId="10" borderId="5" xfId="0" applyNumberFormat="1" applyFill="1" applyBorder="1" applyAlignment="1">
      <alignment horizontal="center"/>
    </xf>
    <xf numFmtId="4" fontId="0" fillId="10" borderId="6" xfId="0" applyNumberFormat="1" applyFill="1" applyBorder="1" applyAlignment="1">
      <alignment horizontal="center"/>
    </xf>
    <xf numFmtId="4" fontId="0" fillId="10" borderId="7" xfId="0" applyNumberFormat="1" applyFill="1" applyBorder="1" applyAlignment="1">
      <alignment horizontal="center"/>
    </xf>
    <xf numFmtId="0" fontId="7" fillId="11" borderId="5" xfId="0" applyFont="1" applyFill="1" applyBorder="1" applyAlignment="1">
      <alignment horizontal="center"/>
    </xf>
    <xf numFmtId="0" fontId="7" fillId="11" borderId="6" xfId="0" applyFont="1" applyFill="1" applyBorder="1" applyAlignment="1">
      <alignment horizontal="center"/>
    </xf>
    <xf numFmtId="0" fontId="7" fillId="11" borderId="7" xfId="0" applyFont="1" applyFill="1" applyBorder="1" applyAlignment="1">
      <alignment horizontal="center"/>
    </xf>
    <xf numFmtId="4" fontId="0" fillId="11" borderId="24" xfId="0" applyNumberFormat="1" applyFill="1" applyBorder="1" applyAlignment="1">
      <alignment horizontal="center"/>
    </xf>
    <xf numFmtId="4" fontId="0" fillId="11" borderId="4" xfId="0" applyNumberFormat="1" applyFill="1" applyBorder="1" applyAlignment="1">
      <alignment horizontal="center"/>
    </xf>
    <xf numFmtId="4" fontId="0" fillId="11" borderId="25" xfId="0" applyNumberFormat="1" applyFill="1" applyBorder="1" applyAlignment="1">
      <alignment horizontal="center"/>
    </xf>
    <xf numFmtId="4" fontId="0" fillId="11" borderId="43" xfId="0" applyNumberFormat="1" applyFill="1" applyBorder="1" applyAlignment="1">
      <alignment horizontal="center"/>
    </xf>
    <xf numFmtId="4" fontId="0" fillId="11" borderId="44" xfId="0" applyNumberFormat="1" applyFill="1" applyBorder="1" applyAlignment="1">
      <alignment horizontal="center"/>
    </xf>
    <xf numFmtId="4" fontId="0" fillId="11" borderId="45" xfId="0" applyNumberFormat="1" applyFill="1" applyBorder="1" applyAlignment="1">
      <alignment horizontal="center"/>
    </xf>
    <xf numFmtId="4" fontId="0" fillId="11" borderId="5" xfId="0" applyNumberFormat="1" applyFill="1" applyBorder="1" applyAlignment="1">
      <alignment horizontal="center"/>
    </xf>
    <xf numFmtId="4" fontId="0" fillId="11" borderId="6" xfId="0" applyNumberFormat="1" applyFill="1" applyBorder="1" applyAlignment="1">
      <alignment horizontal="center"/>
    </xf>
    <xf numFmtId="4" fontId="0" fillId="11" borderId="7" xfId="0" applyNumberFormat="1" applyFill="1" applyBorder="1" applyAlignment="1">
      <alignment horizontal="center"/>
    </xf>
    <xf numFmtId="0" fontId="1" fillId="0" borderId="42" xfId="0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4" fontId="2" fillId="0" borderId="9" xfId="0" applyNumberFormat="1" applyFont="1" applyBorder="1" applyAlignment="1">
      <alignment horizontal="center"/>
    </xf>
    <xf numFmtId="4" fontId="2" fillId="0" borderId="41" xfId="0" applyNumberFormat="1" applyFont="1" applyBorder="1" applyAlignment="1">
      <alignment horizontal="center"/>
    </xf>
    <xf numFmtId="4" fontId="2" fillId="0" borderId="2" xfId="0" applyNumberFormat="1" applyFont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4" fontId="2" fillId="12" borderId="9" xfId="0" applyNumberFormat="1" applyFont="1" applyFill="1" applyBorder="1" applyAlignment="1">
      <alignment horizontal="center"/>
    </xf>
    <xf numFmtId="4" fontId="2" fillId="12" borderId="41" xfId="0" applyNumberFormat="1" applyFont="1" applyFill="1" applyBorder="1" applyAlignment="1">
      <alignment horizontal="center"/>
    </xf>
    <xf numFmtId="4" fontId="2" fillId="12" borderId="2" xfId="0" applyNumberFormat="1" applyFont="1" applyFill="1" applyBorder="1" applyAlignment="1">
      <alignment horizontal="center"/>
    </xf>
    <xf numFmtId="4" fontId="4" fillId="0" borderId="1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 wrapText="1"/>
    </xf>
    <xf numFmtId="0" fontId="1" fillId="0" borderId="25" xfId="0" applyFont="1" applyBorder="1" applyAlignment="1">
      <alignment horizontal="center"/>
    </xf>
    <xf numFmtId="4" fontId="1" fillId="0" borderId="4" xfId="0" applyNumberFormat="1" applyFont="1" applyBorder="1" applyAlignment="1">
      <alignment horizontal="center"/>
    </xf>
    <xf numFmtId="4" fontId="1" fillId="0" borderId="17" xfId="0" applyNumberFormat="1" applyFont="1" applyBorder="1" applyAlignment="1">
      <alignment horizontal="center"/>
    </xf>
    <xf numFmtId="4" fontId="1" fillId="0" borderId="19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4" fontId="1" fillId="0" borderId="22" xfId="0" applyNumberFormat="1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4" borderId="5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7" borderId="22" xfId="0" applyFill="1" applyBorder="1" applyAlignment="1">
      <alignment horizontal="center" vertical="center" wrapText="1"/>
    </xf>
    <xf numFmtId="0" fontId="0" fillId="7" borderId="55" xfId="0" applyFill="1" applyBorder="1" applyAlignment="1">
      <alignment horizontal="center" vertical="center" wrapText="1"/>
    </xf>
    <xf numFmtId="0" fontId="0" fillId="4" borderId="5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4" fontId="1" fillId="0" borderId="3" xfId="0" applyNumberFormat="1" applyFont="1" applyBorder="1" applyAlignment="1">
      <alignment horizontal="center"/>
    </xf>
    <xf numFmtId="4" fontId="4" fillId="0" borderId="3" xfId="0" applyNumberFormat="1" applyFont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0" fillId="0" borderId="20" xfId="0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0" fillId="0" borderId="10" xfId="0" applyBorder="1" applyAlignment="1">
      <alignment vertical="top"/>
    </xf>
    <xf numFmtId="0" fontId="0" fillId="13" borderId="2" xfId="0" applyFill="1" applyBorder="1"/>
    <xf numFmtId="0" fontId="3" fillId="13" borderId="2" xfId="0" applyFont="1" applyFill="1" applyBorder="1" applyAlignment="1">
      <alignment horizontal="center" wrapText="1"/>
    </xf>
    <xf numFmtId="0" fontId="0" fillId="0" borderId="29" xfId="0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4" fontId="0" fillId="13" borderId="5" xfId="0" applyNumberFormat="1" applyFill="1" applyBorder="1" applyAlignment="1">
      <alignment horizontal="center"/>
    </xf>
    <xf numFmtId="4" fontId="0" fillId="13" borderId="6" xfId="0" applyNumberFormat="1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0" borderId="20" xfId="0" applyFont="1" applyBorder="1" applyAlignment="1">
      <alignment horizontal="center" wrapText="1"/>
    </xf>
    <xf numFmtId="4" fontId="1" fillId="0" borderId="28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41" xfId="0" applyBorder="1" applyAlignment="1">
      <alignment wrapText="1"/>
    </xf>
    <xf numFmtId="4" fontId="4" fillId="0" borderId="41" xfId="0" applyNumberFormat="1" applyFont="1" applyBorder="1" applyAlignment="1">
      <alignment horizontal="center"/>
    </xf>
    <xf numFmtId="0" fontId="0" fillId="0" borderId="43" xfId="0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 wrapText="1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9" xfId="0" applyBorder="1" applyAlignment="1">
      <alignment horizontal="left" wrapText="1"/>
    </xf>
    <xf numFmtId="0" fontId="4" fillId="0" borderId="2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0" fillId="0" borderId="51" xfId="0" applyBorder="1" applyAlignment="1">
      <alignment horizontal="center"/>
    </xf>
    <xf numFmtId="4" fontId="0" fillId="0" borderId="16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52" xfId="0" applyBorder="1" applyAlignment="1">
      <alignment horizontal="center"/>
    </xf>
    <xf numFmtId="4" fontId="1" fillId="0" borderId="43" xfId="0" applyNumberFormat="1" applyFont="1" applyBorder="1" applyAlignment="1">
      <alignment horizontal="center"/>
    </xf>
    <xf numFmtId="4" fontId="1" fillId="0" borderId="44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 wrapText="1"/>
    </xf>
    <xf numFmtId="0" fontId="4" fillId="0" borderId="13" xfId="0" applyFont="1" applyBorder="1" applyAlignment="1">
      <alignment horizontal="center"/>
    </xf>
    <xf numFmtId="0" fontId="0" fillId="0" borderId="35" xfId="0" applyBorder="1" applyAlignment="1">
      <alignment wrapText="1"/>
    </xf>
    <xf numFmtId="0" fontId="0" fillId="0" borderId="37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44" xfId="0" applyFill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22" xfId="0" applyFont="1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4" fontId="0" fillId="5" borderId="60" xfId="0" applyNumberFormat="1" applyFill="1" applyBorder="1" applyAlignment="1">
      <alignment horizontal="center"/>
    </xf>
    <xf numFmtId="0" fontId="0" fillId="0" borderId="26" xfId="0" applyBorder="1" applyAlignment="1">
      <alignment wrapText="1"/>
    </xf>
    <xf numFmtId="4" fontId="4" fillId="0" borderId="19" xfId="0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4" fontId="1" fillId="0" borderId="8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4" fontId="4" fillId="0" borderId="28" xfId="0" applyNumberFormat="1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4" fillId="0" borderId="10" xfId="0" applyFont="1" applyBorder="1" applyAlignment="1">
      <alignment horizontal="left"/>
    </xf>
    <xf numFmtId="0" fontId="4" fillId="0" borderId="10" xfId="0" applyFont="1" applyBorder="1" applyAlignment="1">
      <alignment wrapText="1"/>
    </xf>
    <xf numFmtId="0" fontId="8" fillId="0" borderId="10" xfId="0" applyFont="1" applyBorder="1" applyAlignment="1">
      <alignment wrapText="1"/>
    </xf>
    <xf numFmtId="0" fontId="9" fillId="0" borderId="10" xfId="0" applyFont="1" applyBorder="1"/>
    <xf numFmtId="0" fontId="9" fillId="0" borderId="11" xfId="0" applyFont="1" applyBorder="1" applyAlignment="1">
      <alignment wrapText="1"/>
    </xf>
    <xf numFmtId="0" fontId="4" fillId="0" borderId="23" xfId="0" applyFont="1" applyBorder="1" applyAlignment="1">
      <alignment horizontal="center"/>
    </xf>
    <xf numFmtId="4" fontId="0" fillId="8" borderId="16" xfId="0" applyNumberFormat="1" applyFill="1" applyBorder="1" applyAlignment="1">
      <alignment horizontal="center"/>
    </xf>
    <xf numFmtId="4" fontId="0" fillId="8" borderId="17" xfId="0" applyNumberFormat="1" applyFill="1" applyBorder="1" applyAlignment="1">
      <alignment horizontal="center"/>
    </xf>
    <xf numFmtId="4" fontId="0" fillId="8" borderId="18" xfId="0" applyNumberFormat="1" applyFill="1" applyBorder="1" applyAlignment="1">
      <alignment horizontal="center"/>
    </xf>
    <xf numFmtId="4" fontId="2" fillId="0" borderId="26" xfId="0" applyNumberFormat="1" applyFont="1" applyBorder="1" applyAlignment="1">
      <alignment horizontal="center"/>
    </xf>
    <xf numFmtId="4" fontId="0" fillId="9" borderId="16" xfId="0" applyNumberFormat="1" applyFill="1" applyBorder="1" applyAlignment="1">
      <alignment horizontal="center"/>
    </xf>
    <xf numFmtId="4" fontId="0" fillId="9" borderId="17" xfId="0" applyNumberFormat="1" applyFill="1" applyBorder="1" applyAlignment="1">
      <alignment horizontal="center"/>
    </xf>
    <xf numFmtId="4" fontId="0" fillId="9" borderId="18" xfId="0" applyNumberFormat="1" applyFill="1" applyBorder="1" applyAlignment="1">
      <alignment horizontal="center"/>
    </xf>
    <xf numFmtId="4" fontId="0" fillId="10" borderId="16" xfId="0" applyNumberFormat="1" applyFill="1" applyBorder="1" applyAlignment="1">
      <alignment horizontal="center"/>
    </xf>
    <xf numFmtId="4" fontId="0" fillId="10" borderId="17" xfId="0" applyNumberFormat="1" applyFill="1" applyBorder="1" applyAlignment="1">
      <alignment horizontal="center"/>
    </xf>
    <xf numFmtId="4" fontId="0" fillId="10" borderId="18" xfId="0" applyNumberFormat="1" applyFill="1" applyBorder="1" applyAlignment="1">
      <alignment horizontal="center"/>
    </xf>
    <xf numFmtId="4" fontId="0" fillId="11" borderId="16" xfId="0" applyNumberFormat="1" applyFill="1" applyBorder="1" applyAlignment="1">
      <alignment horizontal="center"/>
    </xf>
    <xf numFmtId="4" fontId="0" fillId="11" borderId="17" xfId="0" applyNumberFormat="1" applyFill="1" applyBorder="1" applyAlignment="1">
      <alignment horizontal="center"/>
    </xf>
    <xf numFmtId="4" fontId="0" fillId="11" borderId="18" xfId="0" applyNumberFormat="1" applyFill="1" applyBorder="1" applyAlignment="1">
      <alignment horizontal="center"/>
    </xf>
    <xf numFmtId="4" fontId="2" fillId="12" borderId="26" xfId="0" applyNumberFormat="1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4" fontId="4" fillId="0" borderId="9" xfId="0" applyNumberFormat="1" applyFont="1" applyBorder="1" applyAlignment="1">
      <alignment horizontal="center"/>
    </xf>
    <xf numFmtId="4" fontId="4" fillId="4" borderId="26" xfId="0" applyNumberFormat="1" applyFont="1" applyFill="1" applyBorder="1" applyAlignment="1">
      <alignment horizontal="center"/>
    </xf>
    <xf numFmtId="4" fontId="4" fillId="3" borderId="26" xfId="0" applyNumberFormat="1" applyFont="1" applyFill="1" applyBorder="1" applyAlignment="1">
      <alignment horizontal="center"/>
    </xf>
    <xf numFmtId="4" fontId="4" fillId="5" borderId="2" xfId="0" applyNumberFormat="1" applyFont="1" applyFill="1" applyBorder="1" applyAlignment="1">
      <alignment horizontal="center"/>
    </xf>
    <xf numFmtId="4" fontId="4" fillId="0" borderId="0" xfId="0" applyNumberFormat="1" applyFont="1" applyAlignment="1">
      <alignment horizontal="center"/>
    </xf>
    <xf numFmtId="4" fontId="4" fillId="0" borderId="26" xfId="0" applyNumberFormat="1" applyFont="1" applyBorder="1" applyAlignment="1">
      <alignment horizontal="center"/>
    </xf>
    <xf numFmtId="0" fontId="9" fillId="0" borderId="41" xfId="0" applyFont="1" applyBorder="1"/>
    <xf numFmtId="0" fontId="4" fillId="14" borderId="1" xfId="0" applyFont="1" applyFill="1" applyBorder="1" applyAlignment="1">
      <alignment horizontal="center"/>
    </xf>
    <xf numFmtId="0" fontId="9" fillId="0" borderId="10" xfId="0" applyFont="1" applyBorder="1" applyAlignment="1">
      <alignment wrapText="1"/>
    </xf>
    <xf numFmtId="0" fontId="0" fillId="7" borderId="9" xfId="0" applyFill="1" applyBorder="1" applyAlignment="1">
      <alignment horizontal="center"/>
    </xf>
    <xf numFmtId="0" fontId="10" fillId="7" borderId="9" xfId="0" applyFont="1" applyFill="1" applyBorder="1"/>
    <xf numFmtId="0" fontId="0" fillId="7" borderId="9" xfId="0" applyFill="1" applyBorder="1"/>
    <xf numFmtId="4" fontId="4" fillId="7" borderId="9" xfId="0" applyNumberFormat="1" applyFont="1" applyFill="1" applyBorder="1" applyAlignment="1">
      <alignment horizontal="center"/>
    </xf>
    <xf numFmtId="0" fontId="4" fillId="7" borderId="9" xfId="0" applyFont="1" applyFill="1" applyBorder="1"/>
    <xf numFmtId="0" fontId="0" fillId="7" borderId="1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4" fontId="0" fillId="7" borderId="24" xfId="0" applyNumberFormat="1" applyFill="1" applyBorder="1" applyAlignment="1">
      <alignment horizontal="center"/>
    </xf>
    <xf numFmtId="4" fontId="0" fillId="7" borderId="4" xfId="0" applyNumberFormat="1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4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0" xfId="0" applyFill="1" applyBorder="1"/>
    <xf numFmtId="4" fontId="4" fillId="7" borderId="10" xfId="0" applyNumberFormat="1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4" fontId="0" fillId="7" borderId="19" xfId="0" applyNumberFormat="1" applyFill="1" applyBorder="1" applyAlignment="1">
      <alignment horizontal="center"/>
    </xf>
    <xf numFmtId="4" fontId="0" fillId="7" borderId="1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4" fontId="0" fillId="7" borderId="3" xfId="0" applyNumberFormat="1" applyFill="1" applyBorder="1" applyAlignment="1">
      <alignment horizontal="center"/>
    </xf>
    <xf numFmtId="0" fontId="0" fillId="3" borderId="10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3" borderId="9" xfId="0" applyFill="1" applyBorder="1"/>
    <xf numFmtId="0" fontId="0" fillId="7" borderId="10" xfId="0" applyFill="1" applyBorder="1" applyAlignment="1">
      <alignment wrapText="1"/>
    </xf>
    <xf numFmtId="0" fontId="0" fillId="7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14" borderId="44" xfId="0" applyFont="1" applyFill="1" applyBorder="1" applyAlignment="1">
      <alignment horizontal="center"/>
    </xf>
    <xf numFmtId="0" fontId="1" fillId="14" borderId="17" xfId="0" applyFont="1" applyFill="1" applyBorder="1" applyAlignment="1">
      <alignment horizontal="center"/>
    </xf>
    <xf numFmtId="0" fontId="1" fillId="14" borderId="32" xfId="0" applyFont="1" applyFill="1" applyBorder="1" applyAlignment="1">
      <alignment horizontal="center"/>
    </xf>
    <xf numFmtId="0" fontId="1" fillId="0" borderId="10" xfId="0" applyFont="1" applyBorder="1" applyAlignment="1">
      <alignment wrapText="1"/>
    </xf>
    <xf numFmtId="4" fontId="0" fillId="0" borderId="62" xfId="0" applyNumberFormat="1" applyBorder="1" applyAlignment="1">
      <alignment horizontal="center"/>
    </xf>
    <xf numFmtId="0" fontId="1" fillId="0" borderId="10" xfId="0" applyFont="1" applyBorder="1"/>
    <xf numFmtId="0" fontId="1" fillId="0" borderId="13" xfId="0" applyFon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4" fontId="4" fillId="0" borderId="35" xfId="0" applyNumberFormat="1" applyFont="1" applyBorder="1" applyAlignment="1">
      <alignment horizontal="center"/>
    </xf>
    <xf numFmtId="0" fontId="4" fillId="0" borderId="35" xfId="0" applyFont="1" applyBorder="1"/>
    <xf numFmtId="0" fontId="4" fillId="0" borderId="11" xfId="0" applyFont="1" applyBorder="1" applyAlignment="1">
      <alignment wrapText="1"/>
    </xf>
    <xf numFmtId="49" fontId="8" fillId="0" borderId="10" xfId="0" applyNumberFormat="1" applyFont="1" applyBorder="1" applyAlignment="1">
      <alignment wrapText="1"/>
    </xf>
    <xf numFmtId="0" fontId="0" fillId="7" borderId="49" xfId="0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10" borderId="35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2" fillId="7" borderId="26" xfId="0" applyFont="1" applyFill="1" applyBorder="1" applyAlignment="1">
      <alignment horizontal="center" vertical="center" wrapText="1"/>
    </xf>
    <xf numFmtId="0" fontId="0" fillId="5" borderId="61" xfId="0" applyFill="1" applyBorder="1" applyAlignment="1">
      <alignment horizont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10" borderId="29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4" fontId="4" fillId="0" borderId="22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61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4" fontId="4" fillId="0" borderId="4" xfId="0" applyNumberFormat="1" applyFont="1" applyBorder="1" applyAlignment="1">
      <alignment horizontal="center"/>
    </xf>
    <xf numFmtId="4" fontId="4" fillId="0" borderId="44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 wrapText="1"/>
    </xf>
    <xf numFmtId="0" fontId="0" fillId="0" borderId="33" xfId="0" applyBorder="1" applyAlignment="1">
      <alignment horizontal="center"/>
    </xf>
    <xf numFmtId="4" fontId="0" fillId="0" borderId="32" xfId="0" applyNumberFormat="1" applyBorder="1" applyAlignment="1">
      <alignment horizontal="center"/>
    </xf>
    <xf numFmtId="0" fontId="3" fillId="4" borderId="26" xfId="0" applyFont="1" applyFill="1" applyBorder="1" applyAlignment="1">
      <alignment horizontal="center" vertical="center" wrapText="1"/>
    </xf>
    <xf numFmtId="0" fontId="0" fillId="14" borderId="32" xfId="0" applyFill="1" applyBorder="1" applyAlignment="1">
      <alignment horizontal="center"/>
    </xf>
    <xf numFmtId="0" fontId="0" fillId="0" borderId="29" xfId="0" applyBorder="1" applyAlignment="1">
      <alignment wrapText="1"/>
    </xf>
    <xf numFmtId="0" fontId="0" fillId="0" borderId="30" xfId="0" applyBorder="1" applyAlignment="1">
      <alignment horizontal="center"/>
    </xf>
    <xf numFmtId="4" fontId="0" fillId="0" borderId="63" xfId="0" applyNumberFormat="1" applyBorder="1" applyAlignment="1">
      <alignment horizontal="center"/>
    </xf>
    <xf numFmtId="0" fontId="9" fillId="0" borderId="9" xfId="0" applyFont="1" applyBorder="1"/>
    <xf numFmtId="0" fontId="0" fillId="14" borderId="22" xfId="0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4" fillId="0" borderId="62" xfId="0" applyFont="1" applyBorder="1" applyAlignment="1">
      <alignment horizontal="center"/>
    </xf>
    <xf numFmtId="0" fontId="9" fillId="0" borderId="26" xfId="0" applyFont="1" applyBorder="1" applyAlignment="1">
      <alignment wrapText="1"/>
    </xf>
    <xf numFmtId="0" fontId="9" fillId="0" borderId="9" xfId="0" applyFont="1" applyBorder="1" applyAlignment="1">
      <alignment wrapText="1"/>
    </xf>
    <xf numFmtId="4" fontId="4" fillId="0" borderId="57" xfId="0" applyNumberFormat="1" applyFont="1" applyBorder="1" applyAlignment="1">
      <alignment horizontal="center"/>
    </xf>
    <xf numFmtId="0" fontId="0" fillId="0" borderId="29" xfId="0" applyBorder="1"/>
    <xf numFmtId="0" fontId="0" fillId="0" borderId="32" xfId="0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4" fillId="14" borderId="32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4" fontId="2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0" borderId="48" xfId="0" applyFont="1" applyBorder="1" applyAlignment="1">
      <alignment horizontal="center"/>
    </xf>
    <xf numFmtId="4" fontId="4" fillId="0" borderId="8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4" fillId="0" borderId="25" xfId="0" applyFont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4" fontId="4" fillId="0" borderId="43" xfId="0" applyNumberFormat="1" applyFont="1" applyBorder="1" applyAlignment="1">
      <alignment horizontal="center"/>
    </xf>
    <xf numFmtId="4" fontId="1" fillId="0" borderId="63" xfId="0" applyNumberFormat="1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1" xfId="0" applyBorder="1" applyAlignment="1">
      <alignment horizontal="center"/>
    </xf>
    <xf numFmtId="4" fontId="4" fillId="0" borderId="55" xfId="0" applyNumberFormat="1" applyFont="1" applyBorder="1" applyAlignment="1">
      <alignment horizontal="center"/>
    </xf>
    <xf numFmtId="0" fontId="1" fillId="0" borderId="41" xfId="0" applyFont="1" applyBorder="1"/>
    <xf numFmtId="0" fontId="0" fillId="7" borderId="34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3" fillId="7" borderId="26" xfId="0" applyFont="1" applyFill="1" applyBorder="1" applyAlignment="1">
      <alignment horizontal="center"/>
    </xf>
    <xf numFmtId="0" fontId="0" fillId="7" borderId="26" xfId="0" applyFill="1" applyBorder="1" applyAlignment="1">
      <alignment wrapText="1"/>
    </xf>
    <xf numFmtId="0" fontId="0" fillId="7" borderId="26" xfId="0" applyFill="1" applyBorder="1"/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4" fontId="0" fillId="7" borderId="16" xfId="0" applyNumberFormat="1" applyFill="1" applyBorder="1" applyAlignment="1">
      <alignment horizontal="center"/>
    </xf>
    <xf numFmtId="4" fontId="0" fillId="7" borderId="17" xfId="0" applyNumberFormat="1" applyFill="1" applyBorder="1" applyAlignment="1">
      <alignment horizontal="center"/>
    </xf>
    <xf numFmtId="4" fontId="4" fillId="0" borderId="56" xfId="0" applyNumberFormat="1" applyFont="1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1" fillId="0" borderId="62" xfId="0" applyFont="1" applyBorder="1" applyAlignment="1">
      <alignment horizontal="center"/>
    </xf>
    <xf numFmtId="4" fontId="4" fillId="0" borderId="38" xfId="0" applyNumberFormat="1" applyFont="1" applyBorder="1" applyAlignment="1">
      <alignment horizontal="center"/>
    </xf>
    <xf numFmtId="4" fontId="4" fillId="0" borderId="37" xfId="0" applyNumberFormat="1" applyFont="1" applyBorder="1" applyAlignment="1">
      <alignment horizontal="center"/>
    </xf>
    <xf numFmtId="0" fontId="0" fillId="0" borderId="39" xfId="0" applyBorder="1" applyAlignment="1">
      <alignment horizontal="center" wrapText="1"/>
    </xf>
    <xf numFmtId="0" fontId="4" fillId="0" borderId="39" xfId="0" applyFont="1" applyBorder="1" applyAlignment="1">
      <alignment horizontal="center"/>
    </xf>
    <xf numFmtId="4" fontId="4" fillId="0" borderId="58" xfId="0" applyNumberFormat="1" applyFont="1" applyBorder="1" applyAlignment="1">
      <alignment horizontal="center"/>
    </xf>
    <xf numFmtId="4" fontId="4" fillId="0" borderId="24" xfId="0" applyNumberFormat="1" applyFont="1" applyBorder="1" applyAlignment="1">
      <alignment horizontal="center"/>
    </xf>
    <xf numFmtId="0" fontId="0" fillId="15" borderId="9" xfId="0" applyFill="1" applyBorder="1"/>
    <xf numFmtId="0" fontId="0" fillId="0" borderId="10" xfId="0" applyBorder="1" applyAlignment="1">
      <alignment vertical="top" wrapText="1"/>
    </xf>
    <xf numFmtId="0" fontId="0" fillId="15" borderId="11" xfId="0" applyFill="1" applyBorder="1"/>
    <xf numFmtId="0" fontId="0" fillId="10" borderId="14" xfId="0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4" fontId="0" fillId="7" borderId="46" xfId="0" applyNumberFormat="1" applyFill="1" applyBorder="1" applyAlignment="1">
      <alignment horizontal="center"/>
    </xf>
    <xf numFmtId="4" fontId="0" fillId="7" borderId="44" xfId="0" applyNumberFormat="1" applyFill="1" applyBorder="1" applyAlignment="1">
      <alignment horizontal="center"/>
    </xf>
    <xf numFmtId="0" fontId="4" fillId="7" borderId="45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0" fillId="7" borderId="2" xfId="0" applyFill="1" applyBorder="1"/>
    <xf numFmtId="4" fontId="4" fillId="7" borderId="2" xfId="0" applyNumberFormat="1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4" fontId="0" fillId="7" borderId="5" xfId="0" applyNumberFormat="1" applyFill="1" applyBorder="1" applyAlignment="1">
      <alignment horizontal="center"/>
    </xf>
    <xf numFmtId="4" fontId="0" fillId="7" borderId="6" xfId="0" applyNumberFormat="1" applyFill="1" applyBorder="1" applyAlignment="1">
      <alignment horizontal="center"/>
    </xf>
    <xf numFmtId="0" fontId="2" fillId="0" borderId="10" xfId="0" applyFont="1" applyBorder="1" applyAlignment="1">
      <alignment wrapText="1"/>
    </xf>
    <xf numFmtId="4" fontId="4" fillId="0" borderId="46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/>
    </xf>
    <xf numFmtId="4" fontId="1" fillId="0" borderId="46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0" fillId="7" borderId="10" xfId="0" applyFont="1" applyFill="1" applyBorder="1"/>
    <xf numFmtId="0" fontId="0" fillId="7" borderId="9" xfId="0" applyFill="1" applyBorder="1" applyAlignment="1">
      <alignment wrapText="1"/>
    </xf>
    <xf numFmtId="4" fontId="4" fillId="7" borderId="24" xfId="0" applyNumberFormat="1" applyFont="1" applyFill="1" applyBorder="1" applyAlignment="1">
      <alignment horizontal="center"/>
    </xf>
    <xf numFmtId="4" fontId="4" fillId="7" borderId="4" xfId="0" applyNumberFormat="1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 wrapText="1"/>
    </xf>
    <xf numFmtId="0" fontId="0" fillId="7" borderId="25" xfId="0" applyFill="1" applyBorder="1" applyAlignment="1">
      <alignment horizontal="center" wrapText="1"/>
    </xf>
    <xf numFmtId="0" fontId="0" fillId="7" borderId="41" xfId="0" applyFill="1" applyBorder="1" applyAlignment="1">
      <alignment wrapText="1"/>
    </xf>
    <xf numFmtId="4" fontId="4" fillId="0" borderId="29" xfId="0" applyNumberFormat="1" applyFont="1" applyBorder="1" applyAlignment="1">
      <alignment horizontal="center"/>
    </xf>
    <xf numFmtId="4" fontId="0" fillId="5" borderId="64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13" fillId="0" borderId="26" xfId="0" applyFont="1" applyBorder="1" applyAlignment="1">
      <alignment wrapText="1"/>
    </xf>
    <xf numFmtId="0" fontId="3" fillId="0" borderId="10" xfId="0" applyFont="1" applyBorder="1"/>
    <xf numFmtId="0" fontId="4" fillId="0" borderId="24" xfId="0" applyFont="1" applyBorder="1" applyAlignment="1">
      <alignment horizontal="center"/>
    </xf>
    <xf numFmtId="0" fontId="1" fillId="0" borderId="9" xfId="0" applyFont="1" applyBorder="1" applyAlignment="1">
      <alignment wrapText="1"/>
    </xf>
    <xf numFmtId="0" fontId="1" fillId="7" borderId="10" xfId="0" applyFont="1" applyFill="1" applyBorder="1" applyAlignment="1">
      <alignment wrapText="1"/>
    </xf>
    <xf numFmtId="0" fontId="4" fillId="0" borderId="9" xfId="0" applyFont="1" applyBorder="1" applyAlignment="1">
      <alignment wrapText="1"/>
    </xf>
    <xf numFmtId="0" fontId="4" fillId="14" borderId="22" xfId="0" applyFont="1" applyFill="1" applyBorder="1" applyAlignment="1">
      <alignment horizontal="center"/>
    </xf>
    <xf numFmtId="0" fontId="4" fillId="14" borderId="44" xfId="0" applyFont="1" applyFill="1" applyBorder="1" applyAlignment="1">
      <alignment horizontal="center"/>
    </xf>
    <xf numFmtId="0" fontId="11" fillId="0" borderId="0" xfId="0" applyFont="1"/>
    <xf numFmtId="0" fontId="9" fillId="0" borderId="0" xfId="0" applyFont="1" applyAlignment="1">
      <alignment wrapText="1"/>
    </xf>
    <xf numFmtId="0" fontId="1" fillId="0" borderId="0" xfId="0" applyFont="1"/>
    <xf numFmtId="0" fontId="1" fillId="0" borderId="18" xfId="0" applyFont="1" applyBorder="1" applyAlignment="1">
      <alignment horizontal="center"/>
    </xf>
    <xf numFmtId="0" fontId="9" fillId="0" borderId="41" xfId="0" applyFont="1" applyBorder="1" applyAlignment="1">
      <alignment wrapText="1"/>
    </xf>
    <xf numFmtId="4" fontId="0" fillId="0" borderId="14" xfId="0" applyNumberFormat="1" applyBorder="1" applyAlignment="1">
      <alignment horizontal="center"/>
    </xf>
    <xf numFmtId="4" fontId="0" fillId="0" borderId="65" xfId="0" applyNumberFormat="1" applyBorder="1" applyAlignment="1">
      <alignment horizontal="center"/>
    </xf>
    <xf numFmtId="0" fontId="0" fillId="7" borderId="35" xfId="0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26" xfId="0" applyFill="1" applyBorder="1" applyAlignment="1">
      <alignment horizontal="center"/>
    </xf>
    <xf numFmtId="0" fontId="0" fillId="16" borderId="35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34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1" fillId="16" borderId="34" xfId="0" applyFon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42" xfId="0" applyFill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14" borderId="38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4" fontId="1" fillId="0" borderId="14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4" fontId="4" fillId="0" borderId="66" xfId="0" applyNumberFormat="1" applyFont="1" applyBorder="1" applyAlignment="1">
      <alignment horizontal="center"/>
    </xf>
    <xf numFmtId="4" fontId="0" fillId="0" borderId="42" xfId="0" applyNumberFormat="1" applyBorder="1" applyAlignment="1">
      <alignment horizontal="center"/>
    </xf>
    <xf numFmtId="4" fontId="4" fillId="0" borderId="40" xfId="0" applyNumberFormat="1" applyFont="1" applyBorder="1" applyAlignment="1">
      <alignment horizontal="center"/>
    </xf>
    <xf numFmtId="4" fontId="4" fillId="0" borderId="21" xfId="0" applyNumberFormat="1" applyFont="1" applyBorder="1" applyAlignment="1">
      <alignment horizontal="center"/>
    </xf>
    <xf numFmtId="4" fontId="4" fillId="5" borderId="29" xfId="0" applyNumberFormat="1" applyFont="1" applyFill="1" applyBorder="1" applyAlignment="1">
      <alignment horizontal="center"/>
    </xf>
    <xf numFmtId="4" fontId="4" fillId="2" borderId="11" xfId="0" applyNumberFormat="1" applyFont="1" applyFill="1" applyBorder="1" applyAlignment="1">
      <alignment horizontal="center"/>
    </xf>
    <xf numFmtId="4" fontId="4" fillId="2" borderId="10" xfId="0" applyNumberFormat="1" applyFont="1" applyFill="1" applyBorder="1" applyAlignment="1">
      <alignment horizontal="center"/>
    </xf>
    <xf numFmtId="4" fontId="4" fillId="7" borderId="26" xfId="0" applyNumberFormat="1" applyFont="1" applyFill="1" applyBorder="1" applyAlignment="1">
      <alignment horizontal="center"/>
    </xf>
    <xf numFmtId="4" fontId="4" fillId="5" borderId="26" xfId="0" applyNumberFormat="1" applyFont="1" applyFill="1" applyBorder="1" applyAlignment="1">
      <alignment horizontal="center"/>
    </xf>
    <xf numFmtId="4" fontId="4" fillId="13" borderId="2" xfId="0" applyNumberFormat="1" applyFont="1" applyFill="1" applyBorder="1" applyAlignment="1">
      <alignment horizontal="center"/>
    </xf>
    <xf numFmtId="4" fontId="4" fillId="3" borderId="2" xfId="0" applyNumberFormat="1" applyFont="1" applyFill="1" applyBorder="1" applyAlignment="1">
      <alignment horizontal="center"/>
    </xf>
    <xf numFmtId="4" fontId="4" fillId="6" borderId="0" xfId="0" applyNumberFormat="1" applyFont="1" applyFill="1" applyAlignment="1">
      <alignment horizontal="center"/>
    </xf>
    <xf numFmtId="0" fontId="4" fillId="10" borderId="4" xfId="0" applyFont="1" applyFill="1" applyBorder="1" applyAlignment="1">
      <alignment horizontal="center"/>
    </xf>
    <xf numFmtId="4" fontId="15" fillId="0" borderId="10" xfId="0" applyNumberFormat="1" applyFont="1" applyBorder="1" applyAlignment="1">
      <alignment horizontal="center"/>
    </xf>
    <xf numFmtId="4" fontId="4" fillId="17" borderId="1" xfId="0" applyNumberFormat="1" applyFont="1" applyFill="1" applyBorder="1" applyAlignment="1">
      <alignment horizontal="center"/>
    </xf>
    <xf numFmtId="4" fontId="0" fillId="17" borderId="19" xfId="0" applyNumberFormat="1" applyFill="1" applyBorder="1" applyAlignment="1">
      <alignment horizontal="center"/>
    </xf>
    <xf numFmtId="4" fontId="15" fillId="0" borderId="11" xfId="0" applyNumberFormat="1" applyFont="1" applyBorder="1" applyAlignment="1">
      <alignment horizontal="center"/>
    </xf>
    <xf numFmtId="4" fontId="15" fillId="0" borderId="9" xfId="0" applyNumberFormat="1" applyFont="1" applyBorder="1" applyAlignment="1">
      <alignment horizontal="center"/>
    </xf>
    <xf numFmtId="4" fontId="0" fillId="17" borderId="3" xfId="0" applyNumberFormat="1" applyFill="1" applyBorder="1" applyAlignment="1">
      <alignment horizontal="center"/>
    </xf>
    <xf numFmtId="4" fontId="0" fillId="17" borderId="21" xfId="0" applyNumberFormat="1" applyFill="1" applyBorder="1" applyAlignment="1">
      <alignment horizontal="center"/>
    </xf>
    <xf numFmtId="4" fontId="0" fillId="17" borderId="8" xfId="0" applyNumberFormat="1" applyFill="1" applyBorder="1" applyAlignment="1">
      <alignment horizontal="center"/>
    </xf>
    <xf numFmtId="4" fontId="4" fillId="17" borderId="8" xfId="0" applyNumberFormat="1" applyFont="1" applyFill="1" applyBorder="1" applyAlignment="1">
      <alignment horizontal="center"/>
    </xf>
    <xf numFmtId="4" fontId="15" fillId="0" borderId="56" xfId="0" applyNumberFormat="1" applyFont="1" applyBorder="1" applyAlignment="1">
      <alignment horizontal="center"/>
    </xf>
    <xf numFmtId="4" fontId="4" fillId="17" borderId="19" xfId="0" applyNumberFormat="1" applyFont="1" applyFill="1" applyBorder="1" applyAlignment="1">
      <alignment horizontal="center"/>
    </xf>
    <xf numFmtId="4" fontId="0" fillId="17" borderId="1" xfId="0" applyNumberForma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4" fontId="4" fillId="17" borderId="3" xfId="0" applyNumberFormat="1" applyFont="1" applyFill="1" applyBorder="1" applyAlignment="1">
      <alignment horizontal="center"/>
    </xf>
    <xf numFmtId="4" fontId="0" fillId="17" borderId="28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4" fontId="15" fillId="0" borderId="35" xfId="0" applyNumberFormat="1" applyFont="1" applyBorder="1" applyAlignment="1">
      <alignment horizontal="center"/>
    </xf>
    <xf numFmtId="4" fontId="0" fillId="17" borderId="40" xfId="0" applyNumberFormat="1" applyFill="1" applyBorder="1" applyAlignment="1">
      <alignment horizontal="center"/>
    </xf>
    <xf numFmtId="4" fontId="0" fillId="10" borderId="3" xfId="0" applyNumberFormat="1" applyFill="1" applyBorder="1" applyAlignment="1">
      <alignment horizontal="center"/>
    </xf>
    <xf numFmtId="4" fontId="4" fillId="2" borderId="3" xfId="0" applyNumberFormat="1" applyFont="1" applyFill="1" applyBorder="1" applyAlignment="1">
      <alignment horizontal="center"/>
    </xf>
    <xf numFmtId="0" fontId="1" fillId="0" borderId="11" xfId="0" applyFont="1" applyBorder="1" applyAlignment="1">
      <alignment horizontal="left" vertical="center" wrapText="1"/>
    </xf>
    <xf numFmtId="0" fontId="1" fillId="0" borderId="9" xfId="0" applyFont="1" applyBorder="1"/>
    <xf numFmtId="0" fontId="8" fillId="5" borderId="2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4" fillId="18" borderId="4" xfId="0" applyFont="1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4" fontId="0" fillId="10" borderId="22" xfId="0" applyNumberFormat="1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1" xfId="0" applyBorder="1"/>
    <xf numFmtId="4" fontId="0" fillId="18" borderId="1" xfId="0" applyNumberForma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4" fontId="0" fillId="18" borderId="22" xfId="0" applyNumberFormat="1" applyFill="1" applyBorder="1" applyAlignment="1">
      <alignment horizontal="center"/>
    </xf>
    <xf numFmtId="0" fontId="0" fillId="18" borderId="23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4" fontId="0" fillId="18" borderId="19" xfId="0" applyNumberFormat="1" applyFill="1" applyBorder="1" applyAlignment="1">
      <alignment horizontal="center"/>
    </xf>
    <xf numFmtId="4" fontId="0" fillId="18" borderId="3" xfId="0" applyNumberFormat="1" applyFill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7" fillId="0" borderId="10" xfId="0" applyFont="1" applyBorder="1" applyAlignment="1">
      <alignment wrapText="1"/>
    </xf>
    <xf numFmtId="4" fontId="15" fillId="0" borderId="41" xfId="0" applyNumberFormat="1" applyFont="1" applyBorder="1" applyAlignment="1">
      <alignment horizontal="center"/>
    </xf>
    <xf numFmtId="4" fontId="15" fillId="0" borderId="10" xfId="0" applyNumberFormat="1" applyFont="1" applyBorder="1" applyAlignment="1">
      <alignment horizontal="center" wrapText="1"/>
    </xf>
    <xf numFmtId="0" fontId="0" fillId="0" borderId="65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16" borderId="41" xfId="0" applyFill="1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20" fillId="0" borderId="54" xfId="1" applyBorder="1" applyAlignment="1">
      <alignment vertical="center"/>
    </xf>
    <xf numFmtId="0" fontId="0" fillId="16" borderId="29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1" fillId="0" borderId="35" xfId="0" applyFont="1" applyBorder="1"/>
    <xf numFmtId="0" fontId="1" fillId="2" borderId="20" xfId="0" applyFont="1" applyFill="1" applyBorder="1" applyAlignment="1">
      <alignment horizontal="center"/>
    </xf>
    <xf numFmtId="4" fontId="1" fillId="2" borderId="0" xfId="0" applyNumberFormat="1" applyFont="1" applyFill="1" applyAlignment="1">
      <alignment horizontal="center"/>
    </xf>
    <xf numFmtId="4" fontId="1" fillId="0" borderId="42" xfId="0" applyNumberFormat="1" applyFont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4" fontId="1" fillId="2" borderId="1" xfId="0" applyNumberFormat="1" applyFont="1" applyFill="1" applyBorder="1" applyAlignment="1">
      <alignment horizontal="center"/>
    </xf>
    <xf numFmtId="4" fontId="1" fillId="2" borderId="19" xfId="0" applyNumberFormat="1" applyFont="1" applyFill="1" applyBorder="1" applyAlignment="1">
      <alignment horizontal="center"/>
    </xf>
    <xf numFmtId="4" fontId="1" fillId="2" borderId="38" xfId="0" applyNumberFormat="1" applyFont="1" applyFill="1" applyBorder="1" applyAlignment="1">
      <alignment horizontal="center"/>
    </xf>
    <xf numFmtId="4" fontId="1" fillId="0" borderId="24" xfId="0" applyNumberFormat="1" applyFont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4" fontId="1" fillId="2" borderId="21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4" fontId="1" fillId="10" borderId="17" xfId="0" applyNumberFormat="1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/>
    </xf>
    <xf numFmtId="4" fontId="1" fillId="7" borderId="1" xfId="0" applyNumberFormat="1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4" fontId="1" fillId="2" borderId="16" xfId="0" applyNumberFormat="1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4" fontId="1" fillId="2" borderId="22" xfId="0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 wrapText="1"/>
    </xf>
    <xf numFmtId="0" fontId="1" fillId="2" borderId="39" xfId="0" applyFont="1" applyFill="1" applyBorder="1" applyAlignment="1">
      <alignment horizontal="center"/>
    </xf>
    <xf numFmtId="4" fontId="1" fillId="2" borderId="28" xfId="0" applyNumberFormat="1" applyFont="1" applyFill="1" applyBorder="1" applyAlignment="1">
      <alignment horizontal="center"/>
    </xf>
    <xf numFmtId="4" fontId="15" fillId="0" borderId="29" xfId="0" applyNumberFormat="1" applyFont="1" applyBorder="1" applyAlignment="1">
      <alignment horizontal="center"/>
    </xf>
    <xf numFmtId="0" fontId="1" fillId="2" borderId="45" xfId="0" applyFont="1" applyFill="1" applyBorder="1" applyAlignment="1">
      <alignment horizontal="center"/>
    </xf>
    <xf numFmtId="0" fontId="1" fillId="10" borderId="22" xfId="0" applyFont="1" applyFill="1" applyBorder="1" applyAlignment="1">
      <alignment horizontal="center"/>
    </xf>
    <xf numFmtId="0" fontId="4" fillId="8" borderId="25" xfId="0" applyFont="1" applyFill="1" applyBorder="1" applyAlignment="1">
      <alignment horizontal="center"/>
    </xf>
    <xf numFmtId="4" fontId="4" fillId="8" borderId="1" xfId="0" applyNumberFormat="1" applyFont="1" applyFill="1" applyBorder="1" applyAlignment="1">
      <alignment horizontal="center"/>
    </xf>
    <xf numFmtId="0" fontId="0" fillId="8" borderId="25" xfId="0" applyFill="1" applyBorder="1" applyAlignment="1">
      <alignment horizontal="center" wrapText="1"/>
    </xf>
    <xf numFmtId="4" fontId="22" fillId="0" borderId="41" xfId="0" applyNumberFormat="1" applyFont="1" applyBorder="1" applyAlignment="1">
      <alignment horizontal="center"/>
    </xf>
    <xf numFmtId="4" fontId="1" fillId="2" borderId="44" xfId="0" applyNumberFormat="1" applyFont="1" applyFill="1" applyBorder="1" applyAlignment="1">
      <alignment horizontal="center"/>
    </xf>
    <xf numFmtId="4" fontId="4" fillId="8" borderId="3" xfId="0" applyNumberFormat="1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 wrapText="1"/>
    </xf>
    <xf numFmtId="4" fontId="0" fillId="8" borderId="1" xfId="0" applyNumberFormat="1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4" fontId="0" fillId="8" borderId="3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" fontId="0" fillId="8" borderId="19" xfId="0" applyNumberFormat="1" applyFill="1" applyBorder="1" applyAlignment="1">
      <alignment horizontal="center"/>
    </xf>
    <xf numFmtId="4" fontId="0" fillId="8" borderId="21" xfId="0" applyNumberFormat="1" applyFill="1" applyBorder="1" applyAlignment="1">
      <alignment horizontal="center"/>
    </xf>
    <xf numFmtId="4" fontId="0" fillId="8" borderId="22" xfId="0" applyNumberFormat="1" applyFill="1" applyBorder="1" applyAlignment="1">
      <alignment horizontal="center"/>
    </xf>
    <xf numFmtId="4" fontId="1" fillId="0" borderId="0" xfId="0" applyNumberFormat="1" applyFont="1" applyAlignment="1">
      <alignment horizontal="center"/>
    </xf>
    <xf numFmtId="4" fontId="4" fillId="8" borderId="8" xfId="0" applyNumberFormat="1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 wrapText="1"/>
    </xf>
    <xf numFmtId="0" fontId="0" fillId="7" borderId="50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17" fillId="0" borderId="20" xfId="0" applyFont="1" applyBorder="1" applyAlignment="1">
      <alignment horizontal="center" wrapText="1"/>
    </xf>
    <xf numFmtId="0" fontId="17" fillId="2" borderId="20" xfId="0" applyFont="1" applyFill="1" applyBorder="1" applyAlignment="1">
      <alignment horizontal="center" wrapText="1"/>
    </xf>
    <xf numFmtId="4" fontId="1" fillId="0" borderId="21" xfId="0" applyNumberFormat="1" applyFont="1" applyBorder="1" applyAlignment="1">
      <alignment horizontal="center"/>
    </xf>
    <xf numFmtId="4" fontId="1" fillId="2" borderId="46" xfId="0" applyNumberFormat="1" applyFont="1" applyFill="1" applyBorder="1" applyAlignment="1">
      <alignment horizontal="center"/>
    </xf>
    <xf numFmtId="4" fontId="1" fillId="8" borderId="65" xfId="0" applyNumberFormat="1" applyFont="1" applyFill="1" applyBorder="1" applyAlignment="1">
      <alignment horizontal="center"/>
    </xf>
    <xf numFmtId="0" fontId="1" fillId="8" borderId="20" xfId="0" applyFont="1" applyFill="1" applyBorder="1" applyAlignment="1">
      <alignment horizontal="center"/>
    </xf>
    <xf numFmtId="4" fontId="1" fillId="8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0" fontId="25" fillId="8" borderId="25" xfId="0" applyFont="1" applyFill="1" applyBorder="1" applyAlignment="1">
      <alignment horizontal="center"/>
    </xf>
    <xf numFmtId="4" fontId="0" fillId="8" borderId="8" xfId="0" applyNumberForma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4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4" fontId="0" fillId="8" borderId="32" xfId="0" applyNumberFormat="1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0" fillId="19" borderId="33" xfId="0" applyFill="1" applyBorder="1" applyAlignment="1">
      <alignment horizontal="center"/>
    </xf>
    <xf numFmtId="0" fontId="0" fillId="10" borderId="56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4" fontId="0" fillId="8" borderId="37" xfId="0" applyNumberFormat="1" applyFill="1" applyBorder="1" applyAlignment="1">
      <alignment horizontal="center"/>
    </xf>
    <xf numFmtId="4" fontId="0" fillId="8" borderId="28" xfId="0" applyNumberFormat="1" applyFill="1" applyBorder="1" applyAlignment="1">
      <alignment horizontal="center"/>
    </xf>
    <xf numFmtId="0" fontId="0" fillId="8" borderId="23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4" fontId="0" fillId="8" borderId="38" xfId="0" applyNumberFormat="1" applyFill="1" applyBorder="1" applyAlignment="1">
      <alignment horizontal="center"/>
    </xf>
    <xf numFmtId="0" fontId="0" fillId="8" borderId="39" xfId="0" applyFill="1" applyBorder="1" applyAlignment="1">
      <alignment horizontal="center" wrapText="1"/>
    </xf>
    <xf numFmtId="0" fontId="27" fillId="8" borderId="45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10" borderId="68" xfId="0" applyFill="1" applyBorder="1" applyAlignment="1">
      <alignment horizontal="center"/>
    </xf>
    <xf numFmtId="0" fontId="4" fillId="0" borderId="65" xfId="0" applyFont="1" applyBorder="1" applyAlignment="1">
      <alignment horizontal="center"/>
    </xf>
    <xf numFmtId="0" fontId="4" fillId="0" borderId="65" xfId="0" applyFont="1" applyBorder="1" applyAlignment="1">
      <alignment horizontal="center" wrapText="1"/>
    </xf>
    <xf numFmtId="0" fontId="4" fillId="0" borderId="66" xfId="0" applyFont="1" applyBorder="1" applyAlignment="1">
      <alignment horizontal="center" wrapText="1"/>
    </xf>
    <xf numFmtId="0" fontId="4" fillId="0" borderId="53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0" fontId="4" fillId="0" borderId="68" xfId="0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4" fillId="7" borderId="65" xfId="0" applyFont="1" applyFill="1" applyBorder="1" applyAlignment="1">
      <alignment horizontal="center"/>
    </xf>
    <xf numFmtId="0" fontId="0" fillId="0" borderId="51" xfId="0" applyBorder="1" applyAlignment="1">
      <alignment horizontal="center" wrapText="1"/>
    </xf>
    <xf numFmtId="0" fontId="1" fillId="0" borderId="51" xfId="0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1" fillId="0" borderId="66" xfId="0" applyFont="1" applyBorder="1" applyAlignment="1">
      <alignment horizontal="center" wrapText="1"/>
    </xf>
    <xf numFmtId="0" fontId="4" fillId="7" borderId="68" xfId="0" applyFont="1" applyFill="1" applyBorder="1" applyAlignment="1">
      <alignment horizontal="center" wrapText="1"/>
    </xf>
    <xf numFmtId="0" fontId="0" fillId="7" borderId="68" xfId="0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0" borderId="68" xfId="0" applyBorder="1" applyAlignment="1">
      <alignment horizontal="center" wrapText="1"/>
    </xf>
    <xf numFmtId="0" fontId="0" fillId="6" borderId="34" xfId="0" applyFill="1" applyBorder="1" applyAlignment="1">
      <alignment horizontal="center"/>
    </xf>
    <xf numFmtId="0" fontId="0" fillId="0" borderId="65" xfId="0" applyBorder="1" applyAlignment="1">
      <alignment horizontal="center" wrapText="1"/>
    </xf>
    <xf numFmtId="0" fontId="4" fillId="0" borderId="71" xfId="0" applyFont="1" applyBorder="1" applyAlignment="1">
      <alignment horizontal="center"/>
    </xf>
    <xf numFmtId="0" fontId="0" fillId="7" borderId="0" xfId="0" applyFill="1" applyAlignment="1">
      <alignment horizontal="center"/>
    </xf>
    <xf numFmtId="0" fontId="4" fillId="0" borderId="68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58" xfId="0" applyFont="1" applyBorder="1" applyAlignment="1">
      <alignment horizontal="center" wrapText="1"/>
    </xf>
    <xf numFmtId="0" fontId="0" fillId="5" borderId="72" xfId="0" applyFill="1" applyBorder="1" applyAlignment="1">
      <alignment horizontal="center"/>
    </xf>
    <xf numFmtId="0" fontId="0" fillId="4" borderId="73" xfId="0" applyFill="1" applyBorder="1" applyAlignment="1">
      <alignment horizontal="center"/>
    </xf>
    <xf numFmtId="0" fontId="4" fillId="0" borderId="56" xfId="0" applyFont="1" applyBorder="1" applyAlignment="1">
      <alignment horizontal="center"/>
    </xf>
    <xf numFmtId="0" fontId="4" fillId="0" borderId="58" xfId="0" applyFont="1" applyBorder="1" applyAlignment="1">
      <alignment horizontal="center"/>
    </xf>
    <xf numFmtId="0" fontId="4" fillId="0" borderId="59" xfId="0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0" fontId="0" fillId="0" borderId="58" xfId="0" applyBorder="1"/>
    <xf numFmtId="0" fontId="0" fillId="0" borderId="57" xfId="0" applyBorder="1" applyAlignment="1">
      <alignment wrapText="1"/>
    </xf>
    <xf numFmtId="0" fontId="0" fillId="0" borderId="67" xfId="0" applyBorder="1" applyAlignment="1">
      <alignment wrapText="1"/>
    </xf>
    <xf numFmtId="0" fontId="9" fillId="0" borderId="57" xfId="0" applyFont="1" applyBorder="1" applyAlignment="1">
      <alignment wrapText="1"/>
    </xf>
    <xf numFmtId="0" fontId="0" fillId="0" borderId="56" xfId="0" applyBorder="1" applyAlignment="1">
      <alignment wrapText="1"/>
    </xf>
    <xf numFmtId="0" fontId="0" fillId="0" borderId="57" xfId="0" applyBorder="1"/>
    <xf numFmtId="0" fontId="0" fillId="0" borderId="55" xfId="0" applyBorder="1"/>
    <xf numFmtId="0" fontId="0" fillId="0" borderId="41" xfId="0" applyBorder="1" applyAlignment="1">
      <alignment vertical="top" wrapText="1"/>
    </xf>
    <xf numFmtId="0" fontId="0" fillId="3" borderId="41" xfId="0" applyFill="1" applyBorder="1"/>
    <xf numFmtId="0" fontId="2" fillId="7" borderId="52" xfId="0" applyFont="1" applyFill="1" applyBorder="1" applyAlignment="1">
      <alignment horizontal="center" vertical="center" wrapText="1"/>
    </xf>
    <xf numFmtId="4" fontId="4" fillId="0" borderId="35" xfId="0" applyNumberFormat="1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1" fillId="0" borderId="30" xfId="0" applyFont="1" applyBorder="1" applyAlignment="1">
      <alignment horizontal="center"/>
    </xf>
    <xf numFmtId="0" fontId="4" fillId="7" borderId="1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0" borderId="35" xfId="0" applyBorder="1" applyAlignment="1">
      <alignment horizontal="center" vertical="center" wrapText="1"/>
    </xf>
    <xf numFmtId="0" fontId="4" fillId="7" borderId="66" xfId="0" applyFont="1" applyFill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66" xfId="0" applyBorder="1" applyAlignment="1">
      <alignment horizontal="center" wrapText="1"/>
    </xf>
    <xf numFmtId="0" fontId="0" fillId="7" borderId="68" xfId="0" applyFill="1" applyBorder="1" applyAlignment="1">
      <alignment horizontal="center" wrapText="1"/>
    </xf>
    <xf numFmtId="0" fontId="0" fillId="18" borderId="53" xfId="0" applyFill="1" applyBorder="1" applyAlignment="1">
      <alignment horizontal="center"/>
    </xf>
    <xf numFmtId="0" fontId="4" fillId="7" borderId="65" xfId="0" applyFont="1" applyFill="1" applyBorder="1" applyAlignment="1">
      <alignment horizontal="center" wrapText="1"/>
    </xf>
    <xf numFmtId="0" fontId="4" fillId="7" borderId="58" xfId="0" applyFont="1" applyFill="1" applyBorder="1" applyAlignment="1">
      <alignment horizontal="center" wrapText="1"/>
    </xf>
    <xf numFmtId="0" fontId="0" fillId="0" borderId="58" xfId="0" applyBorder="1" applyAlignment="1">
      <alignment horizontal="center" wrapText="1"/>
    </xf>
    <xf numFmtId="0" fontId="0" fillId="0" borderId="67" xfId="0" applyBorder="1" applyAlignment="1">
      <alignment horizontal="center" wrapText="1"/>
    </xf>
    <xf numFmtId="0" fontId="0" fillId="10" borderId="59" xfId="0" applyFill="1" applyBorder="1" applyAlignment="1">
      <alignment horizontal="center"/>
    </xf>
    <xf numFmtId="0" fontId="0" fillId="0" borderId="53" xfId="0" applyBorder="1" applyAlignment="1">
      <alignment horizontal="center" wrapText="1"/>
    </xf>
    <xf numFmtId="0" fontId="8" fillId="0" borderId="68" xfId="0" applyFont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4" fillId="8" borderId="58" xfId="0" applyFont="1" applyFill="1" applyBorder="1" applyAlignment="1">
      <alignment horizontal="center"/>
    </xf>
    <xf numFmtId="0" fontId="0" fillId="0" borderId="59" xfId="0" applyBorder="1" applyAlignment="1">
      <alignment horizontal="center" wrapText="1"/>
    </xf>
    <xf numFmtId="0" fontId="1" fillId="2" borderId="59" xfId="0" applyFont="1" applyFill="1" applyBorder="1" applyAlignment="1">
      <alignment horizontal="center"/>
    </xf>
    <xf numFmtId="0" fontId="1" fillId="0" borderId="65" xfId="0" applyFont="1" applyBorder="1" applyAlignment="1">
      <alignment horizontal="center" wrapText="1"/>
    </xf>
    <xf numFmtId="0" fontId="1" fillId="8" borderId="66" xfId="0" applyFont="1" applyFill="1" applyBorder="1" applyAlignment="1">
      <alignment horizontal="center"/>
    </xf>
    <xf numFmtId="0" fontId="4" fillId="8" borderId="65" xfId="0" applyFont="1" applyFill="1" applyBorder="1" applyAlignment="1">
      <alignment horizontal="center" wrapText="1"/>
    </xf>
    <xf numFmtId="0" fontId="0" fillId="4" borderId="65" xfId="0" applyFill="1" applyBorder="1" applyAlignment="1">
      <alignment horizontal="center"/>
    </xf>
    <xf numFmtId="0" fontId="1" fillId="2" borderId="68" xfId="0" applyFont="1" applyFill="1" applyBorder="1" applyAlignment="1">
      <alignment horizontal="center"/>
    </xf>
    <xf numFmtId="0" fontId="4" fillId="8" borderId="70" xfId="0" applyFont="1" applyFill="1" applyBorder="1" applyAlignment="1">
      <alignment horizontal="center"/>
    </xf>
    <xf numFmtId="0" fontId="4" fillId="0" borderId="70" xfId="0" applyFont="1" applyBorder="1" applyAlignment="1">
      <alignment horizontal="center" wrapText="1"/>
    </xf>
    <xf numFmtId="0" fontId="4" fillId="0" borderId="70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2" borderId="65" xfId="0" applyFont="1" applyFill="1" applyBorder="1" applyAlignment="1">
      <alignment horizontal="center"/>
    </xf>
    <xf numFmtId="0" fontId="0" fillId="8" borderId="65" xfId="0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3" xfId="0" applyFill="1" applyBorder="1" applyAlignment="1">
      <alignment horizontal="center" wrapText="1"/>
    </xf>
    <xf numFmtId="0" fontId="0" fillId="8" borderId="71" xfId="0" applyFill="1" applyBorder="1" applyAlignment="1">
      <alignment horizontal="center" wrapText="1"/>
    </xf>
    <xf numFmtId="0" fontId="0" fillId="8" borderId="51" xfId="0" applyFill="1" applyBorder="1" applyAlignment="1">
      <alignment horizontal="center"/>
    </xf>
    <xf numFmtId="0" fontId="0" fillId="8" borderId="69" xfId="0" applyFill="1" applyBorder="1" applyAlignment="1">
      <alignment horizontal="center"/>
    </xf>
    <xf numFmtId="0" fontId="27" fillId="8" borderId="66" xfId="0" applyFont="1" applyFill="1" applyBorder="1" applyAlignment="1">
      <alignment horizontal="center"/>
    </xf>
    <xf numFmtId="0" fontId="0" fillId="8" borderId="68" xfId="0" applyFill="1" applyBorder="1" applyAlignment="1">
      <alignment horizontal="center" wrapText="1"/>
    </xf>
    <xf numFmtId="0" fontId="1" fillId="0" borderId="68" xfId="0" applyFont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0" fillId="8" borderId="53" xfId="0" applyFill="1" applyBorder="1" applyAlignment="1">
      <alignment horizontal="center" wrapText="1"/>
    </xf>
    <xf numFmtId="0" fontId="25" fillId="8" borderId="68" xfId="0" applyFont="1" applyFill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1" fillId="2" borderId="68" xfId="0" applyFont="1" applyFill="1" applyBorder="1" applyAlignment="1">
      <alignment horizontal="center" wrapText="1"/>
    </xf>
    <xf numFmtId="0" fontId="17" fillId="0" borderId="68" xfId="0" applyFont="1" applyBorder="1" applyAlignment="1">
      <alignment horizontal="center" wrapText="1"/>
    </xf>
    <xf numFmtId="0" fontId="17" fillId="2" borderId="68" xfId="0" applyFont="1" applyFill="1" applyBorder="1" applyAlignment="1">
      <alignment horizontal="center" wrapText="1"/>
    </xf>
    <xf numFmtId="4" fontId="0" fillId="7" borderId="68" xfId="0" applyNumberFormat="1" applyFill="1" applyBorder="1" applyAlignment="1">
      <alignment horizontal="center"/>
    </xf>
    <xf numFmtId="0" fontId="1" fillId="2" borderId="58" xfId="0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10" borderId="58" xfId="0" applyFont="1" applyFill="1" applyBorder="1" applyAlignment="1">
      <alignment horizontal="center"/>
    </xf>
    <xf numFmtId="0" fontId="1" fillId="2" borderId="67" xfId="0" applyFont="1" applyFill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7" borderId="58" xfId="0" applyFont="1" applyFill="1" applyBorder="1" applyAlignment="1">
      <alignment horizontal="center"/>
    </xf>
    <xf numFmtId="0" fontId="1" fillId="2" borderId="58" xfId="0" applyFont="1" applyFill="1" applyBorder="1" applyAlignment="1">
      <alignment horizontal="center" wrapText="1"/>
    </xf>
    <xf numFmtId="0" fontId="1" fillId="0" borderId="59" xfId="0" applyFont="1" applyBorder="1" applyAlignment="1">
      <alignment horizontal="center"/>
    </xf>
    <xf numFmtId="0" fontId="0" fillId="19" borderId="67" xfId="0" applyFill="1" applyBorder="1" applyAlignment="1">
      <alignment horizontal="center"/>
    </xf>
    <xf numFmtId="0" fontId="0" fillId="19" borderId="65" xfId="0" applyFill="1" applyBorder="1" applyAlignment="1">
      <alignment horizontal="center"/>
    </xf>
    <xf numFmtId="0" fontId="1" fillId="2" borderId="66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" fillId="0" borderId="61" xfId="0" applyFont="1" applyBorder="1" applyAlignment="1">
      <alignment horizontal="center" vertical="center" textRotation="90"/>
    </xf>
    <xf numFmtId="0" fontId="2" fillId="0" borderId="35" xfId="0" applyFont="1" applyBorder="1" applyAlignment="1">
      <alignment horizontal="center" vertical="center" textRotation="90"/>
    </xf>
    <xf numFmtId="0" fontId="0" fillId="7" borderId="34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4" fontId="4" fillId="0" borderId="12" xfId="0" applyNumberFormat="1" applyFont="1" applyBorder="1" applyAlignment="1">
      <alignment horizontal="center"/>
    </xf>
    <xf numFmtId="4" fontId="4" fillId="0" borderId="49" xfId="0" applyNumberFormat="1" applyFont="1" applyBorder="1" applyAlignment="1">
      <alignment horizontal="center"/>
    </xf>
    <xf numFmtId="4" fontId="4" fillId="0" borderId="50" xfId="0" applyNumberFormat="1" applyFont="1" applyBorder="1" applyAlignment="1">
      <alignment horizontal="center"/>
    </xf>
    <xf numFmtId="0" fontId="2" fillId="0" borderId="61" xfId="0" applyFont="1" applyBorder="1" applyAlignment="1">
      <alignment horizontal="center" textRotation="90"/>
    </xf>
    <xf numFmtId="0" fontId="2" fillId="0" borderId="35" xfId="0" applyFont="1" applyBorder="1" applyAlignment="1">
      <alignment horizontal="center" textRotation="90"/>
    </xf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4" fontId="0" fillId="0" borderId="5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50" xfId="0" applyNumberFormat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1" fillId="7" borderId="34" xfId="0" applyFont="1" applyFill="1" applyBorder="1" applyAlignment="1">
      <alignment horizontal="center"/>
    </xf>
    <xf numFmtId="0" fontId="1" fillId="7" borderId="51" xfId="0" applyFont="1" applyFill="1" applyBorder="1" applyAlignment="1">
      <alignment horizontal="center"/>
    </xf>
    <xf numFmtId="0" fontId="1" fillId="7" borderId="52" xfId="0" applyFont="1" applyFill="1" applyBorder="1" applyAlignment="1">
      <alignment horizontal="center"/>
    </xf>
    <xf numFmtId="0" fontId="0" fillId="0" borderId="61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0" borderId="61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</cellXfs>
  <cellStyles count="2">
    <cellStyle name="Обычный" xfId="0" builtinId="0"/>
    <cellStyle name="Обычный 2" xfId="1"/>
  </cellStyles>
  <dxfs count="280"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CCFFCC"/>
      <color rgb="FFCCECFF"/>
      <color rgb="FF99CCFF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outlinePr summaryBelow="0"/>
  </sheetPr>
  <dimension ref="A1:DM644"/>
  <sheetViews>
    <sheetView tabSelected="1" zoomScale="85" zoomScaleNormal="85" workbookViewId="0">
      <pane xSplit="10" ySplit="3" topLeftCell="R4" activePane="bottomRight" state="frozen"/>
      <selection pane="topRight" activeCell="I1" sqref="I1"/>
      <selection pane="bottomLeft" activeCell="A4" sqref="A4"/>
      <selection pane="bottomRight" activeCell="AB5" sqref="AB5"/>
    </sheetView>
  </sheetViews>
  <sheetFormatPr defaultRowHeight="15" x14ac:dyDescent="0.25"/>
  <cols>
    <col min="1" max="1" width="6.5703125" style="1" customWidth="1"/>
    <col min="2" max="2" width="40.7109375" bestFit="1" customWidth="1"/>
    <col min="3" max="3" width="8.85546875" style="1" customWidth="1"/>
    <col min="4" max="4" width="20.5703125" customWidth="1"/>
    <col min="5" max="5" width="2.7109375" customWidth="1"/>
    <col min="6" max="6" width="10.85546875" style="341" customWidth="1"/>
    <col min="7" max="7" width="30.7109375" customWidth="1"/>
    <col min="8" max="8" width="10.85546875" style="1" customWidth="1"/>
    <col min="9" max="9" width="2.7109375" style="1" customWidth="1"/>
    <col min="10" max="11" width="10.85546875" style="1" customWidth="1"/>
    <col min="12" max="17" width="9.7109375" style="1" customWidth="1"/>
    <col min="18" max="19" width="13.42578125" style="4" customWidth="1"/>
    <col min="20" max="20" width="27" style="1" customWidth="1"/>
    <col min="21" max="21" width="2.7109375" style="1" customWidth="1"/>
    <col min="22" max="23" width="13.42578125" style="4" customWidth="1"/>
    <col min="24" max="24" width="25.7109375" style="1" customWidth="1"/>
    <col min="25" max="25" width="2.7109375" style="1" customWidth="1"/>
    <col min="26" max="27" width="13.42578125" style="4" customWidth="1"/>
    <col min="28" max="28" width="25.7109375" style="1" customWidth="1"/>
    <col min="29" max="30" width="2.7109375" style="1" customWidth="1"/>
    <col min="31" max="31" width="10.85546875" style="1" customWidth="1"/>
    <col min="32" max="37" width="9.7109375" style="1" customWidth="1"/>
    <col min="38" max="39" width="13.42578125" style="4" customWidth="1"/>
    <col min="40" max="40" width="27" style="1" customWidth="1"/>
    <col min="41" max="41" width="2.7109375" style="1" customWidth="1"/>
    <col min="42" max="43" width="13.42578125" style="4" customWidth="1"/>
    <col min="44" max="44" width="25.7109375" style="1" customWidth="1"/>
    <col min="45" max="45" width="2.7109375" style="1" customWidth="1"/>
    <col min="46" max="47" width="13.42578125" style="4" customWidth="1"/>
    <col min="48" max="48" width="25.7109375" style="1" customWidth="1"/>
    <col min="49" max="50" width="2.7109375" style="1" customWidth="1"/>
    <col min="51" max="51" width="10.85546875" style="1" customWidth="1"/>
    <col min="52" max="57" width="9.7109375" style="1" customWidth="1"/>
    <col min="58" max="59" width="13.42578125" style="4" customWidth="1"/>
    <col min="60" max="60" width="27" style="1" customWidth="1"/>
    <col min="61" max="61" width="2.7109375" style="1" customWidth="1"/>
    <col min="62" max="63" width="13.42578125" style="4" customWidth="1"/>
    <col min="64" max="64" width="25.7109375" style="1" customWidth="1"/>
    <col min="65" max="65" width="2.7109375" style="1" customWidth="1"/>
    <col min="66" max="67" width="13.42578125" style="4" customWidth="1"/>
    <col min="68" max="68" width="25.7109375" style="1" customWidth="1"/>
    <col min="69" max="70" width="2.7109375" style="1" customWidth="1"/>
    <col min="71" max="71" width="10.85546875" style="1" customWidth="1"/>
    <col min="72" max="77" width="9.7109375" style="1" customWidth="1"/>
    <col min="78" max="79" width="13.42578125" style="4" customWidth="1"/>
    <col min="80" max="80" width="27" style="1" customWidth="1"/>
    <col min="81" max="81" width="2.7109375" style="1" customWidth="1"/>
    <col min="82" max="83" width="13.42578125" style="4" customWidth="1"/>
    <col min="84" max="84" width="25.7109375" style="1" customWidth="1"/>
    <col min="85" max="85" width="2.7109375" style="1" customWidth="1"/>
    <col min="86" max="87" width="13.42578125" style="4" customWidth="1"/>
    <col min="88" max="88" width="25.7109375" style="1" customWidth="1"/>
    <col min="89" max="90" width="2.7109375" style="1" customWidth="1"/>
    <col min="91" max="91" width="10.85546875" style="1" customWidth="1"/>
    <col min="92" max="97" width="9.7109375" style="1" customWidth="1"/>
    <col min="98" max="99" width="13.42578125" style="4" customWidth="1"/>
    <col min="100" max="100" width="27" style="1" customWidth="1"/>
    <col min="101" max="101" width="2.7109375" style="1" customWidth="1"/>
    <col min="102" max="103" width="13.42578125" style="4" customWidth="1"/>
    <col min="104" max="104" width="25.7109375" style="1" customWidth="1"/>
    <col min="105" max="105" width="2.7109375" style="1" customWidth="1"/>
    <col min="106" max="107" width="13.42578125" style="4" customWidth="1"/>
    <col min="108" max="108" width="25.7109375" style="1" customWidth="1"/>
    <col min="109" max="110" width="2.7109375" style="1" customWidth="1"/>
    <col min="111" max="111" width="10.85546875" style="1" customWidth="1"/>
    <col min="112" max="117" width="9.7109375" style="1" customWidth="1"/>
  </cols>
  <sheetData>
    <row r="1" spans="1:117" ht="15.75" thickBot="1" x14ac:dyDescent="0.3">
      <c r="A1" s="1" t="s">
        <v>1003</v>
      </c>
      <c r="K1" s="529"/>
      <c r="L1" s="389"/>
      <c r="M1" s="389"/>
      <c r="N1" s="389"/>
      <c r="O1" s="389"/>
      <c r="P1" s="389"/>
      <c r="Q1" s="389"/>
      <c r="R1" s="838" t="s">
        <v>644</v>
      </c>
      <c r="S1" s="838"/>
      <c r="T1" s="838"/>
      <c r="U1" s="838"/>
      <c r="V1" s="838"/>
      <c r="W1" s="838"/>
      <c r="X1" s="838"/>
      <c r="Y1" s="838"/>
      <c r="Z1" s="838"/>
      <c r="AA1" s="838"/>
      <c r="AB1" s="839"/>
      <c r="AC1" s="732"/>
      <c r="AD1" s="732"/>
      <c r="AF1" s="389"/>
      <c r="AG1" s="389"/>
      <c r="AH1" s="389"/>
      <c r="AI1" s="389"/>
      <c r="AJ1" s="389"/>
      <c r="AK1" s="389"/>
      <c r="AL1" s="838" t="s">
        <v>690</v>
      </c>
      <c r="AM1" s="838"/>
      <c r="AN1" s="838"/>
      <c r="AO1" s="838"/>
      <c r="AP1" s="838"/>
      <c r="AQ1" s="838"/>
      <c r="AR1" s="838"/>
      <c r="AS1" s="838"/>
      <c r="AT1" s="838"/>
      <c r="AU1" s="838"/>
      <c r="AV1" s="839"/>
      <c r="AW1" s="732"/>
      <c r="AX1" s="732"/>
      <c r="AZ1" s="389"/>
      <c r="BA1" s="389"/>
      <c r="BB1" s="389"/>
      <c r="BC1" s="389"/>
      <c r="BD1" s="389"/>
      <c r="BE1" s="389"/>
      <c r="BF1" s="838" t="s">
        <v>691</v>
      </c>
      <c r="BG1" s="838"/>
      <c r="BH1" s="838"/>
      <c r="BI1" s="838"/>
      <c r="BJ1" s="838"/>
      <c r="BK1" s="838"/>
      <c r="BL1" s="838"/>
      <c r="BM1" s="838"/>
      <c r="BN1" s="838"/>
      <c r="BO1" s="838"/>
      <c r="BP1" s="839"/>
      <c r="BQ1" s="732"/>
      <c r="BR1" s="732"/>
      <c r="BT1" s="389"/>
      <c r="BU1" s="389"/>
      <c r="BV1" s="389"/>
      <c r="BW1" s="389"/>
      <c r="BX1" s="389"/>
      <c r="BY1" s="389"/>
      <c r="BZ1" s="838" t="s">
        <v>692</v>
      </c>
      <c r="CA1" s="838"/>
      <c r="CB1" s="838"/>
      <c r="CC1" s="838"/>
      <c r="CD1" s="838"/>
      <c r="CE1" s="838"/>
      <c r="CF1" s="838"/>
      <c r="CG1" s="838"/>
      <c r="CH1" s="838"/>
      <c r="CI1" s="838"/>
      <c r="CJ1" s="839"/>
      <c r="CK1" s="732"/>
      <c r="CL1" s="732"/>
      <c r="CN1" s="389"/>
      <c r="CO1" s="389"/>
      <c r="CP1" s="389"/>
      <c r="CQ1" s="389"/>
      <c r="CR1" s="389"/>
      <c r="CS1" s="389"/>
      <c r="CT1" s="838" t="s">
        <v>693</v>
      </c>
      <c r="CU1" s="838"/>
      <c r="CV1" s="838"/>
      <c r="CW1" s="838"/>
      <c r="CX1" s="838"/>
      <c r="CY1" s="838"/>
      <c r="CZ1" s="838"/>
      <c r="DA1" s="838"/>
      <c r="DB1" s="838"/>
      <c r="DC1" s="838"/>
      <c r="DD1" s="839"/>
      <c r="DE1" s="732"/>
      <c r="DF1" s="732"/>
      <c r="DH1" s="389"/>
      <c r="DI1" s="389"/>
      <c r="DJ1" s="389"/>
      <c r="DK1" s="389"/>
      <c r="DL1" s="389"/>
      <c r="DM1" s="389"/>
    </row>
    <row r="2" spans="1:117" ht="15.75" customHeight="1" thickBot="1" x14ac:dyDescent="0.3">
      <c r="C2" s="832" t="s">
        <v>989</v>
      </c>
      <c r="D2" s="833"/>
      <c r="E2" s="819" t="s">
        <v>987</v>
      </c>
      <c r="F2" s="827" t="s">
        <v>990</v>
      </c>
      <c r="G2" s="828"/>
      <c r="H2" s="829"/>
      <c r="I2" s="830" t="s">
        <v>988</v>
      </c>
      <c r="J2" s="751" t="s">
        <v>158</v>
      </c>
      <c r="K2" s="400" t="s">
        <v>158</v>
      </c>
      <c r="L2" s="821" t="s">
        <v>1002</v>
      </c>
      <c r="M2" s="822"/>
      <c r="N2" s="822"/>
      <c r="O2" s="822"/>
      <c r="P2" s="822"/>
      <c r="Q2" s="823"/>
      <c r="R2" s="824" t="s">
        <v>143</v>
      </c>
      <c r="S2" s="825"/>
      <c r="T2" s="826"/>
      <c r="U2" s="819" t="s">
        <v>143</v>
      </c>
      <c r="V2" s="824" t="s">
        <v>144</v>
      </c>
      <c r="W2" s="825"/>
      <c r="X2" s="826"/>
      <c r="Y2" s="819" t="s">
        <v>144</v>
      </c>
      <c r="Z2" s="824" t="s">
        <v>145</v>
      </c>
      <c r="AA2" s="825"/>
      <c r="AB2" s="826"/>
      <c r="AC2" s="819" t="s">
        <v>145</v>
      </c>
      <c r="AD2" s="819" t="s">
        <v>991</v>
      </c>
      <c r="AE2" s="400" t="s">
        <v>158</v>
      </c>
      <c r="AF2" s="821" t="s">
        <v>1001</v>
      </c>
      <c r="AG2" s="822"/>
      <c r="AH2" s="822"/>
      <c r="AI2" s="822"/>
      <c r="AJ2" s="822"/>
      <c r="AK2" s="823"/>
      <c r="AL2" s="824" t="s">
        <v>12</v>
      </c>
      <c r="AM2" s="825"/>
      <c r="AN2" s="826"/>
      <c r="AO2" s="819" t="s">
        <v>12</v>
      </c>
      <c r="AP2" s="824" t="s">
        <v>13</v>
      </c>
      <c r="AQ2" s="825"/>
      <c r="AR2" s="826"/>
      <c r="AS2" s="819" t="s">
        <v>13</v>
      </c>
      <c r="AT2" s="824" t="s">
        <v>14</v>
      </c>
      <c r="AU2" s="825"/>
      <c r="AV2" s="826"/>
      <c r="AW2" s="819" t="s">
        <v>14</v>
      </c>
      <c r="AX2" s="819" t="s">
        <v>994</v>
      </c>
      <c r="AY2" s="400" t="s">
        <v>158</v>
      </c>
      <c r="AZ2" s="821" t="s">
        <v>1000</v>
      </c>
      <c r="BA2" s="822"/>
      <c r="BB2" s="822"/>
      <c r="BC2" s="822"/>
      <c r="BD2" s="822"/>
      <c r="BE2" s="823"/>
      <c r="BF2" s="824" t="s">
        <v>159</v>
      </c>
      <c r="BG2" s="825"/>
      <c r="BH2" s="826"/>
      <c r="BI2" s="819" t="s">
        <v>159</v>
      </c>
      <c r="BJ2" s="824" t="s">
        <v>162</v>
      </c>
      <c r="BK2" s="825"/>
      <c r="BL2" s="826"/>
      <c r="BM2" s="819" t="s">
        <v>162</v>
      </c>
      <c r="BN2" s="824" t="s">
        <v>163</v>
      </c>
      <c r="BO2" s="825"/>
      <c r="BP2" s="826"/>
      <c r="BQ2" s="819" t="s">
        <v>163</v>
      </c>
      <c r="BR2" s="819" t="s">
        <v>993</v>
      </c>
      <c r="BS2" s="400" t="s">
        <v>158</v>
      </c>
      <c r="BT2" s="821" t="s">
        <v>999</v>
      </c>
      <c r="BU2" s="822"/>
      <c r="BV2" s="822"/>
      <c r="BW2" s="822"/>
      <c r="BX2" s="822"/>
      <c r="BY2" s="823"/>
      <c r="BZ2" s="824" t="s">
        <v>164</v>
      </c>
      <c r="CA2" s="825"/>
      <c r="CB2" s="826"/>
      <c r="CC2" s="819" t="s">
        <v>164</v>
      </c>
      <c r="CD2" s="824" t="s">
        <v>166</v>
      </c>
      <c r="CE2" s="825"/>
      <c r="CF2" s="826"/>
      <c r="CG2" s="819" t="s">
        <v>166</v>
      </c>
      <c r="CH2" s="824" t="s">
        <v>167</v>
      </c>
      <c r="CI2" s="825"/>
      <c r="CJ2" s="826"/>
      <c r="CK2" s="819" t="s">
        <v>167</v>
      </c>
      <c r="CL2" s="819" t="s">
        <v>992</v>
      </c>
      <c r="CM2" s="400" t="s">
        <v>158</v>
      </c>
      <c r="CN2" s="821" t="s">
        <v>998</v>
      </c>
      <c r="CO2" s="822"/>
      <c r="CP2" s="822"/>
      <c r="CQ2" s="822"/>
      <c r="CR2" s="822"/>
      <c r="CS2" s="823"/>
      <c r="CT2" s="824" t="s">
        <v>143</v>
      </c>
      <c r="CU2" s="825"/>
      <c r="CV2" s="826"/>
      <c r="CW2" s="819" t="s">
        <v>143</v>
      </c>
      <c r="CX2" s="824" t="s">
        <v>144</v>
      </c>
      <c r="CY2" s="825"/>
      <c r="CZ2" s="826"/>
      <c r="DA2" s="819" t="s">
        <v>144</v>
      </c>
      <c r="DB2" s="824" t="s">
        <v>145</v>
      </c>
      <c r="DC2" s="825"/>
      <c r="DD2" s="826"/>
      <c r="DE2" s="819" t="s">
        <v>145</v>
      </c>
      <c r="DF2" s="819" t="s">
        <v>991</v>
      </c>
      <c r="DG2" s="400" t="s">
        <v>158</v>
      </c>
      <c r="DH2" s="840">
        <v>2026</v>
      </c>
      <c r="DI2" s="841"/>
      <c r="DJ2" s="841"/>
      <c r="DK2" s="841"/>
      <c r="DL2" s="841"/>
      <c r="DM2" s="842"/>
    </row>
    <row r="3" spans="1:117" s="2" customFormat="1" ht="30.75" thickBot="1" x14ac:dyDescent="0.3">
      <c r="A3" s="9" t="s">
        <v>0</v>
      </c>
      <c r="B3" s="9" t="s">
        <v>1</v>
      </c>
      <c r="C3" s="758" t="s">
        <v>2</v>
      </c>
      <c r="D3" s="753" t="s">
        <v>3</v>
      </c>
      <c r="E3" s="820"/>
      <c r="F3" s="752" t="s">
        <v>4</v>
      </c>
      <c r="G3" s="753" t="s">
        <v>1</v>
      </c>
      <c r="H3" s="754" t="s">
        <v>9</v>
      </c>
      <c r="I3" s="831"/>
      <c r="J3" s="528" t="s">
        <v>372</v>
      </c>
      <c r="K3" s="393" t="s">
        <v>639</v>
      </c>
      <c r="L3" s="145" t="s">
        <v>186</v>
      </c>
      <c r="M3" s="423" t="s">
        <v>5</v>
      </c>
      <c r="N3" s="228" t="s">
        <v>6</v>
      </c>
      <c r="O3" s="228" t="s">
        <v>189</v>
      </c>
      <c r="P3" s="228" t="s">
        <v>187</v>
      </c>
      <c r="Q3" s="229" t="s">
        <v>188</v>
      </c>
      <c r="R3" s="114" t="s">
        <v>340</v>
      </c>
      <c r="S3" s="115" t="s">
        <v>366</v>
      </c>
      <c r="T3" s="33" t="s">
        <v>7</v>
      </c>
      <c r="U3" s="820"/>
      <c r="V3" s="114" t="s">
        <v>340</v>
      </c>
      <c r="W3" s="115" t="s">
        <v>366</v>
      </c>
      <c r="X3" s="33" t="s">
        <v>7</v>
      </c>
      <c r="Y3" s="820"/>
      <c r="Z3" s="116" t="s">
        <v>340</v>
      </c>
      <c r="AA3" s="115" t="s">
        <v>366</v>
      </c>
      <c r="AB3" s="33" t="s">
        <v>7</v>
      </c>
      <c r="AC3" s="820"/>
      <c r="AD3" s="820"/>
      <c r="AE3" s="393" t="s">
        <v>373</v>
      </c>
      <c r="AF3" s="145" t="s">
        <v>186</v>
      </c>
      <c r="AG3" s="423" t="s">
        <v>5</v>
      </c>
      <c r="AH3" s="228" t="s">
        <v>6</v>
      </c>
      <c r="AI3" s="228" t="s">
        <v>189</v>
      </c>
      <c r="AJ3" s="228" t="s">
        <v>187</v>
      </c>
      <c r="AK3" s="229" t="s">
        <v>188</v>
      </c>
      <c r="AL3" s="114" t="s">
        <v>340</v>
      </c>
      <c r="AM3" s="115" t="s">
        <v>366</v>
      </c>
      <c r="AN3" s="33" t="s">
        <v>7</v>
      </c>
      <c r="AO3" s="820"/>
      <c r="AP3" s="114" t="s">
        <v>340</v>
      </c>
      <c r="AQ3" s="115" t="s">
        <v>366</v>
      </c>
      <c r="AR3" s="33" t="s">
        <v>7</v>
      </c>
      <c r="AS3" s="820"/>
      <c r="AT3" s="116" t="s">
        <v>340</v>
      </c>
      <c r="AU3" s="115" t="s">
        <v>366</v>
      </c>
      <c r="AV3" s="33" t="s">
        <v>7</v>
      </c>
      <c r="AW3" s="820"/>
      <c r="AX3" s="820"/>
      <c r="AY3" s="393" t="s">
        <v>374</v>
      </c>
      <c r="AZ3" s="145" t="s">
        <v>186</v>
      </c>
      <c r="BA3" s="423" t="s">
        <v>5</v>
      </c>
      <c r="BB3" s="228" t="s">
        <v>6</v>
      </c>
      <c r="BC3" s="228" t="s">
        <v>189</v>
      </c>
      <c r="BD3" s="228" t="s">
        <v>187</v>
      </c>
      <c r="BE3" s="229" t="s">
        <v>188</v>
      </c>
      <c r="BF3" s="114" t="s">
        <v>340</v>
      </c>
      <c r="BG3" s="115" t="s">
        <v>366</v>
      </c>
      <c r="BH3" s="33" t="s">
        <v>7</v>
      </c>
      <c r="BI3" s="820"/>
      <c r="BJ3" s="114" t="s">
        <v>340</v>
      </c>
      <c r="BK3" s="115" t="s">
        <v>366</v>
      </c>
      <c r="BL3" s="33" t="s">
        <v>7</v>
      </c>
      <c r="BM3" s="820"/>
      <c r="BN3" s="116" t="s">
        <v>340</v>
      </c>
      <c r="BO3" s="115" t="s">
        <v>366</v>
      </c>
      <c r="BP3" s="33" t="s">
        <v>7</v>
      </c>
      <c r="BQ3" s="820"/>
      <c r="BR3" s="820"/>
      <c r="BS3" s="393" t="s">
        <v>375</v>
      </c>
      <c r="BT3" s="145" t="s">
        <v>186</v>
      </c>
      <c r="BU3" s="423" t="s">
        <v>5</v>
      </c>
      <c r="BV3" s="228" t="s">
        <v>6</v>
      </c>
      <c r="BW3" s="228" t="s">
        <v>189</v>
      </c>
      <c r="BX3" s="228" t="s">
        <v>187</v>
      </c>
      <c r="BY3" s="229" t="s">
        <v>188</v>
      </c>
      <c r="BZ3" s="114" t="s">
        <v>340</v>
      </c>
      <c r="CA3" s="115" t="s">
        <v>366</v>
      </c>
      <c r="CB3" s="33" t="s">
        <v>7</v>
      </c>
      <c r="CC3" s="820"/>
      <c r="CD3" s="114" t="s">
        <v>340</v>
      </c>
      <c r="CE3" s="115" t="s">
        <v>366</v>
      </c>
      <c r="CF3" s="33" t="s">
        <v>7</v>
      </c>
      <c r="CG3" s="820"/>
      <c r="CH3" s="116" t="s">
        <v>340</v>
      </c>
      <c r="CI3" s="115" t="s">
        <v>366</v>
      </c>
      <c r="CJ3" s="33" t="s">
        <v>7</v>
      </c>
      <c r="CK3" s="820"/>
      <c r="CL3" s="820"/>
      <c r="CM3" s="393" t="s">
        <v>543</v>
      </c>
      <c r="CN3" s="402" t="s">
        <v>186</v>
      </c>
      <c r="CO3" s="403" t="s">
        <v>5</v>
      </c>
      <c r="CP3" s="404" t="s">
        <v>6</v>
      </c>
      <c r="CQ3" s="404" t="s">
        <v>189</v>
      </c>
      <c r="CR3" s="404" t="s">
        <v>187</v>
      </c>
      <c r="CS3" s="405" t="s">
        <v>188</v>
      </c>
      <c r="CT3" s="114" t="s">
        <v>340</v>
      </c>
      <c r="CU3" s="115" t="s">
        <v>366</v>
      </c>
      <c r="CV3" s="33" t="s">
        <v>7</v>
      </c>
      <c r="CW3" s="820"/>
      <c r="CX3" s="114" t="s">
        <v>340</v>
      </c>
      <c r="CY3" s="115" t="s">
        <v>366</v>
      </c>
      <c r="CZ3" s="33" t="s">
        <v>7</v>
      </c>
      <c r="DA3" s="820"/>
      <c r="DB3" s="116" t="s">
        <v>340</v>
      </c>
      <c r="DC3" s="115" t="s">
        <v>366</v>
      </c>
      <c r="DD3" s="33" t="s">
        <v>7</v>
      </c>
      <c r="DE3" s="820"/>
      <c r="DF3" s="820"/>
      <c r="DG3" s="393" t="s">
        <v>640</v>
      </c>
      <c r="DH3" s="402" t="s">
        <v>186</v>
      </c>
      <c r="DI3" s="403" t="s">
        <v>5</v>
      </c>
      <c r="DJ3" s="404" t="s">
        <v>6</v>
      </c>
      <c r="DK3" s="404" t="s">
        <v>189</v>
      </c>
      <c r="DL3" s="404" t="s">
        <v>187</v>
      </c>
      <c r="DM3" s="405" t="s">
        <v>188</v>
      </c>
    </row>
    <row r="4" spans="1:117" ht="15.75" thickBot="1" x14ac:dyDescent="0.3">
      <c r="A4" s="39"/>
      <c r="B4" s="38" t="s">
        <v>105</v>
      </c>
      <c r="C4" s="39"/>
      <c r="D4" s="37"/>
      <c r="E4" s="37"/>
      <c r="F4" s="559"/>
      <c r="G4" s="37"/>
      <c r="H4" s="40"/>
      <c r="I4" s="40"/>
      <c r="J4" s="40"/>
      <c r="K4" s="40"/>
      <c r="L4" s="41"/>
      <c r="M4" s="42"/>
      <c r="N4" s="42"/>
      <c r="O4" s="42"/>
      <c r="P4" s="42"/>
      <c r="Q4" s="218"/>
      <c r="R4" s="117">
        <f>SUM(R5,R24,R38,R47,R50,R53,R55,R60,R64,R69,R76)</f>
        <v>180215</v>
      </c>
      <c r="S4" s="118">
        <f>SUM(S5,S24,S38,S47,S50,S53,S55,S60,S64,S69,S76)</f>
        <v>123900</v>
      </c>
      <c r="T4" s="43"/>
      <c r="U4" s="218"/>
      <c r="V4" s="117">
        <f>SUM(V5,V24,V38,V47,V50,V53,V55,V60,V64,V69,V76)</f>
        <v>0</v>
      </c>
      <c r="W4" s="118">
        <f>SUM(W5,W24,W38,W47,W50,W53,W55,W60,W64,W69,W76)</f>
        <v>792038</v>
      </c>
      <c r="X4" s="43"/>
      <c r="Y4" s="218"/>
      <c r="Z4" s="117">
        <f>SUM(Z5,Z24,Z38,Z47,Z50,Z53,Z55,Z60,Z64,Z69,Z76)</f>
        <v>92125</v>
      </c>
      <c r="AA4" s="118">
        <f>SUM(AA5,AA24,AA38,AA47,AA50,AA53,AA55,AA60,AA64,AA69,AA76)</f>
        <v>272340</v>
      </c>
      <c r="AB4" s="43"/>
      <c r="AC4" s="218"/>
      <c r="AD4" s="218"/>
      <c r="AE4" s="40"/>
      <c r="AF4" s="41"/>
      <c r="AG4" s="42"/>
      <c r="AH4" s="42"/>
      <c r="AI4" s="42"/>
      <c r="AJ4" s="42"/>
      <c r="AK4" s="218"/>
      <c r="AL4" s="117">
        <f>SUM(AL5,AL24,AL38,AL47,AL50,AL53,AL55,AL60,AL64,AL69,AL76)</f>
        <v>0</v>
      </c>
      <c r="AM4" s="118">
        <f>SUM(AM5,AM24,AM38,AM47,AM50,AM53,AM55,AM60,AM64,AM69,AM76)</f>
        <v>0</v>
      </c>
      <c r="AN4" s="43"/>
      <c r="AO4" s="218"/>
      <c r="AP4" s="117">
        <f>SUM(AP5,AP24,AP38,AP47,AP50,AP53,AP55,AP60,AP64,AP69,AP76)</f>
        <v>0</v>
      </c>
      <c r="AQ4" s="118">
        <f>SUM(AQ5,AQ24,AQ38,AQ47,AQ50,AQ53,AQ55,AQ60,AQ64,AQ69,AQ76)</f>
        <v>0</v>
      </c>
      <c r="AR4" s="43"/>
      <c r="AS4" s="218"/>
      <c r="AT4" s="117">
        <f>SUM(AT5,AT24,AT38,AT47,AT50,AT53,AT55,AT60,AT64,AT69,AT76)</f>
        <v>326906</v>
      </c>
      <c r="AU4" s="118">
        <f>SUM(AU5,AU24,AU38,AU47,AU50,AU53,AU55,AU60,AU64,AU69,AU76)</f>
        <v>0</v>
      </c>
      <c r="AV4" s="43"/>
      <c r="AW4" s="218"/>
      <c r="AX4" s="218"/>
      <c r="AY4" s="40"/>
      <c r="AZ4" s="41"/>
      <c r="BA4" s="42"/>
      <c r="BB4" s="42"/>
      <c r="BC4" s="42"/>
      <c r="BD4" s="42"/>
      <c r="BE4" s="218"/>
      <c r="BF4" s="117">
        <f>SUM(BF5,BF24,BF38,BF47,BF50,BF53,BF55,BF60,BF64,BF69,BF76)</f>
        <v>0</v>
      </c>
      <c r="BG4" s="118">
        <f>SUM(BG5,BG24,BG38,BG47,BG50,BG53,BG55,BG60,BG64,BG69,BG76)</f>
        <v>0</v>
      </c>
      <c r="BH4" s="43"/>
      <c r="BI4" s="218"/>
      <c r="BJ4" s="117">
        <f>SUM(BJ5,BJ24,BJ38,BJ47,BJ50,BJ53,BJ55,BJ60,BJ64,BJ69,BJ76)</f>
        <v>644550.6</v>
      </c>
      <c r="BK4" s="118">
        <f>SUM(BK5,BK24,BK38,BK47,BK50,BK53,BK55,BK60,BK64,BK69,BK76)</f>
        <v>329506</v>
      </c>
      <c r="BL4" s="43"/>
      <c r="BM4" s="218"/>
      <c r="BN4" s="117">
        <f>SUM(BN5,BN24,BN38,BN47,BN50,BN53,BN55,BN60,BN64,BN69,BN76)</f>
        <v>0</v>
      </c>
      <c r="BO4" s="118">
        <f>SUM(BO5,BO24,BO38,BO47,BO50,BO53,BO55,BO60,BO64,BO69,BO76)</f>
        <v>218076</v>
      </c>
      <c r="BP4" s="43"/>
      <c r="BQ4" s="218"/>
      <c r="BR4" s="218"/>
      <c r="BS4" s="40"/>
      <c r="BT4" s="41"/>
      <c r="BU4" s="42"/>
      <c r="BV4" s="42"/>
      <c r="BW4" s="42"/>
      <c r="BX4" s="42"/>
      <c r="BY4" s="218"/>
      <c r="BZ4" s="117">
        <f>SUM(BZ5,BZ24,BZ38,BZ47,BZ50,BZ53,BZ55,BZ60,BZ64,BZ69,BZ76)</f>
        <v>269484</v>
      </c>
      <c r="CA4" s="118">
        <f>SUM(CA5,CA24,CA38,CA47,CA50,CA53,CA55,CA60,CA64,CA69,CA76)</f>
        <v>255474.6</v>
      </c>
      <c r="CB4" s="43"/>
      <c r="CC4" s="218"/>
      <c r="CD4" s="117">
        <f>SUM(CD5,CD24,CD38,CD47,CD50,CD53,CD55,CD60,CD64,CD69,CD76)</f>
        <v>0</v>
      </c>
      <c r="CE4" s="118">
        <f>SUM(CE5,CE24,CE38,CE47,CE50,CE53,CE55,CE60,CE64,CE69,CE76)</f>
        <v>30000</v>
      </c>
      <c r="CF4" s="43"/>
      <c r="CG4" s="218"/>
      <c r="CH4" s="117">
        <f>SUM(CH5,CH24,CH38,CH47,CH50,CH53,CH55,CH60,CH64,CH69,CH76)</f>
        <v>0</v>
      </c>
      <c r="CI4" s="118">
        <f>SUM(CI5,CI24,CI38,CI47,CI50,CI53,CI55,CI60,CI64,CI69,CI76)</f>
        <v>563484</v>
      </c>
      <c r="CJ4" s="43"/>
      <c r="CK4" s="218"/>
      <c r="CL4" s="218"/>
      <c r="CM4" s="40"/>
      <c r="CN4" s="97"/>
      <c r="CO4" s="98"/>
      <c r="CP4" s="98"/>
      <c r="CQ4" s="98"/>
      <c r="CR4" s="98"/>
      <c r="CS4" s="237"/>
      <c r="CT4" s="117">
        <f>SUM(CT5,CT24,CT38,CT47,CT50,CT53,CT55,CT60,CT64,CT69,CT76)</f>
        <v>0</v>
      </c>
      <c r="CU4" s="118">
        <f>SUM(CU5,CU24,CU38,CU47,CU50,CU53,CU55,CU60,CU64,CU69,CU76)</f>
        <v>0</v>
      </c>
      <c r="CV4" s="43"/>
      <c r="CW4" s="218"/>
      <c r="CX4" s="117">
        <f>SUM(CX5,CX24,CX38,CX47,CX50,CX53,CX55,CX60,CX64,CX69,CX76)</f>
        <v>0</v>
      </c>
      <c r="CY4" s="118">
        <f>SUM(CY5,CY24,CY38,CY47,CY50,CY53,CY55,CY60,CY64,CY69,CY76)</f>
        <v>0</v>
      </c>
      <c r="CZ4" s="43"/>
      <c r="DA4" s="218"/>
      <c r="DB4" s="117">
        <f>SUM(DB5,DB24,DB38,DB47,DB50,DB53,DB55,DB60,DB64,DB69,DB76)</f>
        <v>1212000</v>
      </c>
      <c r="DC4" s="118">
        <f>SUM(DC5,DC24,DC38,DC47,DC50,DC53,DC55,DC60,DC64,DC69,DC76)</f>
        <v>0</v>
      </c>
      <c r="DD4" s="43"/>
      <c r="DE4" s="218"/>
      <c r="DF4" s="218"/>
      <c r="DG4" s="40"/>
      <c r="DH4" s="97"/>
      <c r="DI4" s="98"/>
      <c r="DJ4" s="98"/>
      <c r="DK4" s="98"/>
      <c r="DL4" s="98"/>
      <c r="DM4" s="237"/>
    </row>
    <row r="5" spans="1:117" x14ac:dyDescent="0.25">
      <c r="A5" s="53">
        <v>3593</v>
      </c>
      <c r="B5" s="52" t="s">
        <v>8</v>
      </c>
      <c r="C5" s="53"/>
      <c r="D5" s="51" t="s">
        <v>18</v>
      </c>
      <c r="E5" s="51"/>
      <c r="F5" s="338"/>
      <c r="G5" s="51"/>
      <c r="H5" s="54"/>
      <c r="I5" s="54"/>
      <c r="J5" s="53">
        <f>SUM(M5,AG5,BA5,BU5)</f>
        <v>1048</v>
      </c>
      <c r="K5" s="53"/>
      <c r="L5" s="55"/>
      <c r="M5" s="390">
        <f>114+33-114</f>
        <v>33</v>
      </c>
      <c r="N5" s="56"/>
      <c r="O5" s="56"/>
      <c r="P5" s="243">
        <f>1+32</f>
        <v>33</v>
      </c>
      <c r="Q5" s="230"/>
      <c r="R5" s="119">
        <f>SUM(R6:R23)</f>
        <v>149240</v>
      </c>
      <c r="S5" s="120">
        <f>SUM(S6:S23)</f>
        <v>0</v>
      </c>
      <c r="T5" s="57"/>
      <c r="U5" s="219"/>
      <c r="V5" s="119">
        <f>SUM(V6:V23)</f>
        <v>0</v>
      </c>
      <c r="W5" s="120">
        <f>SUM(W6:W23)</f>
        <v>792038</v>
      </c>
      <c r="X5" s="57"/>
      <c r="Y5" s="219"/>
      <c r="Z5" s="119">
        <f>SUM(Z6:Z23)</f>
        <v>0</v>
      </c>
      <c r="AA5" s="120">
        <f>SUM(AA6:AA23)</f>
        <v>149240</v>
      </c>
      <c r="AB5" s="57"/>
      <c r="AC5" s="230"/>
      <c r="AD5" s="230"/>
      <c r="AE5" s="53">
        <f>SUM(AG5,BA5,BU5)</f>
        <v>1015</v>
      </c>
      <c r="AF5" s="55"/>
      <c r="AG5" s="56">
        <v>190</v>
      </c>
      <c r="AH5" s="56"/>
      <c r="AI5" s="56"/>
      <c r="AJ5" s="243">
        <f>10+4+7+22+10+22+11+32+60+8+1+3</f>
        <v>190</v>
      </c>
      <c r="AK5" s="230"/>
      <c r="AL5" s="119">
        <f>SUM(AL6:AL23)</f>
        <v>0</v>
      </c>
      <c r="AM5" s="120">
        <f>SUM(AM6:AM23)</f>
        <v>0</v>
      </c>
      <c r="AN5" s="57"/>
      <c r="AO5" s="219"/>
      <c r="AP5" s="119">
        <f>SUM(AP6:AP23)</f>
        <v>0</v>
      </c>
      <c r="AQ5" s="120">
        <f>SUM(AQ6:AQ23)</f>
        <v>0</v>
      </c>
      <c r="AR5" s="57"/>
      <c r="AS5" s="219"/>
      <c r="AT5" s="119">
        <f>SUM(AT6:AT23)</f>
        <v>0</v>
      </c>
      <c r="AU5" s="120">
        <f>SUM(AU6:AU23)</f>
        <v>0</v>
      </c>
      <c r="AV5" s="57"/>
      <c r="AW5" s="230"/>
      <c r="AX5" s="230"/>
      <c r="AY5" s="53">
        <f>SUM(BA5,BU5)</f>
        <v>825</v>
      </c>
      <c r="AZ5" s="55"/>
      <c r="BA5" s="56">
        <f>210-210+304-304+309-309+145</f>
        <v>145</v>
      </c>
      <c r="BB5" s="56"/>
      <c r="BC5" s="56"/>
      <c r="BD5" s="243">
        <f>2+64+20+3+1+30+5+20</f>
        <v>145</v>
      </c>
      <c r="BE5" s="230"/>
      <c r="BF5" s="119">
        <f>SUM(BF6:BF23)</f>
        <v>0</v>
      </c>
      <c r="BG5" s="120">
        <f>SUM(BG6:BG23)</f>
        <v>0</v>
      </c>
      <c r="BH5" s="57"/>
      <c r="BI5" s="219"/>
      <c r="BJ5" s="119">
        <f>SUM(BJ6:BJ23)</f>
        <v>0</v>
      </c>
      <c r="BK5" s="120">
        <f>SUM(BK6:BK23)</f>
        <v>0</v>
      </c>
      <c r="BL5" s="57"/>
      <c r="BM5" s="219"/>
      <c r="BN5" s="119">
        <f>SUM(BN6:BN23)</f>
        <v>0</v>
      </c>
      <c r="BO5" s="120">
        <f>SUM(BO6:BO23)</f>
        <v>0</v>
      </c>
      <c r="BP5" s="57"/>
      <c r="BQ5" s="230"/>
      <c r="BR5" s="230"/>
      <c r="BS5" s="53">
        <f>BU5</f>
        <v>680</v>
      </c>
      <c r="BT5" s="55"/>
      <c r="BU5" s="56">
        <f>580-580+680</f>
        <v>680</v>
      </c>
      <c r="BV5" s="56"/>
      <c r="BW5" s="56"/>
      <c r="BX5" s="243">
        <f>30+10+50+90+90+8+14+1+1+40+90+70+180</f>
        <v>674</v>
      </c>
      <c r="BY5" s="230"/>
      <c r="BZ5" s="119">
        <f>SUM(BZ6:BZ23)</f>
        <v>0</v>
      </c>
      <c r="CA5" s="120">
        <f>SUM(CA6:CA23)</f>
        <v>0</v>
      </c>
      <c r="CB5" s="57"/>
      <c r="CC5" s="219"/>
      <c r="CD5" s="119">
        <f>SUM(CD6:CD23)</f>
        <v>0</v>
      </c>
      <c r="CE5" s="120">
        <f>SUM(CE6:CE23)</f>
        <v>0</v>
      </c>
      <c r="CF5" s="57"/>
      <c r="CG5" s="219"/>
      <c r="CH5" s="119">
        <f>SUM(CH6:CH23)</f>
        <v>0</v>
      </c>
      <c r="CI5" s="120">
        <f>SUM(CI6:CI23)</f>
        <v>0</v>
      </c>
      <c r="CJ5" s="57"/>
      <c r="CK5" s="230"/>
      <c r="CL5" s="230"/>
      <c r="CM5" s="53">
        <f>CO5</f>
        <v>238</v>
      </c>
      <c r="CN5" s="55"/>
      <c r="CO5" s="243">
        <v>238</v>
      </c>
      <c r="CP5" s="56"/>
      <c r="CQ5" s="56"/>
      <c r="CR5" s="243"/>
      <c r="CS5" s="230"/>
      <c r="CT5" s="119">
        <f>SUM(CT6:CT23)</f>
        <v>0</v>
      </c>
      <c r="CU5" s="120">
        <f>SUM(CU6:CU23)</f>
        <v>0</v>
      </c>
      <c r="CV5" s="57"/>
      <c r="CW5" s="219"/>
      <c r="CX5" s="119">
        <f>SUM(CX6:CX23)</f>
        <v>0</v>
      </c>
      <c r="CY5" s="120">
        <f>SUM(CY6:CY23)</f>
        <v>0</v>
      </c>
      <c r="CZ5" s="57"/>
      <c r="DA5" s="219"/>
      <c r="DB5" s="119">
        <f>SUM(DB6:DB23)</f>
        <v>0</v>
      </c>
      <c r="DC5" s="120">
        <f>SUM(DC6:DC23)</f>
        <v>0</v>
      </c>
      <c r="DD5" s="57"/>
      <c r="DE5" s="230"/>
      <c r="DF5" s="230"/>
      <c r="DG5" s="53">
        <f>DI5</f>
        <v>0</v>
      </c>
      <c r="DH5" s="55"/>
      <c r="DI5" s="243"/>
      <c r="DJ5" s="56"/>
      <c r="DK5" s="56"/>
      <c r="DL5" s="243"/>
      <c r="DM5" s="230"/>
    </row>
    <row r="6" spans="1:117" x14ac:dyDescent="0.25">
      <c r="A6" s="18"/>
      <c r="B6" s="11" t="s">
        <v>215</v>
      </c>
      <c r="C6" s="18">
        <v>1</v>
      </c>
      <c r="D6" s="11"/>
      <c r="E6" s="11"/>
      <c r="F6" s="149"/>
      <c r="G6" s="11" t="s">
        <v>198</v>
      </c>
      <c r="H6" s="25"/>
      <c r="I6" s="24"/>
      <c r="J6" s="536">
        <f>SUM(M6,AG6,BA6,BU6)-L6</f>
        <v>-925</v>
      </c>
      <c r="K6" s="394">
        <f>M6-O6-L6</f>
        <v>-1940</v>
      </c>
      <c r="L6" s="544">
        <v>1973</v>
      </c>
      <c r="M6" s="298">
        <f>M5</f>
        <v>33</v>
      </c>
      <c r="N6" s="5">
        <f>M6-L6</f>
        <v>-1940</v>
      </c>
      <c r="O6" s="256"/>
      <c r="P6" s="303">
        <f>P5</f>
        <v>33</v>
      </c>
      <c r="Q6" s="231">
        <f t="shared" ref="Q6" si="0">L6+O6-P6</f>
        <v>1940</v>
      </c>
      <c r="R6" s="310"/>
      <c r="S6" s="210"/>
      <c r="T6" s="216"/>
      <c r="U6" s="707"/>
      <c r="V6" s="310"/>
      <c r="W6" s="210"/>
      <c r="X6" s="216"/>
      <c r="Y6" s="707"/>
      <c r="Z6" s="236"/>
      <c r="AA6" s="210"/>
      <c r="AB6" s="216"/>
      <c r="AC6" s="716"/>
      <c r="AD6" s="716"/>
      <c r="AE6" s="394">
        <f>SUM(M6,AG6)-SUM(O6,AI6)-L6</f>
        <v>-1750</v>
      </c>
      <c r="AF6" s="29">
        <f>Q6</f>
        <v>1940</v>
      </c>
      <c r="AG6" s="298">
        <f>AG5</f>
        <v>190</v>
      </c>
      <c r="AH6" s="5">
        <f>AG6-AF6</f>
        <v>-1750</v>
      </c>
      <c r="AI6" s="256"/>
      <c r="AJ6" s="303">
        <f>AJ5</f>
        <v>190</v>
      </c>
      <c r="AK6" s="231">
        <f t="shared" ref="AK6" si="1">AF6+AI6-AJ6</f>
        <v>1750</v>
      </c>
      <c r="AL6" s="215"/>
      <c r="AM6" s="199"/>
      <c r="AN6" s="148"/>
      <c r="AO6" s="711"/>
      <c r="AP6" s="215"/>
      <c r="AQ6" s="199"/>
      <c r="AR6" s="148"/>
      <c r="AS6" s="711"/>
      <c r="AT6" s="21"/>
      <c r="AU6" s="6"/>
      <c r="AV6" s="35"/>
      <c r="AW6" s="713"/>
      <c r="AX6" s="713"/>
      <c r="AY6" s="394">
        <f>SUM(M6,AG6,BA6)-SUM(O6,AI6,BC6)-L6</f>
        <v>-1605</v>
      </c>
      <c r="AZ6" s="29">
        <f>AK6</f>
        <v>1750</v>
      </c>
      <c r="BA6" s="298">
        <f>BA5</f>
        <v>145</v>
      </c>
      <c r="BB6" s="5">
        <f>BA6-AZ6</f>
        <v>-1605</v>
      </c>
      <c r="BC6" s="256"/>
      <c r="BD6" s="303">
        <f>BD5</f>
        <v>145</v>
      </c>
      <c r="BE6" s="231">
        <f t="shared" ref="BE6" si="2">AZ6+BC6-BD6</f>
        <v>1605</v>
      </c>
      <c r="BF6" s="215"/>
      <c r="BG6" s="199"/>
      <c r="BH6" s="148"/>
      <c r="BI6" s="711"/>
      <c r="BJ6" s="215"/>
      <c r="BK6" s="199"/>
      <c r="BL6" s="148"/>
      <c r="BM6" s="711"/>
      <c r="BN6" s="21"/>
      <c r="BO6" s="6"/>
      <c r="BP6" s="35"/>
      <c r="BQ6" s="713"/>
      <c r="BR6" s="713"/>
      <c r="BS6" s="394">
        <f>SUM(M6,AG6,BA6,BU6)-SUM(O6,AI6,BC6,BW6)-L6</f>
        <v>-925</v>
      </c>
      <c r="BT6" s="29">
        <f>BE6</f>
        <v>1605</v>
      </c>
      <c r="BU6" s="298">
        <f>BU5</f>
        <v>680</v>
      </c>
      <c r="BV6" s="5">
        <f>BU6-BT6</f>
        <v>-925</v>
      </c>
      <c r="BW6" s="240"/>
      <c r="BX6" s="303"/>
      <c r="BY6" s="231">
        <f t="shared" ref="BY6" si="3">BT6+BW6-BX6</f>
        <v>1605</v>
      </c>
      <c r="BZ6" s="215"/>
      <c r="CA6" s="199"/>
      <c r="CB6" s="148"/>
      <c r="CC6" s="711"/>
      <c r="CD6" s="215"/>
      <c r="CE6" s="199"/>
      <c r="CF6" s="148"/>
      <c r="CG6" s="711"/>
      <c r="CH6" s="21"/>
      <c r="CI6" s="6"/>
      <c r="CJ6" s="35"/>
      <c r="CK6" s="713"/>
      <c r="CL6" s="713"/>
      <c r="CM6" s="394">
        <f>SUM(M6,AG6,BA6,BU6,CO6)-SUM(O6,AI6,BC6,BW6,CQ6)-L6</f>
        <v>-1687</v>
      </c>
      <c r="CN6" s="29">
        <f>BY6</f>
        <v>1605</v>
      </c>
      <c r="CO6" s="298">
        <f>CO5</f>
        <v>238</v>
      </c>
      <c r="CP6" s="5">
        <f>CO6-CN6</f>
        <v>-1367</v>
      </c>
      <c r="CQ6" s="240">
        <v>1000</v>
      </c>
      <c r="CR6" s="303">
        <f>CR5</f>
        <v>0</v>
      </c>
      <c r="CS6" s="231">
        <f t="shared" ref="CS6" si="4">CN6+CQ6-CR6</f>
        <v>2605</v>
      </c>
      <c r="CT6" s="215"/>
      <c r="CU6" s="199"/>
      <c r="CV6" s="148"/>
      <c r="CW6" s="711"/>
      <c r="CX6" s="215"/>
      <c r="CY6" s="199"/>
      <c r="CZ6" s="148"/>
      <c r="DA6" s="711"/>
      <c r="DB6" s="21"/>
      <c r="DC6" s="6"/>
      <c r="DD6" s="35"/>
      <c r="DE6" s="713"/>
      <c r="DF6" s="713"/>
      <c r="DG6" s="394">
        <f>SUM(M6,AG6,BA6,BU6,DI6)-SUM(O6,AI6,BC6,BW6,CQ6)-L6</f>
        <v>-1925</v>
      </c>
      <c r="DH6" s="29">
        <f>BY6</f>
        <v>1605</v>
      </c>
      <c r="DI6" s="298">
        <f>DI5</f>
        <v>0</v>
      </c>
      <c r="DJ6" s="5">
        <f>DI6-DH6</f>
        <v>-1605</v>
      </c>
      <c r="DK6" s="240"/>
      <c r="DL6" s="303">
        <f>DL5</f>
        <v>0</v>
      </c>
      <c r="DM6" s="231">
        <f t="shared" ref="DM6:DM23" si="5">DH6+DK6-DL6</f>
        <v>1605</v>
      </c>
    </row>
    <row r="7" spans="1:117" ht="14.45" customHeight="1" x14ac:dyDescent="0.25">
      <c r="A7" s="18"/>
      <c r="B7" s="617" t="s">
        <v>854</v>
      </c>
      <c r="C7" s="18">
        <v>1</v>
      </c>
      <c r="D7" s="11"/>
      <c r="E7" s="11"/>
      <c r="F7" s="149"/>
      <c r="G7" s="11"/>
      <c r="H7" s="25"/>
      <c r="I7" s="24"/>
      <c r="J7" s="536"/>
      <c r="K7" s="394"/>
      <c r="L7" s="544"/>
      <c r="M7" s="298"/>
      <c r="N7" s="5"/>
      <c r="O7" s="256"/>
      <c r="P7" s="303"/>
      <c r="Q7" s="231"/>
      <c r="R7" s="236"/>
      <c r="S7" s="210"/>
      <c r="T7" s="216"/>
      <c r="U7" s="707"/>
      <c r="V7" s="236"/>
      <c r="W7" s="210"/>
      <c r="X7" s="216"/>
      <c r="Y7" s="707"/>
      <c r="Z7" s="236"/>
      <c r="AA7" s="210"/>
      <c r="AB7" s="216"/>
      <c r="AC7" s="716"/>
      <c r="AD7" s="716"/>
      <c r="AE7" s="394"/>
      <c r="AF7" s="29"/>
      <c r="AG7" s="298"/>
      <c r="AH7" s="5"/>
      <c r="AI7" s="256"/>
      <c r="AJ7" s="303"/>
      <c r="AK7" s="231"/>
      <c r="AL7" s="235"/>
      <c r="AM7" s="199"/>
      <c r="AN7" s="148"/>
      <c r="AO7" s="711"/>
      <c r="AP7" s="235"/>
      <c r="AQ7" s="199"/>
      <c r="AR7" s="148"/>
      <c r="AS7" s="711"/>
      <c r="AT7" s="21"/>
      <c r="AU7" s="6"/>
      <c r="AV7" s="35"/>
      <c r="AW7" s="713"/>
      <c r="AX7" s="713"/>
      <c r="AY7" s="394"/>
      <c r="AZ7" s="29"/>
      <c r="BA7" s="298"/>
      <c r="BB7" s="5"/>
      <c r="BC7" s="256"/>
      <c r="BD7" s="303"/>
      <c r="BE7" s="231"/>
      <c r="BF7" s="235"/>
      <c r="BG7" s="199"/>
      <c r="BH7" s="148"/>
      <c r="BI7" s="711"/>
      <c r="BJ7" s="235"/>
      <c r="BK7" s="199"/>
      <c r="BL7" s="148"/>
      <c r="BM7" s="711"/>
      <c r="BN7" s="21"/>
      <c r="BO7" s="6"/>
      <c r="BP7" s="35"/>
      <c r="BQ7" s="713"/>
      <c r="BR7" s="713"/>
      <c r="BS7" s="394"/>
      <c r="BT7" s="29">
        <v>1700</v>
      </c>
      <c r="BU7" s="298">
        <f>BU5</f>
        <v>680</v>
      </c>
      <c r="BV7" s="5">
        <f>BU7-BT7</f>
        <v>-1020</v>
      </c>
      <c r="BW7" s="240"/>
      <c r="BX7" s="303">
        <f>BX5</f>
        <v>674</v>
      </c>
      <c r="BY7" s="231">
        <f>BT7+BW7-BX7</f>
        <v>1026</v>
      </c>
      <c r="BZ7" s="235"/>
      <c r="CA7" s="199"/>
      <c r="CB7" s="148"/>
      <c r="CC7" s="711"/>
      <c r="CD7" s="235"/>
      <c r="CE7" s="199"/>
      <c r="CF7" s="148"/>
      <c r="CG7" s="711"/>
      <c r="CH7" s="21"/>
      <c r="CI7" s="6"/>
      <c r="CJ7" s="35"/>
      <c r="CK7" s="713"/>
      <c r="CL7" s="713"/>
      <c r="CM7" s="394"/>
      <c r="CN7" s="29"/>
      <c r="CO7" s="298"/>
      <c r="CP7" s="5"/>
      <c r="CQ7" s="256"/>
      <c r="CR7" s="303"/>
      <c r="CS7" s="231"/>
      <c r="CT7" s="235"/>
      <c r="CU7" s="199"/>
      <c r="CV7" s="148"/>
      <c r="CW7" s="711"/>
      <c r="CX7" s="235"/>
      <c r="CY7" s="199"/>
      <c r="CZ7" s="148"/>
      <c r="DA7" s="711"/>
      <c r="DB7" s="21"/>
      <c r="DC7" s="6"/>
      <c r="DD7" s="35"/>
      <c r="DE7" s="713"/>
      <c r="DF7" s="713"/>
      <c r="DG7" s="394"/>
      <c r="DH7" s="29"/>
      <c r="DI7" s="298"/>
      <c r="DJ7" s="5"/>
      <c r="DK7" s="240"/>
      <c r="DL7" s="303"/>
      <c r="DM7" s="231"/>
    </row>
    <row r="8" spans="1:117" ht="14.45" customHeight="1" x14ac:dyDescent="0.25">
      <c r="A8" s="18"/>
      <c r="B8" s="617" t="s">
        <v>855</v>
      </c>
      <c r="C8" s="18">
        <v>2</v>
      </c>
      <c r="D8" s="11"/>
      <c r="E8" s="11"/>
      <c r="F8" s="149"/>
      <c r="G8" s="11"/>
      <c r="H8" s="25"/>
      <c r="I8" s="24"/>
      <c r="J8" s="536"/>
      <c r="K8" s="394"/>
      <c r="L8" s="544"/>
      <c r="M8" s="298"/>
      <c r="N8" s="5"/>
      <c r="O8" s="256"/>
      <c r="P8" s="303"/>
      <c r="Q8" s="231"/>
      <c r="R8" s="236"/>
      <c r="S8" s="210"/>
      <c r="T8" s="216"/>
      <c r="U8" s="707"/>
      <c r="V8" s="236"/>
      <c r="W8" s="210"/>
      <c r="X8" s="216"/>
      <c r="Y8" s="707"/>
      <c r="Z8" s="236"/>
      <c r="AA8" s="210"/>
      <c r="AB8" s="216"/>
      <c r="AC8" s="716"/>
      <c r="AD8" s="716"/>
      <c r="AE8" s="394"/>
      <c r="AF8" s="29"/>
      <c r="AG8" s="298"/>
      <c r="AH8" s="5"/>
      <c r="AI8" s="256"/>
      <c r="AJ8" s="303"/>
      <c r="AK8" s="231"/>
      <c r="AL8" s="235"/>
      <c r="AM8" s="199"/>
      <c r="AN8" s="148"/>
      <c r="AO8" s="711"/>
      <c r="AP8" s="235"/>
      <c r="AQ8" s="199"/>
      <c r="AR8" s="148"/>
      <c r="AS8" s="711"/>
      <c r="AT8" s="21"/>
      <c r="AU8" s="6"/>
      <c r="AV8" s="35"/>
      <c r="AW8" s="713"/>
      <c r="AX8" s="713"/>
      <c r="AY8" s="394"/>
      <c r="AZ8" s="29"/>
      <c r="BA8" s="298"/>
      <c r="BB8" s="5"/>
      <c r="BC8" s="256"/>
      <c r="BD8" s="303"/>
      <c r="BE8" s="231"/>
      <c r="BF8" s="235"/>
      <c r="BG8" s="199"/>
      <c r="BH8" s="148"/>
      <c r="BI8" s="711"/>
      <c r="BJ8" s="235"/>
      <c r="BK8" s="199"/>
      <c r="BL8" s="148"/>
      <c r="BM8" s="711"/>
      <c r="BN8" s="21"/>
      <c r="BO8" s="6"/>
      <c r="BP8" s="35"/>
      <c r="BQ8" s="713"/>
      <c r="BR8" s="713"/>
      <c r="BS8" s="394"/>
      <c r="BT8" s="29">
        <v>2900</v>
      </c>
      <c r="BU8" s="298">
        <f>C8*BU5</f>
        <v>1360</v>
      </c>
      <c r="BV8" s="5">
        <f>BU8-BT8</f>
        <v>-1540</v>
      </c>
      <c r="BW8" s="240"/>
      <c r="BX8" s="303">
        <f>C8*BX5</f>
        <v>1348</v>
      </c>
      <c r="BY8" s="231">
        <f t="shared" ref="BY8:BY9" si="6">BT8+BW8-BX8</f>
        <v>1552</v>
      </c>
      <c r="BZ8" s="235"/>
      <c r="CA8" s="199"/>
      <c r="CB8" s="148"/>
      <c r="CC8" s="711"/>
      <c r="CD8" s="235"/>
      <c r="CE8" s="199"/>
      <c r="CF8" s="148"/>
      <c r="CG8" s="711"/>
      <c r="CH8" s="21"/>
      <c r="CI8" s="6"/>
      <c r="CJ8" s="35"/>
      <c r="CK8" s="713"/>
      <c r="CL8" s="713"/>
      <c r="CM8" s="394"/>
      <c r="CN8" s="29"/>
      <c r="CO8" s="298"/>
      <c r="CP8" s="5"/>
      <c r="CQ8" s="256"/>
      <c r="CR8" s="303"/>
      <c r="CS8" s="231"/>
      <c r="CT8" s="235"/>
      <c r="CU8" s="199"/>
      <c r="CV8" s="148"/>
      <c r="CW8" s="711"/>
      <c r="CX8" s="235"/>
      <c r="CY8" s="199"/>
      <c r="CZ8" s="148"/>
      <c r="DA8" s="711"/>
      <c r="DB8" s="21"/>
      <c r="DC8" s="6"/>
      <c r="DD8" s="35"/>
      <c r="DE8" s="713"/>
      <c r="DF8" s="713"/>
      <c r="DG8" s="394"/>
      <c r="DH8" s="29"/>
      <c r="DI8" s="298"/>
      <c r="DJ8" s="5"/>
      <c r="DK8" s="240"/>
      <c r="DL8" s="303"/>
      <c r="DM8" s="231"/>
    </row>
    <row r="9" spans="1:117" ht="14.45" customHeight="1" x14ac:dyDescent="0.25">
      <c r="A9" s="18"/>
      <c r="B9" s="617" t="s">
        <v>856</v>
      </c>
      <c r="C9" s="18">
        <v>1</v>
      </c>
      <c r="D9" s="11"/>
      <c r="E9" s="11"/>
      <c r="F9" s="149"/>
      <c r="G9" s="11"/>
      <c r="H9" s="25"/>
      <c r="I9" s="24"/>
      <c r="J9" s="536"/>
      <c r="K9" s="394"/>
      <c r="L9" s="544"/>
      <c r="M9" s="298"/>
      <c r="N9" s="5"/>
      <c r="O9" s="256"/>
      <c r="P9" s="303"/>
      <c r="Q9" s="231"/>
      <c r="R9" s="236"/>
      <c r="S9" s="210"/>
      <c r="T9" s="216"/>
      <c r="U9" s="707"/>
      <c r="V9" s="236"/>
      <c r="W9" s="210"/>
      <c r="X9" s="216"/>
      <c r="Y9" s="707"/>
      <c r="Z9" s="236"/>
      <c r="AA9" s="210"/>
      <c r="AB9" s="216"/>
      <c r="AC9" s="716"/>
      <c r="AD9" s="716"/>
      <c r="AE9" s="394"/>
      <c r="AF9" s="29"/>
      <c r="AG9" s="298"/>
      <c r="AH9" s="5"/>
      <c r="AI9" s="256"/>
      <c r="AJ9" s="303"/>
      <c r="AK9" s="231"/>
      <c r="AL9" s="235"/>
      <c r="AM9" s="199"/>
      <c r="AN9" s="148"/>
      <c r="AO9" s="711"/>
      <c r="AP9" s="235"/>
      <c r="AQ9" s="199"/>
      <c r="AR9" s="148"/>
      <c r="AS9" s="711"/>
      <c r="AT9" s="21"/>
      <c r="AU9" s="6"/>
      <c r="AV9" s="35"/>
      <c r="AW9" s="713"/>
      <c r="AX9" s="713"/>
      <c r="AY9" s="394"/>
      <c r="AZ9" s="29"/>
      <c r="BA9" s="298"/>
      <c r="BB9" s="5"/>
      <c r="BC9" s="256"/>
      <c r="BD9" s="303"/>
      <c r="BE9" s="231"/>
      <c r="BF9" s="235"/>
      <c r="BG9" s="199"/>
      <c r="BH9" s="148"/>
      <c r="BI9" s="711"/>
      <c r="BJ9" s="235"/>
      <c r="BK9" s="199"/>
      <c r="BL9" s="148"/>
      <c r="BM9" s="711"/>
      <c r="BN9" s="21"/>
      <c r="BO9" s="6"/>
      <c r="BP9" s="35"/>
      <c r="BQ9" s="713"/>
      <c r="BR9" s="713"/>
      <c r="BS9" s="394"/>
      <c r="BT9" s="29">
        <v>1400</v>
      </c>
      <c r="BU9" s="298">
        <f>BU5</f>
        <v>680</v>
      </c>
      <c r="BV9" s="5">
        <f>BU9-BT9</f>
        <v>-720</v>
      </c>
      <c r="BW9" s="240"/>
      <c r="BX9" s="303">
        <f>BX5</f>
        <v>674</v>
      </c>
      <c r="BY9" s="231">
        <f t="shared" si="6"/>
        <v>726</v>
      </c>
      <c r="BZ9" s="235"/>
      <c r="CA9" s="199"/>
      <c r="CB9" s="148"/>
      <c r="CC9" s="711"/>
      <c r="CD9" s="235"/>
      <c r="CE9" s="199"/>
      <c r="CF9" s="148"/>
      <c r="CG9" s="711"/>
      <c r="CH9" s="21"/>
      <c r="CI9" s="6"/>
      <c r="CJ9" s="35"/>
      <c r="CK9" s="713"/>
      <c r="CL9" s="713"/>
      <c r="CM9" s="394"/>
      <c r="CN9" s="29"/>
      <c r="CO9" s="298"/>
      <c r="CP9" s="5"/>
      <c r="CQ9" s="256"/>
      <c r="CR9" s="303"/>
      <c r="CS9" s="231"/>
      <c r="CT9" s="235"/>
      <c r="CU9" s="199"/>
      <c r="CV9" s="148"/>
      <c r="CW9" s="711"/>
      <c r="CX9" s="235"/>
      <c r="CY9" s="199"/>
      <c r="CZ9" s="148"/>
      <c r="DA9" s="711"/>
      <c r="DB9" s="21"/>
      <c r="DC9" s="6"/>
      <c r="DD9" s="35"/>
      <c r="DE9" s="713"/>
      <c r="DF9" s="713"/>
      <c r="DG9" s="394"/>
      <c r="DH9" s="29"/>
      <c r="DI9" s="298"/>
      <c r="DJ9" s="5"/>
      <c r="DK9" s="240"/>
      <c r="DL9" s="303"/>
      <c r="DM9" s="231"/>
    </row>
    <row r="10" spans="1:117" x14ac:dyDescent="0.25">
      <c r="A10" s="18"/>
      <c r="B10" s="11"/>
      <c r="C10" s="18"/>
      <c r="D10" s="11"/>
      <c r="E10" s="11"/>
      <c r="F10" s="149"/>
      <c r="G10" s="11"/>
      <c r="H10" s="25"/>
      <c r="I10" s="24"/>
      <c r="J10" s="536"/>
      <c r="K10" s="394"/>
      <c r="L10" s="544"/>
      <c r="M10" s="298"/>
      <c r="N10" s="5"/>
      <c r="O10" s="256"/>
      <c r="P10" s="303"/>
      <c r="Q10" s="231"/>
      <c r="R10" s="236"/>
      <c r="S10" s="210"/>
      <c r="T10" s="216"/>
      <c r="U10" s="707"/>
      <c r="V10" s="236"/>
      <c r="W10" s="210"/>
      <c r="X10" s="216"/>
      <c r="Y10" s="707"/>
      <c r="Z10" s="236"/>
      <c r="AA10" s="210"/>
      <c r="AB10" s="216"/>
      <c r="AC10" s="716"/>
      <c r="AD10" s="716"/>
      <c r="AE10" s="394"/>
      <c r="AF10" s="29"/>
      <c r="AG10" s="298"/>
      <c r="AH10" s="5"/>
      <c r="AI10" s="256"/>
      <c r="AJ10" s="303"/>
      <c r="AK10" s="231"/>
      <c r="AL10" s="235"/>
      <c r="AM10" s="199"/>
      <c r="AN10" s="148"/>
      <c r="AO10" s="711"/>
      <c r="AP10" s="235"/>
      <c r="AQ10" s="199"/>
      <c r="AR10" s="148"/>
      <c r="AS10" s="711"/>
      <c r="AT10" s="21"/>
      <c r="AU10" s="6"/>
      <c r="AV10" s="35"/>
      <c r="AW10" s="713"/>
      <c r="AX10" s="713"/>
      <c r="AY10" s="394"/>
      <c r="AZ10" s="29"/>
      <c r="BA10" s="298"/>
      <c r="BB10" s="5"/>
      <c r="BC10" s="256"/>
      <c r="BD10" s="303"/>
      <c r="BE10" s="231"/>
      <c r="BF10" s="235"/>
      <c r="BG10" s="199"/>
      <c r="BH10" s="148"/>
      <c r="BI10" s="711"/>
      <c r="BJ10" s="235"/>
      <c r="BK10" s="199"/>
      <c r="BL10" s="148"/>
      <c r="BM10" s="711"/>
      <c r="BN10" s="21"/>
      <c r="BO10" s="6"/>
      <c r="BP10" s="35"/>
      <c r="BQ10" s="713"/>
      <c r="BR10" s="713"/>
      <c r="BS10" s="394"/>
      <c r="BT10" s="29"/>
      <c r="BU10" s="298"/>
      <c r="BV10" s="5"/>
      <c r="BW10" s="242"/>
      <c r="BX10" s="303"/>
      <c r="BY10" s="231"/>
      <c r="BZ10" s="235"/>
      <c r="CA10" s="199"/>
      <c r="CB10" s="148"/>
      <c r="CC10" s="711"/>
      <c r="CD10" s="235"/>
      <c r="CE10" s="199"/>
      <c r="CF10" s="148"/>
      <c r="CG10" s="711"/>
      <c r="CH10" s="21"/>
      <c r="CI10" s="6"/>
      <c r="CJ10" s="35"/>
      <c r="CK10" s="713"/>
      <c r="CL10" s="713"/>
      <c r="CM10" s="394"/>
      <c r="CN10" s="29"/>
      <c r="CO10" s="298"/>
      <c r="CP10" s="5"/>
      <c r="CQ10" s="256"/>
      <c r="CR10" s="303"/>
      <c r="CS10" s="231"/>
      <c r="CT10" s="235"/>
      <c r="CU10" s="199"/>
      <c r="CV10" s="148"/>
      <c r="CW10" s="711"/>
      <c r="CX10" s="235"/>
      <c r="CY10" s="199"/>
      <c r="CZ10" s="148"/>
      <c r="DA10" s="711"/>
      <c r="DB10" s="21"/>
      <c r="DC10" s="6"/>
      <c r="DD10" s="35"/>
      <c r="DE10" s="713"/>
      <c r="DF10" s="713"/>
      <c r="DG10" s="394"/>
      <c r="DH10" s="29"/>
      <c r="DI10" s="298"/>
      <c r="DJ10" s="5"/>
      <c r="DK10" s="240"/>
      <c r="DL10" s="303"/>
      <c r="DM10" s="231"/>
    </row>
    <row r="11" spans="1:117" x14ac:dyDescent="0.25">
      <c r="A11" s="18"/>
      <c r="B11" s="11" t="s">
        <v>15</v>
      </c>
      <c r="C11" s="18" t="s">
        <v>51</v>
      </c>
      <c r="D11" s="11"/>
      <c r="E11" s="11"/>
      <c r="F11" s="568">
        <v>1066</v>
      </c>
      <c r="G11" s="11" t="s">
        <v>649</v>
      </c>
      <c r="H11" s="25" t="s">
        <v>11</v>
      </c>
      <c r="I11" s="24"/>
      <c r="J11" s="536">
        <f t="shared" ref="J11:J23" si="7">SUM(M11,AG11,BA11,BU11)-L11</f>
        <v>-661</v>
      </c>
      <c r="K11" s="394">
        <f t="shared" ref="K11:K79" si="8">M11-O11-L11</f>
        <v>-1956</v>
      </c>
      <c r="L11" s="544">
        <v>1709</v>
      </c>
      <c r="M11" s="298">
        <f>M5</f>
        <v>33</v>
      </c>
      <c r="N11" s="5">
        <f>M11-L11</f>
        <v>-1676</v>
      </c>
      <c r="O11" s="256">
        <v>280</v>
      </c>
      <c r="P11" s="303">
        <f>P5</f>
        <v>33</v>
      </c>
      <c r="Q11" s="231">
        <f t="shared" ref="Q11:Q29" si="9">L11+O11-P11</f>
        <v>1956</v>
      </c>
      <c r="R11" s="573">
        <f>$F$11*50%*280</f>
        <v>149240</v>
      </c>
      <c r="S11" s="210"/>
      <c r="T11" s="211" t="s">
        <v>703</v>
      </c>
      <c r="U11" s="708"/>
      <c r="V11" s="236"/>
      <c r="W11" s="569">
        <f>$F$11*50%*1486</f>
        <v>792038</v>
      </c>
      <c r="X11" s="216" t="s">
        <v>704</v>
      </c>
      <c r="Y11" s="707"/>
      <c r="Z11" s="236"/>
      <c r="AA11" s="569">
        <f>$F$11*50%*280</f>
        <v>149240</v>
      </c>
      <c r="AB11" s="216" t="s">
        <v>701</v>
      </c>
      <c r="AC11" s="716"/>
      <c r="AD11" s="716"/>
      <c r="AE11" s="394">
        <f t="shared" ref="AE11:AE23" si="10">SUM(M11,AG11)-SUM(O11,AI11)-L11</f>
        <v>-1766</v>
      </c>
      <c r="AF11" s="29">
        <f t="shared" ref="AF11:AF23" si="11">Q11</f>
        <v>1956</v>
      </c>
      <c r="AG11" s="298">
        <f>AG5</f>
        <v>190</v>
      </c>
      <c r="AH11" s="5">
        <f>AG11-AF11</f>
        <v>-1766</v>
      </c>
      <c r="AI11" s="256"/>
      <c r="AJ11" s="303">
        <f>AJ5</f>
        <v>190</v>
      </c>
      <c r="AK11" s="231">
        <f t="shared" ref="AK11:AK23" si="12">AF11+AI11-AJ11</f>
        <v>1766</v>
      </c>
      <c r="AL11" s="21"/>
      <c r="AM11" s="210"/>
      <c r="AN11" s="216"/>
      <c r="AO11" s="707"/>
      <c r="AP11" s="21"/>
      <c r="AQ11" s="210"/>
      <c r="AR11" s="216"/>
      <c r="AS11" s="707"/>
      <c r="AT11" s="21"/>
      <c r="AU11" s="210"/>
      <c r="AV11" s="216"/>
      <c r="AW11" s="716"/>
      <c r="AX11" s="716"/>
      <c r="AY11" s="394">
        <f t="shared" ref="AY11:AY23" si="13">SUM(M11,AG11,BA11)-SUM(O11,AI11,BC11)-L11</f>
        <v>-1621</v>
      </c>
      <c r="AZ11" s="29">
        <f>AK11</f>
        <v>1766</v>
      </c>
      <c r="BA11" s="298">
        <f>BA5</f>
        <v>145</v>
      </c>
      <c r="BB11" s="5">
        <f>BA11-AZ11</f>
        <v>-1621</v>
      </c>
      <c r="BC11" s="256"/>
      <c r="BD11" s="303">
        <f>BD5</f>
        <v>145</v>
      </c>
      <c r="BE11" s="231">
        <f t="shared" ref="BE11:BE23" si="14">AZ11+BC11-BD11</f>
        <v>1621</v>
      </c>
      <c r="BF11" s="236"/>
      <c r="BG11" s="6"/>
      <c r="BH11" s="216"/>
      <c r="BI11" s="707"/>
      <c r="BJ11" s="21"/>
      <c r="BK11" s="6"/>
      <c r="BL11" s="216"/>
      <c r="BM11" s="707"/>
      <c r="BN11" s="21"/>
      <c r="BO11" s="210"/>
      <c r="BP11" s="216"/>
      <c r="BQ11" s="716"/>
      <c r="BR11" s="716"/>
      <c r="BS11" s="394">
        <f t="shared" ref="BS11:BS23" si="15">SUM(M11,AG11,BA11,BU11)-SUM(O11,AI11,BC11,BW11)-L11</f>
        <v>-941</v>
      </c>
      <c r="BT11" s="29">
        <f>BE11</f>
        <v>1621</v>
      </c>
      <c r="BU11" s="298">
        <f>BU5</f>
        <v>680</v>
      </c>
      <c r="BV11" s="5">
        <f>BU11-BT11</f>
        <v>-941</v>
      </c>
      <c r="BW11" s="242"/>
      <c r="BX11" s="303">
        <f>BX5</f>
        <v>674</v>
      </c>
      <c r="BY11" s="231">
        <f t="shared" ref="BY11:BY23" si="16">BT11+BW11-BX11</f>
        <v>947</v>
      </c>
      <c r="BZ11" s="21"/>
      <c r="CA11" s="210"/>
      <c r="CB11" s="216"/>
      <c r="CC11" s="707"/>
      <c r="CD11" s="21"/>
      <c r="CE11" s="210"/>
      <c r="CF11" s="216"/>
      <c r="CG11" s="707"/>
      <c r="CH11" s="21"/>
      <c r="CI11" s="210"/>
      <c r="CJ11" s="211"/>
      <c r="CK11" s="733"/>
      <c r="CL11" s="733"/>
      <c r="CM11" s="394">
        <f t="shared" ref="CM11:CM23" si="17">SUM(M11,AG11,BA11,BU11,CO11)-SUM(O11,AI11,BC11,BW11,CQ11)-L11</f>
        <v>-1703</v>
      </c>
      <c r="CN11" s="29">
        <f>BY11</f>
        <v>947</v>
      </c>
      <c r="CO11" s="298">
        <f>CO5</f>
        <v>238</v>
      </c>
      <c r="CP11" s="5">
        <f>CO11-CN11</f>
        <v>-709</v>
      </c>
      <c r="CQ11" s="240">
        <v>1000</v>
      </c>
      <c r="CR11" s="303">
        <f>CR5</f>
        <v>0</v>
      </c>
      <c r="CS11" s="231">
        <f t="shared" ref="CS11:CS23" si="18">CN11+CQ11-CR11</f>
        <v>1947</v>
      </c>
      <c r="CT11" s="21"/>
      <c r="CU11" s="210"/>
      <c r="CV11" s="211"/>
      <c r="CW11" s="708"/>
      <c r="CX11" s="21"/>
      <c r="CY11" s="6"/>
      <c r="CZ11" s="35"/>
      <c r="DA11" s="612"/>
      <c r="DB11" s="21"/>
      <c r="DC11" s="6"/>
      <c r="DD11" s="35"/>
      <c r="DE11" s="713"/>
      <c r="DF11" s="713"/>
      <c r="DG11" s="394">
        <f t="shared" ref="DG11:DG23" si="19">SUM(M11,AG11,BA11,BU11,DI11)-SUM(O11,AI11,BC11,BW11,CQ11)-L11</f>
        <v>-1941</v>
      </c>
      <c r="DH11" s="29">
        <f t="shared" ref="DH11:DH23" si="20">BY11</f>
        <v>947</v>
      </c>
      <c r="DI11" s="298">
        <f>DI5</f>
        <v>0</v>
      </c>
      <c r="DJ11" s="5">
        <f>DI11-DH11</f>
        <v>-947</v>
      </c>
      <c r="DK11" s="240"/>
      <c r="DL11" s="303">
        <f>DL5</f>
        <v>0</v>
      </c>
      <c r="DM11" s="231">
        <f t="shared" si="5"/>
        <v>947</v>
      </c>
    </row>
    <row r="12" spans="1:117" ht="30" x14ac:dyDescent="0.25">
      <c r="A12" s="18"/>
      <c r="B12" s="11" t="s">
        <v>195</v>
      </c>
      <c r="C12" s="18">
        <v>2</v>
      </c>
      <c r="D12" s="11"/>
      <c r="E12" s="11"/>
      <c r="F12" s="149">
        <v>85</v>
      </c>
      <c r="G12" s="15" t="s">
        <v>756</v>
      </c>
      <c r="H12" s="25" t="s">
        <v>11</v>
      </c>
      <c r="I12" s="24"/>
      <c r="J12" s="536">
        <f t="shared" si="7"/>
        <v>-1861</v>
      </c>
      <c r="K12" s="394">
        <f t="shared" si="8"/>
        <v>-3891</v>
      </c>
      <c r="L12" s="544">
        <v>3957</v>
      </c>
      <c r="M12" s="298">
        <f>M11*2</f>
        <v>66</v>
      </c>
      <c r="N12" s="5">
        <f t="shared" ref="N12:N22" si="21">M12-L12</f>
        <v>-3891</v>
      </c>
      <c r="O12" s="256"/>
      <c r="P12" s="303">
        <f>P5*2</f>
        <v>66</v>
      </c>
      <c r="Q12" s="231">
        <f t="shared" si="9"/>
        <v>3891</v>
      </c>
      <c r="R12" s="310"/>
      <c r="S12" s="210"/>
      <c r="T12" s="211"/>
      <c r="U12" s="708"/>
      <c r="V12" s="310"/>
      <c r="W12" s="210"/>
      <c r="X12" s="211"/>
      <c r="Y12" s="708"/>
      <c r="Z12" s="236"/>
      <c r="AA12" s="210"/>
      <c r="AB12" s="211"/>
      <c r="AC12" s="733"/>
      <c r="AD12" s="733"/>
      <c r="AE12" s="394">
        <f t="shared" si="10"/>
        <v>-3511</v>
      </c>
      <c r="AF12" s="29">
        <f t="shared" si="11"/>
        <v>3891</v>
      </c>
      <c r="AG12" s="298">
        <f>AG11*2</f>
        <v>380</v>
      </c>
      <c r="AH12" s="5">
        <f t="shared" ref="AH12:AH22" si="22">AG12-AF12</f>
        <v>-3511</v>
      </c>
      <c r="AI12" s="256"/>
      <c r="AJ12" s="303">
        <f>AJ5*2</f>
        <v>380</v>
      </c>
      <c r="AK12" s="231">
        <f t="shared" si="12"/>
        <v>3511</v>
      </c>
      <c r="AL12" s="215"/>
      <c r="AM12" s="210"/>
      <c r="AN12" s="211"/>
      <c r="AO12" s="708"/>
      <c r="AP12" s="310"/>
      <c r="AQ12" s="199"/>
      <c r="AR12" s="211"/>
      <c r="AS12" s="708"/>
      <c r="AT12" s="21"/>
      <c r="AU12" s="6"/>
      <c r="AV12" s="35"/>
      <c r="AW12" s="713"/>
      <c r="AX12" s="713"/>
      <c r="AY12" s="394">
        <f t="shared" si="13"/>
        <v>-3221</v>
      </c>
      <c r="AZ12" s="29">
        <f t="shared" ref="AZ12:AZ23" si="23">AK12</f>
        <v>3511</v>
      </c>
      <c r="BA12" s="298">
        <f>BA11*2</f>
        <v>290</v>
      </c>
      <c r="BB12" s="5">
        <f t="shared" ref="BB12:BB22" si="24">BA12-AZ12</f>
        <v>-3221</v>
      </c>
      <c r="BC12" s="256"/>
      <c r="BD12" s="303">
        <f>BD5*2</f>
        <v>290</v>
      </c>
      <c r="BE12" s="231">
        <f t="shared" si="14"/>
        <v>3221</v>
      </c>
      <c r="BF12" s="215"/>
      <c r="BG12" s="210"/>
      <c r="BH12" s="211"/>
      <c r="BI12" s="708"/>
      <c r="BJ12" s="310"/>
      <c r="BK12" s="210"/>
      <c r="BL12" s="211"/>
      <c r="BM12" s="708"/>
      <c r="BN12" s="21"/>
      <c r="BO12" s="210"/>
      <c r="BP12" s="211"/>
      <c r="BQ12" s="733"/>
      <c r="BR12" s="733"/>
      <c r="BS12" s="394">
        <f t="shared" si="15"/>
        <v>-1861</v>
      </c>
      <c r="BT12" s="29">
        <f t="shared" ref="BT12:BT23" si="25">BE12</f>
        <v>3221</v>
      </c>
      <c r="BU12" s="298">
        <f>BU11*2</f>
        <v>1360</v>
      </c>
      <c r="BV12" s="5">
        <f t="shared" ref="BV12:BV22" si="26">BU12-BT12</f>
        <v>-1861</v>
      </c>
      <c r="BW12" s="258"/>
      <c r="BX12" s="303">
        <f>BX5*2</f>
        <v>1348</v>
      </c>
      <c r="BY12" s="231">
        <f t="shared" si="16"/>
        <v>1873</v>
      </c>
      <c r="BZ12" s="215"/>
      <c r="CA12" s="210"/>
      <c r="CB12" s="35"/>
      <c r="CC12" s="612"/>
      <c r="CD12" s="215"/>
      <c r="CE12" s="210"/>
      <c r="CF12" s="35"/>
      <c r="CG12" s="612"/>
      <c r="CH12" s="21"/>
      <c r="CI12" s="210"/>
      <c r="CJ12" s="35"/>
      <c r="CK12" s="713"/>
      <c r="CL12" s="713"/>
      <c r="CM12" s="394">
        <f t="shared" si="17"/>
        <v>-3185</v>
      </c>
      <c r="CN12" s="29">
        <f t="shared" ref="CN12:CN23" si="27">BY12</f>
        <v>1873</v>
      </c>
      <c r="CO12" s="298">
        <f>CO11*2</f>
        <v>476</v>
      </c>
      <c r="CP12" s="5">
        <f t="shared" ref="CP12:CP22" si="28">CO12-CN12</f>
        <v>-1397</v>
      </c>
      <c r="CQ12" s="240">
        <v>1800</v>
      </c>
      <c r="CR12" s="303">
        <f>CR5*2</f>
        <v>0</v>
      </c>
      <c r="CS12" s="231">
        <f t="shared" si="18"/>
        <v>3673</v>
      </c>
      <c r="CT12" s="215"/>
      <c r="CU12" s="199"/>
      <c r="CV12" s="211"/>
      <c r="CW12" s="708"/>
      <c r="CX12" s="215"/>
      <c r="CY12" s="199"/>
      <c r="CZ12" s="211"/>
      <c r="DA12" s="708"/>
      <c r="DB12" s="21"/>
      <c r="DC12" s="6"/>
      <c r="DD12" s="35"/>
      <c r="DE12" s="713"/>
      <c r="DF12" s="713"/>
      <c r="DG12" s="394">
        <f t="shared" si="19"/>
        <v>-3661</v>
      </c>
      <c r="DH12" s="29">
        <f t="shared" si="20"/>
        <v>1873</v>
      </c>
      <c r="DI12" s="298">
        <f>DI11*2</f>
        <v>0</v>
      </c>
      <c r="DJ12" s="5">
        <f t="shared" ref="DJ12:DJ22" si="29">DI12-DH12</f>
        <v>-1873</v>
      </c>
      <c r="DK12" s="240"/>
      <c r="DL12" s="303">
        <f>DL5*2</f>
        <v>0</v>
      </c>
      <c r="DM12" s="231">
        <f t="shared" si="5"/>
        <v>1873</v>
      </c>
    </row>
    <row r="13" spans="1:117" x14ac:dyDescent="0.25">
      <c r="A13" s="18"/>
      <c r="B13" s="11" t="s">
        <v>194</v>
      </c>
      <c r="C13" s="18">
        <v>1</v>
      </c>
      <c r="D13" s="11"/>
      <c r="E13" s="11"/>
      <c r="F13" s="149">
        <v>16.07</v>
      </c>
      <c r="G13" s="11" t="s">
        <v>28</v>
      </c>
      <c r="H13" s="25" t="s">
        <v>55</v>
      </c>
      <c r="I13" s="24"/>
      <c r="J13" s="536">
        <f t="shared" si="7"/>
        <v>-1020</v>
      </c>
      <c r="K13" s="394">
        <f t="shared" si="8"/>
        <v>-2035</v>
      </c>
      <c r="L13" s="544">
        <v>2068</v>
      </c>
      <c r="M13" s="298">
        <f>M5</f>
        <v>33</v>
      </c>
      <c r="N13" s="5">
        <f t="shared" si="21"/>
        <v>-2035</v>
      </c>
      <c r="O13" s="258"/>
      <c r="P13" s="303">
        <f>P5</f>
        <v>33</v>
      </c>
      <c r="Q13" s="231">
        <f t="shared" si="9"/>
        <v>2035</v>
      </c>
      <c r="R13" s="236"/>
      <c r="S13" s="210"/>
      <c r="T13" s="216"/>
      <c r="U13" s="707"/>
      <c r="V13" s="236"/>
      <c r="W13" s="210"/>
      <c r="X13" s="216"/>
      <c r="Y13" s="707"/>
      <c r="Z13" s="236"/>
      <c r="AA13" s="210"/>
      <c r="AB13" s="216"/>
      <c r="AC13" s="716"/>
      <c r="AD13" s="716"/>
      <c r="AE13" s="394">
        <f t="shared" si="10"/>
        <v>-1845</v>
      </c>
      <c r="AF13" s="29">
        <f t="shared" si="11"/>
        <v>2035</v>
      </c>
      <c r="AG13" s="298">
        <f>AG5</f>
        <v>190</v>
      </c>
      <c r="AH13" s="5">
        <f t="shared" si="22"/>
        <v>-1845</v>
      </c>
      <c r="AI13" s="256"/>
      <c r="AJ13" s="303">
        <f>AJ5</f>
        <v>190</v>
      </c>
      <c r="AK13" s="231">
        <f t="shared" si="12"/>
        <v>1845</v>
      </c>
      <c r="AL13" s="21"/>
      <c r="AM13" s="199"/>
      <c r="AN13" s="148"/>
      <c r="AO13" s="711"/>
      <c r="AP13" s="235"/>
      <c r="AQ13" s="199"/>
      <c r="AR13" s="148"/>
      <c r="AS13" s="711"/>
      <c r="AT13" s="236"/>
      <c r="AU13" s="6"/>
      <c r="AV13" s="35"/>
      <c r="AW13" s="713"/>
      <c r="AX13" s="713"/>
      <c r="AY13" s="394">
        <f t="shared" si="13"/>
        <v>-1700</v>
      </c>
      <c r="AZ13" s="29">
        <f t="shared" si="23"/>
        <v>1845</v>
      </c>
      <c r="BA13" s="298">
        <f>BA5</f>
        <v>145</v>
      </c>
      <c r="BB13" s="5">
        <f t="shared" si="24"/>
        <v>-1700</v>
      </c>
      <c r="BC13" s="256"/>
      <c r="BD13" s="303">
        <f>BD5</f>
        <v>145</v>
      </c>
      <c r="BE13" s="231">
        <f t="shared" si="14"/>
        <v>1700</v>
      </c>
      <c r="BF13" s="21"/>
      <c r="BG13" s="199"/>
      <c r="BH13" s="216"/>
      <c r="BI13" s="707"/>
      <c r="BJ13" s="21"/>
      <c r="BK13" s="199"/>
      <c r="BL13" s="216"/>
      <c r="BM13" s="707"/>
      <c r="BN13" s="21"/>
      <c r="BO13" s="6"/>
      <c r="BP13" s="35"/>
      <c r="BQ13" s="713"/>
      <c r="BR13" s="713"/>
      <c r="BS13" s="394">
        <f t="shared" si="15"/>
        <v>-1020</v>
      </c>
      <c r="BT13" s="29">
        <f t="shared" si="25"/>
        <v>1700</v>
      </c>
      <c r="BU13" s="298">
        <f>BU5</f>
        <v>680</v>
      </c>
      <c r="BV13" s="5">
        <f t="shared" si="26"/>
        <v>-1020</v>
      </c>
      <c r="BW13" s="256"/>
      <c r="BX13" s="303">
        <f>BX5</f>
        <v>674</v>
      </c>
      <c r="BY13" s="231">
        <f t="shared" si="16"/>
        <v>1026</v>
      </c>
      <c r="BZ13" s="21"/>
      <c r="CA13" s="199"/>
      <c r="CB13" s="148"/>
      <c r="CC13" s="711"/>
      <c r="CD13" s="21"/>
      <c r="CE13" s="199"/>
      <c r="CF13" s="148"/>
      <c r="CG13" s="711"/>
      <c r="CH13" s="21"/>
      <c r="CI13" s="6"/>
      <c r="CJ13" s="35"/>
      <c r="CK13" s="713"/>
      <c r="CL13" s="713"/>
      <c r="CM13" s="394">
        <f t="shared" si="17"/>
        <v>-1782</v>
      </c>
      <c r="CN13" s="29">
        <f t="shared" si="27"/>
        <v>1026</v>
      </c>
      <c r="CO13" s="298">
        <f>CO5</f>
        <v>238</v>
      </c>
      <c r="CP13" s="5">
        <f t="shared" si="28"/>
        <v>-788</v>
      </c>
      <c r="CQ13" s="240">
        <v>1000</v>
      </c>
      <c r="CR13" s="303">
        <f>CR5</f>
        <v>0</v>
      </c>
      <c r="CS13" s="231">
        <f t="shared" si="18"/>
        <v>2026</v>
      </c>
      <c r="CT13" s="21"/>
      <c r="CU13" s="199"/>
      <c r="CV13" s="148"/>
      <c r="CW13" s="711"/>
      <c r="CX13" s="21"/>
      <c r="CY13" s="199"/>
      <c r="CZ13" s="148"/>
      <c r="DA13" s="711"/>
      <c r="DB13" s="21"/>
      <c r="DC13" s="6"/>
      <c r="DD13" s="35"/>
      <c r="DE13" s="713"/>
      <c r="DF13" s="713"/>
      <c r="DG13" s="394">
        <f t="shared" si="19"/>
        <v>-2020</v>
      </c>
      <c r="DH13" s="29">
        <f t="shared" si="20"/>
        <v>1026</v>
      </c>
      <c r="DI13" s="298">
        <f>DI5</f>
        <v>0</v>
      </c>
      <c r="DJ13" s="5">
        <f t="shared" si="29"/>
        <v>-1026</v>
      </c>
      <c r="DK13" s="240"/>
      <c r="DL13" s="303">
        <f>DL5</f>
        <v>0</v>
      </c>
      <c r="DM13" s="231">
        <f t="shared" si="5"/>
        <v>1026</v>
      </c>
    </row>
    <row r="14" spans="1:117" x14ac:dyDescent="0.25">
      <c r="A14" s="18"/>
      <c r="B14" s="11" t="s">
        <v>589</v>
      </c>
      <c r="C14" s="18">
        <v>1</v>
      </c>
      <c r="D14" s="11"/>
      <c r="E14" s="11"/>
      <c r="F14" s="149">
        <v>199.68</v>
      </c>
      <c r="G14" s="11" t="s">
        <v>50</v>
      </c>
      <c r="H14" s="147" t="s">
        <v>170</v>
      </c>
      <c r="I14" s="294"/>
      <c r="J14" s="536">
        <f t="shared" si="7"/>
        <v>-972</v>
      </c>
      <c r="K14" s="394">
        <f t="shared" si="8"/>
        <v>-1987</v>
      </c>
      <c r="L14" s="544">
        <v>2020</v>
      </c>
      <c r="M14" s="298">
        <f>M5</f>
        <v>33</v>
      </c>
      <c r="N14" s="5">
        <f t="shared" si="21"/>
        <v>-1987</v>
      </c>
      <c r="O14" s="258"/>
      <c r="P14" s="303">
        <f>P5</f>
        <v>33</v>
      </c>
      <c r="Q14" s="231">
        <f t="shared" si="9"/>
        <v>1987</v>
      </c>
      <c r="R14" s="310"/>
      <c r="S14" s="210"/>
      <c r="T14" s="211"/>
      <c r="U14" s="708"/>
      <c r="V14" s="310"/>
      <c r="W14" s="210"/>
      <c r="X14" s="211"/>
      <c r="Y14" s="708"/>
      <c r="Z14" s="236"/>
      <c r="AA14" s="210"/>
      <c r="AB14" s="216"/>
      <c r="AC14" s="716"/>
      <c r="AD14" s="716"/>
      <c r="AE14" s="394">
        <f t="shared" si="10"/>
        <v>-1797</v>
      </c>
      <c r="AF14" s="29">
        <f t="shared" si="11"/>
        <v>1987</v>
      </c>
      <c r="AG14" s="298">
        <f>AG5</f>
        <v>190</v>
      </c>
      <c r="AH14" s="5">
        <f t="shared" si="22"/>
        <v>-1797</v>
      </c>
      <c r="AI14" s="256"/>
      <c r="AJ14" s="303">
        <f>AJ5</f>
        <v>190</v>
      </c>
      <c r="AK14" s="231">
        <f t="shared" si="12"/>
        <v>1797</v>
      </c>
      <c r="AL14" s="121"/>
      <c r="AM14" s="199"/>
      <c r="AN14" s="148"/>
      <c r="AO14" s="711"/>
      <c r="AP14" s="215"/>
      <c r="AQ14" s="199"/>
      <c r="AR14" s="148"/>
      <c r="AS14" s="711"/>
      <c r="AT14" s="310"/>
      <c r="AU14" s="6"/>
      <c r="AV14" s="35"/>
      <c r="AW14" s="713"/>
      <c r="AX14" s="713"/>
      <c r="AY14" s="394">
        <f t="shared" si="13"/>
        <v>-1652</v>
      </c>
      <c r="AZ14" s="607">
        <v>1607</v>
      </c>
      <c r="BA14" s="298">
        <f>BA5</f>
        <v>145</v>
      </c>
      <c r="BB14" s="5">
        <f t="shared" si="24"/>
        <v>-1462</v>
      </c>
      <c r="BC14" s="256"/>
      <c r="BD14" s="303">
        <f>BD5</f>
        <v>145</v>
      </c>
      <c r="BE14" s="231">
        <f t="shared" si="14"/>
        <v>1462</v>
      </c>
      <c r="BF14" s="121"/>
      <c r="BG14" s="210"/>
      <c r="BH14" s="35"/>
      <c r="BI14" s="612"/>
      <c r="BJ14" s="121"/>
      <c r="BK14" s="210"/>
      <c r="BL14" s="35"/>
      <c r="BM14" s="612"/>
      <c r="BN14" s="527"/>
      <c r="BO14" s="6"/>
      <c r="BP14" s="216"/>
      <c r="BQ14" s="716"/>
      <c r="BR14" s="716"/>
      <c r="BS14" s="394">
        <f t="shared" si="15"/>
        <v>-972</v>
      </c>
      <c r="BT14" s="29">
        <f t="shared" si="25"/>
        <v>1462</v>
      </c>
      <c r="BU14" s="298">
        <f>BU5</f>
        <v>680</v>
      </c>
      <c r="BV14" s="5">
        <f t="shared" si="26"/>
        <v>-782</v>
      </c>
      <c r="BW14" s="258"/>
      <c r="BX14" s="303">
        <f>BX5</f>
        <v>674</v>
      </c>
      <c r="BY14" s="231">
        <f t="shared" si="16"/>
        <v>788</v>
      </c>
      <c r="BZ14" s="121"/>
      <c r="CA14" s="199"/>
      <c r="CB14" s="148"/>
      <c r="CC14" s="711"/>
      <c r="CD14" s="121"/>
      <c r="CE14" s="199"/>
      <c r="CF14" s="148"/>
      <c r="CG14" s="711"/>
      <c r="CH14" s="21"/>
      <c r="CI14" s="6"/>
      <c r="CJ14" s="414"/>
      <c r="CK14" s="801"/>
      <c r="CL14" s="801"/>
      <c r="CM14" s="394">
        <f t="shared" si="17"/>
        <v>-1734</v>
      </c>
      <c r="CN14" s="29">
        <f t="shared" si="27"/>
        <v>788</v>
      </c>
      <c r="CO14" s="298">
        <f>CO5</f>
        <v>238</v>
      </c>
      <c r="CP14" s="5">
        <f t="shared" si="28"/>
        <v>-550</v>
      </c>
      <c r="CQ14" s="240">
        <v>1000</v>
      </c>
      <c r="CR14" s="303">
        <f>CR5</f>
        <v>0</v>
      </c>
      <c r="CS14" s="231">
        <f t="shared" si="18"/>
        <v>1788</v>
      </c>
      <c r="CT14" s="121"/>
      <c r="CU14" s="199"/>
      <c r="CV14" s="148"/>
      <c r="CW14" s="711"/>
      <c r="CX14" s="121"/>
      <c r="CY14" s="199"/>
      <c r="CZ14" s="148"/>
      <c r="DA14" s="711"/>
      <c r="DB14" s="21"/>
      <c r="DC14" s="6"/>
      <c r="DD14" s="35"/>
      <c r="DE14" s="713"/>
      <c r="DF14" s="713"/>
      <c r="DG14" s="394">
        <f t="shared" si="19"/>
        <v>-1972</v>
      </c>
      <c r="DH14" s="29">
        <f t="shared" si="20"/>
        <v>788</v>
      </c>
      <c r="DI14" s="298">
        <f>DI5</f>
        <v>0</v>
      </c>
      <c r="DJ14" s="5">
        <f t="shared" si="29"/>
        <v>-788</v>
      </c>
      <c r="DK14" s="240"/>
      <c r="DL14" s="303">
        <f>DL5</f>
        <v>0</v>
      </c>
      <c r="DM14" s="231">
        <f t="shared" si="5"/>
        <v>788</v>
      </c>
    </row>
    <row r="15" spans="1:117" ht="30" x14ac:dyDescent="0.25">
      <c r="A15" s="18"/>
      <c r="B15" s="15" t="s">
        <v>590</v>
      </c>
      <c r="C15" s="18">
        <v>1</v>
      </c>
      <c r="D15" s="498" t="s">
        <v>676</v>
      </c>
      <c r="E15" s="498"/>
      <c r="F15" s="149">
        <v>2.2000000000000002</v>
      </c>
      <c r="G15" s="23" t="s">
        <v>757</v>
      </c>
      <c r="H15" s="147" t="s">
        <v>174</v>
      </c>
      <c r="I15" s="294"/>
      <c r="J15" s="536">
        <f t="shared" si="7"/>
        <v>-926</v>
      </c>
      <c r="K15" s="394"/>
      <c r="L15" s="544">
        <v>1974</v>
      </c>
      <c r="M15" s="298">
        <f>M5</f>
        <v>33</v>
      </c>
      <c r="N15" s="5">
        <f t="shared" si="21"/>
        <v>-1941</v>
      </c>
      <c r="O15" s="240"/>
      <c r="P15" s="303">
        <f>P5</f>
        <v>33</v>
      </c>
      <c r="Q15" s="231">
        <f t="shared" si="9"/>
        <v>1941</v>
      </c>
      <c r="R15" s="236"/>
      <c r="S15" s="210"/>
      <c r="T15" s="216"/>
      <c r="U15" s="707"/>
      <c r="V15" s="236"/>
      <c r="W15" s="210"/>
      <c r="X15" s="216"/>
      <c r="Y15" s="707"/>
      <c r="Z15" s="236"/>
      <c r="AA15" s="210"/>
      <c r="AB15" s="216"/>
      <c r="AC15" s="716"/>
      <c r="AD15" s="716"/>
      <c r="AE15" s="394">
        <f t="shared" si="10"/>
        <v>-1751</v>
      </c>
      <c r="AF15" s="29">
        <f t="shared" si="11"/>
        <v>1941</v>
      </c>
      <c r="AG15" s="298">
        <f>AG5</f>
        <v>190</v>
      </c>
      <c r="AH15" s="5">
        <f t="shared" si="22"/>
        <v>-1751</v>
      </c>
      <c r="AI15" s="256"/>
      <c r="AJ15" s="303">
        <f>AJ5</f>
        <v>190</v>
      </c>
      <c r="AK15" s="231">
        <f t="shared" si="12"/>
        <v>1751</v>
      </c>
      <c r="AL15" s="21"/>
      <c r="AM15" s="6"/>
      <c r="AN15" s="35"/>
      <c r="AO15" s="612"/>
      <c r="AP15" s="121"/>
      <c r="AQ15" s="199"/>
      <c r="AR15" s="148"/>
      <c r="AS15" s="711"/>
      <c r="AT15" s="236"/>
      <c r="AU15" s="6"/>
      <c r="AV15" s="35"/>
      <c r="AW15" s="713"/>
      <c r="AX15" s="713"/>
      <c r="AY15" s="394">
        <f t="shared" si="13"/>
        <v>-1606</v>
      </c>
      <c r="AZ15" s="607">
        <f>AK15-20</f>
        <v>1731</v>
      </c>
      <c r="BA15" s="298">
        <f>BA5</f>
        <v>145</v>
      </c>
      <c r="BB15" s="5">
        <f t="shared" si="24"/>
        <v>-1586</v>
      </c>
      <c r="BC15" s="256"/>
      <c r="BD15" s="303">
        <f>BD5</f>
        <v>145</v>
      </c>
      <c r="BE15" s="231">
        <f t="shared" si="14"/>
        <v>1586</v>
      </c>
      <c r="BF15" s="21"/>
      <c r="BG15" s="6"/>
      <c r="BH15" s="35"/>
      <c r="BI15" s="612"/>
      <c r="BJ15" s="121"/>
      <c r="BK15" s="6"/>
      <c r="BL15" s="35"/>
      <c r="BM15" s="612"/>
      <c r="BN15" s="21"/>
      <c r="BO15" s="6"/>
      <c r="BP15" s="35"/>
      <c r="BQ15" s="713"/>
      <c r="BR15" s="713"/>
      <c r="BS15" s="394">
        <f t="shared" si="15"/>
        <v>-926</v>
      </c>
      <c r="BT15" s="29">
        <f t="shared" si="25"/>
        <v>1586</v>
      </c>
      <c r="BU15" s="298">
        <f>BU5</f>
        <v>680</v>
      </c>
      <c r="BV15" s="5">
        <f t="shared" si="26"/>
        <v>-906</v>
      </c>
      <c r="BW15" s="256"/>
      <c r="BX15" s="303">
        <f>BX5</f>
        <v>674</v>
      </c>
      <c r="BY15" s="231">
        <f t="shared" si="16"/>
        <v>912</v>
      </c>
      <c r="BZ15" s="21"/>
      <c r="CA15" s="6"/>
      <c r="CB15" s="35"/>
      <c r="CC15" s="612"/>
      <c r="CD15" s="121"/>
      <c r="CE15" s="6"/>
      <c r="CF15" s="35"/>
      <c r="CG15" s="612"/>
      <c r="CH15" s="21"/>
      <c r="CI15" s="6"/>
      <c r="CJ15" s="35"/>
      <c r="CK15" s="713"/>
      <c r="CL15" s="713"/>
      <c r="CM15" s="394">
        <f t="shared" si="17"/>
        <v>-1688</v>
      </c>
      <c r="CN15" s="29">
        <f t="shared" si="27"/>
        <v>912</v>
      </c>
      <c r="CO15" s="298">
        <f>CO5</f>
        <v>238</v>
      </c>
      <c r="CP15" s="5">
        <f t="shared" si="28"/>
        <v>-674</v>
      </c>
      <c r="CQ15" s="240">
        <v>1000</v>
      </c>
      <c r="CR15" s="303">
        <f>CR5</f>
        <v>0</v>
      </c>
      <c r="CS15" s="231">
        <f t="shared" si="18"/>
        <v>1912</v>
      </c>
      <c r="CT15" s="21"/>
      <c r="CU15" s="6"/>
      <c r="CV15" s="35"/>
      <c r="CW15" s="612"/>
      <c r="CX15" s="121"/>
      <c r="CY15" s="199"/>
      <c r="CZ15" s="148"/>
      <c r="DA15" s="711"/>
      <c r="DB15" s="21"/>
      <c r="DC15" s="6"/>
      <c r="DD15" s="35"/>
      <c r="DE15" s="713"/>
      <c r="DF15" s="713"/>
      <c r="DG15" s="394">
        <f t="shared" si="19"/>
        <v>-1926</v>
      </c>
      <c r="DH15" s="29">
        <f t="shared" si="20"/>
        <v>912</v>
      </c>
      <c r="DI15" s="298">
        <f>DI5</f>
        <v>0</v>
      </c>
      <c r="DJ15" s="5">
        <f t="shared" si="29"/>
        <v>-912</v>
      </c>
      <c r="DK15" s="240"/>
      <c r="DL15" s="303">
        <f>DL5</f>
        <v>0</v>
      </c>
      <c r="DM15" s="231">
        <f t="shared" si="5"/>
        <v>912</v>
      </c>
    </row>
    <row r="16" spans="1:117" x14ac:dyDescent="0.25">
      <c r="A16" s="18"/>
      <c r="B16" s="15" t="s">
        <v>591</v>
      </c>
      <c r="C16" s="18">
        <v>1</v>
      </c>
      <c r="D16" s="498"/>
      <c r="E16" s="498"/>
      <c r="F16" s="149">
        <v>3.5</v>
      </c>
      <c r="G16" s="23" t="s">
        <v>757</v>
      </c>
      <c r="H16" s="147" t="s">
        <v>174</v>
      </c>
      <c r="I16" s="294"/>
      <c r="J16" s="536">
        <f t="shared" si="7"/>
        <v>-1029</v>
      </c>
      <c r="K16" s="394">
        <f t="shared" si="8"/>
        <v>-2044</v>
      </c>
      <c r="L16" s="544">
        <v>2077</v>
      </c>
      <c r="M16" s="298">
        <f>M5</f>
        <v>33</v>
      </c>
      <c r="N16" s="5">
        <f t="shared" si="21"/>
        <v>-2044</v>
      </c>
      <c r="O16" s="256"/>
      <c r="P16" s="303">
        <f>P6</f>
        <v>33</v>
      </c>
      <c r="Q16" s="231">
        <f t="shared" si="9"/>
        <v>2044</v>
      </c>
      <c r="R16" s="236"/>
      <c r="S16" s="210"/>
      <c r="T16" s="216"/>
      <c r="U16" s="707"/>
      <c r="V16" s="236"/>
      <c r="W16" s="210"/>
      <c r="X16" s="216"/>
      <c r="Y16" s="707"/>
      <c r="Z16" s="236"/>
      <c r="AA16" s="210"/>
      <c r="AB16" s="216"/>
      <c r="AC16" s="716"/>
      <c r="AD16" s="716"/>
      <c r="AE16" s="394">
        <f t="shared" si="10"/>
        <v>-1854</v>
      </c>
      <c r="AF16" s="29">
        <f t="shared" si="11"/>
        <v>2044</v>
      </c>
      <c r="AG16" s="298">
        <f>AG5</f>
        <v>190</v>
      </c>
      <c r="AH16" s="5">
        <f t="shared" si="22"/>
        <v>-1854</v>
      </c>
      <c r="AI16" s="256"/>
      <c r="AJ16" s="303">
        <f>AJ6</f>
        <v>190</v>
      </c>
      <c r="AK16" s="231">
        <f t="shared" si="12"/>
        <v>1854</v>
      </c>
      <c r="AL16" s="21"/>
      <c r="AM16" s="6"/>
      <c r="AN16" s="35"/>
      <c r="AO16" s="612"/>
      <c r="AP16" s="21"/>
      <c r="AQ16" s="199"/>
      <c r="AR16" s="148"/>
      <c r="AS16" s="711"/>
      <c r="AT16" s="236"/>
      <c r="AU16" s="6"/>
      <c r="AV16" s="35"/>
      <c r="AW16" s="713"/>
      <c r="AX16" s="713"/>
      <c r="AY16" s="394">
        <f t="shared" si="13"/>
        <v>-1709</v>
      </c>
      <c r="AZ16" s="607">
        <v>1693</v>
      </c>
      <c r="BA16" s="298">
        <f>BA5</f>
        <v>145</v>
      </c>
      <c r="BB16" s="5">
        <f t="shared" si="24"/>
        <v>-1548</v>
      </c>
      <c r="BC16" s="256"/>
      <c r="BD16" s="303">
        <f>BD6</f>
        <v>145</v>
      </c>
      <c r="BE16" s="231">
        <f t="shared" si="14"/>
        <v>1548</v>
      </c>
      <c r="BF16" s="21"/>
      <c r="BG16" s="6"/>
      <c r="BH16" s="35"/>
      <c r="BI16" s="612"/>
      <c r="BJ16" s="121"/>
      <c r="BK16" s="6"/>
      <c r="BL16" s="35"/>
      <c r="BM16" s="612"/>
      <c r="BN16" s="21"/>
      <c r="BO16" s="6"/>
      <c r="BP16" s="35"/>
      <c r="BQ16" s="713"/>
      <c r="BR16" s="713"/>
      <c r="BS16" s="394">
        <f t="shared" si="15"/>
        <v>-1029</v>
      </c>
      <c r="BT16" s="29">
        <f t="shared" si="25"/>
        <v>1548</v>
      </c>
      <c r="BU16" s="298">
        <f>BU5</f>
        <v>680</v>
      </c>
      <c r="BV16" s="5">
        <f t="shared" si="26"/>
        <v>-868</v>
      </c>
      <c r="BW16" s="256"/>
      <c r="BX16" s="303">
        <f>BX5</f>
        <v>674</v>
      </c>
      <c r="BY16" s="231">
        <f t="shared" si="16"/>
        <v>874</v>
      </c>
      <c r="BZ16" s="21"/>
      <c r="CA16" s="6"/>
      <c r="CB16" s="35"/>
      <c r="CC16" s="612"/>
      <c r="CD16" s="121"/>
      <c r="CE16" s="6"/>
      <c r="CF16" s="35"/>
      <c r="CG16" s="612"/>
      <c r="CH16" s="21"/>
      <c r="CI16" s="6"/>
      <c r="CJ16" s="35"/>
      <c r="CK16" s="713"/>
      <c r="CL16" s="713"/>
      <c r="CM16" s="394">
        <f t="shared" si="17"/>
        <v>-1791</v>
      </c>
      <c r="CN16" s="29">
        <f t="shared" si="27"/>
        <v>874</v>
      </c>
      <c r="CO16" s="298">
        <f>CO5</f>
        <v>238</v>
      </c>
      <c r="CP16" s="5">
        <f t="shared" si="28"/>
        <v>-636</v>
      </c>
      <c r="CQ16" s="240">
        <v>1000</v>
      </c>
      <c r="CR16" s="303">
        <f>CR6</f>
        <v>0</v>
      </c>
      <c r="CS16" s="231">
        <f t="shared" si="18"/>
        <v>1874</v>
      </c>
      <c r="CT16" s="21"/>
      <c r="CU16" s="6"/>
      <c r="CV16" s="35"/>
      <c r="CW16" s="612"/>
      <c r="CX16" s="121"/>
      <c r="CY16" s="199"/>
      <c r="CZ16" s="148"/>
      <c r="DA16" s="711"/>
      <c r="DB16" s="21"/>
      <c r="DC16" s="6"/>
      <c r="DD16" s="35"/>
      <c r="DE16" s="713"/>
      <c r="DF16" s="713"/>
      <c r="DG16" s="394">
        <f t="shared" si="19"/>
        <v>-2029</v>
      </c>
      <c r="DH16" s="29">
        <f t="shared" si="20"/>
        <v>874</v>
      </c>
      <c r="DI16" s="298">
        <f>DI5</f>
        <v>0</v>
      </c>
      <c r="DJ16" s="5">
        <f t="shared" si="29"/>
        <v>-874</v>
      </c>
      <c r="DK16" s="256"/>
      <c r="DL16" s="303">
        <f>DL6</f>
        <v>0</v>
      </c>
      <c r="DM16" s="231">
        <f t="shared" si="5"/>
        <v>874</v>
      </c>
    </row>
    <row r="17" spans="1:117" x14ac:dyDescent="0.25">
      <c r="A17" s="18"/>
      <c r="B17" s="11" t="s">
        <v>270</v>
      </c>
      <c r="C17" s="18"/>
      <c r="D17" s="15"/>
      <c r="E17" s="15"/>
      <c r="F17" s="149">
        <v>334.57</v>
      </c>
      <c r="G17" s="11" t="s">
        <v>649</v>
      </c>
      <c r="H17" s="147"/>
      <c r="I17" s="294"/>
      <c r="J17" s="536">
        <f t="shared" si="7"/>
        <v>-930</v>
      </c>
      <c r="K17" s="394">
        <f t="shared" si="8"/>
        <v>-1945</v>
      </c>
      <c r="L17" s="544">
        <v>1978</v>
      </c>
      <c r="M17" s="298">
        <f>M5</f>
        <v>33</v>
      </c>
      <c r="N17" s="5">
        <f t="shared" si="21"/>
        <v>-1945</v>
      </c>
      <c r="O17" s="258"/>
      <c r="P17" s="303">
        <f>P5</f>
        <v>33</v>
      </c>
      <c r="Q17" s="231">
        <f t="shared" si="9"/>
        <v>1945</v>
      </c>
      <c r="R17" s="236"/>
      <c r="S17" s="210"/>
      <c r="T17" s="211"/>
      <c r="U17" s="708"/>
      <c r="V17" s="310"/>
      <c r="W17" s="210"/>
      <c r="X17" s="211"/>
      <c r="Y17" s="708"/>
      <c r="Z17" s="236"/>
      <c r="AA17" s="210"/>
      <c r="AB17" s="216"/>
      <c r="AC17" s="716"/>
      <c r="AD17" s="716"/>
      <c r="AE17" s="394">
        <f t="shared" si="10"/>
        <v>-1755</v>
      </c>
      <c r="AF17" s="29">
        <f t="shared" si="11"/>
        <v>1945</v>
      </c>
      <c r="AG17" s="298">
        <f>AG5</f>
        <v>190</v>
      </c>
      <c r="AH17" s="5">
        <f t="shared" si="22"/>
        <v>-1755</v>
      </c>
      <c r="AI17" s="256"/>
      <c r="AJ17" s="303">
        <f>AJ5</f>
        <v>190</v>
      </c>
      <c r="AK17" s="231">
        <f t="shared" si="12"/>
        <v>1755</v>
      </c>
      <c r="AL17" s="21"/>
      <c r="AM17" s="6"/>
      <c r="AN17" s="35"/>
      <c r="AO17" s="612"/>
      <c r="AP17" s="235"/>
      <c r="AQ17" s="6"/>
      <c r="AR17" s="35"/>
      <c r="AS17" s="612"/>
      <c r="AT17" s="236"/>
      <c r="AU17" s="6"/>
      <c r="AV17" s="35"/>
      <c r="AW17" s="713"/>
      <c r="AX17" s="713"/>
      <c r="AY17" s="394">
        <f t="shared" si="13"/>
        <v>-1610</v>
      </c>
      <c r="AZ17" s="29">
        <f t="shared" si="23"/>
        <v>1755</v>
      </c>
      <c r="BA17" s="298">
        <f>BA5</f>
        <v>145</v>
      </c>
      <c r="BB17" s="5">
        <f t="shared" si="24"/>
        <v>-1610</v>
      </c>
      <c r="BC17" s="256"/>
      <c r="BD17" s="303">
        <f>BD5</f>
        <v>145</v>
      </c>
      <c r="BE17" s="231">
        <f t="shared" si="14"/>
        <v>1610</v>
      </c>
      <c r="BF17" s="21"/>
      <c r="BG17" s="6"/>
      <c r="BH17" s="35"/>
      <c r="BI17" s="612"/>
      <c r="BJ17" s="121"/>
      <c r="BK17" s="6"/>
      <c r="BL17" s="35"/>
      <c r="BM17" s="612"/>
      <c r="BN17" s="121"/>
      <c r="BO17" s="6"/>
      <c r="BP17" s="257"/>
      <c r="BQ17" s="728"/>
      <c r="BR17" s="728"/>
      <c r="BS17" s="394">
        <f t="shared" si="15"/>
        <v>-930</v>
      </c>
      <c r="BT17" s="29">
        <f t="shared" si="25"/>
        <v>1610</v>
      </c>
      <c r="BU17" s="298">
        <f>BU5</f>
        <v>680</v>
      </c>
      <c r="BV17" s="5">
        <f t="shared" si="26"/>
        <v>-930</v>
      </c>
      <c r="BW17" s="258"/>
      <c r="BX17" s="303">
        <f>BX5</f>
        <v>674</v>
      </c>
      <c r="BY17" s="231">
        <f t="shared" si="16"/>
        <v>936</v>
      </c>
      <c r="BZ17" s="21"/>
      <c r="CA17" s="6"/>
      <c r="CB17" s="35"/>
      <c r="CC17" s="612"/>
      <c r="CD17" s="121"/>
      <c r="CE17" s="6"/>
      <c r="CF17" s="35"/>
      <c r="CG17" s="612"/>
      <c r="CH17" s="21"/>
      <c r="CI17" s="6"/>
      <c r="CJ17" s="414"/>
      <c r="CK17" s="801"/>
      <c r="CL17" s="801"/>
      <c r="CM17" s="394">
        <f t="shared" si="17"/>
        <v>-1692</v>
      </c>
      <c r="CN17" s="29">
        <f t="shared" si="27"/>
        <v>936</v>
      </c>
      <c r="CO17" s="298">
        <f>CO5</f>
        <v>238</v>
      </c>
      <c r="CP17" s="5">
        <f t="shared" si="28"/>
        <v>-698</v>
      </c>
      <c r="CQ17" s="240">
        <v>1000</v>
      </c>
      <c r="CR17" s="303">
        <f>CR5</f>
        <v>0</v>
      </c>
      <c r="CS17" s="231">
        <f t="shared" si="18"/>
        <v>1936</v>
      </c>
      <c r="CT17" s="21"/>
      <c r="CU17" s="6"/>
      <c r="CV17" s="35"/>
      <c r="CW17" s="612"/>
      <c r="CX17" s="121"/>
      <c r="CY17" s="199"/>
      <c r="CZ17" s="148"/>
      <c r="DA17" s="711"/>
      <c r="DB17" s="21"/>
      <c r="DC17" s="6"/>
      <c r="DD17" s="35"/>
      <c r="DE17" s="713"/>
      <c r="DF17" s="713"/>
      <c r="DG17" s="394">
        <f t="shared" si="19"/>
        <v>-1930</v>
      </c>
      <c r="DH17" s="29">
        <f t="shared" si="20"/>
        <v>936</v>
      </c>
      <c r="DI17" s="298">
        <f>DI5</f>
        <v>0</v>
      </c>
      <c r="DJ17" s="5">
        <f t="shared" si="29"/>
        <v>-936</v>
      </c>
      <c r="DK17" s="240"/>
      <c r="DL17" s="303">
        <f>DL5</f>
        <v>0</v>
      </c>
      <c r="DM17" s="231">
        <f t="shared" si="5"/>
        <v>936</v>
      </c>
    </row>
    <row r="18" spans="1:117" x14ac:dyDescent="0.25">
      <c r="A18" s="18">
        <v>18044</v>
      </c>
      <c r="B18" s="11" t="s">
        <v>500</v>
      </c>
      <c r="C18" s="18">
        <v>1</v>
      </c>
      <c r="D18" s="11"/>
      <c r="E18" s="11"/>
      <c r="F18" s="149"/>
      <c r="G18" s="22" t="s">
        <v>211</v>
      </c>
      <c r="H18" s="25" t="s">
        <v>55</v>
      </c>
      <c r="I18" s="24"/>
      <c r="J18" s="536">
        <f t="shared" si="7"/>
        <v>-902</v>
      </c>
      <c r="K18" s="394">
        <f t="shared" si="8"/>
        <v>-1917</v>
      </c>
      <c r="L18" s="544">
        <v>1950</v>
      </c>
      <c r="M18" s="298">
        <f>M5</f>
        <v>33</v>
      </c>
      <c r="N18" s="5">
        <f t="shared" si="21"/>
        <v>-1917</v>
      </c>
      <c r="O18" s="258"/>
      <c r="P18" s="303">
        <f>P5</f>
        <v>33</v>
      </c>
      <c r="Q18" s="231">
        <f t="shared" si="9"/>
        <v>1917</v>
      </c>
      <c r="R18" s="310"/>
      <c r="S18" s="210"/>
      <c r="T18" s="211"/>
      <c r="U18" s="708"/>
      <c r="V18" s="310"/>
      <c r="W18" s="210"/>
      <c r="X18" s="216"/>
      <c r="Y18" s="707"/>
      <c r="Z18" s="236"/>
      <c r="AA18" s="210"/>
      <c r="AB18" s="216"/>
      <c r="AC18" s="716"/>
      <c r="AD18" s="716"/>
      <c r="AE18" s="394">
        <f t="shared" si="10"/>
        <v>-1727</v>
      </c>
      <c r="AF18" s="29">
        <f t="shared" si="11"/>
        <v>1917</v>
      </c>
      <c r="AG18" s="298">
        <f>AG5</f>
        <v>190</v>
      </c>
      <c r="AH18" s="5">
        <f t="shared" si="22"/>
        <v>-1727</v>
      </c>
      <c r="AI18" s="258"/>
      <c r="AJ18" s="303">
        <f>AJ5</f>
        <v>190</v>
      </c>
      <c r="AK18" s="231">
        <f t="shared" si="12"/>
        <v>1727</v>
      </c>
      <c r="AL18" s="21"/>
      <c r="AM18" s="6"/>
      <c r="AN18" s="35"/>
      <c r="AO18" s="612"/>
      <c r="AP18" s="215"/>
      <c r="AQ18" s="210"/>
      <c r="AR18" s="216"/>
      <c r="AS18" s="707"/>
      <c r="AT18" s="310"/>
      <c r="AU18" s="210"/>
      <c r="AV18" s="500"/>
      <c r="AW18" s="734"/>
      <c r="AX18" s="734"/>
      <c r="AY18" s="394">
        <f t="shared" si="13"/>
        <v>-1582</v>
      </c>
      <c r="AZ18" s="29">
        <f t="shared" si="23"/>
        <v>1727</v>
      </c>
      <c r="BA18" s="298">
        <f>BA5</f>
        <v>145</v>
      </c>
      <c r="BB18" s="5">
        <f t="shared" si="24"/>
        <v>-1582</v>
      </c>
      <c r="BC18" s="256"/>
      <c r="BD18" s="303">
        <f>BD5</f>
        <v>145</v>
      </c>
      <c r="BE18" s="231">
        <f t="shared" si="14"/>
        <v>1582</v>
      </c>
      <c r="BF18" s="21"/>
      <c r="BG18" s="6"/>
      <c r="BH18" s="216"/>
      <c r="BI18" s="707"/>
      <c r="BJ18" s="310"/>
      <c r="BK18" s="6"/>
      <c r="BL18" s="216"/>
      <c r="BM18" s="707"/>
      <c r="BN18" s="21"/>
      <c r="BO18" s="6"/>
      <c r="BP18" s="35"/>
      <c r="BQ18" s="713"/>
      <c r="BR18" s="713"/>
      <c r="BS18" s="394">
        <f t="shared" si="15"/>
        <v>-902</v>
      </c>
      <c r="BT18" s="607">
        <v>1097</v>
      </c>
      <c r="BU18" s="298">
        <f>BU5</f>
        <v>680</v>
      </c>
      <c r="BV18" s="5">
        <f t="shared" si="26"/>
        <v>-417</v>
      </c>
      <c r="BW18" s="256"/>
      <c r="BX18" s="303">
        <f>BX5</f>
        <v>674</v>
      </c>
      <c r="BY18" s="231">
        <f t="shared" si="16"/>
        <v>423</v>
      </c>
      <c r="BZ18" s="215"/>
      <c r="CA18" s="6"/>
      <c r="CB18" s="271"/>
      <c r="CC18" s="778"/>
      <c r="CD18" s="215"/>
      <c r="CE18" s="6"/>
      <c r="CF18" s="271"/>
      <c r="CG18" s="778"/>
      <c r="CH18" s="310"/>
      <c r="CI18" s="210"/>
      <c r="CJ18" s="414"/>
      <c r="CK18" s="801"/>
      <c r="CL18" s="801"/>
      <c r="CM18" s="394">
        <f t="shared" si="17"/>
        <v>-1664</v>
      </c>
      <c r="CN18" s="29">
        <f t="shared" si="27"/>
        <v>423</v>
      </c>
      <c r="CO18" s="298">
        <f>CO5</f>
        <v>238</v>
      </c>
      <c r="CP18" s="5">
        <f t="shared" si="28"/>
        <v>-185</v>
      </c>
      <c r="CQ18" s="240">
        <v>1000</v>
      </c>
      <c r="CR18" s="303">
        <f>CR5</f>
        <v>0</v>
      </c>
      <c r="CS18" s="231">
        <f t="shared" si="18"/>
        <v>1423</v>
      </c>
      <c r="CT18" s="215"/>
      <c r="CU18" s="6"/>
      <c r="CV18" s="257"/>
      <c r="CW18" s="730"/>
      <c r="CX18" s="215"/>
      <c r="CY18" s="199"/>
      <c r="CZ18" s="148"/>
      <c r="DA18" s="711"/>
      <c r="DB18" s="21"/>
      <c r="DC18" s="6"/>
      <c r="DD18" s="35"/>
      <c r="DE18" s="713"/>
      <c r="DF18" s="713"/>
      <c r="DG18" s="394">
        <f t="shared" si="19"/>
        <v>-1902</v>
      </c>
      <c r="DH18" s="29">
        <f t="shared" si="20"/>
        <v>423</v>
      </c>
      <c r="DI18" s="298">
        <f>DI5</f>
        <v>0</v>
      </c>
      <c r="DJ18" s="5">
        <f t="shared" si="29"/>
        <v>-423</v>
      </c>
      <c r="DK18" s="240"/>
      <c r="DL18" s="303">
        <f>DL5</f>
        <v>0</v>
      </c>
      <c r="DM18" s="231">
        <f t="shared" si="5"/>
        <v>423</v>
      </c>
    </row>
    <row r="19" spans="1:117" x14ac:dyDescent="0.25">
      <c r="A19" s="75"/>
      <c r="B19" s="74" t="s">
        <v>501</v>
      </c>
      <c r="C19" s="75">
        <v>1</v>
      </c>
      <c r="D19" s="74"/>
      <c r="E19" s="74"/>
      <c r="F19" s="275"/>
      <c r="G19" s="22" t="s">
        <v>211</v>
      </c>
      <c r="H19" s="77" t="s">
        <v>82</v>
      </c>
      <c r="I19" s="420"/>
      <c r="J19" s="536">
        <f t="shared" si="7"/>
        <v>-902</v>
      </c>
      <c r="K19" s="394">
        <f t="shared" si="8"/>
        <v>-1917</v>
      </c>
      <c r="L19" s="544">
        <v>1950</v>
      </c>
      <c r="M19" s="298">
        <f>M5</f>
        <v>33</v>
      </c>
      <c r="N19" s="5">
        <f t="shared" si="21"/>
        <v>-1917</v>
      </c>
      <c r="O19" s="258"/>
      <c r="P19" s="376">
        <f>P5</f>
        <v>33</v>
      </c>
      <c r="Q19" s="231">
        <f t="shared" si="9"/>
        <v>1917</v>
      </c>
      <c r="R19" s="448"/>
      <c r="S19" s="413"/>
      <c r="T19" s="414"/>
      <c r="U19" s="709"/>
      <c r="V19" s="499"/>
      <c r="W19" s="413"/>
      <c r="X19" s="500"/>
      <c r="Y19" s="717"/>
      <c r="Z19" s="499"/>
      <c r="AA19" s="413"/>
      <c r="AB19" s="500"/>
      <c r="AC19" s="734"/>
      <c r="AD19" s="734"/>
      <c r="AE19" s="394">
        <f t="shared" si="10"/>
        <v>-1727</v>
      </c>
      <c r="AF19" s="29">
        <f t="shared" si="11"/>
        <v>1917</v>
      </c>
      <c r="AG19" s="298">
        <f>AG5</f>
        <v>190</v>
      </c>
      <c r="AH19" s="5">
        <f t="shared" si="22"/>
        <v>-1727</v>
      </c>
      <c r="AI19" s="258"/>
      <c r="AJ19" s="376">
        <f>AJ5</f>
        <v>190</v>
      </c>
      <c r="AK19" s="231">
        <f t="shared" si="12"/>
        <v>1727</v>
      </c>
      <c r="AL19" s="131"/>
      <c r="AM19" s="413"/>
      <c r="AN19" s="500"/>
      <c r="AO19" s="717"/>
      <c r="AP19" s="501"/>
      <c r="AQ19" s="413"/>
      <c r="AR19" s="500"/>
      <c r="AS19" s="717"/>
      <c r="AT19" s="499"/>
      <c r="AU19" s="413"/>
      <c r="AV19" s="500"/>
      <c r="AW19" s="734"/>
      <c r="AX19" s="734"/>
      <c r="AY19" s="394">
        <f t="shared" si="13"/>
        <v>-1582</v>
      </c>
      <c r="AZ19" s="29">
        <f t="shared" si="23"/>
        <v>1727</v>
      </c>
      <c r="BA19" s="298">
        <f>BA5</f>
        <v>145</v>
      </c>
      <c r="BB19" s="5">
        <f t="shared" si="24"/>
        <v>-1582</v>
      </c>
      <c r="BC19" s="256"/>
      <c r="BD19" s="376">
        <f>BD5</f>
        <v>145</v>
      </c>
      <c r="BE19" s="231">
        <f t="shared" si="14"/>
        <v>1582</v>
      </c>
      <c r="BF19" s="555"/>
      <c r="BG19" s="210"/>
      <c r="BH19" s="35"/>
      <c r="BI19" s="712"/>
      <c r="BJ19" s="499"/>
      <c r="BK19" s="210"/>
      <c r="BL19" s="35"/>
      <c r="BM19" s="712"/>
      <c r="BN19" s="131"/>
      <c r="BO19" s="210"/>
      <c r="BP19" s="35"/>
      <c r="BQ19" s="713"/>
      <c r="BR19" s="713"/>
      <c r="BS19" s="394">
        <f t="shared" si="15"/>
        <v>-902</v>
      </c>
      <c r="BT19" s="29">
        <f t="shared" si="25"/>
        <v>1582</v>
      </c>
      <c r="BU19" s="298">
        <f>BU5</f>
        <v>680</v>
      </c>
      <c r="BV19" s="5">
        <f t="shared" si="26"/>
        <v>-902</v>
      </c>
      <c r="BW19" s="256"/>
      <c r="BX19" s="376">
        <f>BX5</f>
        <v>674</v>
      </c>
      <c r="BY19" s="231">
        <f t="shared" si="16"/>
        <v>908</v>
      </c>
      <c r="BZ19" s="291"/>
      <c r="CA19" s="210"/>
      <c r="CB19" s="35"/>
      <c r="CC19" s="712"/>
      <c r="CD19" s="291"/>
      <c r="CE19" s="210"/>
      <c r="CF19" s="35"/>
      <c r="CG19" s="712"/>
      <c r="CH19" s="499"/>
      <c r="CI19" s="413"/>
      <c r="CJ19" s="414"/>
      <c r="CK19" s="801"/>
      <c r="CL19" s="801"/>
      <c r="CM19" s="394">
        <f t="shared" si="17"/>
        <v>-1664</v>
      </c>
      <c r="CN19" s="29">
        <f t="shared" si="27"/>
        <v>908</v>
      </c>
      <c r="CO19" s="298">
        <f>CO5</f>
        <v>238</v>
      </c>
      <c r="CP19" s="5">
        <f t="shared" si="28"/>
        <v>-670</v>
      </c>
      <c r="CQ19" s="240">
        <v>1000</v>
      </c>
      <c r="CR19" s="376">
        <f>CR5</f>
        <v>0</v>
      </c>
      <c r="CS19" s="231">
        <f t="shared" si="18"/>
        <v>1908</v>
      </c>
      <c r="CT19" s="291"/>
      <c r="CU19" s="130"/>
      <c r="CV19" s="467"/>
      <c r="CW19" s="762"/>
      <c r="CX19" s="501"/>
      <c r="CY19" s="292"/>
      <c r="CZ19" s="502"/>
      <c r="DA19" s="786"/>
      <c r="DB19" s="131"/>
      <c r="DC19" s="130"/>
      <c r="DD19" s="79"/>
      <c r="DG19" s="394">
        <f t="shared" si="19"/>
        <v>-1902</v>
      </c>
      <c r="DH19" s="29">
        <f t="shared" si="20"/>
        <v>908</v>
      </c>
      <c r="DI19" s="298">
        <f>DI5</f>
        <v>0</v>
      </c>
      <c r="DJ19" s="5">
        <f t="shared" si="29"/>
        <v>-908</v>
      </c>
      <c r="DK19" s="277"/>
      <c r="DL19" s="376">
        <f>DL5</f>
        <v>0</v>
      </c>
      <c r="DM19" s="231">
        <f t="shared" si="5"/>
        <v>908</v>
      </c>
    </row>
    <row r="20" spans="1:117" x14ac:dyDescent="0.25">
      <c r="A20" s="75">
        <v>17987</v>
      </c>
      <c r="B20" s="11" t="s">
        <v>502</v>
      </c>
      <c r="C20" s="75">
        <v>1</v>
      </c>
      <c r="D20" s="74"/>
      <c r="E20" s="74"/>
      <c r="F20" s="275"/>
      <c r="G20" s="22" t="s">
        <v>211</v>
      </c>
      <c r="H20" s="25" t="s">
        <v>55</v>
      </c>
      <c r="I20" s="24"/>
      <c r="J20" s="536">
        <f t="shared" si="7"/>
        <v>-901</v>
      </c>
      <c r="K20" s="394">
        <f t="shared" si="8"/>
        <v>-1916</v>
      </c>
      <c r="L20" s="544">
        <v>1949</v>
      </c>
      <c r="M20" s="298">
        <f>M5</f>
        <v>33</v>
      </c>
      <c r="N20" s="5">
        <f t="shared" si="21"/>
        <v>-1916</v>
      </c>
      <c r="O20" s="258"/>
      <c r="P20" s="376">
        <f>P5</f>
        <v>33</v>
      </c>
      <c r="Q20" s="231">
        <f t="shared" si="9"/>
        <v>1916</v>
      </c>
      <c r="R20" s="448"/>
      <c r="S20" s="413"/>
      <c r="T20" s="414"/>
      <c r="U20" s="709"/>
      <c r="V20" s="499"/>
      <c r="W20" s="413"/>
      <c r="X20" s="500"/>
      <c r="Y20" s="717"/>
      <c r="Z20" s="499"/>
      <c r="AA20" s="413"/>
      <c r="AB20" s="500"/>
      <c r="AC20" s="734"/>
      <c r="AD20" s="734"/>
      <c r="AE20" s="394">
        <f t="shared" si="10"/>
        <v>-1726</v>
      </c>
      <c r="AF20" s="29">
        <f t="shared" si="11"/>
        <v>1916</v>
      </c>
      <c r="AG20" s="298">
        <f>AG5</f>
        <v>190</v>
      </c>
      <c r="AH20" s="5">
        <f t="shared" si="22"/>
        <v>-1726</v>
      </c>
      <c r="AI20" s="258"/>
      <c r="AJ20" s="376">
        <f>AJ5</f>
        <v>190</v>
      </c>
      <c r="AK20" s="231">
        <f t="shared" si="12"/>
        <v>1726</v>
      </c>
      <c r="AL20" s="131"/>
      <c r="AM20" s="413"/>
      <c r="AN20" s="500"/>
      <c r="AO20" s="717"/>
      <c r="AP20" s="501"/>
      <c r="AQ20" s="413"/>
      <c r="AR20" s="500"/>
      <c r="AS20" s="717"/>
      <c r="AT20" s="499"/>
      <c r="AU20" s="413"/>
      <c r="AV20" s="500"/>
      <c r="AW20" s="734"/>
      <c r="AX20" s="734"/>
      <c r="AY20" s="394">
        <f t="shared" si="13"/>
        <v>-1581</v>
      </c>
      <c r="AZ20" s="29">
        <f t="shared" si="23"/>
        <v>1726</v>
      </c>
      <c r="BA20" s="298">
        <f>BA5</f>
        <v>145</v>
      </c>
      <c r="BB20" s="5">
        <f t="shared" si="24"/>
        <v>-1581</v>
      </c>
      <c r="BC20" s="256"/>
      <c r="BD20" s="376">
        <f>BD5</f>
        <v>145</v>
      </c>
      <c r="BE20" s="231">
        <f t="shared" si="14"/>
        <v>1581</v>
      </c>
      <c r="BF20" s="21"/>
      <c r="BG20" s="6"/>
      <c r="BH20" s="216"/>
      <c r="BI20" s="717"/>
      <c r="BJ20" s="499"/>
      <c r="BK20" s="6"/>
      <c r="BL20" s="216"/>
      <c r="BM20" s="717"/>
      <c r="BN20" s="131"/>
      <c r="BO20" s="6"/>
      <c r="BP20" s="216"/>
      <c r="BQ20" s="716"/>
      <c r="BR20" s="716"/>
      <c r="BS20" s="394">
        <f t="shared" si="15"/>
        <v>-901</v>
      </c>
      <c r="BT20" s="607">
        <v>1096</v>
      </c>
      <c r="BU20" s="298">
        <f>BU5</f>
        <v>680</v>
      </c>
      <c r="BV20" s="5">
        <f t="shared" si="26"/>
        <v>-416</v>
      </c>
      <c r="BW20" s="256"/>
      <c r="BX20" s="376">
        <f>BX5</f>
        <v>674</v>
      </c>
      <c r="BY20" s="231">
        <f t="shared" si="16"/>
        <v>422</v>
      </c>
      <c r="BZ20" s="291"/>
      <c r="CA20" s="6"/>
      <c r="CB20" s="216"/>
      <c r="CC20" s="717"/>
      <c r="CD20" s="291"/>
      <c r="CE20" s="6"/>
      <c r="CF20" s="216"/>
      <c r="CG20" s="717"/>
      <c r="CH20" s="499"/>
      <c r="CI20" s="413"/>
      <c r="CJ20" s="414"/>
      <c r="CK20" s="801"/>
      <c r="CL20" s="801"/>
      <c r="CM20" s="394">
        <f t="shared" si="17"/>
        <v>-1663</v>
      </c>
      <c r="CN20" s="29">
        <f t="shared" si="27"/>
        <v>422</v>
      </c>
      <c r="CO20" s="298">
        <f>CO5</f>
        <v>238</v>
      </c>
      <c r="CP20" s="5">
        <f t="shared" si="28"/>
        <v>-184</v>
      </c>
      <c r="CQ20" s="240">
        <v>1000</v>
      </c>
      <c r="CR20" s="376">
        <f>CR5</f>
        <v>0</v>
      </c>
      <c r="CS20" s="231">
        <f t="shared" si="18"/>
        <v>1422</v>
      </c>
      <c r="CT20" s="291"/>
      <c r="CU20" s="130"/>
      <c r="CV20" s="467"/>
      <c r="CW20" s="762"/>
      <c r="CX20" s="501"/>
      <c r="CY20" s="292"/>
      <c r="CZ20" s="502"/>
      <c r="DA20" s="786"/>
      <c r="DB20" s="131"/>
      <c r="DC20" s="130"/>
      <c r="DD20" s="79"/>
      <c r="DG20" s="394">
        <f t="shared" si="19"/>
        <v>-1901</v>
      </c>
      <c r="DH20" s="29">
        <f t="shared" si="20"/>
        <v>422</v>
      </c>
      <c r="DI20" s="298">
        <f>DI5</f>
        <v>0</v>
      </c>
      <c r="DJ20" s="5">
        <f t="shared" si="29"/>
        <v>-422</v>
      </c>
      <c r="DK20" s="277"/>
      <c r="DL20" s="376">
        <f>DL5</f>
        <v>0</v>
      </c>
      <c r="DM20" s="231">
        <f t="shared" si="5"/>
        <v>422</v>
      </c>
    </row>
    <row r="21" spans="1:117" x14ac:dyDescent="0.25">
      <c r="A21" s="75"/>
      <c r="B21" s="74" t="s">
        <v>503</v>
      </c>
      <c r="C21" s="75">
        <v>1</v>
      </c>
      <c r="D21" s="74"/>
      <c r="E21" s="74"/>
      <c r="F21" s="275"/>
      <c r="G21" s="22" t="s">
        <v>211</v>
      </c>
      <c r="H21" s="77" t="s">
        <v>82</v>
      </c>
      <c r="I21" s="420"/>
      <c r="J21" s="536">
        <f t="shared" si="7"/>
        <v>-901</v>
      </c>
      <c r="K21" s="394">
        <f t="shared" si="8"/>
        <v>-1916</v>
      </c>
      <c r="L21" s="544">
        <v>1949</v>
      </c>
      <c r="M21" s="298">
        <f>M5</f>
        <v>33</v>
      </c>
      <c r="N21" s="5">
        <f t="shared" si="21"/>
        <v>-1916</v>
      </c>
      <c r="O21" s="258"/>
      <c r="P21" s="376">
        <f>P5</f>
        <v>33</v>
      </c>
      <c r="Q21" s="231">
        <f t="shared" si="9"/>
        <v>1916</v>
      </c>
      <c r="R21" s="448"/>
      <c r="S21" s="413"/>
      <c r="T21" s="414"/>
      <c r="U21" s="709"/>
      <c r="V21" s="499"/>
      <c r="W21" s="413"/>
      <c r="X21" s="500"/>
      <c r="Y21" s="717"/>
      <c r="Z21" s="499"/>
      <c r="AA21" s="413"/>
      <c r="AB21" s="500"/>
      <c r="AC21" s="734"/>
      <c r="AD21" s="734"/>
      <c r="AE21" s="394">
        <f t="shared" si="10"/>
        <v>-1726</v>
      </c>
      <c r="AF21" s="29">
        <f t="shared" si="11"/>
        <v>1916</v>
      </c>
      <c r="AG21" s="298">
        <f>AG5</f>
        <v>190</v>
      </c>
      <c r="AH21" s="5">
        <f t="shared" si="22"/>
        <v>-1726</v>
      </c>
      <c r="AI21" s="258"/>
      <c r="AJ21" s="376">
        <f>AJ5</f>
        <v>190</v>
      </c>
      <c r="AK21" s="231">
        <f t="shared" si="12"/>
        <v>1726</v>
      </c>
      <c r="AL21" s="131"/>
      <c r="AM21" s="413"/>
      <c r="AN21" s="500"/>
      <c r="AO21" s="717"/>
      <c r="AP21" s="501"/>
      <c r="AQ21" s="413"/>
      <c r="AR21" s="500"/>
      <c r="AS21" s="717"/>
      <c r="AT21" s="499"/>
      <c r="AU21" s="413"/>
      <c r="AV21" s="500"/>
      <c r="AW21" s="734"/>
      <c r="AX21" s="734"/>
      <c r="AY21" s="394">
        <f t="shared" si="13"/>
        <v>-1581</v>
      </c>
      <c r="AZ21" s="29">
        <f t="shared" si="23"/>
        <v>1726</v>
      </c>
      <c r="BA21" s="298">
        <f>BA5</f>
        <v>145</v>
      </c>
      <c r="BB21" s="5">
        <f t="shared" si="24"/>
        <v>-1581</v>
      </c>
      <c r="BC21" s="256"/>
      <c r="BD21" s="376">
        <f>BD5</f>
        <v>145</v>
      </c>
      <c r="BE21" s="231">
        <f t="shared" si="14"/>
        <v>1581</v>
      </c>
      <c r="BF21" s="499"/>
      <c r="BG21" s="499"/>
      <c r="BH21" s="35"/>
      <c r="BI21" s="712"/>
      <c r="BJ21" s="499"/>
      <c r="BK21" s="499"/>
      <c r="BL21" s="35"/>
      <c r="BM21" s="712"/>
      <c r="BN21" s="131"/>
      <c r="BO21" s="499"/>
      <c r="BP21" s="35"/>
      <c r="BQ21" s="713"/>
      <c r="BR21" s="713"/>
      <c r="BS21" s="394">
        <f t="shared" si="15"/>
        <v>-901</v>
      </c>
      <c r="BT21" s="29">
        <f t="shared" si="25"/>
        <v>1581</v>
      </c>
      <c r="BU21" s="298">
        <f>BU5</f>
        <v>680</v>
      </c>
      <c r="BV21" s="5">
        <f t="shared" si="26"/>
        <v>-901</v>
      </c>
      <c r="BW21" s="256"/>
      <c r="BX21" s="376">
        <f>BX5</f>
        <v>674</v>
      </c>
      <c r="BY21" s="231">
        <f t="shared" si="16"/>
        <v>907</v>
      </c>
      <c r="BZ21" s="291"/>
      <c r="CA21" s="499"/>
      <c r="CB21" s="35"/>
      <c r="CC21" s="712"/>
      <c r="CD21" s="291"/>
      <c r="CE21" s="499"/>
      <c r="CF21" s="35"/>
      <c r="CG21" s="712"/>
      <c r="CH21" s="499"/>
      <c r="CI21" s="413"/>
      <c r="CJ21" s="414"/>
      <c r="CK21" s="801"/>
      <c r="CL21" s="801"/>
      <c r="CM21" s="394">
        <f t="shared" si="17"/>
        <v>-1663</v>
      </c>
      <c r="CN21" s="29">
        <f t="shared" si="27"/>
        <v>907</v>
      </c>
      <c r="CO21" s="298">
        <f>CO5</f>
        <v>238</v>
      </c>
      <c r="CP21" s="5">
        <f t="shared" si="28"/>
        <v>-669</v>
      </c>
      <c r="CQ21" s="240">
        <v>1000</v>
      </c>
      <c r="CR21" s="376">
        <f>CR5</f>
        <v>0</v>
      </c>
      <c r="CS21" s="231">
        <f t="shared" si="18"/>
        <v>1907</v>
      </c>
      <c r="CT21" s="291"/>
      <c r="CU21" s="130"/>
      <c r="CV21" s="467"/>
      <c r="CW21" s="762"/>
      <c r="CX21" s="501"/>
      <c r="CY21" s="292"/>
      <c r="CZ21" s="502"/>
      <c r="DA21" s="786"/>
      <c r="DB21" s="131"/>
      <c r="DC21" s="130"/>
      <c r="DD21" s="79"/>
      <c r="DG21" s="394">
        <f t="shared" si="19"/>
        <v>-1901</v>
      </c>
      <c r="DH21" s="29">
        <f t="shared" si="20"/>
        <v>907</v>
      </c>
      <c r="DI21" s="298">
        <f>DI5</f>
        <v>0</v>
      </c>
      <c r="DJ21" s="5">
        <f t="shared" si="29"/>
        <v>-907</v>
      </c>
      <c r="DK21" s="277"/>
      <c r="DL21" s="376">
        <f>DL5</f>
        <v>0</v>
      </c>
      <c r="DM21" s="231">
        <f t="shared" si="5"/>
        <v>907</v>
      </c>
    </row>
    <row r="22" spans="1:117" x14ac:dyDescent="0.25">
      <c r="A22" s="75">
        <v>17988</v>
      </c>
      <c r="B22" s="11" t="s">
        <v>504</v>
      </c>
      <c r="C22" s="75">
        <v>1</v>
      </c>
      <c r="D22" s="74"/>
      <c r="E22" s="74"/>
      <c r="F22" s="275"/>
      <c r="G22" s="22" t="s">
        <v>211</v>
      </c>
      <c r="H22" s="25" t="s">
        <v>55</v>
      </c>
      <c r="I22" s="24"/>
      <c r="J22" s="536">
        <f t="shared" si="7"/>
        <v>-905</v>
      </c>
      <c r="K22" s="394">
        <f t="shared" si="8"/>
        <v>-1920</v>
      </c>
      <c r="L22" s="544">
        <v>1953</v>
      </c>
      <c r="M22" s="298">
        <f>M5</f>
        <v>33</v>
      </c>
      <c r="N22" s="5">
        <f t="shared" si="21"/>
        <v>-1920</v>
      </c>
      <c r="O22" s="258"/>
      <c r="P22" s="376">
        <f>P5</f>
        <v>33</v>
      </c>
      <c r="Q22" s="231">
        <f t="shared" si="9"/>
        <v>1920</v>
      </c>
      <c r="R22" s="448"/>
      <c r="S22" s="413"/>
      <c r="T22" s="414"/>
      <c r="U22" s="709"/>
      <c r="V22" s="499"/>
      <c r="W22" s="413"/>
      <c r="X22" s="500"/>
      <c r="Y22" s="717"/>
      <c r="Z22" s="499"/>
      <c r="AA22" s="413"/>
      <c r="AB22" s="500"/>
      <c r="AC22" s="734"/>
      <c r="AD22" s="734"/>
      <c r="AE22" s="394">
        <f t="shared" si="10"/>
        <v>-1730</v>
      </c>
      <c r="AF22" s="29">
        <f t="shared" si="11"/>
        <v>1920</v>
      </c>
      <c r="AG22" s="298">
        <f>AG5</f>
        <v>190</v>
      </c>
      <c r="AH22" s="5">
        <f t="shared" si="22"/>
        <v>-1730</v>
      </c>
      <c r="AI22" s="258"/>
      <c r="AJ22" s="376">
        <f>AJ5</f>
        <v>190</v>
      </c>
      <c r="AK22" s="231">
        <f t="shared" si="12"/>
        <v>1730</v>
      </c>
      <c r="AL22" s="131"/>
      <c r="AM22" s="413"/>
      <c r="AN22" s="500"/>
      <c r="AO22" s="717"/>
      <c r="AP22" s="501"/>
      <c r="AQ22" s="413"/>
      <c r="AR22" s="500"/>
      <c r="AS22" s="717"/>
      <c r="AT22" s="499"/>
      <c r="AU22" s="413"/>
      <c r="AV22" s="500"/>
      <c r="AW22" s="734"/>
      <c r="AX22" s="734"/>
      <c r="AY22" s="394">
        <f t="shared" si="13"/>
        <v>-1585</v>
      </c>
      <c r="AZ22" s="29">
        <f t="shared" si="23"/>
        <v>1730</v>
      </c>
      <c r="BA22" s="298">
        <f>BA5</f>
        <v>145</v>
      </c>
      <c r="BB22" s="5">
        <f t="shared" si="24"/>
        <v>-1585</v>
      </c>
      <c r="BC22" s="256"/>
      <c r="BD22" s="376">
        <f>BD5</f>
        <v>145</v>
      </c>
      <c r="BE22" s="231">
        <f t="shared" si="14"/>
        <v>1585</v>
      </c>
      <c r="BF22" s="21"/>
      <c r="BG22" s="6"/>
      <c r="BH22" s="216"/>
      <c r="BI22" s="717"/>
      <c r="BJ22" s="499"/>
      <c r="BK22" s="6"/>
      <c r="BL22" s="216"/>
      <c r="BM22" s="717"/>
      <c r="BN22" s="131"/>
      <c r="BO22" s="6"/>
      <c r="BP22" s="216"/>
      <c r="BQ22" s="716"/>
      <c r="BR22" s="716"/>
      <c r="BS22" s="394">
        <f t="shared" si="15"/>
        <v>-905</v>
      </c>
      <c r="BT22" s="607">
        <v>1078</v>
      </c>
      <c r="BU22" s="298">
        <f>BU5</f>
        <v>680</v>
      </c>
      <c r="BV22" s="5">
        <f t="shared" si="26"/>
        <v>-398</v>
      </c>
      <c r="BW22" s="256"/>
      <c r="BX22" s="376">
        <f>BX5</f>
        <v>674</v>
      </c>
      <c r="BY22" s="231">
        <f t="shared" si="16"/>
        <v>404</v>
      </c>
      <c r="BZ22" s="291"/>
      <c r="CA22" s="6"/>
      <c r="CB22" s="216"/>
      <c r="CC22" s="717"/>
      <c r="CD22" s="291"/>
      <c r="CE22" s="6"/>
      <c r="CF22" s="216"/>
      <c r="CG22" s="717"/>
      <c r="CH22" s="499"/>
      <c r="CI22" s="413"/>
      <c r="CJ22" s="414"/>
      <c r="CK22" s="801"/>
      <c r="CL22" s="801"/>
      <c r="CM22" s="394">
        <f t="shared" si="17"/>
        <v>-1667</v>
      </c>
      <c r="CN22" s="29">
        <f t="shared" si="27"/>
        <v>404</v>
      </c>
      <c r="CO22" s="298">
        <f>CO5</f>
        <v>238</v>
      </c>
      <c r="CP22" s="5">
        <f t="shared" si="28"/>
        <v>-166</v>
      </c>
      <c r="CQ22" s="240">
        <v>1000</v>
      </c>
      <c r="CR22" s="376">
        <f>CR5</f>
        <v>0</v>
      </c>
      <c r="CS22" s="231">
        <f t="shared" si="18"/>
        <v>1404</v>
      </c>
      <c r="CT22" s="291"/>
      <c r="CU22" s="130"/>
      <c r="CV22" s="467"/>
      <c r="CW22" s="762"/>
      <c r="CX22" s="501"/>
      <c r="CY22" s="292"/>
      <c r="CZ22" s="502"/>
      <c r="DA22" s="786"/>
      <c r="DB22" s="131"/>
      <c r="DC22" s="130"/>
      <c r="DD22" s="79"/>
      <c r="DG22" s="394">
        <f t="shared" si="19"/>
        <v>-1905</v>
      </c>
      <c r="DH22" s="29">
        <f t="shared" si="20"/>
        <v>404</v>
      </c>
      <c r="DI22" s="298">
        <f>DI5</f>
        <v>0</v>
      </c>
      <c r="DJ22" s="5">
        <f t="shared" si="29"/>
        <v>-404</v>
      </c>
      <c r="DK22" s="277"/>
      <c r="DL22" s="376">
        <f>DL5</f>
        <v>0</v>
      </c>
      <c r="DM22" s="231">
        <f t="shared" si="5"/>
        <v>404</v>
      </c>
    </row>
    <row r="23" spans="1:117" ht="15.75" thickBot="1" x14ac:dyDescent="0.3">
      <c r="A23" s="19"/>
      <c r="B23" s="12" t="s">
        <v>505</v>
      </c>
      <c r="C23" s="19">
        <v>1</v>
      </c>
      <c r="D23" s="12"/>
      <c r="E23" s="12"/>
      <c r="F23" s="146"/>
      <c r="G23" s="49" t="s">
        <v>211</v>
      </c>
      <c r="H23" s="28" t="s">
        <v>82</v>
      </c>
      <c r="I23" s="420"/>
      <c r="J23" s="536">
        <f t="shared" si="7"/>
        <v>-905</v>
      </c>
      <c r="K23" s="394">
        <f t="shared" si="8"/>
        <v>-1920</v>
      </c>
      <c r="L23" s="544">
        <v>1953</v>
      </c>
      <c r="M23" s="299">
        <f>M5</f>
        <v>33</v>
      </c>
      <c r="N23" s="78">
        <f>M23-L23</f>
        <v>-1920</v>
      </c>
      <c r="O23" s="258"/>
      <c r="P23" s="376">
        <f>P5</f>
        <v>33</v>
      </c>
      <c r="Q23" s="233">
        <f t="shared" si="9"/>
        <v>1920</v>
      </c>
      <c r="R23" s="558"/>
      <c r="S23" s="408"/>
      <c r="T23" s="321"/>
      <c r="U23" s="710"/>
      <c r="V23" s="314"/>
      <c r="W23" s="408"/>
      <c r="X23" s="321"/>
      <c r="Y23" s="710"/>
      <c r="Z23" s="314"/>
      <c r="AA23" s="408"/>
      <c r="AB23" s="321"/>
      <c r="AC23" s="734"/>
      <c r="AD23" s="734"/>
      <c r="AE23" s="394">
        <f t="shared" si="10"/>
        <v>-1730</v>
      </c>
      <c r="AF23" s="29">
        <f t="shared" si="11"/>
        <v>1920</v>
      </c>
      <c r="AG23" s="299">
        <f>AG5</f>
        <v>190</v>
      </c>
      <c r="AH23" s="78">
        <f>AG23-AF23</f>
        <v>-1730</v>
      </c>
      <c r="AI23" s="258"/>
      <c r="AJ23" s="376">
        <f>AJ5</f>
        <v>190</v>
      </c>
      <c r="AK23" s="233">
        <f t="shared" si="12"/>
        <v>1730</v>
      </c>
      <c r="AL23" s="122"/>
      <c r="AM23" s="408"/>
      <c r="AN23" s="321"/>
      <c r="AO23" s="710"/>
      <c r="AP23" s="314"/>
      <c r="AQ23" s="408"/>
      <c r="AR23" s="321"/>
      <c r="AS23" s="710"/>
      <c r="AT23" s="314"/>
      <c r="AU23" s="408"/>
      <c r="AV23" s="321"/>
      <c r="AW23" s="734"/>
      <c r="AX23" s="734"/>
      <c r="AY23" s="394">
        <f t="shared" si="13"/>
        <v>-1585</v>
      </c>
      <c r="AZ23" s="29">
        <f t="shared" si="23"/>
        <v>1730</v>
      </c>
      <c r="BA23" s="299">
        <f>BA5</f>
        <v>145</v>
      </c>
      <c r="BB23" s="78">
        <f>BA23-AZ23</f>
        <v>-1585</v>
      </c>
      <c r="BC23" s="256"/>
      <c r="BD23" s="376">
        <f>BD5</f>
        <v>145</v>
      </c>
      <c r="BE23" s="233">
        <f t="shared" si="14"/>
        <v>1585</v>
      </c>
      <c r="BF23" s="314"/>
      <c r="BG23" s="499"/>
      <c r="BH23" s="255"/>
      <c r="BI23" s="770"/>
      <c r="BJ23" s="314"/>
      <c r="BK23" s="499"/>
      <c r="BL23" s="255"/>
      <c r="BM23" s="770"/>
      <c r="BN23" s="122"/>
      <c r="BO23" s="499"/>
      <c r="BP23" s="255"/>
      <c r="BQ23" s="774"/>
      <c r="BR23" s="774"/>
      <c r="BS23" s="394">
        <f t="shared" si="15"/>
        <v>-905</v>
      </c>
      <c r="BT23" s="29">
        <f t="shared" si="25"/>
        <v>1585</v>
      </c>
      <c r="BU23" s="299">
        <f>BU5</f>
        <v>680</v>
      </c>
      <c r="BV23" s="78">
        <f>BU23-BT23</f>
        <v>-905</v>
      </c>
      <c r="BW23" s="256"/>
      <c r="BX23" s="376">
        <f>BX5</f>
        <v>674</v>
      </c>
      <c r="BY23" s="233">
        <f t="shared" si="16"/>
        <v>911</v>
      </c>
      <c r="BZ23" s="200"/>
      <c r="CA23" s="499"/>
      <c r="CB23" s="255"/>
      <c r="CC23" s="770"/>
      <c r="CD23" s="200"/>
      <c r="CE23" s="499"/>
      <c r="CF23" s="255"/>
      <c r="CG23" s="770"/>
      <c r="CH23" s="314"/>
      <c r="CI23" s="408"/>
      <c r="CJ23" s="321"/>
      <c r="CK23" s="734"/>
      <c r="CL23" s="734"/>
      <c r="CM23" s="394">
        <f t="shared" si="17"/>
        <v>-1667</v>
      </c>
      <c r="CN23" s="29">
        <f t="shared" si="27"/>
        <v>911</v>
      </c>
      <c r="CO23" s="299">
        <f>CO5</f>
        <v>238</v>
      </c>
      <c r="CP23" s="78">
        <f>CO23-CN23</f>
        <v>-673</v>
      </c>
      <c r="CQ23" s="240">
        <v>1000</v>
      </c>
      <c r="CR23" s="376">
        <f>CR5</f>
        <v>0</v>
      </c>
      <c r="CS23" s="233">
        <f t="shared" si="18"/>
        <v>1911</v>
      </c>
      <c r="CT23" s="200"/>
      <c r="CU23" s="201"/>
      <c r="CV23" s="36"/>
      <c r="CW23" s="220"/>
      <c r="CX23" s="272"/>
      <c r="CY23" s="201"/>
      <c r="CZ23" s="321"/>
      <c r="DA23" s="710"/>
      <c r="DB23" s="122"/>
      <c r="DC23" s="201"/>
      <c r="DD23" s="36"/>
      <c r="DG23" s="394">
        <f t="shared" si="19"/>
        <v>-1905</v>
      </c>
      <c r="DH23" s="29">
        <f t="shared" si="20"/>
        <v>911</v>
      </c>
      <c r="DI23" s="299">
        <f>DI5</f>
        <v>0</v>
      </c>
      <c r="DJ23" s="78">
        <f>DI23-DH23</f>
        <v>-911</v>
      </c>
      <c r="DK23" s="244"/>
      <c r="DL23" s="376">
        <f>DL5</f>
        <v>0</v>
      </c>
      <c r="DM23" s="233">
        <f t="shared" si="5"/>
        <v>911</v>
      </c>
    </row>
    <row r="24" spans="1:117" x14ac:dyDescent="0.25">
      <c r="A24" s="53"/>
      <c r="B24" s="52" t="s">
        <v>332</v>
      </c>
      <c r="C24" s="53"/>
      <c r="D24" s="51" t="s">
        <v>18</v>
      </c>
      <c r="E24" s="51"/>
      <c r="F24" s="338"/>
      <c r="G24" s="51"/>
      <c r="H24" s="54"/>
      <c r="I24" s="54"/>
      <c r="J24" s="53">
        <f>SUM(M24,AG24,BA24,BU24)</f>
        <v>690</v>
      </c>
      <c r="K24" s="53"/>
      <c r="L24" s="55"/>
      <c r="M24" s="390">
        <f>58+16-58</f>
        <v>16</v>
      </c>
      <c r="N24" s="56"/>
      <c r="O24" s="56"/>
      <c r="P24" s="243">
        <f>1+15</f>
        <v>16</v>
      </c>
      <c r="Q24" s="230"/>
      <c r="R24" s="119">
        <f>SUM(R25:R37)</f>
        <v>30975</v>
      </c>
      <c r="S24" s="120">
        <f>SUM(S25:S37)</f>
        <v>123900</v>
      </c>
      <c r="T24" s="57"/>
      <c r="U24" s="219"/>
      <c r="V24" s="119">
        <f>SUM(V25:V37)</f>
        <v>0</v>
      </c>
      <c r="W24" s="120">
        <f>SUM(W25:W37)</f>
        <v>0</v>
      </c>
      <c r="X24" s="57"/>
      <c r="Y24" s="219"/>
      <c r="Z24" s="119">
        <f>SUM(Z25:Z37)</f>
        <v>0</v>
      </c>
      <c r="AA24" s="120">
        <f>SUM(AA25:AA37)</f>
        <v>30975</v>
      </c>
      <c r="AB24" s="57"/>
      <c r="AC24" s="230"/>
      <c r="AD24" s="230"/>
      <c r="AE24" s="53">
        <f>SUM(AG24,BA24,BU24)</f>
        <v>674</v>
      </c>
      <c r="AF24" s="55"/>
      <c r="AG24" s="56">
        <f>240-240+141-141+95</f>
        <v>95</v>
      </c>
      <c r="AH24" s="56"/>
      <c r="AI24" s="56"/>
      <c r="AJ24" s="243">
        <f>3+4+4+12+10+11+6+16+20+1+2</f>
        <v>89</v>
      </c>
      <c r="AK24" s="230"/>
      <c r="AL24" s="119">
        <f>SUM(AL25:AL37)</f>
        <v>0</v>
      </c>
      <c r="AM24" s="120">
        <f>SUM(AM25:AM37)</f>
        <v>0</v>
      </c>
      <c r="AN24" s="57"/>
      <c r="AO24" s="219"/>
      <c r="AP24" s="119">
        <f>SUM(AP25:AP37)</f>
        <v>0</v>
      </c>
      <c r="AQ24" s="120">
        <f>SUM(AQ25:AQ37)</f>
        <v>0</v>
      </c>
      <c r="AR24" s="57"/>
      <c r="AS24" s="219"/>
      <c r="AT24" s="119">
        <f>SUM(AT25:AT37)</f>
        <v>0</v>
      </c>
      <c r="AU24" s="120">
        <f>SUM(AU25:AU37)</f>
        <v>0</v>
      </c>
      <c r="AV24" s="57"/>
      <c r="AW24" s="230"/>
      <c r="AX24" s="230"/>
      <c r="AY24" s="53">
        <f>SUM(BA24,BU24)</f>
        <v>579</v>
      </c>
      <c r="AZ24" s="55"/>
      <c r="BA24" s="56">
        <f>130-130+194-194+191-191+129</f>
        <v>129</v>
      </c>
      <c r="BB24" s="56"/>
      <c r="BC24" s="56"/>
      <c r="BD24" s="243">
        <f>1+64+20+3+1+15+15+5+5</f>
        <v>129</v>
      </c>
      <c r="BE24" s="230"/>
      <c r="BF24" s="119">
        <f>SUM(BF25:BF37)</f>
        <v>0</v>
      </c>
      <c r="BG24" s="120">
        <f>SUM(BG25:BG37)</f>
        <v>0</v>
      </c>
      <c r="BH24" s="57"/>
      <c r="BI24" s="219"/>
      <c r="BJ24" s="119">
        <f>SUM(BJ25:BJ37)</f>
        <v>644550.6</v>
      </c>
      <c r="BK24" s="120">
        <f>SUM(BK25:BK37)</f>
        <v>2600</v>
      </c>
      <c r="BL24" s="57"/>
      <c r="BM24" s="219"/>
      <c r="BN24" s="119">
        <f>SUM(BN25:BN37)</f>
        <v>0</v>
      </c>
      <c r="BO24" s="120">
        <f>SUM(BO25:BO37)</f>
        <v>218076</v>
      </c>
      <c r="BP24" s="57"/>
      <c r="BQ24" s="230"/>
      <c r="BR24" s="230"/>
      <c r="BS24" s="53">
        <f>BU24</f>
        <v>450</v>
      </c>
      <c r="BT24" s="55"/>
      <c r="BU24" s="56">
        <f>410-410+450</f>
        <v>450</v>
      </c>
      <c r="BV24" s="56"/>
      <c r="BW24" s="56"/>
      <c r="BX24" s="243">
        <f>15+15+5+20+30+30+15+27+8+1+1+20+30+25+60</f>
        <v>302</v>
      </c>
      <c r="BY24" s="230"/>
      <c r="BZ24" s="119">
        <f>SUM(BZ25:BZ37)</f>
        <v>173484</v>
      </c>
      <c r="CA24" s="120">
        <f>SUM(CA25:CA37)</f>
        <v>255474.6</v>
      </c>
      <c r="CB24" s="57"/>
      <c r="CC24" s="219"/>
      <c r="CD24" s="119">
        <f>SUM(CD25:CD37)</f>
        <v>0</v>
      </c>
      <c r="CE24" s="120">
        <f>SUM(CE25:CE37)</f>
        <v>0</v>
      </c>
      <c r="CF24" s="57"/>
      <c r="CG24" s="219"/>
      <c r="CH24" s="119">
        <f>SUM(CH25:CH37)</f>
        <v>0</v>
      </c>
      <c r="CI24" s="120">
        <f>SUM(CI25:CI37)</f>
        <v>497484</v>
      </c>
      <c r="CJ24" s="57"/>
      <c r="CK24" s="230"/>
      <c r="CL24" s="230"/>
      <c r="CM24" s="53">
        <f>CO24</f>
        <v>200</v>
      </c>
      <c r="CN24" s="55"/>
      <c r="CO24" s="243">
        <v>200</v>
      </c>
      <c r="CP24" s="56"/>
      <c r="CQ24" s="56"/>
      <c r="CR24" s="243"/>
      <c r="CS24" s="230"/>
      <c r="CT24" s="119">
        <f>SUM(CT25:CT37)</f>
        <v>0</v>
      </c>
      <c r="CU24" s="120">
        <f>SUM(CU25:CU37)</f>
        <v>0</v>
      </c>
      <c r="CV24" s="57"/>
      <c r="CW24" s="219"/>
      <c r="CX24" s="119">
        <f>SUM(CX25:CX37)</f>
        <v>0</v>
      </c>
      <c r="CY24" s="120">
        <f>SUM(CY25:CY37)</f>
        <v>0</v>
      </c>
      <c r="CZ24" s="57"/>
      <c r="DA24" s="219"/>
      <c r="DB24" s="119">
        <f>SUM(DB25:DB37)</f>
        <v>0</v>
      </c>
      <c r="DC24" s="120">
        <f>SUM(DC25:DC37)</f>
        <v>0</v>
      </c>
      <c r="DD24" s="57"/>
      <c r="DE24" s="230"/>
      <c r="DF24" s="230"/>
      <c r="DG24" s="53">
        <f>DI24</f>
        <v>0</v>
      </c>
      <c r="DH24" s="55"/>
      <c r="DI24" s="243"/>
      <c r="DJ24" s="56"/>
      <c r="DK24" s="56"/>
      <c r="DL24" s="243"/>
      <c r="DM24" s="230"/>
    </row>
    <row r="25" spans="1:117" x14ac:dyDescent="0.25">
      <c r="A25" s="18"/>
      <c r="B25" s="11" t="s">
        <v>215</v>
      </c>
      <c r="C25" s="18">
        <v>1</v>
      </c>
      <c r="D25" s="11"/>
      <c r="E25" s="11"/>
      <c r="F25" s="149">
        <v>6200</v>
      </c>
      <c r="G25" s="11" t="s">
        <v>198</v>
      </c>
      <c r="H25" s="25"/>
      <c r="I25" s="24"/>
      <c r="J25" s="536">
        <f>SUM(M25,AG25,BA25,BU25)-L25</f>
        <v>-207</v>
      </c>
      <c r="K25" s="394">
        <f t="shared" si="8"/>
        <v>-881</v>
      </c>
      <c r="L25" s="544">
        <v>897</v>
      </c>
      <c r="M25" s="298">
        <f>M24</f>
        <v>16</v>
      </c>
      <c r="N25" s="5">
        <f>M25-L25</f>
        <v>-881</v>
      </c>
      <c r="O25" s="256"/>
      <c r="P25" s="303">
        <f>P24</f>
        <v>16</v>
      </c>
      <c r="Q25" s="231">
        <f t="shared" si="9"/>
        <v>881</v>
      </c>
      <c r="R25" s="215"/>
      <c r="S25" s="199"/>
      <c r="T25" s="148"/>
      <c r="U25" s="711"/>
      <c r="V25" s="215"/>
      <c r="W25" s="199"/>
      <c r="X25" s="148"/>
      <c r="Y25" s="711"/>
      <c r="Z25" s="21"/>
      <c r="AA25" s="6"/>
      <c r="AB25" s="35"/>
      <c r="AC25" s="713"/>
      <c r="AD25" s="713"/>
      <c r="AE25" s="394">
        <f>SUM(M25,AG25)-SUM(O25,AI25)-L25</f>
        <v>-786</v>
      </c>
      <c r="AF25" s="29">
        <f>Q25</f>
        <v>881</v>
      </c>
      <c r="AG25" s="298">
        <f>AG24</f>
        <v>95</v>
      </c>
      <c r="AH25" s="5">
        <f>AG25-AF25</f>
        <v>-786</v>
      </c>
      <c r="AI25" s="256"/>
      <c r="AJ25" s="303">
        <f>AJ24</f>
        <v>89</v>
      </c>
      <c r="AK25" s="231">
        <f t="shared" ref="AK25:AK32" si="30">AF25+AI25-AJ25</f>
        <v>792</v>
      </c>
      <c r="AL25" s="215"/>
      <c r="AM25" s="199"/>
      <c r="AN25" s="148"/>
      <c r="AO25" s="711"/>
      <c r="AP25" s="215"/>
      <c r="AQ25" s="199"/>
      <c r="AR25" s="148"/>
      <c r="AS25" s="711"/>
      <c r="AT25" s="21"/>
      <c r="AU25" s="6"/>
      <c r="AV25" s="35"/>
      <c r="AW25" s="713"/>
      <c r="AX25" s="713"/>
      <c r="AY25" s="394">
        <f>SUM(M25,AG25,BA25)-SUM(O25,AI25,BC25)-L25</f>
        <v>-1157</v>
      </c>
      <c r="AZ25" s="29">
        <f>AK25</f>
        <v>792</v>
      </c>
      <c r="BA25" s="298">
        <f>BA24</f>
        <v>129</v>
      </c>
      <c r="BB25" s="5">
        <f>BA25-AZ25</f>
        <v>-663</v>
      </c>
      <c r="BC25" s="240">
        <v>500</v>
      </c>
      <c r="BD25" s="303">
        <f>BD24</f>
        <v>129</v>
      </c>
      <c r="BE25" s="231">
        <f t="shared" ref="BE25:BE32" si="31">AZ25+BC25-BD25</f>
        <v>1163</v>
      </c>
      <c r="BF25" s="215"/>
      <c r="BG25" s="199"/>
      <c r="BH25" s="148"/>
      <c r="BI25" s="711"/>
      <c r="BJ25" s="215"/>
      <c r="BK25" s="199"/>
      <c r="BL25" s="35" t="s">
        <v>796</v>
      </c>
      <c r="BM25" s="612"/>
      <c r="BN25" s="21"/>
      <c r="BO25" s="6"/>
      <c r="BP25" s="35"/>
      <c r="BQ25" s="713"/>
      <c r="BR25" s="713"/>
      <c r="BS25" s="394">
        <f>SUM(M25,AG25,BA25,BU25)-SUM(O25,AI25,BC25,BW25)-L25</f>
        <v>-707</v>
      </c>
      <c r="BT25" s="29">
        <f>BE25</f>
        <v>1163</v>
      </c>
      <c r="BU25" s="298">
        <f>BU24</f>
        <v>450</v>
      </c>
      <c r="BV25" s="5">
        <f>BU25-BT25</f>
        <v>-713</v>
      </c>
      <c r="BW25" s="258"/>
      <c r="BX25" s="303">
        <f>BX24</f>
        <v>302</v>
      </c>
      <c r="BY25" s="231">
        <f t="shared" ref="BY25:BY32" si="32">BT25+BW25-BX25</f>
        <v>861</v>
      </c>
      <c r="BZ25" s="549"/>
      <c r="CA25" s="199"/>
      <c r="CB25" s="148" t="s">
        <v>797</v>
      </c>
      <c r="CC25" s="711"/>
      <c r="CD25" s="215"/>
      <c r="CE25" s="199"/>
      <c r="CF25" s="148"/>
      <c r="CG25" s="711"/>
      <c r="CH25" s="21"/>
      <c r="CI25" s="6"/>
      <c r="CJ25" s="35"/>
      <c r="CK25" s="713"/>
      <c r="CL25" s="713"/>
      <c r="CM25" s="394">
        <f>SUM(M25,AG25,BA25,BU25,CO25)-SUM(O25,AI25,BC25,BW25,CQ25)-L25</f>
        <v>-507</v>
      </c>
      <c r="CN25" s="29">
        <f>BY25</f>
        <v>861</v>
      </c>
      <c r="CO25" s="298">
        <f>CO24</f>
        <v>200</v>
      </c>
      <c r="CP25" s="5">
        <f>CO25-CN25</f>
        <v>-661</v>
      </c>
      <c r="CQ25" s="256"/>
      <c r="CR25" s="303">
        <f>CR24</f>
        <v>0</v>
      </c>
      <c r="CS25" s="231">
        <f t="shared" ref="CS25:CS32" si="33">CN25+CQ25-CR25</f>
        <v>861</v>
      </c>
      <c r="CT25" s="215"/>
      <c r="CU25" s="199"/>
      <c r="CV25" s="148"/>
      <c r="CW25" s="711"/>
      <c r="CX25" s="215"/>
      <c r="CY25" s="199"/>
      <c r="CZ25" s="148"/>
      <c r="DA25" s="711"/>
      <c r="DB25" s="21"/>
      <c r="DC25" s="6"/>
      <c r="DD25" s="35"/>
      <c r="DE25" s="713"/>
      <c r="DF25" s="713"/>
      <c r="DG25" s="394">
        <f>SUM(M25,AG25,BA25,BU25,DI25)-SUM(O25,AI25,BC25,BW25,CQ25)-L25</f>
        <v>-707</v>
      </c>
      <c r="DH25" s="29">
        <f>BY25</f>
        <v>861</v>
      </c>
      <c r="DI25" s="298">
        <f>DI24</f>
        <v>0</v>
      </c>
      <c r="DJ25" s="5">
        <f>DI25-DH25</f>
        <v>-861</v>
      </c>
      <c r="DK25" s="240"/>
      <c r="DL25" s="303">
        <f>DL24</f>
        <v>0</v>
      </c>
      <c r="DM25" s="231">
        <f t="shared" ref="DM25:DM32" si="34">DH25+DK25-DL25</f>
        <v>861</v>
      </c>
    </row>
    <row r="26" spans="1:117" x14ac:dyDescent="0.25">
      <c r="A26" s="18"/>
      <c r="B26" s="11" t="s">
        <v>853</v>
      </c>
      <c r="C26" s="18">
        <v>1</v>
      </c>
      <c r="D26" s="11"/>
      <c r="E26" s="11"/>
      <c r="F26" s="149"/>
      <c r="G26" s="11"/>
      <c r="H26" s="25"/>
      <c r="I26" s="24"/>
      <c r="J26" s="536"/>
      <c r="K26" s="394"/>
      <c r="L26" s="544"/>
      <c r="M26" s="298"/>
      <c r="N26" s="5"/>
      <c r="O26" s="256"/>
      <c r="P26" s="303"/>
      <c r="Q26" s="231"/>
      <c r="R26" s="235"/>
      <c r="S26" s="199"/>
      <c r="T26" s="148"/>
      <c r="U26" s="711"/>
      <c r="V26" s="549"/>
      <c r="W26" s="199"/>
      <c r="X26" s="148"/>
      <c r="Y26" s="711"/>
      <c r="Z26" s="21"/>
      <c r="AA26" s="6"/>
      <c r="AB26" s="35"/>
      <c r="AC26" s="713"/>
      <c r="AD26" s="713"/>
      <c r="AE26" s="394"/>
      <c r="AF26" s="29"/>
      <c r="AG26" s="298"/>
      <c r="AH26" s="5"/>
      <c r="AI26" s="258"/>
      <c r="AJ26" s="303"/>
      <c r="AK26" s="231"/>
      <c r="AL26" s="235"/>
      <c r="AM26" s="199"/>
      <c r="AN26" s="148"/>
      <c r="AO26" s="711"/>
      <c r="AP26" s="215"/>
      <c r="AQ26" s="199"/>
      <c r="AR26" s="148"/>
      <c r="AS26" s="711"/>
      <c r="AT26" s="21"/>
      <c r="AU26" s="6"/>
      <c r="AV26" s="35"/>
      <c r="AW26" s="713"/>
      <c r="AX26" s="713"/>
      <c r="AY26" s="394"/>
      <c r="AZ26" s="29"/>
      <c r="BA26" s="298"/>
      <c r="BB26" s="5"/>
      <c r="BC26" s="240"/>
      <c r="BD26" s="303"/>
      <c r="BE26" s="231"/>
      <c r="BF26" s="215"/>
      <c r="BG26" s="199"/>
      <c r="BH26" s="148"/>
      <c r="BI26" s="711"/>
      <c r="BJ26" s="235"/>
      <c r="BK26" s="199"/>
      <c r="BL26" s="35"/>
      <c r="BM26" s="612"/>
      <c r="BN26" s="527"/>
      <c r="BO26" s="6"/>
      <c r="BP26" s="35"/>
      <c r="BQ26" s="713"/>
      <c r="BR26" s="713"/>
      <c r="BS26" s="394"/>
      <c r="BT26" s="29">
        <v>1290</v>
      </c>
      <c r="BU26" s="298">
        <f>BU24</f>
        <v>450</v>
      </c>
      <c r="BV26" s="5">
        <f>BU26-BT26</f>
        <v>-840</v>
      </c>
      <c r="BW26" s="258"/>
      <c r="BX26" s="303">
        <f>BX24</f>
        <v>302</v>
      </c>
      <c r="BY26" s="231">
        <f>BT26+BW26-BX26</f>
        <v>988</v>
      </c>
      <c r="BZ26" s="549"/>
      <c r="CA26" s="199"/>
      <c r="CB26" s="148"/>
      <c r="CC26" s="711"/>
      <c r="CD26" s="215"/>
      <c r="CE26" s="199"/>
      <c r="CF26" s="148"/>
      <c r="CG26" s="711"/>
      <c r="CH26" s="21"/>
      <c r="CI26" s="6"/>
      <c r="CJ26" s="35"/>
      <c r="CK26" s="713"/>
      <c r="CL26" s="713"/>
      <c r="CM26" s="394"/>
      <c r="CN26" s="29"/>
      <c r="CO26" s="298"/>
      <c r="CP26" s="5"/>
      <c r="CQ26" s="256"/>
      <c r="CR26" s="303"/>
      <c r="CS26" s="231"/>
      <c r="CT26" s="235"/>
      <c r="CU26" s="199"/>
      <c r="CV26" s="148"/>
      <c r="CW26" s="711"/>
      <c r="CX26" s="215"/>
      <c r="CY26" s="199"/>
      <c r="CZ26" s="148"/>
      <c r="DA26" s="711"/>
      <c r="DB26" s="21"/>
      <c r="DC26" s="6"/>
      <c r="DD26" s="35"/>
      <c r="DE26" s="713"/>
      <c r="DF26" s="713"/>
      <c r="DG26" s="394"/>
      <c r="DH26" s="29"/>
      <c r="DI26" s="298"/>
      <c r="DJ26" s="5"/>
      <c r="DK26" s="240"/>
      <c r="DL26" s="303"/>
      <c r="DM26" s="231"/>
    </row>
    <row r="27" spans="1:117" x14ac:dyDescent="0.25">
      <c r="A27" s="18"/>
      <c r="B27" s="11" t="s">
        <v>871</v>
      </c>
      <c r="C27" s="18">
        <v>0.3</v>
      </c>
      <c r="D27" s="11"/>
      <c r="E27" s="11"/>
      <c r="F27" s="149"/>
      <c r="G27" s="11"/>
      <c r="H27" s="25"/>
      <c r="I27" s="24"/>
      <c r="J27" s="536"/>
      <c r="K27" s="394"/>
      <c r="L27" s="544"/>
      <c r="M27" s="298"/>
      <c r="N27" s="5"/>
      <c r="O27" s="256"/>
      <c r="P27" s="303"/>
      <c r="Q27" s="231"/>
      <c r="R27" s="235"/>
      <c r="S27" s="199"/>
      <c r="T27" s="148"/>
      <c r="U27" s="711"/>
      <c r="V27" s="549"/>
      <c r="W27" s="199"/>
      <c r="X27" s="148"/>
      <c r="Y27" s="711"/>
      <c r="Z27" s="21"/>
      <c r="AA27" s="6"/>
      <c r="AB27" s="35"/>
      <c r="AC27" s="713"/>
      <c r="AD27" s="713"/>
      <c r="AE27" s="394"/>
      <c r="AF27" s="29"/>
      <c r="AG27" s="298"/>
      <c r="AH27" s="5"/>
      <c r="AI27" s="258"/>
      <c r="AJ27" s="303"/>
      <c r="AK27" s="231"/>
      <c r="AL27" s="235"/>
      <c r="AM27" s="199"/>
      <c r="AN27" s="148"/>
      <c r="AO27" s="711"/>
      <c r="AP27" s="215"/>
      <c r="AQ27" s="199"/>
      <c r="AR27" s="148"/>
      <c r="AS27" s="711"/>
      <c r="AT27" s="21"/>
      <c r="AU27" s="6"/>
      <c r="AV27" s="35"/>
      <c r="AW27" s="713"/>
      <c r="AX27" s="713"/>
      <c r="AY27" s="394"/>
      <c r="AZ27" s="29">
        <f>AK27</f>
        <v>0</v>
      </c>
      <c r="BA27" s="298">
        <f>BA24</f>
        <v>129</v>
      </c>
      <c r="BB27" s="5">
        <f>BA27-AZ27</f>
        <v>129</v>
      </c>
      <c r="BC27" s="5">
        <v>100</v>
      </c>
      <c r="BD27" s="303">
        <f>BD24*C27</f>
        <v>38.699999999999996</v>
      </c>
      <c r="BE27" s="231">
        <f t="shared" ref="BE27" si="35">AZ27+BC27-BD27</f>
        <v>61.300000000000004</v>
      </c>
      <c r="BF27" s="215"/>
      <c r="BG27" s="199"/>
      <c r="BH27" s="35" t="s">
        <v>872</v>
      </c>
      <c r="BI27" s="612"/>
      <c r="BJ27" s="235"/>
      <c r="BK27" s="199"/>
      <c r="BL27" s="35"/>
      <c r="BM27" s="612"/>
      <c r="BN27" s="527"/>
      <c r="BO27" s="6"/>
      <c r="BP27" s="35"/>
      <c r="BQ27" s="713"/>
      <c r="BR27" s="713"/>
      <c r="BS27" s="394"/>
      <c r="BT27" s="29">
        <f>BE27</f>
        <v>61.300000000000004</v>
      </c>
      <c r="BU27" s="298">
        <f>BU24</f>
        <v>450</v>
      </c>
      <c r="BV27" s="5">
        <f>BU27-BT27</f>
        <v>388.7</v>
      </c>
      <c r="BW27" s="5"/>
      <c r="BX27" s="303">
        <f>BX24*C27</f>
        <v>90.6</v>
      </c>
      <c r="BY27" s="231">
        <f t="shared" ref="BY27" si="36">BT27+BW27-BX27</f>
        <v>-29.29999999999999</v>
      </c>
      <c r="BZ27" s="549"/>
      <c r="CA27" s="199"/>
      <c r="CB27" s="148"/>
      <c r="CC27" s="711"/>
      <c r="CD27" s="215"/>
      <c r="CE27" s="199"/>
      <c r="CF27" s="148"/>
      <c r="CG27" s="711"/>
      <c r="CH27" s="21"/>
      <c r="CI27" s="6"/>
      <c r="CJ27" s="35"/>
      <c r="CK27" s="713"/>
      <c r="CL27" s="713"/>
      <c r="CM27" s="394"/>
      <c r="CN27" s="29"/>
      <c r="CO27" s="298"/>
      <c r="CP27" s="5"/>
      <c r="CQ27" s="256"/>
      <c r="CR27" s="303"/>
      <c r="CS27" s="231"/>
      <c r="CT27" s="235"/>
      <c r="CU27" s="199"/>
      <c r="CV27" s="148"/>
      <c r="CW27" s="711"/>
      <c r="CX27" s="215"/>
      <c r="CY27" s="199"/>
      <c r="CZ27" s="148"/>
      <c r="DA27" s="711"/>
      <c r="DB27" s="21"/>
      <c r="DC27" s="6"/>
      <c r="DD27" s="35"/>
      <c r="DE27" s="713"/>
      <c r="DF27" s="713"/>
      <c r="DG27" s="394"/>
      <c r="DH27" s="29"/>
      <c r="DI27" s="298"/>
      <c r="DJ27" s="5"/>
      <c r="DK27" s="240"/>
      <c r="DL27" s="303"/>
      <c r="DM27" s="231"/>
    </row>
    <row r="28" spans="1:117" x14ac:dyDescent="0.25">
      <c r="A28" s="18"/>
      <c r="B28" s="11" t="s">
        <v>852</v>
      </c>
      <c r="C28" s="18">
        <v>1</v>
      </c>
      <c r="D28" s="11"/>
      <c r="E28" s="11"/>
      <c r="F28" s="149"/>
      <c r="G28" s="11"/>
      <c r="H28" s="25"/>
      <c r="I28" s="24"/>
      <c r="J28" s="536"/>
      <c r="K28" s="394"/>
      <c r="L28" s="544"/>
      <c r="M28" s="298"/>
      <c r="N28" s="5"/>
      <c r="O28" s="256"/>
      <c r="P28" s="303"/>
      <c r="Q28" s="231"/>
      <c r="R28" s="235"/>
      <c r="S28" s="199"/>
      <c r="T28" s="148"/>
      <c r="U28" s="711"/>
      <c r="V28" s="549"/>
      <c r="W28" s="199"/>
      <c r="X28" s="148"/>
      <c r="Y28" s="711"/>
      <c r="Z28" s="21"/>
      <c r="AA28" s="6"/>
      <c r="AB28" s="35"/>
      <c r="AC28" s="713"/>
      <c r="AD28" s="713"/>
      <c r="AE28" s="394"/>
      <c r="AF28" s="29"/>
      <c r="AG28" s="298"/>
      <c r="AH28" s="5"/>
      <c r="AI28" s="258"/>
      <c r="AJ28" s="303"/>
      <c r="AK28" s="231"/>
      <c r="AL28" s="235"/>
      <c r="AM28" s="199"/>
      <c r="AN28" s="148"/>
      <c r="AO28" s="711"/>
      <c r="AP28" s="215"/>
      <c r="AQ28" s="199"/>
      <c r="AR28" s="148"/>
      <c r="AS28" s="711"/>
      <c r="AT28" s="21"/>
      <c r="AU28" s="6"/>
      <c r="AV28" s="35"/>
      <c r="AW28" s="713"/>
      <c r="AX28" s="713"/>
      <c r="AY28" s="394"/>
      <c r="AZ28" s="29"/>
      <c r="BA28" s="298"/>
      <c r="BB28" s="5"/>
      <c r="BC28" s="240"/>
      <c r="BD28" s="303"/>
      <c r="BE28" s="231"/>
      <c r="BF28" s="215"/>
      <c r="BG28" s="199"/>
      <c r="BH28" s="148"/>
      <c r="BI28" s="711"/>
      <c r="BJ28" s="235"/>
      <c r="BK28" s="199"/>
      <c r="BL28" s="35"/>
      <c r="BM28" s="612"/>
      <c r="BN28" s="527"/>
      <c r="BO28" s="6"/>
      <c r="BP28" s="35"/>
      <c r="BQ28" s="713"/>
      <c r="BR28" s="713"/>
      <c r="BS28" s="394"/>
      <c r="BT28" s="29">
        <f>BE28</f>
        <v>0</v>
      </c>
      <c r="BU28" s="298">
        <f>BU24</f>
        <v>450</v>
      </c>
      <c r="BV28" s="5">
        <f>BU28-BT28</f>
        <v>450</v>
      </c>
      <c r="BW28" s="643">
        <v>2000</v>
      </c>
      <c r="BX28" s="303">
        <f>BX24</f>
        <v>302</v>
      </c>
      <c r="BY28" s="231">
        <f t="shared" ref="BY28" si="37">BT28+BW28-BX28</f>
        <v>1698</v>
      </c>
      <c r="BZ28" s="549"/>
      <c r="CA28" s="199"/>
      <c r="CB28" s="148"/>
      <c r="CC28" s="711"/>
      <c r="CD28" s="215"/>
      <c r="CE28" s="199"/>
      <c r="CF28" s="148"/>
      <c r="CG28" s="711"/>
      <c r="CH28" s="21"/>
      <c r="CI28" s="6"/>
      <c r="CJ28" s="35"/>
      <c r="CK28" s="713"/>
      <c r="CL28" s="713"/>
      <c r="CM28" s="394"/>
      <c r="CN28" s="29"/>
      <c r="CO28" s="298"/>
      <c r="CP28" s="5"/>
      <c r="CQ28" s="256"/>
      <c r="CR28" s="303"/>
      <c r="CS28" s="231"/>
      <c r="CT28" s="235"/>
      <c r="CU28" s="199"/>
      <c r="CV28" s="148"/>
      <c r="CW28" s="711"/>
      <c r="CX28" s="215"/>
      <c r="CY28" s="199"/>
      <c r="CZ28" s="148"/>
      <c r="DA28" s="711"/>
      <c r="DB28" s="21"/>
      <c r="DC28" s="6"/>
      <c r="DD28" s="35"/>
      <c r="DE28" s="713"/>
      <c r="DF28" s="713"/>
      <c r="DG28" s="394"/>
      <c r="DH28" s="29"/>
      <c r="DI28" s="298"/>
      <c r="DJ28" s="5"/>
      <c r="DK28" s="240"/>
      <c r="DL28" s="303"/>
      <c r="DM28" s="231"/>
    </row>
    <row r="29" spans="1:117" ht="30" x14ac:dyDescent="0.25">
      <c r="A29" s="18"/>
      <c r="B29" s="11" t="s">
        <v>250</v>
      </c>
      <c r="C29" s="18">
        <v>1</v>
      </c>
      <c r="D29" s="11"/>
      <c r="E29" s="11"/>
      <c r="F29" s="568">
        <v>413</v>
      </c>
      <c r="G29" s="11" t="s">
        <v>649</v>
      </c>
      <c r="H29" s="25" t="s">
        <v>11</v>
      </c>
      <c r="I29" s="24"/>
      <c r="J29" s="536">
        <f t="shared" ref="J29:J37" si="38">SUM(M29,AG29,BA29,BU29)-L29</f>
        <v>-57</v>
      </c>
      <c r="K29" s="394">
        <f t="shared" si="8"/>
        <v>-881</v>
      </c>
      <c r="L29" s="544">
        <v>747</v>
      </c>
      <c r="M29" s="298">
        <f>M24</f>
        <v>16</v>
      </c>
      <c r="N29" s="5">
        <f>M29-L29</f>
        <v>-731</v>
      </c>
      <c r="O29" s="256">
        <v>150</v>
      </c>
      <c r="P29" s="303">
        <f>P24</f>
        <v>16</v>
      </c>
      <c r="Q29" s="231">
        <f t="shared" si="9"/>
        <v>881</v>
      </c>
      <c r="R29" s="573">
        <f>$F$29*50%*150</f>
        <v>30975</v>
      </c>
      <c r="S29" s="569">
        <f>$F$29*50%*600</f>
        <v>123900</v>
      </c>
      <c r="T29" s="211" t="s">
        <v>689</v>
      </c>
      <c r="U29" s="708"/>
      <c r="V29" s="549"/>
      <c r="W29" s="210"/>
      <c r="X29" s="216"/>
      <c r="Y29" s="707"/>
      <c r="Z29" s="21"/>
      <c r="AA29" s="569">
        <f>$F$29*50%*150</f>
        <v>30975</v>
      </c>
      <c r="AB29" s="216" t="s">
        <v>702</v>
      </c>
      <c r="AC29" s="716"/>
      <c r="AD29" s="716"/>
      <c r="AE29" s="394">
        <f t="shared" ref="AE29:AE37" si="39">SUM(M29,AG29)-SUM(O29,AI29)-L29</f>
        <v>-786</v>
      </c>
      <c r="AF29" s="29">
        <f t="shared" ref="AF29:AF46" si="40">Q29</f>
        <v>881</v>
      </c>
      <c r="AG29" s="298">
        <f>AG24</f>
        <v>95</v>
      </c>
      <c r="AH29" s="5">
        <f>AG29-AF29</f>
        <v>-786</v>
      </c>
      <c r="AI29" s="258"/>
      <c r="AJ29" s="303">
        <f>AJ24</f>
        <v>89</v>
      </c>
      <c r="AK29" s="231">
        <f t="shared" si="30"/>
        <v>792</v>
      </c>
      <c r="AL29" s="21"/>
      <c r="AM29" s="210"/>
      <c r="AN29" s="216"/>
      <c r="AO29" s="707"/>
      <c r="AP29" s="215"/>
      <c r="AQ29" s="210"/>
      <c r="AR29" s="216"/>
      <c r="AS29" s="707"/>
      <c r="AT29" s="215"/>
      <c r="AU29" s="210"/>
      <c r="AV29" s="216"/>
      <c r="AW29" s="716"/>
      <c r="AX29" s="716"/>
      <c r="AY29" s="394">
        <f t="shared" ref="AY29:AY37" si="41">SUM(M29,AG29,BA29)-SUM(O29,AI29,BC29)-L29</f>
        <v>-657</v>
      </c>
      <c r="AZ29" s="607">
        <v>535</v>
      </c>
      <c r="BA29" s="298">
        <f>BA24</f>
        <v>129</v>
      </c>
      <c r="BB29" s="5">
        <f>BA29-AZ29</f>
        <v>-406</v>
      </c>
      <c r="BC29" s="240"/>
      <c r="BD29" s="303">
        <f>BD24</f>
        <v>129</v>
      </c>
      <c r="BE29" s="231">
        <f t="shared" si="31"/>
        <v>406</v>
      </c>
      <c r="BF29" s="310"/>
      <c r="BG29" s="199"/>
      <c r="BH29" s="216"/>
      <c r="BI29" s="707"/>
      <c r="BJ29" s="21">
        <f>204949.2/2</f>
        <v>102474.6</v>
      </c>
      <c r="BK29" s="6"/>
      <c r="BL29" s="35" t="s">
        <v>792</v>
      </c>
      <c r="BM29" s="612"/>
      <c r="BN29" s="527"/>
      <c r="BO29" s="6"/>
      <c r="BP29" s="35"/>
      <c r="BQ29" s="713"/>
      <c r="BR29" s="713"/>
      <c r="BS29" s="394">
        <f t="shared" ref="BS29:BS37" si="42">SUM(M29,AG29,BA29,BU29)-SUM(O29,AI29,BC29,BW29)-L29</f>
        <v>-712</v>
      </c>
      <c r="BT29" s="29">
        <f t="shared" ref="BT29:BT37" si="43">BE29</f>
        <v>406</v>
      </c>
      <c r="BU29" s="298">
        <f>BU24</f>
        <v>450</v>
      </c>
      <c r="BV29" s="5">
        <f>BU29-BT29</f>
        <v>44</v>
      </c>
      <c r="BW29" s="7">
        <v>505</v>
      </c>
      <c r="BX29" s="303">
        <f>BX24</f>
        <v>302</v>
      </c>
      <c r="BY29" s="231">
        <f t="shared" si="32"/>
        <v>609</v>
      </c>
      <c r="BZ29" s="310"/>
      <c r="CA29" s="663">
        <v>102474.6</v>
      </c>
      <c r="CB29" s="664" t="s">
        <v>793</v>
      </c>
      <c r="CC29" s="773"/>
      <c r="CD29" s="215"/>
      <c r="CE29" s="210"/>
      <c r="CF29" s="216"/>
      <c r="CG29" s="707"/>
      <c r="CH29" s="21"/>
      <c r="CI29" s="210"/>
      <c r="CJ29" s="211"/>
      <c r="CK29" s="733"/>
      <c r="CL29" s="733"/>
      <c r="CM29" s="394">
        <f t="shared" ref="CM29:CM37" si="44">SUM(M29,AG29,BA29,BU29,CO29)-SUM(O29,AI29,BC29,BW29,CQ29)-L29</f>
        <v>-512</v>
      </c>
      <c r="CN29" s="29">
        <f t="shared" ref="CN29:CN37" si="45">BY29</f>
        <v>609</v>
      </c>
      <c r="CO29" s="298">
        <f>CO24</f>
        <v>200</v>
      </c>
      <c r="CP29" s="5">
        <f>CO29-CN29</f>
        <v>-409</v>
      </c>
      <c r="CQ29" s="240"/>
      <c r="CR29" s="303">
        <f>CR24</f>
        <v>0</v>
      </c>
      <c r="CS29" s="231">
        <f t="shared" si="33"/>
        <v>609</v>
      </c>
      <c r="CT29" s="21"/>
      <c r="CU29" s="210"/>
      <c r="CV29" s="211"/>
      <c r="CW29" s="708"/>
      <c r="CX29" s="215"/>
      <c r="CY29" s="199"/>
      <c r="CZ29" s="148"/>
      <c r="DA29" s="711"/>
      <c r="DB29" s="21"/>
      <c r="DC29" s="6"/>
      <c r="DD29" s="35"/>
      <c r="DE29" s="713"/>
      <c r="DF29" s="713"/>
      <c r="DG29" s="394">
        <f t="shared" ref="DG29:DG37" si="46">SUM(M29,AG29,BA29,BU29,DI29)-SUM(O29,AI29,BC29,BW29,CQ29)-L29</f>
        <v>-712</v>
      </c>
      <c r="DH29" s="29">
        <f t="shared" ref="DH29:DH37" si="47">BY29</f>
        <v>609</v>
      </c>
      <c r="DI29" s="298">
        <f>DI24</f>
        <v>0</v>
      </c>
      <c r="DJ29" s="5">
        <f>DI29-DH29</f>
        <v>-609</v>
      </c>
      <c r="DK29" s="240"/>
      <c r="DL29" s="303">
        <f>DL24</f>
        <v>0</v>
      </c>
      <c r="DM29" s="231">
        <f t="shared" si="34"/>
        <v>609</v>
      </c>
    </row>
    <row r="30" spans="1:117" ht="30" x14ac:dyDescent="0.25">
      <c r="A30" s="18"/>
      <c r="B30" s="11" t="s">
        <v>270</v>
      </c>
      <c r="C30" s="18">
        <v>2</v>
      </c>
      <c r="D30" s="11"/>
      <c r="E30" s="11"/>
      <c r="F30" s="611">
        <v>300</v>
      </c>
      <c r="G30" s="15" t="s">
        <v>790</v>
      </c>
      <c r="H30" s="26" t="s">
        <v>22</v>
      </c>
      <c r="I30" s="382"/>
      <c r="J30" s="536">
        <f t="shared" si="38"/>
        <v>-455</v>
      </c>
      <c r="K30" s="394">
        <f t="shared" si="8"/>
        <v>-1803</v>
      </c>
      <c r="L30" s="544">
        <v>1835</v>
      </c>
      <c r="M30" s="298">
        <f>M24*2</f>
        <v>32</v>
      </c>
      <c r="N30" s="5">
        <f t="shared" ref="N30:N32" si="48">M30-L30</f>
        <v>-1803</v>
      </c>
      <c r="O30" s="258"/>
      <c r="P30" s="303">
        <f>P24*2</f>
        <v>32</v>
      </c>
      <c r="Q30" s="231">
        <f t="shared" ref="Q30:Q32" si="49">L30+O30-P30</f>
        <v>1803</v>
      </c>
      <c r="R30" s="121"/>
      <c r="S30" s="210"/>
      <c r="T30" s="211"/>
      <c r="U30" s="708"/>
      <c r="V30" s="121"/>
      <c r="W30" s="210"/>
      <c r="X30" s="211"/>
      <c r="Y30" s="708"/>
      <c r="Z30" s="21"/>
      <c r="AA30" s="6"/>
      <c r="AB30" s="35"/>
      <c r="AC30" s="713"/>
      <c r="AD30" s="713"/>
      <c r="AE30" s="394">
        <f t="shared" si="39"/>
        <v>-1613</v>
      </c>
      <c r="AF30" s="29">
        <f t="shared" si="40"/>
        <v>1803</v>
      </c>
      <c r="AG30" s="298">
        <f>AG24*2</f>
        <v>190</v>
      </c>
      <c r="AH30" s="5">
        <f t="shared" ref="AH30:AH32" si="50">AG30-AF30</f>
        <v>-1613</v>
      </c>
      <c r="AI30" s="256"/>
      <c r="AJ30" s="303">
        <f>AJ24*2</f>
        <v>178</v>
      </c>
      <c r="AK30" s="231">
        <f t="shared" si="30"/>
        <v>1625</v>
      </c>
      <c r="AL30" s="21"/>
      <c r="AM30" s="6"/>
      <c r="AN30" s="35"/>
      <c r="AO30" s="612"/>
      <c r="AP30" s="215"/>
      <c r="AQ30" s="6"/>
      <c r="AR30" s="35"/>
      <c r="AS30" s="612"/>
      <c r="AT30" s="310"/>
      <c r="AU30" s="210"/>
      <c r="AV30" s="35"/>
      <c r="AW30" s="713"/>
      <c r="AX30" s="713"/>
      <c r="AY30" s="394">
        <f t="shared" si="41"/>
        <v>-1355</v>
      </c>
      <c r="AZ30" s="29">
        <f t="shared" ref="AZ30:AZ37" si="51">AK30</f>
        <v>1625</v>
      </c>
      <c r="BA30" s="298">
        <f>BA24*2</f>
        <v>258</v>
      </c>
      <c r="BB30" s="5">
        <f t="shared" ref="BB30:BB32" si="52">BA30-AZ30</f>
        <v>-1367</v>
      </c>
      <c r="BC30" s="5"/>
      <c r="BD30" s="303">
        <f>BD24*2</f>
        <v>258</v>
      </c>
      <c r="BE30" s="231">
        <f t="shared" si="31"/>
        <v>1367</v>
      </c>
      <c r="BF30" s="121"/>
      <c r="BG30" s="6"/>
      <c r="BH30" s="35"/>
      <c r="BI30" s="612"/>
      <c r="BJ30" s="121">
        <f>300*1066/2</f>
        <v>159900</v>
      </c>
      <c r="BK30" s="6"/>
      <c r="BL30" s="35" t="s">
        <v>850</v>
      </c>
      <c r="BM30" s="612"/>
      <c r="BN30" s="527"/>
      <c r="BO30" s="121">
        <f>300*1066/2</f>
        <v>159900</v>
      </c>
      <c r="BP30" s="35" t="s">
        <v>851</v>
      </c>
      <c r="BQ30" s="713"/>
      <c r="BR30" s="713"/>
      <c r="BS30" s="394">
        <f t="shared" si="42"/>
        <v>-1521</v>
      </c>
      <c r="BT30" s="29">
        <f t="shared" si="43"/>
        <v>1367</v>
      </c>
      <c r="BU30" s="298">
        <f>BU24*2</f>
        <v>900</v>
      </c>
      <c r="BV30" s="5">
        <f t="shared" ref="BV30:BV32" si="53">BU30-BT30</f>
        <v>-467</v>
      </c>
      <c r="BW30" s="258">
        <v>1066</v>
      </c>
      <c r="BX30" s="303">
        <f>BX24*2</f>
        <v>604</v>
      </c>
      <c r="BY30" s="231">
        <f t="shared" si="32"/>
        <v>1829</v>
      </c>
      <c r="BZ30" s="121"/>
      <c r="CA30" s="663">
        <v>153000</v>
      </c>
      <c r="CB30" s="664" t="s">
        <v>880</v>
      </c>
      <c r="CC30" s="773"/>
      <c r="CD30" s="121"/>
      <c r="CE30" s="6"/>
      <c r="CF30" s="35"/>
      <c r="CG30" s="612"/>
      <c r="CH30" s="21"/>
      <c r="CI30" s="6"/>
      <c r="CJ30" s="414"/>
      <c r="CK30" s="801"/>
      <c r="CL30" s="801"/>
      <c r="CM30" s="394">
        <f t="shared" si="44"/>
        <v>-1121</v>
      </c>
      <c r="CN30" s="29">
        <f t="shared" si="45"/>
        <v>1829</v>
      </c>
      <c r="CO30" s="298">
        <f>CO24*2</f>
        <v>400</v>
      </c>
      <c r="CP30" s="5">
        <f t="shared" ref="CP30:CP32" si="54">CO30-CN30</f>
        <v>-1429</v>
      </c>
      <c r="CQ30" s="258"/>
      <c r="CR30" s="303">
        <f>CR24*2</f>
        <v>0</v>
      </c>
      <c r="CS30" s="231">
        <f t="shared" si="33"/>
        <v>1829</v>
      </c>
      <c r="CT30" s="121"/>
      <c r="CU30" s="6"/>
      <c r="CV30" s="35"/>
      <c r="CW30" s="612"/>
      <c r="CX30" s="121"/>
      <c r="CY30" s="6"/>
      <c r="CZ30" s="35"/>
      <c r="DA30" s="612"/>
      <c r="DB30" s="21"/>
      <c r="DC30" s="6"/>
      <c r="DD30" s="35"/>
      <c r="DE30" s="713"/>
      <c r="DF30" s="713"/>
      <c r="DG30" s="394">
        <f t="shared" si="46"/>
        <v>-1521</v>
      </c>
      <c r="DH30" s="29">
        <f t="shared" si="47"/>
        <v>1829</v>
      </c>
      <c r="DI30" s="298">
        <f>DI24*2</f>
        <v>0</v>
      </c>
      <c r="DJ30" s="5">
        <f t="shared" ref="DJ30:DJ32" si="55">DI30-DH30</f>
        <v>-1829</v>
      </c>
      <c r="DK30" s="240"/>
      <c r="DL30" s="303">
        <f>DL24*2</f>
        <v>0</v>
      </c>
      <c r="DM30" s="231">
        <f t="shared" si="34"/>
        <v>1829</v>
      </c>
    </row>
    <row r="31" spans="1:117" x14ac:dyDescent="0.25">
      <c r="A31" s="18"/>
      <c r="B31" s="11" t="s">
        <v>587</v>
      </c>
      <c r="C31" s="18">
        <v>1</v>
      </c>
      <c r="D31" s="379"/>
      <c r="E31" s="379"/>
      <c r="F31" s="568">
        <v>230.4</v>
      </c>
      <c r="G31" s="74" t="s">
        <v>50</v>
      </c>
      <c r="H31" s="147" t="s">
        <v>170</v>
      </c>
      <c r="I31" s="294"/>
      <c r="J31" s="536">
        <f t="shared" si="38"/>
        <v>-266</v>
      </c>
      <c r="K31" s="394">
        <f t="shared" si="8"/>
        <v>-940</v>
      </c>
      <c r="L31" s="544">
        <v>956</v>
      </c>
      <c r="M31" s="298">
        <f>M24</f>
        <v>16</v>
      </c>
      <c r="N31" s="5">
        <f t="shared" ref="N31" si="56">M31-L31</f>
        <v>-940</v>
      </c>
      <c r="O31" s="258"/>
      <c r="P31" s="303">
        <f>P24</f>
        <v>16</v>
      </c>
      <c r="Q31" s="231">
        <f t="shared" ref="Q31" si="57">L31+O31-P31</f>
        <v>940</v>
      </c>
      <c r="R31" s="21"/>
      <c r="S31" s="210"/>
      <c r="T31" s="211"/>
      <c r="U31" s="708"/>
      <c r="V31" s="21"/>
      <c r="W31" s="210"/>
      <c r="X31" s="211"/>
      <c r="Y31" s="708"/>
      <c r="Z31" s="21"/>
      <c r="AA31" s="6"/>
      <c r="AB31" s="35"/>
      <c r="AC31" s="713"/>
      <c r="AD31" s="713"/>
      <c r="AE31" s="394">
        <f t="shared" si="39"/>
        <v>-845</v>
      </c>
      <c r="AF31" s="29">
        <f t="shared" si="40"/>
        <v>940</v>
      </c>
      <c r="AG31" s="298">
        <f>AG24</f>
        <v>95</v>
      </c>
      <c r="AH31" s="5">
        <f t="shared" ref="AH31" si="58">AG31-AF31</f>
        <v>-845</v>
      </c>
      <c r="AI31" s="256"/>
      <c r="AJ31" s="303">
        <f>AJ24</f>
        <v>89</v>
      </c>
      <c r="AK31" s="231">
        <f t="shared" ref="AK31" si="59">AF31+AI31-AJ31</f>
        <v>851</v>
      </c>
      <c r="AL31" s="21"/>
      <c r="AM31" s="6"/>
      <c r="AN31" s="35"/>
      <c r="AO31" s="612"/>
      <c r="AP31" s="215"/>
      <c r="AQ31" s="6"/>
      <c r="AR31" s="35"/>
      <c r="AS31" s="612"/>
      <c r="AT31" s="310"/>
      <c r="AU31" s="6"/>
      <c r="AV31" s="35"/>
      <c r="AW31" s="713"/>
      <c r="AX31" s="713"/>
      <c r="AY31" s="394">
        <f t="shared" si="41"/>
        <v>-1221</v>
      </c>
      <c r="AZ31" s="607">
        <v>513</v>
      </c>
      <c r="BA31" s="298">
        <f>BA24</f>
        <v>129</v>
      </c>
      <c r="BB31" s="5">
        <f t="shared" ref="BB31" si="60">BA31-AZ31</f>
        <v>-384</v>
      </c>
      <c r="BC31" s="5">
        <v>505</v>
      </c>
      <c r="BD31" s="303">
        <f>BD24</f>
        <v>129</v>
      </c>
      <c r="BE31" s="231">
        <f t="shared" ref="BE31" si="61">AZ31+BC31-BD31</f>
        <v>889</v>
      </c>
      <c r="BF31" s="21"/>
      <c r="BG31" s="6"/>
      <c r="BH31" s="35"/>
      <c r="BI31" s="612"/>
      <c r="BJ31" s="121">
        <f>116352/2</f>
        <v>58176</v>
      </c>
      <c r="BK31" s="6"/>
      <c r="BL31" s="35" t="s">
        <v>792</v>
      </c>
      <c r="BM31" s="612"/>
      <c r="BN31" s="527"/>
      <c r="BO31" s="6">
        <v>58176</v>
      </c>
      <c r="BP31" s="35" t="s">
        <v>793</v>
      </c>
      <c r="BQ31" s="713"/>
      <c r="BR31" s="713"/>
      <c r="BS31" s="394">
        <f t="shared" si="42"/>
        <v>-771</v>
      </c>
      <c r="BT31" s="29">
        <f t="shared" ref="BT31" si="62">BE31</f>
        <v>889</v>
      </c>
      <c r="BU31" s="298">
        <f>BU24</f>
        <v>450</v>
      </c>
      <c r="BV31" s="5">
        <f t="shared" ref="BV31" si="63">BU31-BT31</f>
        <v>-439</v>
      </c>
      <c r="BW31" s="256"/>
      <c r="BX31" s="303">
        <f>BX24</f>
        <v>302</v>
      </c>
      <c r="BY31" s="231">
        <f t="shared" ref="BY31" si="64">BT31+BW31-BX31</f>
        <v>587</v>
      </c>
      <c r="BZ31" s="21"/>
      <c r="CD31" s="121"/>
      <c r="CE31" s="6"/>
      <c r="CF31" s="35"/>
      <c r="CG31" s="612"/>
      <c r="CH31" s="21"/>
      <c r="CI31" s="6"/>
      <c r="CJ31" s="414"/>
      <c r="CK31" s="801"/>
      <c r="CL31" s="801"/>
      <c r="CM31" s="394">
        <f t="shared" si="44"/>
        <v>-571</v>
      </c>
      <c r="CN31" s="29">
        <f t="shared" ref="CN31" si="65">BY31</f>
        <v>587</v>
      </c>
      <c r="CO31" s="298">
        <f>CO24</f>
        <v>200</v>
      </c>
      <c r="CP31" s="5">
        <f t="shared" ref="CP31" si="66">CO31-CN31</f>
        <v>-387</v>
      </c>
      <c r="CQ31" s="258"/>
      <c r="CR31" s="303">
        <f>CR24</f>
        <v>0</v>
      </c>
      <c r="CS31" s="231">
        <f t="shared" ref="CS31" si="67">CN31+CQ31-CR31</f>
        <v>587</v>
      </c>
      <c r="CT31" s="21"/>
      <c r="CU31" s="6"/>
      <c r="CV31" s="35"/>
      <c r="CW31" s="612"/>
      <c r="CX31" s="121"/>
      <c r="CY31" s="6"/>
      <c r="CZ31" s="35"/>
      <c r="DA31" s="612"/>
      <c r="DB31" s="21"/>
      <c r="DC31" s="6"/>
      <c r="DD31" s="35"/>
      <c r="DE31" s="713"/>
      <c r="DF31" s="713"/>
      <c r="DG31" s="394">
        <f t="shared" si="46"/>
        <v>-771</v>
      </c>
      <c r="DH31" s="29">
        <f t="shared" si="47"/>
        <v>587</v>
      </c>
      <c r="DI31" s="298">
        <f>DI24</f>
        <v>0</v>
      </c>
      <c r="DJ31" s="5">
        <f t="shared" si="55"/>
        <v>-587</v>
      </c>
      <c r="DK31" s="240"/>
      <c r="DL31" s="303">
        <f>DL24</f>
        <v>0</v>
      </c>
      <c r="DM31" s="231">
        <f t="shared" si="34"/>
        <v>587</v>
      </c>
    </row>
    <row r="32" spans="1:117" ht="32.450000000000003" customHeight="1" x14ac:dyDescent="0.25">
      <c r="A32" s="18"/>
      <c r="B32" s="11" t="s">
        <v>588</v>
      </c>
      <c r="C32" s="18">
        <v>1</v>
      </c>
      <c r="D32" s="609" t="s">
        <v>788</v>
      </c>
      <c r="E32" s="609"/>
      <c r="F32" s="568">
        <v>5.2</v>
      </c>
      <c r="G32" s="23" t="s">
        <v>757</v>
      </c>
      <c r="H32" s="147" t="s">
        <v>174</v>
      </c>
      <c r="I32" s="294"/>
      <c r="J32" s="536">
        <f t="shared" si="38"/>
        <v>-227</v>
      </c>
      <c r="K32" s="394">
        <f t="shared" si="8"/>
        <v>-901</v>
      </c>
      <c r="L32" s="544">
        <v>917</v>
      </c>
      <c r="M32" s="298">
        <f>M24</f>
        <v>16</v>
      </c>
      <c r="N32" s="5">
        <f t="shared" si="48"/>
        <v>-901</v>
      </c>
      <c r="O32" s="244"/>
      <c r="P32" s="303">
        <f>P24</f>
        <v>16</v>
      </c>
      <c r="Q32" s="231">
        <f t="shared" si="49"/>
        <v>901</v>
      </c>
      <c r="R32" s="21"/>
      <c r="S32" s="6"/>
      <c r="T32" s="35"/>
      <c r="U32" s="612"/>
      <c r="V32" s="21"/>
      <c r="W32" s="6"/>
      <c r="X32" s="35"/>
      <c r="Y32" s="612"/>
      <c r="Z32" s="21"/>
      <c r="AA32" s="6"/>
      <c r="AB32" s="35"/>
      <c r="AC32" s="713"/>
      <c r="AD32" s="713"/>
      <c r="AE32" s="394">
        <f t="shared" si="39"/>
        <v>-806</v>
      </c>
      <c r="AF32" s="29">
        <f t="shared" si="40"/>
        <v>901</v>
      </c>
      <c r="AG32" s="298">
        <f>AG24</f>
        <v>95</v>
      </c>
      <c r="AH32" s="5">
        <f t="shared" si="50"/>
        <v>-806</v>
      </c>
      <c r="AI32" s="258"/>
      <c r="AJ32" s="303">
        <f>AJ24</f>
        <v>89</v>
      </c>
      <c r="AK32" s="231">
        <f t="shared" si="30"/>
        <v>812</v>
      </c>
      <c r="AL32" s="21"/>
      <c r="AM32" s="6"/>
      <c r="AN32" s="35"/>
      <c r="AO32" s="612"/>
      <c r="AP32" s="121"/>
      <c r="AQ32" s="6"/>
      <c r="AR32" s="35"/>
      <c r="AS32" s="612"/>
      <c r="AT32" s="21"/>
      <c r="AU32" s="6"/>
      <c r="AV32" s="35"/>
      <c r="AW32" s="713"/>
      <c r="AX32" s="713"/>
      <c r="AY32" s="394">
        <f t="shared" si="41"/>
        <v>-1177</v>
      </c>
      <c r="AZ32" s="607">
        <f t="shared" si="51"/>
        <v>812</v>
      </c>
      <c r="BA32" s="298">
        <f>BA24</f>
        <v>129</v>
      </c>
      <c r="BB32" s="5">
        <f t="shared" si="52"/>
        <v>-683</v>
      </c>
      <c r="BC32" s="5">
        <v>500</v>
      </c>
      <c r="BD32" s="303">
        <f>BD24</f>
        <v>129</v>
      </c>
      <c r="BE32" s="231">
        <f t="shared" si="31"/>
        <v>1183</v>
      </c>
      <c r="BF32" s="21"/>
      <c r="BG32" s="6"/>
      <c r="BH32" s="35"/>
      <c r="BI32" s="612"/>
      <c r="BJ32" s="121"/>
      <c r="BK32" s="6">
        <v>2600</v>
      </c>
      <c r="BL32" s="35" t="s">
        <v>791</v>
      </c>
      <c r="BM32" s="612"/>
      <c r="BN32" s="527"/>
      <c r="BO32" s="6"/>
      <c r="BP32" s="35"/>
      <c r="BQ32" s="713"/>
      <c r="BR32" s="713"/>
      <c r="BS32" s="394">
        <f t="shared" si="42"/>
        <v>-727</v>
      </c>
      <c r="BT32" s="29">
        <f t="shared" si="43"/>
        <v>1183</v>
      </c>
      <c r="BU32" s="298">
        <f>BU24</f>
        <v>450</v>
      </c>
      <c r="BV32" s="5">
        <f t="shared" si="53"/>
        <v>-733</v>
      </c>
      <c r="BW32" s="258"/>
      <c r="BX32" s="303">
        <f>BX24</f>
        <v>302</v>
      </c>
      <c r="BY32" s="231">
        <f t="shared" si="32"/>
        <v>881</v>
      </c>
      <c r="BZ32" s="527"/>
      <c r="CA32" s="6"/>
      <c r="CB32" s="35"/>
      <c r="CC32" s="612"/>
      <c r="CD32" s="121"/>
      <c r="CE32" s="6"/>
      <c r="CF32" s="35"/>
      <c r="CG32" s="612"/>
      <c r="CH32" s="21"/>
      <c r="CI32" s="6"/>
      <c r="CJ32" s="35"/>
      <c r="CK32" s="713"/>
      <c r="CL32" s="713"/>
      <c r="CM32" s="394">
        <f t="shared" si="44"/>
        <v>-527</v>
      </c>
      <c r="CN32" s="29">
        <f t="shared" si="45"/>
        <v>881</v>
      </c>
      <c r="CO32" s="298">
        <f>CO24</f>
        <v>200</v>
      </c>
      <c r="CP32" s="5">
        <f t="shared" si="54"/>
        <v>-681</v>
      </c>
      <c r="CQ32" s="240"/>
      <c r="CR32" s="303">
        <f>CR24</f>
        <v>0</v>
      </c>
      <c r="CS32" s="231">
        <f t="shared" si="33"/>
        <v>881</v>
      </c>
      <c r="CT32" s="21"/>
      <c r="CU32" s="6"/>
      <c r="CV32" s="35"/>
      <c r="CW32" s="612"/>
      <c r="CX32" s="121"/>
      <c r="CY32" s="6"/>
      <c r="CZ32" s="35"/>
      <c r="DA32" s="612"/>
      <c r="DB32" s="21"/>
      <c r="DC32" s="6"/>
      <c r="DD32" s="35"/>
      <c r="DE32" s="713"/>
      <c r="DF32" s="713"/>
      <c r="DG32" s="394">
        <f t="shared" si="46"/>
        <v>-727</v>
      </c>
      <c r="DH32" s="29">
        <f t="shared" si="47"/>
        <v>881</v>
      </c>
      <c r="DI32" s="298">
        <f>DI24</f>
        <v>0</v>
      </c>
      <c r="DJ32" s="5">
        <f t="shared" si="55"/>
        <v>-881</v>
      </c>
      <c r="DK32" s="240"/>
      <c r="DL32" s="303">
        <f>DL24</f>
        <v>0</v>
      </c>
      <c r="DM32" s="231">
        <f t="shared" si="34"/>
        <v>881</v>
      </c>
    </row>
    <row r="33" spans="1:117" ht="30" x14ac:dyDescent="0.25">
      <c r="A33" s="75"/>
      <c r="B33" s="274" t="s">
        <v>636</v>
      </c>
      <c r="C33" s="75">
        <v>1</v>
      </c>
      <c r="D33" s="343"/>
      <c r="E33" s="343"/>
      <c r="F33" s="610">
        <v>602</v>
      </c>
      <c r="G33" s="74" t="s">
        <v>544</v>
      </c>
      <c r="H33" s="198" t="s">
        <v>524</v>
      </c>
      <c r="I33" s="755"/>
      <c r="J33" s="536">
        <f t="shared" si="38"/>
        <v>-222</v>
      </c>
      <c r="K33" s="394">
        <f t="shared" si="8"/>
        <v>-896</v>
      </c>
      <c r="L33" s="544">
        <v>912</v>
      </c>
      <c r="M33" s="299">
        <f>M24</f>
        <v>16</v>
      </c>
      <c r="N33" s="5">
        <f>M33-L33</f>
        <v>-896</v>
      </c>
      <c r="O33" s="256"/>
      <c r="P33" s="376">
        <f>P24</f>
        <v>16</v>
      </c>
      <c r="Q33" s="231">
        <f>L33+O33-P33</f>
        <v>896</v>
      </c>
      <c r="R33" s="129"/>
      <c r="S33" s="130"/>
      <c r="T33" s="35"/>
      <c r="U33" s="712"/>
      <c r="V33" s="129"/>
      <c r="W33" s="130"/>
      <c r="X33" s="79"/>
      <c r="Y33" s="712"/>
      <c r="Z33" s="131"/>
      <c r="AA33" s="130"/>
      <c r="AB33" s="79"/>
      <c r="AE33" s="394">
        <f t="shared" si="39"/>
        <v>-801</v>
      </c>
      <c r="AF33" s="29">
        <f t="shared" si="40"/>
        <v>896</v>
      </c>
      <c r="AG33" s="299">
        <f>AG24</f>
        <v>95</v>
      </c>
      <c r="AH33" s="5">
        <f>AG33-AF33</f>
        <v>-801</v>
      </c>
      <c r="AI33" s="256"/>
      <c r="AJ33" s="376">
        <f>AJ24</f>
        <v>89</v>
      </c>
      <c r="AK33" s="231">
        <f>AF33+AI33-AJ33</f>
        <v>807</v>
      </c>
      <c r="AL33" s="129"/>
      <c r="AM33" s="130"/>
      <c r="AN33" s="79"/>
      <c r="AO33" s="712"/>
      <c r="AP33" s="129"/>
      <c r="AQ33" s="130"/>
      <c r="AR33" s="79"/>
      <c r="AS33" s="712"/>
      <c r="AT33" s="131"/>
      <c r="AU33" s="130"/>
      <c r="AV33" s="79"/>
      <c r="AY33" s="394">
        <f t="shared" si="41"/>
        <v>-672</v>
      </c>
      <c r="AZ33" s="29">
        <f t="shared" si="51"/>
        <v>807</v>
      </c>
      <c r="BA33" s="299">
        <f>BA24</f>
        <v>129</v>
      </c>
      <c r="BB33" s="5">
        <f>BA33-AZ33</f>
        <v>-678</v>
      </c>
      <c r="BC33" s="240"/>
      <c r="BD33" s="376">
        <f>BD24</f>
        <v>129</v>
      </c>
      <c r="BE33" s="231">
        <f>AZ33+BC33-BD33</f>
        <v>678</v>
      </c>
      <c r="BF33" s="129"/>
      <c r="BG33" s="130"/>
      <c r="BH33" s="35"/>
      <c r="BI33" s="612"/>
      <c r="BJ33" s="215"/>
      <c r="BK33" s="130"/>
      <c r="BL33" s="35"/>
      <c r="BM33" s="612"/>
      <c r="BN33" s="121">
        <f>BC33*F33/2</f>
        <v>0</v>
      </c>
      <c r="BO33" s="130"/>
      <c r="BP33" s="35" t="s">
        <v>792</v>
      </c>
      <c r="BQ33" s="713"/>
      <c r="BR33" s="713"/>
      <c r="BS33" s="394">
        <f t="shared" si="42"/>
        <v>-732</v>
      </c>
      <c r="BT33" s="29">
        <f t="shared" si="43"/>
        <v>678</v>
      </c>
      <c r="BU33" s="299">
        <f>BU24</f>
        <v>450</v>
      </c>
      <c r="BV33" s="5">
        <f>BU33-BT33</f>
        <v>-228</v>
      </c>
      <c r="BW33" s="621">
        <v>510</v>
      </c>
      <c r="BX33" s="376">
        <f>BX24</f>
        <v>302</v>
      </c>
      <c r="BY33" s="231">
        <f>BT33+BW33-BX33</f>
        <v>886</v>
      </c>
      <c r="BZ33" s="681">
        <v>153612</v>
      </c>
      <c r="CA33" s="663"/>
      <c r="CB33" s="682" t="s">
        <v>881</v>
      </c>
      <c r="CC33" s="779"/>
      <c r="CD33" s="129"/>
      <c r="CE33" s="199"/>
      <c r="CF33" s="502"/>
      <c r="CG33" s="786"/>
      <c r="CH33" s="131"/>
      <c r="CI33" s="629">
        <v>153612</v>
      </c>
      <c r="CJ33" s="654" t="s">
        <v>887</v>
      </c>
      <c r="CK33" s="635"/>
      <c r="CL33" s="635"/>
      <c r="CM33" s="394">
        <f t="shared" si="44"/>
        <v>-532</v>
      </c>
      <c r="CN33" s="29">
        <f t="shared" si="45"/>
        <v>886</v>
      </c>
      <c r="CO33" s="299">
        <f>CO24</f>
        <v>200</v>
      </c>
      <c r="CP33" s="5">
        <f>CO33-CN33</f>
        <v>-686</v>
      </c>
      <c r="CQ33" s="244"/>
      <c r="CR33" s="376">
        <f>CR24</f>
        <v>0</v>
      </c>
      <c r="CS33" s="231">
        <f>CN33+CQ33-CR33</f>
        <v>886</v>
      </c>
      <c r="CT33" s="129"/>
      <c r="CU33" s="130"/>
      <c r="CV33" s="35"/>
      <c r="CW33" s="712"/>
      <c r="CX33" s="129"/>
      <c r="CY33" s="130"/>
      <c r="CZ33" s="79"/>
      <c r="DA33" s="712"/>
      <c r="DB33" s="131"/>
      <c r="DC33" s="130"/>
      <c r="DD33" s="79"/>
      <c r="DG33" s="394">
        <f t="shared" si="46"/>
        <v>-732</v>
      </c>
      <c r="DH33" s="29">
        <f t="shared" si="47"/>
        <v>886</v>
      </c>
      <c r="DI33" s="299">
        <f>DI24</f>
        <v>0</v>
      </c>
      <c r="DJ33" s="5">
        <f>DI33-DH33</f>
        <v>-886</v>
      </c>
      <c r="DK33" s="244"/>
      <c r="DL33" s="376">
        <f>DL24</f>
        <v>0</v>
      </c>
      <c r="DM33" s="231">
        <f>DH33+DK33-DL33</f>
        <v>886</v>
      </c>
    </row>
    <row r="34" spans="1:117" x14ac:dyDescent="0.25">
      <c r="A34" s="75"/>
      <c r="B34" s="74" t="s">
        <v>637</v>
      </c>
      <c r="C34" s="75">
        <v>1</v>
      </c>
      <c r="D34" s="74"/>
      <c r="E34" s="74"/>
      <c r="F34" s="610">
        <v>165.6</v>
      </c>
      <c r="G34" s="74" t="s">
        <v>544</v>
      </c>
      <c r="H34" s="198" t="s">
        <v>524</v>
      </c>
      <c r="I34" s="755"/>
      <c r="J34" s="536">
        <f t="shared" si="38"/>
        <v>-293</v>
      </c>
      <c r="K34" s="394">
        <f t="shared" si="8"/>
        <v>-967</v>
      </c>
      <c r="L34" s="544">
        <v>983</v>
      </c>
      <c r="M34" s="299">
        <f>M24</f>
        <v>16</v>
      </c>
      <c r="N34" s="5">
        <f>M34-L34</f>
        <v>-967</v>
      </c>
      <c r="O34" s="258"/>
      <c r="P34" s="376">
        <f>P24</f>
        <v>16</v>
      </c>
      <c r="Q34" s="231">
        <f>L34+O34-P34</f>
        <v>967</v>
      </c>
      <c r="R34" s="131"/>
      <c r="S34" s="130"/>
      <c r="T34" s="35"/>
      <c r="U34" s="712"/>
      <c r="V34" s="129"/>
      <c r="W34" s="130"/>
      <c r="X34" s="79"/>
      <c r="Y34" s="712"/>
      <c r="Z34" s="131"/>
      <c r="AA34" s="130"/>
      <c r="AB34" s="79"/>
      <c r="AE34" s="394">
        <f t="shared" si="39"/>
        <v>-872</v>
      </c>
      <c r="AF34" s="29">
        <f t="shared" si="40"/>
        <v>967</v>
      </c>
      <c r="AG34" s="299">
        <f>AG24</f>
        <v>95</v>
      </c>
      <c r="AH34" s="5">
        <f>AG34-AF34</f>
        <v>-872</v>
      </c>
      <c r="AI34" s="258"/>
      <c r="AJ34" s="376">
        <f>AJ24</f>
        <v>89</v>
      </c>
      <c r="AK34" s="231">
        <f>AF34+AI34-AJ34</f>
        <v>878</v>
      </c>
      <c r="AL34" s="131"/>
      <c r="AM34" s="130"/>
      <c r="AN34" s="79"/>
      <c r="AO34" s="712"/>
      <c r="AP34" s="129"/>
      <c r="AQ34" s="130"/>
      <c r="AR34" s="79"/>
      <c r="AS34" s="712"/>
      <c r="AT34" s="131"/>
      <c r="AU34" s="130"/>
      <c r="AV34" s="79"/>
      <c r="AY34" s="394">
        <f t="shared" si="41"/>
        <v>-743</v>
      </c>
      <c r="AZ34" s="29">
        <f t="shared" si="51"/>
        <v>878</v>
      </c>
      <c r="BA34" s="299">
        <f>BA24</f>
        <v>129</v>
      </c>
      <c r="BB34" s="5">
        <f>BA34-AZ34</f>
        <v>-749</v>
      </c>
      <c r="BC34" s="240"/>
      <c r="BD34" s="376">
        <f>BD24</f>
        <v>129</v>
      </c>
      <c r="BE34" s="231">
        <f>AZ34+BC34-BD34</f>
        <v>749</v>
      </c>
      <c r="BF34" s="131"/>
      <c r="BG34" s="130"/>
      <c r="BH34" s="35"/>
      <c r="BI34" s="612"/>
      <c r="BJ34" s="215"/>
      <c r="BK34" s="130"/>
      <c r="BL34" s="35"/>
      <c r="BM34" s="612"/>
      <c r="BN34" s="215"/>
      <c r="BO34" s="6"/>
      <c r="BP34" s="35"/>
      <c r="BQ34" s="713"/>
      <c r="BR34" s="713"/>
      <c r="BS34" s="394">
        <f t="shared" si="42"/>
        <v>-533</v>
      </c>
      <c r="BT34" s="29">
        <f t="shared" si="43"/>
        <v>749</v>
      </c>
      <c r="BU34" s="299">
        <f>BU24</f>
        <v>450</v>
      </c>
      <c r="BV34" s="5">
        <f>BU34-BT34</f>
        <v>-299</v>
      </c>
      <c r="BW34" s="621">
        <v>240</v>
      </c>
      <c r="BX34" s="376">
        <f>BX24</f>
        <v>302</v>
      </c>
      <c r="BY34" s="231">
        <f>BT34+BW34-BX34</f>
        <v>687</v>
      </c>
      <c r="BZ34" s="683">
        <v>19872</v>
      </c>
      <c r="CA34" s="663"/>
      <c r="CB34" s="682" t="s">
        <v>882</v>
      </c>
      <c r="CC34" s="779"/>
      <c r="CD34" s="129"/>
      <c r="CE34" s="671"/>
      <c r="CF34" s="148"/>
      <c r="CG34" s="786"/>
      <c r="CH34" s="131"/>
      <c r="CI34" s="626">
        <v>19872</v>
      </c>
      <c r="CJ34" s="625" t="s">
        <v>882</v>
      </c>
      <c r="CK34" s="782"/>
      <c r="CL34" s="782"/>
      <c r="CM34" s="394">
        <f t="shared" si="44"/>
        <v>-333</v>
      </c>
      <c r="CN34" s="29">
        <f t="shared" si="45"/>
        <v>687</v>
      </c>
      <c r="CO34" s="299">
        <f>CO24</f>
        <v>200</v>
      </c>
      <c r="CP34" s="5">
        <f>CO34-CN34</f>
        <v>-487</v>
      </c>
      <c r="CQ34" s="244"/>
      <c r="CR34" s="376">
        <f>CR24</f>
        <v>0</v>
      </c>
      <c r="CS34" s="231">
        <f>CN34+CQ34-CR34</f>
        <v>687</v>
      </c>
      <c r="CT34" s="131"/>
      <c r="CU34" s="130"/>
      <c r="CV34" s="35"/>
      <c r="CW34" s="712"/>
      <c r="CX34" s="129"/>
      <c r="CY34" s="130"/>
      <c r="CZ34" s="79"/>
      <c r="DA34" s="712"/>
      <c r="DB34" s="131"/>
      <c r="DC34" s="130"/>
      <c r="DD34" s="79"/>
      <c r="DG34" s="394">
        <f t="shared" si="46"/>
        <v>-533</v>
      </c>
      <c r="DH34" s="29">
        <f t="shared" si="47"/>
        <v>687</v>
      </c>
      <c r="DI34" s="299">
        <f>DI24</f>
        <v>0</v>
      </c>
      <c r="DJ34" s="5">
        <f>DI34-DH34</f>
        <v>-687</v>
      </c>
      <c r="DK34" s="244"/>
      <c r="DL34" s="376">
        <f>DL24</f>
        <v>0</v>
      </c>
      <c r="DM34" s="231">
        <f>DH34+DK34-DL34</f>
        <v>687</v>
      </c>
    </row>
    <row r="35" spans="1:117" x14ac:dyDescent="0.25">
      <c r="A35" s="75"/>
      <c r="B35" s="74" t="s">
        <v>545</v>
      </c>
      <c r="C35" s="75">
        <v>1</v>
      </c>
      <c r="D35" s="74"/>
      <c r="E35" s="74"/>
      <c r="F35" s="275"/>
      <c r="G35" s="74" t="s">
        <v>211</v>
      </c>
      <c r="H35" s="77" t="s">
        <v>55</v>
      </c>
      <c r="I35" s="420"/>
      <c r="J35" s="536">
        <f t="shared" si="38"/>
        <v>-203</v>
      </c>
      <c r="K35" s="394">
        <f t="shared" si="8"/>
        <v>-877</v>
      </c>
      <c r="L35" s="544">
        <v>893</v>
      </c>
      <c r="M35" s="299">
        <f>M24</f>
        <v>16</v>
      </c>
      <c r="N35" s="5">
        <f t="shared" ref="N35:N36" si="68">M35-L35</f>
        <v>-877</v>
      </c>
      <c r="O35" s="256"/>
      <c r="P35" s="376">
        <f>P24</f>
        <v>16</v>
      </c>
      <c r="Q35" s="231">
        <f t="shared" ref="Q35:Q36" si="69">L35+O35-P35</f>
        <v>877</v>
      </c>
      <c r="R35" s="129"/>
      <c r="S35" s="130"/>
      <c r="T35" s="35"/>
      <c r="U35" s="712"/>
      <c r="V35" s="129"/>
      <c r="W35" s="6"/>
      <c r="X35" s="35"/>
      <c r="Y35" s="712"/>
      <c r="Z35" s="129"/>
      <c r="AA35" s="6"/>
      <c r="AB35" s="35"/>
      <c r="AC35" s="713"/>
      <c r="AD35" s="713"/>
      <c r="AE35" s="394">
        <f t="shared" si="39"/>
        <v>-782</v>
      </c>
      <c r="AF35" s="29">
        <f t="shared" si="40"/>
        <v>877</v>
      </c>
      <c r="AG35" s="299">
        <f>AG24</f>
        <v>95</v>
      </c>
      <c r="AH35" s="5">
        <f t="shared" ref="AH35:AH37" si="70">AG35-AF35</f>
        <v>-782</v>
      </c>
      <c r="AI35" s="256"/>
      <c r="AJ35" s="376">
        <f>AJ24</f>
        <v>89</v>
      </c>
      <c r="AK35" s="231">
        <f t="shared" ref="AK35:AK39" si="71">AF35+AI35-AJ35</f>
        <v>788</v>
      </c>
      <c r="AL35" s="129"/>
      <c r="AM35" s="130"/>
      <c r="AN35" s="35"/>
      <c r="AO35" s="712"/>
      <c r="AP35" s="291"/>
      <c r="AQ35" s="130"/>
      <c r="AR35" s="35"/>
      <c r="AS35" s="712"/>
      <c r="AT35" s="448"/>
      <c r="AU35" s="130"/>
      <c r="AV35" s="500"/>
      <c r="AW35" s="734"/>
      <c r="AX35" s="734"/>
      <c r="AY35" s="394">
        <f t="shared" si="41"/>
        <v>-653</v>
      </c>
      <c r="AZ35" s="29">
        <f t="shared" si="51"/>
        <v>788</v>
      </c>
      <c r="BA35" s="299">
        <f>BA24</f>
        <v>129</v>
      </c>
      <c r="BB35" s="5">
        <f t="shared" ref="BB35:BB37" si="72">BA35-AZ35</f>
        <v>-659</v>
      </c>
      <c r="BC35" s="240"/>
      <c r="BD35" s="376">
        <f>BD24</f>
        <v>129</v>
      </c>
      <c r="BE35" s="231">
        <f t="shared" ref="BE35:BE39" si="73">AZ35+BC35-BD35</f>
        <v>659</v>
      </c>
      <c r="BF35" s="129"/>
      <c r="BG35" s="130"/>
      <c r="BH35" s="35"/>
      <c r="BI35" s="712"/>
      <c r="BJ35" s="129"/>
      <c r="BK35" s="130"/>
      <c r="BL35" s="35"/>
      <c r="BM35" s="712"/>
      <c r="BN35" s="131"/>
      <c r="BO35" s="130"/>
      <c r="BP35" s="79"/>
      <c r="BS35" s="394">
        <f t="shared" si="42"/>
        <v>-203</v>
      </c>
      <c r="BT35" s="29">
        <f t="shared" si="43"/>
        <v>659</v>
      </c>
      <c r="BU35" s="299">
        <f>BU24</f>
        <v>450</v>
      </c>
      <c r="BV35" s="5">
        <f t="shared" ref="BV35:BV37" si="74">BU35-BT35</f>
        <v>-209</v>
      </c>
      <c r="BW35" s="256"/>
      <c r="BX35" s="376">
        <f>BX24</f>
        <v>302</v>
      </c>
      <c r="BY35" s="231">
        <f t="shared" ref="BY35:BY39" si="75">BT35+BW35-BX35</f>
        <v>357</v>
      </c>
      <c r="BZ35" s="627"/>
      <c r="CA35" s="6"/>
      <c r="CB35" s="79"/>
      <c r="CC35" s="712"/>
      <c r="CD35" s="129"/>
      <c r="CE35" s="130"/>
      <c r="CF35" s="148"/>
      <c r="CG35" s="711"/>
      <c r="CH35" s="310"/>
      <c r="CI35" s="210"/>
      <c r="CJ35" s="414"/>
      <c r="CK35" s="801"/>
      <c r="CL35" s="801"/>
      <c r="CM35" s="394">
        <f t="shared" si="44"/>
        <v>-3</v>
      </c>
      <c r="CN35" s="29">
        <f t="shared" si="45"/>
        <v>357</v>
      </c>
      <c r="CO35" s="299">
        <f>CO24</f>
        <v>200</v>
      </c>
      <c r="CP35" s="5">
        <f t="shared" ref="CP35:CP37" si="76">CO35-CN35</f>
        <v>-157</v>
      </c>
      <c r="CQ35" s="256"/>
      <c r="CR35" s="376">
        <f>CR24</f>
        <v>0</v>
      </c>
      <c r="CS35" s="231">
        <f t="shared" ref="CS35:CS39" si="77">CN35+CQ35-CR35</f>
        <v>357</v>
      </c>
      <c r="CT35" s="129"/>
      <c r="CU35" s="130"/>
      <c r="CV35" s="35"/>
      <c r="CW35" s="712"/>
      <c r="CX35" s="129"/>
      <c r="CY35" s="6"/>
      <c r="CZ35" s="35"/>
      <c r="DA35" s="712"/>
      <c r="DB35" s="131"/>
      <c r="DC35" s="130"/>
      <c r="DD35" s="79"/>
      <c r="DG35" s="394">
        <f t="shared" si="46"/>
        <v>-203</v>
      </c>
      <c r="DH35" s="29">
        <f t="shared" si="47"/>
        <v>357</v>
      </c>
      <c r="DI35" s="299">
        <f>DI24</f>
        <v>0</v>
      </c>
      <c r="DJ35" s="5">
        <f t="shared" ref="DJ35:DJ37" si="78">DI35-DH35</f>
        <v>-357</v>
      </c>
      <c r="DK35" s="244"/>
      <c r="DL35" s="376">
        <f>DL24</f>
        <v>0</v>
      </c>
      <c r="DM35" s="231">
        <f t="shared" ref="DM35:DM39" si="79">DH35+DK35-DL35</f>
        <v>357</v>
      </c>
    </row>
    <row r="36" spans="1:117" x14ac:dyDescent="0.25">
      <c r="A36" s="75"/>
      <c r="B36" s="74" t="s">
        <v>546</v>
      </c>
      <c r="C36" s="75">
        <v>1</v>
      </c>
      <c r="D36" s="74"/>
      <c r="E36" s="74"/>
      <c r="F36" s="610">
        <v>1296</v>
      </c>
      <c r="G36" s="74" t="s">
        <v>211</v>
      </c>
      <c r="H36" s="77" t="s">
        <v>82</v>
      </c>
      <c r="I36" s="420"/>
      <c r="J36" s="536">
        <f t="shared" si="38"/>
        <v>-203</v>
      </c>
      <c r="K36" s="394">
        <f t="shared" si="8"/>
        <v>-877</v>
      </c>
      <c r="L36" s="544">
        <v>893</v>
      </c>
      <c r="M36" s="298">
        <f>M24</f>
        <v>16</v>
      </c>
      <c r="N36" s="5">
        <f t="shared" si="68"/>
        <v>-877</v>
      </c>
      <c r="O36" s="7"/>
      <c r="P36" s="376">
        <f>P24</f>
        <v>16</v>
      </c>
      <c r="Q36" s="231">
        <f t="shared" si="69"/>
        <v>877</v>
      </c>
      <c r="R36" s="129"/>
      <c r="S36" s="130"/>
      <c r="T36" s="35"/>
      <c r="U36" s="712"/>
      <c r="V36" s="129"/>
      <c r="W36" s="130"/>
      <c r="X36" s="500"/>
      <c r="Y36" s="717"/>
      <c r="Z36" s="131"/>
      <c r="AA36" s="130"/>
      <c r="AB36" s="500"/>
      <c r="AC36" s="734"/>
      <c r="AD36" s="734"/>
      <c r="AE36" s="394">
        <f t="shared" si="39"/>
        <v>-782</v>
      </c>
      <c r="AF36" s="29">
        <f t="shared" si="40"/>
        <v>877</v>
      </c>
      <c r="AG36" s="298">
        <f>AG24</f>
        <v>95</v>
      </c>
      <c r="AH36" s="5">
        <f>AG36-AF36</f>
        <v>-782</v>
      </c>
      <c r="AI36" s="256"/>
      <c r="AJ36" s="376">
        <f>AJ24</f>
        <v>89</v>
      </c>
      <c r="AK36" s="231">
        <f t="shared" si="71"/>
        <v>788</v>
      </c>
      <c r="AL36" s="129"/>
      <c r="AM36" s="130"/>
      <c r="AN36" s="500"/>
      <c r="AO36" s="717"/>
      <c r="AP36" s="129"/>
      <c r="AQ36" s="130"/>
      <c r="AR36" s="500"/>
      <c r="AS36" s="717"/>
      <c r="AT36" s="131"/>
      <c r="AU36" s="130"/>
      <c r="AV36" s="500"/>
      <c r="AW36" s="734"/>
      <c r="AX36" s="734"/>
      <c r="AY36" s="394">
        <f t="shared" si="41"/>
        <v>-653</v>
      </c>
      <c r="AZ36" s="29">
        <f t="shared" si="51"/>
        <v>788</v>
      </c>
      <c r="BA36" s="298">
        <f>BA24</f>
        <v>129</v>
      </c>
      <c r="BB36" s="5">
        <f t="shared" si="72"/>
        <v>-659</v>
      </c>
      <c r="BC36" s="240"/>
      <c r="BD36" s="376">
        <f>BD24</f>
        <v>129</v>
      </c>
      <c r="BE36" s="231">
        <f t="shared" si="73"/>
        <v>659</v>
      </c>
      <c r="BF36" s="556"/>
      <c r="BG36" s="210"/>
      <c r="BH36" s="500"/>
      <c r="BI36" s="717"/>
      <c r="BJ36" s="156">
        <f>648000/2</f>
        <v>324000</v>
      </c>
      <c r="BK36" s="657"/>
      <c r="BL36" s="664" t="s">
        <v>794</v>
      </c>
      <c r="BM36" s="772"/>
      <c r="BN36" s="131"/>
      <c r="BO36" s="210"/>
      <c r="BP36" s="500"/>
      <c r="BQ36" s="734"/>
      <c r="BR36" s="734"/>
      <c r="BS36" s="394">
        <f t="shared" si="42"/>
        <v>-703</v>
      </c>
      <c r="BT36" s="29">
        <f t="shared" si="43"/>
        <v>659</v>
      </c>
      <c r="BU36" s="298">
        <f>BU24</f>
        <v>450</v>
      </c>
      <c r="BV36" s="5">
        <f t="shared" si="74"/>
        <v>-209</v>
      </c>
      <c r="BW36" s="644">
        <v>500</v>
      </c>
      <c r="BX36" s="376">
        <f>BX24</f>
        <v>302</v>
      </c>
      <c r="BY36" s="612">
        <f t="shared" si="75"/>
        <v>857</v>
      </c>
      <c r="BZ36" s="627"/>
      <c r="CA36" s="6"/>
      <c r="CB36" s="148"/>
      <c r="CC36" s="711"/>
      <c r="CD36" s="121"/>
      <c r="CE36" s="199"/>
      <c r="CF36" s="502"/>
      <c r="CG36" s="786"/>
      <c r="CH36" s="131"/>
      <c r="CI36" s="629">
        <v>324000</v>
      </c>
      <c r="CJ36" s="654" t="s">
        <v>792</v>
      </c>
      <c r="CK36" s="635"/>
      <c r="CL36" s="635"/>
      <c r="CM36" s="394">
        <f t="shared" si="44"/>
        <v>-503</v>
      </c>
      <c r="CN36" s="29">
        <f t="shared" si="45"/>
        <v>857</v>
      </c>
      <c r="CO36" s="298">
        <f>CO24</f>
        <v>200</v>
      </c>
      <c r="CP36" s="5">
        <f t="shared" si="76"/>
        <v>-657</v>
      </c>
      <c r="CQ36" s="258"/>
      <c r="CR36" s="376">
        <f>CR24</f>
        <v>0</v>
      </c>
      <c r="CS36" s="231">
        <f t="shared" si="77"/>
        <v>857</v>
      </c>
      <c r="CT36" s="129"/>
      <c r="CU36" s="130"/>
      <c r="CV36" s="35"/>
      <c r="CW36" s="712"/>
      <c r="CX36" s="129"/>
      <c r="CY36" s="130"/>
      <c r="CZ36" s="79"/>
      <c r="DA36" s="712"/>
      <c r="DB36" s="131"/>
      <c r="DC36" s="130"/>
      <c r="DD36" s="79"/>
      <c r="DG36" s="394">
        <f t="shared" si="46"/>
        <v>-703</v>
      </c>
      <c r="DH36" s="29">
        <f t="shared" si="47"/>
        <v>857</v>
      </c>
      <c r="DI36" s="298">
        <f>DI24</f>
        <v>0</v>
      </c>
      <c r="DJ36" s="5">
        <f t="shared" si="78"/>
        <v>-857</v>
      </c>
      <c r="DK36" s="244"/>
      <c r="DL36" s="376">
        <f>DL24</f>
        <v>0</v>
      </c>
      <c r="DM36" s="231">
        <f t="shared" si="79"/>
        <v>857</v>
      </c>
    </row>
    <row r="37" spans="1:117" ht="15.75" thickBot="1" x14ac:dyDescent="0.3">
      <c r="A37" s="19"/>
      <c r="B37" s="92"/>
      <c r="C37" s="19"/>
      <c r="D37" s="12"/>
      <c r="E37" s="12"/>
      <c r="F37" s="146"/>
      <c r="G37" s="49"/>
      <c r="H37" s="61"/>
      <c r="I37" s="755"/>
      <c r="J37" s="536">
        <f t="shared" si="38"/>
        <v>0</v>
      </c>
      <c r="K37" s="394">
        <f t="shared" si="8"/>
        <v>0</v>
      </c>
      <c r="L37" s="29">
        <v>0</v>
      </c>
      <c r="M37" s="301"/>
      <c r="N37" s="5">
        <f t="shared" ref="N37" si="80">M37-L37</f>
        <v>0</v>
      </c>
      <c r="O37" s="241"/>
      <c r="P37" s="241"/>
      <c r="Q37" s="232">
        <f t="shared" ref="Q37:Q39" si="81">L37+O37-P37</f>
        <v>0</v>
      </c>
      <c r="R37" s="122"/>
      <c r="S37" s="201"/>
      <c r="T37" s="36"/>
      <c r="U37" s="220"/>
      <c r="V37" s="200"/>
      <c r="W37" s="201"/>
      <c r="X37" s="36"/>
      <c r="Y37" s="220"/>
      <c r="Z37" s="122"/>
      <c r="AA37" s="201"/>
      <c r="AB37" s="36"/>
      <c r="AE37" s="394">
        <f t="shared" si="39"/>
        <v>0</v>
      </c>
      <c r="AF37" s="29">
        <f t="shared" si="40"/>
        <v>0</v>
      </c>
      <c r="AG37" s="301"/>
      <c r="AH37" s="5">
        <f t="shared" si="70"/>
        <v>0</v>
      </c>
      <c r="AI37" s="241"/>
      <c r="AJ37" s="241"/>
      <c r="AK37" s="232">
        <f t="shared" si="71"/>
        <v>0</v>
      </c>
      <c r="AL37" s="122"/>
      <c r="AM37" s="201"/>
      <c r="AN37" s="36"/>
      <c r="AO37" s="220"/>
      <c r="AP37" s="200"/>
      <c r="AQ37" s="201"/>
      <c r="AR37" s="36"/>
      <c r="AS37" s="220"/>
      <c r="AT37" s="122"/>
      <c r="AU37" s="201"/>
      <c r="AV37" s="36"/>
      <c r="AY37" s="394">
        <f t="shared" si="41"/>
        <v>0</v>
      </c>
      <c r="AZ37" s="29">
        <f t="shared" si="51"/>
        <v>0</v>
      </c>
      <c r="BA37" s="301"/>
      <c r="BB37" s="5">
        <f t="shared" si="72"/>
        <v>0</v>
      </c>
      <c r="BC37" s="241"/>
      <c r="BD37" s="241"/>
      <c r="BE37" s="232">
        <f t="shared" si="73"/>
        <v>0</v>
      </c>
      <c r="BF37" s="122"/>
      <c r="BG37" s="201"/>
      <c r="BH37" s="36"/>
      <c r="BI37" s="220"/>
      <c r="BJ37" s="200"/>
      <c r="BK37" s="201"/>
      <c r="BL37" s="36"/>
      <c r="BM37" s="220"/>
      <c r="BN37" s="122"/>
      <c r="BO37" s="201"/>
      <c r="BP37" s="36"/>
      <c r="BS37" s="394">
        <f t="shared" si="42"/>
        <v>0</v>
      </c>
      <c r="BT37" s="29">
        <f t="shared" si="43"/>
        <v>0</v>
      </c>
      <c r="BU37" s="301"/>
      <c r="BV37" s="5">
        <f t="shared" si="74"/>
        <v>0</v>
      </c>
      <c r="BW37" s="241"/>
      <c r="BX37" s="241"/>
      <c r="BY37" s="232">
        <f t="shared" si="75"/>
        <v>0</v>
      </c>
      <c r="BZ37" s="122"/>
      <c r="CA37" s="201"/>
      <c r="CB37" s="36"/>
      <c r="CC37" s="712"/>
      <c r="CD37" s="129"/>
      <c r="CE37" s="201"/>
      <c r="CF37" s="36"/>
      <c r="CG37" s="220"/>
      <c r="CH37" s="122"/>
      <c r="CI37" s="201"/>
      <c r="CJ37" s="36"/>
      <c r="CM37" s="394">
        <f t="shared" si="44"/>
        <v>0</v>
      </c>
      <c r="CN37" s="29">
        <f t="shared" si="45"/>
        <v>0</v>
      </c>
      <c r="CO37" s="301"/>
      <c r="CP37" s="5">
        <f t="shared" si="76"/>
        <v>0</v>
      </c>
      <c r="CQ37" s="241"/>
      <c r="CR37" s="241"/>
      <c r="CS37" s="232">
        <f t="shared" si="77"/>
        <v>0</v>
      </c>
      <c r="CT37" s="122"/>
      <c r="CU37" s="201"/>
      <c r="CV37" s="36"/>
      <c r="CW37" s="220"/>
      <c r="CX37" s="200"/>
      <c r="CY37" s="201"/>
      <c r="CZ37" s="36"/>
      <c r="DA37" s="220"/>
      <c r="DB37" s="122"/>
      <c r="DC37" s="201"/>
      <c r="DD37" s="36"/>
      <c r="DG37" s="394">
        <f t="shared" si="46"/>
        <v>0</v>
      </c>
      <c r="DH37" s="29">
        <f t="shared" si="47"/>
        <v>0</v>
      </c>
      <c r="DI37" s="301"/>
      <c r="DJ37" s="5">
        <f t="shared" si="78"/>
        <v>0</v>
      </c>
      <c r="DK37" s="241"/>
      <c r="DL37" s="241"/>
      <c r="DM37" s="232">
        <f t="shared" si="79"/>
        <v>0</v>
      </c>
    </row>
    <row r="38" spans="1:117" x14ac:dyDescent="0.25">
      <c r="A38" s="53">
        <v>3592</v>
      </c>
      <c r="B38" s="52" t="s">
        <v>17</v>
      </c>
      <c r="C38" s="53"/>
      <c r="D38" s="51" t="s">
        <v>18</v>
      </c>
      <c r="E38" s="51"/>
      <c r="F38" s="338"/>
      <c r="G38" s="51"/>
      <c r="H38" s="54"/>
      <c r="I38" s="54"/>
      <c r="J38" s="53">
        <f>SUM(M38,AG38,BA38,BU38)</f>
        <v>0</v>
      </c>
      <c r="K38" s="53"/>
      <c r="L38" s="55">
        <v>24</v>
      </c>
      <c r="M38" s="56"/>
      <c r="N38" s="56"/>
      <c r="O38" s="56"/>
      <c r="P38" s="243"/>
      <c r="Q38" s="230">
        <f t="shared" si="81"/>
        <v>24</v>
      </c>
      <c r="R38" s="119">
        <f>SUM(R39:R46)</f>
        <v>0</v>
      </c>
      <c r="S38" s="120">
        <f>SUM(S39:S46)</f>
        <v>0</v>
      </c>
      <c r="T38" s="57"/>
      <c r="U38" s="219"/>
      <c r="V38" s="119">
        <f>SUM(V39:V46)</f>
        <v>0</v>
      </c>
      <c r="W38" s="120">
        <f>SUM(W39:W46)</f>
        <v>0</v>
      </c>
      <c r="X38" s="57"/>
      <c r="Y38" s="219"/>
      <c r="Z38" s="119">
        <f>SUM(Z39:Z46)</f>
        <v>0</v>
      </c>
      <c r="AA38" s="120">
        <f>SUM(AA39:AA46)</f>
        <v>0</v>
      </c>
      <c r="AB38" s="57"/>
      <c r="AC38" s="230"/>
      <c r="AD38" s="230"/>
      <c r="AE38" s="53">
        <f>SUM(AG38,BA38,BU38)</f>
        <v>0</v>
      </c>
      <c r="AF38" s="55">
        <f t="shared" si="40"/>
        <v>24</v>
      </c>
      <c r="AG38" s="56"/>
      <c r="AH38" s="56"/>
      <c r="AI38" s="56"/>
      <c r="AJ38" s="243"/>
      <c r="AK38" s="230">
        <f t="shared" si="71"/>
        <v>24</v>
      </c>
      <c r="AL38" s="119">
        <f>SUM(AL39:AL46)</f>
        <v>0</v>
      </c>
      <c r="AM38" s="120">
        <f>SUM(AM39:AM46)</f>
        <v>0</v>
      </c>
      <c r="AN38" s="57"/>
      <c r="AO38" s="219"/>
      <c r="AP38" s="119">
        <f>SUM(AP39:AP46)</f>
        <v>0</v>
      </c>
      <c r="AQ38" s="120">
        <f>SUM(AQ39:AQ46)</f>
        <v>0</v>
      </c>
      <c r="AR38" s="57"/>
      <c r="AS38" s="219"/>
      <c r="AT38" s="119">
        <f>SUM(AT39:AT46)</f>
        <v>0</v>
      </c>
      <c r="AU38" s="120">
        <f>SUM(AU39:AU46)</f>
        <v>0</v>
      </c>
      <c r="AV38" s="57"/>
      <c r="AW38" s="230"/>
      <c r="AX38" s="230"/>
      <c r="AY38" s="53">
        <f>SUM(BA38,BU38)</f>
        <v>0</v>
      </c>
      <c r="AZ38" s="55">
        <f>AK38</f>
        <v>24</v>
      </c>
      <c r="BA38" s="56"/>
      <c r="BB38" s="56"/>
      <c r="BC38" s="56"/>
      <c r="BD38" s="243"/>
      <c r="BE38" s="230">
        <f t="shared" si="73"/>
        <v>24</v>
      </c>
      <c r="BF38" s="119">
        <f>SUM(BF39:BF46)</f>
        <v>0</v>
      </c>
      <c r="BG38" s="120">
        <f>SUM(BG39:BG46)</f>
        <v>0</v>
      </c>
      <c r="BH38" s="57"/>
      <c r="BI38" s="219"/>
      <c r="BJ38" s="119">
        <f>SUM(BJ39:BJ46)</f>
        <v>0</v>
      </c>
      <c r="BK38" s="120">
        <f>SUM(BK39:BK46)</f>
        <v>0</v>
      </c>
      <c r="BL38" s="57"/>
      <c r="BM38" s="219"/>
      <c r="BN38" s="119">
        <f>SUM(BN39:BN46)</f>
        <v>0</v>
      </c>
      <c r="BO38" s="120">
        <f>SUM(BO39:BO46)</f>
        <v>0</v>
      </c>
      <c r="BP38" s="57"/>
      <c r="BQ38" s="230"/>
      <c r="BR38" s="230"/>
      <c r="BS38" s="53">
        <f>BU38</f>
        <v>0</v>
      </c>
      <c r="BT38" s="55">
        <f>BE38</f>
        <v>24</v>
      </c>
      <c r="BU38" s="56"/>
      <c r="BV38" s="56"/>
      <c r="BW38" s="56"/>
      <c r="BX38" s="243"/>
      <c r="BY38" s="230">
        <f t="shared" si="75"/>
        <v>24</v>
      </c>
      <c r="BZ38" s="119">
        <f>SUM(BZ39:BZ46)</f>
        <v>0</v>
      </c>
      <c r="CA38" s="120">
        <f>SUM(CA39:CA46)</f>
        <v>0</v>
      </c>
      <c r="CB38" s="57"/>
      <c r="CC38" s="219"/>
      <c r="CD38" s="119">
        <f>SUM(CD39:CD46)</f>
        <v>0</v>
      </c>
      <c r="CE38" s="120">
        <f>SUM(CE39:CE46)</f>
        <v>0</v>
      </c>
      <c r="CF38" s="57"/>
      <c r="CG38" s="219"/>
      <c r="CH38" s="119">
        <f>SUM(CH39:CH46)</f>
        <v>0</v>
      </c>
      <c r="CI38" s="120">
        <f>SUM(CI39:CI46)</f>
        <v>0</v>
      </c>
      <c r="CJ38" s="57"/>
      <c r="CK38" s="230"/>
      <c r="CL38" s="230"/>
      <c r="CM38" s="53">
        <f>CO38</f>
        <v>0</v>
      </c>
      <c r="CN38" s="55">
        <f>BY38</f>
        <v>24</v>
      </c>
      <c r="CO38" s="56"/>
      <c r="CP38" s="56"/>
      <c r="CQ38" s="56"/>
      <c r="CR38" s="243"/>
      <c r="CS38" s="230">
        <f t="shared" si="77"/>
        <v>24</v>
      </c>
      <c r="CT38" s="119">
        <f>SUM(CT39:CT46)</f>
        <v>0</v>
      </c>
      <c r="CU38" s="120">
        <f>SUM(CU39:CU46)</f>
        <v>0</v>
      </c>
      <c r="CV38" s="57"/>
      <c r="CW38" s="219"/>
      <c r="CX38" s="119">
        <f>SUM(CX39:CX46)</f>
        <v>0</v>
      </c>
      <c r="CY38" s="120">
        <f>SUM(CY39:CY46)</f>
        <v>0</v>
      </c>
      <c r="CZ38" s="57"/>
      <c r="DA38" s="219"/>
      <c r="DB38" s="119">
        <f>SUM(DB39:DB46)</f>
        <v>0</v>
      </c>
      <c r="DC38" s="120">
        <f>SUM(DC39:DC46)</f>
        <v>0</v>
      </c>
      <c r="DD38" s="57"/>
      <c r="DE38" s="230"/>
      <c r="DF38" s="230"/>
      <c r="DG38" s="53">
        <f>DI38</f>
        <v>0</v>
      </c>
      <c r="DH38" s="55">
        <f>CS38</f>
        <v>24</v>
      </c>
      <c r="DI38" s="56"/>
      <c r="DJ38" s="56"/>
      <c r="DK38" s="56"/>
      <c r="DL38" s="243"/>
      <c r="DM38" s="230">
        <f t="shared" si="79"/>
        <v>24</v>
      </c>
    </row>
    <row r="39" spans="1:117" x14ac:dyDescent="0.25">
      <c r="A39" s="18"/>
      <c r="B39" s="11"/>
      <c r="C39" s="18">
        <v>1</v>
      </c>
      <c r="D39" s="11"/>
      <c r="E39" s="11"/>
      <c r="F39" s="149">
        <v>1800</v>
      </c>
      <c r="G39" s="381" t="s">
        <v>19</v>
      </c>
      <c r="H39" s="25"/>
      <c r="I39" s="24"/>
      <c r="J39" s="534">
        <f t="shared" ref="J39:J46" si="82">SUM(M39,AG39,BA39,BU39)-L39</f>
        <v>0</v>
      </c>
      <c r="K39" s="394">
        <f t="shared" si="8"/>
        <v>0</v>
      </c>
      <c r="L39" s="29">
        <v>0</v>
      </c>
      <c r="M39" s="5"/>
      <c r="N39" s="5">
        <f>M39-L39</f>
        <v>0</v>
      </c>
      <c r="O39" s="256"/>
      <c r="P39" s="240"/>
      <c r="Q39" s="231">
        <f t="shared" si="81"/>
        <v>0</v>
      </c>
      <c r="R39" s="215"/>
      <c r="S39" s="199"/>
      <c r="T39" s="148"/>
      <c r="U39" s="711"/>
      <c r="V39" s="215"/>
      <c r="W39" s="199"/>
      <c r="X39" s="148"/>
      <c r="Y39" s="711"/>
      <c r="Z39" s="21"/>
      <c r="AA39" s="6"/>
      <c r="AB39" s="35"/>
      <c r="AC39" s="713"/>
      <c r="AD39" s="713"/>
      <c r="AE39" s="394">
        <f t="shared" ref="AE39:AE46" si="83">SUM(M39,AG39)-SUM(O39,AI39)-L39</f>
        <v>0</v>
      </c>
      <c r="AF39" s="29">
        <f t="shared" si="40"/>
        <v>0</v>
      </c>
      <c r="AG39" s="5"/>
      <c r="AH39" s="5">
        <f>AG39-AF39</f>
        <v>0</v>
      </c>
      <c r="AI39" s="240"/>
      <c r="AJ39" s="240"/>
      <c r="AK39" s="231">
        <f t="shared" si="71"/>
        <v>0</v>
      </c>
      <c r="AL39" s="215"/>
      <c r="AM39" s="199"/>
      <c r="AN39" s="148"/>
      <c r="AO39" s="711"/>
      <c r="AP39" s="215"/>
      <c r="AQ39" s="199"/>
      <c r="AR39" s="148"/>
      <c r="AS39" s="711"/>
      <c r="AT39" s="21"/>
      <c r="AU39" s="6"/>
      <c r="AV39" s="35"/>
      <c r="AW39" s="713"/>
      <c r="AX39" s="713"/>
      <c r="AY39" s="394">
        <f t="shared" ref="AY39:AY46" si="84">SUM(M39,AG39,BA39)-SUM(O39,AI39,BC39)-L39</f>
        <v>0</v>
      </c>
      <c r="AZ39" s="29">
        <f>AK39</f>
        <v>0</v>
      </c>
      <c r="BA39" s="5"/>
      <c r="BB39" s="5">
        <f>BA39-AZ39</f>
        <v>0</v>
      </c>
      <c r="BC39" s="256"/>
      <c r="BD39" s="240"/>
      <c r="BE39" s="231">
        <f t="shared" si="73"/>
        <v>0</v>
      </c>
      <c r="BF39" s="215"/>
      <c r="BG39" s="199"/>
      <c r="BH39" s="148"/>
      <c r="BI39" s="711"/>
      <c r="BJ39" s="215"/>
      <c r="BK39" s="199"/>
      <c r="BL39" s="148"/>
      <c r="BM39" s="711"/>
      <c r="BN39" s="21"/>
      <c r="BO39" s="6"/>
      <c r="BP39" s="35"/>
      <c r="BQ39" s="713"/>
      <c r="BR39" s="713"/>
      <c r="BS39" s="394">
        <f t="shared" ref="BS39:BS46" si="85">SUM(M39,AG39,BA39,BU39)-SUM(O39,AI39,BC39,BW39)-L39</f>
        <v>0</v>
      </c>
      <c r="BT39" s="29">
        <f>BE39</f>
        <v>0</v>
      </c>
      <c r="BU39" s="5"/>
      <c r="BV39" s="5">
        <f>BU39-BT39</f>
        <v>0</v>
      </c>
      <c r="BW39" s="256"/>
      <c r="BX39" s="240"/>
      <c r="BY39" s="231">
        <f t="shared" si="75"/>
        <v>0</v>
      </c>
      <c r="BZ39" s="215"/>
      <c r="CA39" s="199"/>
      <c r="CB39" s="148"/>
      <c r="CC39" s="711"/>
      <c r="CD39" s="215"/>
      <c r="CE39" s="199"/>
      <c r="CF39" s="148"/>
      <c r="CG39" s="711"/>
      <c r="CH39" s="21"/>
      <c r="CI39" s="6"/>
      <c r="CJ39" s="35"/>
      <c r="CK39" s="713"/>
      <c r="CL39" s="713"/>
      <c r="CM39" s="394">
        <f t="shared" ref="CM39:CM46" si="86">SUM(M39,AG39,BA39,BU39,CO39)-SUM(O39,AI39,BC39,BW39,CQ39)-L39</f>
        <v>0</v>
      </c>
      <c r="CN39" s="29">
        <f>BY39</f>
        <v>0</v>
      </c>
      <c r="CO39" s="5"/>
      <c r="CP39" s="5">
        <f>CO39-CN39</f>
        <v>0</v>
      </c>
      <c r="CQ39" s="240"/>
      <c r="CR39" s="240"/>
      <c r="CS39" s="231">
        <f t="shared" si="77"/>
        <v>0</v>
      </c>
      <c r="CT39" s="215"/>
      <c r="CU39" s="199"/>
      <c r="CV39" s="148"/>
      <c r="CW39" s="711"/>
      <c r="CX39" s="215"/>
      <c r="CY39" s="199"/>
      <c r="CZ39" s="148"/>
      <c r="DA39" s="711"/>
      <c r="DB39" s="21"/>
      <c r="DC39" s="6"/>
      <c r="DD39" s="35"/>
      <c r="DE39" s="713"/>
      <c r="DF39" s="713"/>
      <c r="DG39" s="394"/>
      <c r="DH39" s="29">
        <f>BY39</f>
        <v>0</v>
      </c>
      <c r="DI39" s="5"/>
      <c r="DJ39" s="5">
        <f>DI39-DH39</f>
        <v>0</v>
      </c>
      <c r="DK39" s="240"/>
      <c r="DL39" s="240"/>
      <c r="DM39" s="231">
        <f t="shared" si="79"/>
        <v>0</v>
      </c>
    </row>
    <row r="40" spans="1:117" x14ac:dyDescent="0.25">
      <c r="A40" s="18"/>
      <c r="B40" s="11" t="s">
        <v>215</v>
      </c>
      <c r="C40" s="18"/>
      <c r="D40" s="11"/>
      <c r="E40" s="11"/>
      <c r="F40" s="149"/>
      <c r="G40" s="381"/>
      <c r="H40" s="25"/>
      <c r="I40" s="24"/>
      <c r="J40" s="534">
        <f t="shared" si="82"/>
        <v>0</v>
      </c>
      <c r="K40" s="394">
        <f t="shared" si="8"/>
        <v>0</v>
      </c>
      <c r="L40" s="29">
        <v>0</v>
      </c>
      <c r="M40" s="298">
        <f>M38</f>
        <v>0</v>
      </c>
      <c r="N40" s="5"/>
      <c r="O40" s="256"/>
      <c r="P40" s="303">
        <f>P38</f>
        <v>0</v>
      </c>
      <c r="Q40" s="231"/>
      <c r="R40" s="310"/>
      <c r="S40" s="199"/>
      <c r="T40" s="216"/>
      <c r="U40" s="707"/>
      <c r="V40" s="215"/>
      <c r="W40" s="199"/>
      <c r="X40" s="148"/>
      <c r="Y40" s="711"/>
      <c r="Z40" s="21"/>
      <c r="AA40" s="6"/>
      <c r="AB40" s="35"/>
      <c r="AC40" s="713"/>
      <c r="AD40" s="713"/>
      <c r="AE40" s="394">
        <f t="shared" si="83"/>
        <v>0</v>
      </c>
      <c r="AF40" s="29">
        <f t="shared" si="40"/>
        <v>0</v>
      </c>
      <c r="AG40" s="298">
        <f>AG38</f>
        <v>0</v>
      </c>
      <c r="AH40" s="5"/>
      <c r="AI40" s="240"/>
      <c r="AJ40" s="303">
        <f>AJ38</f>
        <v>0</v>
      </c>
      <c r="AK40" s="231"/>
      <c r="AL40" s="310"/>
      <c r="AM40" s="199"/>
      <c r="AN40" s="216"/>
      <c r="AO40" s="707"/>
      <c r="AP40" s="215"/>
      <c r="AQ40" s="199"/>
      <c r="AR40" s="148"/>
      <c r="AS40" s="711"/>
      <c r="AT40" s="21"/>
      <c r="AU40" s="6"/>
      <c r="AV40" s="35"/>
      <c r="AW40" s="713"/>
      <c r="AX40" s="713"/>
      <c r="AY40" s="394">
        <f t="shared" si="84"/>
        <v>0</v>
      </c>
      <c r="AZ40" s="29">
        <f t="shared" ref="AZ40:AZ46" si="87">AK40</f>
        <v>0</v>
      </c>
      <c r="BA40" s="298">
        <f>BA38</f>
        <v>0</v>
      </c>
      <c r="BB40" s="5"/>
      <c r="BC40" s="256"/>
      <c r="BD40" s="303">
        <f>BD38</f>
        <v>0</v>
      </c>
      <c r="BE40" s="231"/>
      <c r="BF40" s="310"/>
      <c r="BG40" s="199"/>
      <c r="BH40" s="216"/>
      <c r="BI40" s="707"/>
      <c r="BJ40" s="215"/>
      <c r="BK40" s="199"/>
      <c r="BL40" s="148"/>
      <c r="BM40" s="711"/>
      <c r="BN40" s="21"/>
      <c r="BO40" s="6"/>
      <c r="BP40" s="35"/>
      <c r="BQ40" s="713"/>
      <c r="BR40" s="713"/>
      <c r="BS40" s="394">
        <f t="shared" si="85"/>
        <v>0</v>
      </c>
      <c r="BT40" s="29">
        <f t="shared" ref="BT40:BT46" si="88">BE40</f>
        <v>0</v>
      </c>
      <c r="BU40" s="298">
        <f>BU38</f>
        <v>0</v>
      </c>
      <c r="BV40" s="5"/>
      <c r="BW40" s="256"/>
      <c r="BX40" s="303">
        <f>BX38</f>
        <v>0</v>
      </c>
      <c r="BY40" s="231"/>
      <c r="BZ40" s="310"/>
      <c r="CA40" s="199"/>
      <c r="CB40" s="216"/>
      <c r="CC40" s="707"/>
      <c r="CD40" s="215"/>
      <c r="CE40" s="199"/>
      <c r="CF40" s="148"/>
      <c r="CG40" s="711"/>
      <c r="CH40" s="21"/>
      <c r="CI40" s="6"/>
      <c r="CJ40" s="35"/>
      <c r="CK40" s="713"/>
      <c r="CL40" s="713"/>
      <c r="CM40" s="394">
        <f t="shared" si="86"/>
        <v>0</v>
      </c>
      <c r="CN40" s="29">
        <f t="shared" ref="CN40:CN46" si="89">BY40</f>
        <v>0</v>
      </c>
      <c r="CO40" s="298">
        <f>CO38</f>
        <v>0</v>
      </c>
      <c r="CP40" s="5"/>
      <c r="CQ40" s="240"/>
      <c r="CR40" s="303">
        <f>CR38</f>
        <v>0</v>
      </c>
      <c r="CS40" s="231"/>
      <c r="CT40" s="310"/>
      <c r="CU40" s="199"/>
      <c r="CV40" s="216"/>
      <c r="CW40" s="707"/>
      <c r="CX40" s="215"/>
      <c r="CY40" s="199"/>
      <c r="CZ40" s="148"/>
      <c r="DA40" s="711"/>
      <c r="DB40" s="21"/>
      <c r="DC40" s="6"/>
      <c r="DD40" s="35"/>
      <c r="DE40" s="713"/>
      <c r="DF40" s="713"/>
      <c r="DG40" s="394"/>
      <c r="DH40" s="29">
        <f t="shared" ref="DH40:DH46" si="90">BY40</f>
        <v>0</v>
      </c>
      <c r="DI40" s="298">
        <f>DI38</f>
        <v>0</v>
      </c>
      <c r="DJ40" s="5"/>
      <c r="DK40" s="240"/>
      <c r="DL40" s="303">
        <f>DL38</f>
        <v>0</v>
      </c>
      <c r="DM40" s="231"/>
    </row>
    <row r="41" spans="1:117" x14ac:dyDescent="0.25">
      <c r="A41" s="18"/>
      <c r="B41" s="11" t="s">
        <v>20</v>
      </c>
      <c r="C41" s="18" t="s">
        <v>51</v>
      </c>
      <c r="D41" s="11"/>
      <c r="E41" s="11"/>
      <c r="F41" s="149">
        <v>801</v>
      </c>
      <c r="G41" s="381" t="s">
        <v>19</v>
      </c>
      <c r="H41" s="26" t="s">
        <v>23</v>
      </c>
      <c r="I41" s="382"/>
      <c r="J41" s="534">
        <f t="shared" si="82"/>
        <v>-33</v>
      </c>
      <c r="K41" s="394">
        <f t="shared" si="8"/>
        <v>-33</v>
      </c>
      <c r="L41" s="29">
        <v>33</v>
      </c>
      <c r="M41" s="298">
        <f>M38</f>
        <v>0</v>
      </c>
      <c r="N41" s="5">
        <f t="shared" ref="N41:N46" si="91">M41-L41</f>
        <v>-33</v>
      </c>
      <c r="O41" s="256"/>
      <c r="P41" s="303">
        <f>P38</f>
        <v>0</v>
      </c>
      <c r="Q41" s="231">
        <f t="shared" ref="Q41:Q46" si="92">L41+O41-P41</f>
        <v>33</v>
      </c>
      <c r="R41" s="121"/>
      <c r="S41" s="6"/>
      <c r="T41" s="35"/>
      <c r="U41" s="612"/>
      <c r="V41" s="121"/>
      <c r="W41" s="6"/>
      <c r="X41" s="35"/>
      <c r="Y41" s="612"/>
      <c r="Z41" s="21"/>
      <c r="AA41" s="6"/>
      <c r="AB41" s="35"/>
      <c r="AC41" s="713"/>
      <c r="AD41" s="713"/>
      <c r="AE41" s="394">
        <f t="shared" si="83"/>
        <v>-33</v>
      </c>
      <c r="AF41" s="29">
        <f t="shared" si="40"/>
        <v>33</v>
      </c>
      <c r="AG41" s="298">
        <f>AG38</f>
        <v>0</v>
      </c>
      <c r="AH41" s="5">
        <f t="shared" ref="AH41:AH46" si="93">AG41-AF41</f>
        <v>-33</v>
      </c>
      <c r="AI41" s="240"/>
      <c r="AJ41" s="303">
        <f>AJ38</f>
        <v>0</v>
      </c>
      <c r="AK41" s="231">
        <f t="shared" ref="AK41:AK46" si="94">AF41+AI41-AJ41</f>
        <v>33</v>
      </c>
      <c r="AL41" s="121"/>
      <c r="AM41" s="6"/>
      <c r="AN41" s="35"/>
      <c r="AO41" s="612"/>
      <c r="AP41" s="121"/>
      <c r="AQ41" s="6"/>
      <c r="AR41" s="35"/>
      <c r="AS41" s="612"/>
      <c r="AT41" s="21"/>
      <c r="AU41" s="6"/>
      <c r="AV41" s="35"/>
      <c r="AW41" s="713"/>
      <c r="AX41" s="713"/>
      <c r="AY41" s="394">
        <f t="shared" si="84"/>
        <v>-33</v>
      </c>
      <c r="AZ41" s="29">
        <f t="shared" si="87"/>
        <v>33</v>
      </c>
      <c r="BA41" s="298">
        <f>BA38</f>
        <v>0</v>
      </c>
      <c r="BB41" s="5">
        <f t="shared" ref="BB41:BB46" si="95">BA41-AZ41</f>
        <v>-33</v>
      </c>
      <c r="BC41" s="256"/>
      <c r="BD41" s="303">
        <f>BD38</f>
        <v>0</v>
      </c>
      <c r="BE41" s="231">
        <f t="shared" ref="BE41:BE46" si="96">AZ41+BC41-BD41</f>
        <v>33</v>
      </c>
      <c r="BF41" s="121"/>
      <c r="BG41" s="6"/>
      <c r="BH41" s="35"/>
      <c r="BI41" s="612"/>
      <c r="BJ41" s="121"/>
      <c r="BK41" s="6"/>
      <c r="BL41" s="35"/>
      <c r="BM41" s="612"/>
      <c r="BN41" s="21"/>
      <c r="BO41" s="6"/>
      <c r="BP41" s="35"/>
      <c r="BQ41" s="713"/>
      <c r="BR41" s="713"/>
      <c r="BS41" s="394">
        <f t="shared" si="85"/>
        <v>-33</v>
      </c>
      <c r="BT41" s="29">
        <f t="shared" si="88"/>
        <v>33</v>
      </c>
      <c r="BU41" s="298">
        <f>BU38</f>
        <v>0</v>
      </c>
      <c r="BV41" s="5">
        <f t="shared" ref="BV41:BV46" si="97">BU41-BT41</f>
        <v>-33</v>
      </c>
      <c r="BW41" s="256"/>
      <c r="BX41" s="303">
        <f>BX38</f>
        <v>0</v>
      </c>
      <c r="BY41" s="231">
        <f t="shared" ref="BY41:BY46" si="98">BT41+BW41-BX41</f>
        <v>33</v>
      </c>
      <c r="BZ41" s="121"/>
      <c r="CA41" s="6"/>
      <c r="CB41" s="35"/>
      <c r="CC41" s="612"/>
      <c r="CD41" s="121"/>
      <c r="CE41" s="6"/>
      <c r="CF41" s="35"/>
      <c r="CG41" s="612"/>
      <c r="CH41" s="21"/>
      <c r="CI41" s="6"/>
      <c r="CJ41" s="35"/>
      <c r="CK41" s="713"/>
      <c r="CL41" s="713"/>
      <c r="CM41" s="394">
        <f t="shared" si="86"/>
        <v>-33</v>
      </c>
      <c r="CN41" s="29">
        <f t="shared" si="89"/>
        <v>33</v>
      </c>
      <c r="CO41" s="298">
        <f>CO38</f>
        <v>0</v>
      </c>
      <c r="CP41" s="5">
        <f t="shared" ref="CP41:CP46" si="99">CO41-CN41</f>
        <v>-33</v>
      </c>
      <c r="CQ41" s="240"/>
      <c r="CR41" s="303">
        <f>CR38</f>
        <v>0</v>
      </c>
      <c r="CS41" s="231">
        <f t="shared" ref="CS41:CS46" si="100">CN41+CQ41-CR41</f>
        <v>33</v>
      </c>
      <c r="CT41" s="121"/>
      <c r="CU41" s="6"/>
      <c r="CV41" s="35"/>
      <c r="CW41" s="612"/>
      <c r="CX41" s="121"/>
      <c r="CY41" s="6"/>
      <c r="CZ41" s="35"/>
      <c r="DA41" s="612"/>
      <c r="DB41" s="21"/>
      <c r="DC41" s="6"/>
      <c r="DD41" s="35"/>
      <c r="DE41" s="713"/>
      <c r="DF41" s="713"/>
      <c r="DG41" s="394"/>
      <c r="DH41" s="29">
        <f t="shared" si="90"/>
        <v>33</v>
      </c>
      <c r="DI41" s="298">
        <f>DI38</f>
        <v>0</v>
      </c>
      <c r="DJ41" s="5">
        <f t="shared" ref="DJ41:DJ46" si="101">DI41-DH41</f>
        <v>-33</v>
      </c>
      <c r="DK41" s="240"/>
      <c r="DL41" s="303">
        <f>DL38</f>
        <v>0</v>
      </c>
      <c r="DM41" s="231">
        <f t="shared" ref="DM41:DM46" si="102">DH41+DK41-DL41</f>
        <v>33</v>
      </c>
    </row>
    <row r="42" spans="1:117" x14ac:dyDescent="0.25">
      <c r="A42" s="18"/>
      <c r="B42" s="11" t="s">
        <v>21</v>
      </c>
      <c r="C42" s="18">
        <v>1</v>
      </c>
      <c r="D42" s="11"/>
      <c r="E42" s="11"/>
      <c r="F42" s="149">
        <v>105</v>
      </c>
      <c r="G42" s="381" t="s">
        <v>191</v>
      </c>
      <c r="H42" s="25" t="s">
        <v>11</v>
      </c>
      <c r="I42" s="24"/>
      <c r="J42" s="534">
        <f t="shared" si="82"/>
        <v>-33</v>
      </c>
      <c r="K42" s="394">
        <f t="shared" si="8"/>
        <v>-33</v>
      </c>
      <c r="L42" s="29">
        <v>33</v>
      </c>
      <c r="M42" s="298">
        <f>M38</f>
        <v>0</v>
      </c>
      <c r="N42" s="5">
        <f t="shared" si="91"/>
        <v>-33</v>
      </c>
      <c r="O42" s="256"/>
      <c r="P42" s="303">
        <f>P38</f>
        <v>0</v>
      </c>
      <c r="Q42" s="231">
        <f t="shared" si="92"/>
        <v>33</v>
      </c>
      <c r="R42" s="21"/>
      <c r="S42" s="6"/>
      <c r="T42" s="35"/>
      <c r="U42" s="612"/>
      <c r="V42" s="121"/>
      <c r="W42" s="6"/>
      <c r="X42" s="35"/>
      <c r="Y42" s="612"/>
      <c r="Z42" s="21"/>
      <c r="AA42" s="6"/>
      <c r="AB42" s="35"/>
      <c r="AC42" s="713"/>
      <c r="AD42" s="713"/>
      <c r="AE42" s="394">
        <f t="shared" si="83"/>
        <v>-33</v>
      </c>
      <c r="AF42" s="29">
        <f t="shared" si="40"/>
        <v>33</v>
      </c>
      <c r="AG42" s="298">
        <f>AG38</f>
        <v>0</v>
      </c>
      <c r="AH42" s="5">
        <f t="shared" si="93"/>
        <v>-33</v>
      </c>
      <c r="AI42" s="240"/>
      <c r="AJ42" s="303">
        <f>AJ38</f>
        <v>0</v>
      </c>
      <c r="AK42" s="231">
        <f t="shared" si="94"/>
        <v>33</v>
      </c>
      <c r="AL42" s="21"/>
      <c r="AM42" s="6"/>
      <c r="AN42" s="35"/>
      <c r="AO42" s="612"/>
      <c r="AP42" s="121"/>
      <c r="AQ42" s="6"/>
      <c r="AR42" s="35"/>
      <c r="AS42" s="612"/>
      <c r="AT42" s="21"/>
      <c r="AU42" s="6"/>
      <c r="AV42" s="35"/>
      <c r="AW42" s="713"/>
      <c r="AX42" s="713"/>
      <c r="AY42" s="394">
        <f t="shared" si="84"/>
        <v>-33</v>
      </c>
      <c r="AZ42" s="29">
        <f t="shared" si="87"/>
        <v>33</v>
      </c>
      <c r="BA42" s="298">
        <f>BA38</f>
        <v>0</v>
      </c>
      <c r="BB42" s="5">
        <f t="shared" si="95"/>
        <v>-33</v>
      </c>
      <c r="BC42" s="256"/>
      <c r="BD42" s="303">
        <f>BD38</f>
        <v>0</v>
      </c>
      <c r="BE42" s="231">
        <f t="shared" si="96"/>
        <v>33</v>
      </c>
      <c r="BF42" s="21"/>
      <c r="BG42" s="6"/>
      <c r="BH42" s="35"/>
      <c r="BI42" s="612"/>
      <c r="BJ42" s="121"/>
      <c r="BK42" s="6"/>
      <c r="BL42" s="35"/>
      <c r="BM42" s="612"/>
      <c r="BN42" s="21"/>
      <c r="BO42" s="6"/>
      <c r="BP42" s="35"/>
      <c r="BQ42" s="713"/>
      <c r="BR42" s="713"/>
      <c r="BS42" s="394">
        <f t="shared" si="85"/>
        <v>-33</v>
      </c>
      <c r="BT42" s="29">
        <f t="shared" si="88"/>
        <v>33</v>
      </c>
      <c r="BU42" s="298">
        <f>BU38</f>
        <v>0</v>
      </c>
      <c r="BV42" s="5">
        <f t="shared" si="97"/>
        <v>-33</v>
      </c>
      <c r="BW42" s="256"/>
      <c r="BX42" s="303">
        <f>BX38</f>
        <v>0</v>
      </c>
      <c r="BY42" s="231">
        <f t="shared" si="98"/>
        <v>33</v>
      </c>
      <c r="BZ42" s="21"/>
      <c r="CA42" s="6"/>
      <c r="CB42" s="35"/>
      <c r="CC42" s="612"/>
      <c r="CD42" s="121"/>
      <c r="CE42" s="6"/>
      <c r="CF42" s="35"/>
      <c r="CG42" s="612"/>
      <c r="CH42" s="21"/>
      <c r="CI42" s="6"/>
      <c r="CJ42" s="35"/>
      <c r="CK42" s="713"/>
      <c r="CL42" s="713"/>
      <c r="CM42" s="394">
        <f t="shared" si="86"/>
        <v>-33</v>
      </c>
      <c r="CN42" s="29">
        <f t="shared" si="89"/>
        <v>33</v>
      </c>
      <c r="CO42" s="298">
        <f>CO38</f>
        <v>0</v>
      </c>
      <c r="CP42" s="5">
        <f t="shared" si="99"/>
        <v>-33</v>
      </c>
      <c r="CQ42" s="240"/>
      <c r="CR42" s="303">
        <f>CR38</f>
        <v>0</v>
      </c>
      <c r="CS42" s="231">
        <f t="shared" si="100"/>
        <v>33</v>
      </c>
      <c r="CT42" s="21"/>
      <c r="CU42" s="6"/>
      <c r="CV42" s="35"/>
      <c r="CW42" s="612"/>
      <c r="CX42" s="121"/>
      <c r="CY42" s="6"/>
      <c r="CZ42" s="35"/>
      <c r="DA42" s="612"/>
      <c r="DB42" s="21"/>
      <c r="DC42" s="6"/>
      <c r="DD42" s="35"/>
      <c r="DE42" s="713"/>
      <c r="DF42" s="713"/>
      <c r="DG42" s="394"/>
      <c r="DH42" s="29">
        <f t="shared" si="90"/>
        <v>33</v>
      </c>
      <c r="DI42" s="298">
        <f>DI38</f>
        <v>0</v>
      </c>
      <c r="DJ42" s="5">
        <f t="shared" si="101"/>
        <v>-33</v>
      </c>
      <c r="DK42" s="240"/>
      <c r="DL42" s="303">
        <f>DL38</f>
        <v>0</v>
      </c>
      <c r="DM42" s="231">
        <f t="shared" si="102"/>
        <v>33</v>
      </c>
    </row>
    <row r="43" spans="1:117" x14ac:dyDescent="0.25">
      <c r="A43" s="75"/>
      <c r="B43" s="74" t="s">
        <v>35</v>
      </c>
      <c r="C43" s="75">
        <v>1</v>
      </c>
      <c r="D43" s="74"/>
      <c r="E43" s="74"/>
      <c r="F43" s="275">
        <v>186.56</v>
      </c>
      <c r="G43" s="453"/>
      <c r="H43" s="77" t="s">
        <v>22</v>
      </c>
      <c r="I43" s="420"/>
      <c r="J43" s="534">
        <f t="shared" si="82"/>
        <v>-33</v>
      </c>
      <c r="K43" s="394">
        <f t="shared" si="8"/>
        <v>-33</v>
      </c>
      <c r="L43" s="29">
        <v>33</v>
      </c>
      <c r="M43" s="299">
        <f>M38</f>
        <v>0</v>
      </c>
      <c r="N43" s="5">
        <f t="shared" si="91"/>
        <v>-33</v>
      </c>
      <c r="O43" s="277"/>
      <c r="P43" s="376">
        <f>P38</f>
        <v>0</v>
      </c>
      <c r="Q43" s="231">
        <f t="shared" si="92"/>
        <v>33</v>
      </c>
      <c r="R43" s="129"/>
      <c r="S43" s="130"/>
      <c r="T43" s="35"/>
      <c r="U43" s="712"/>
      <c r="V43" s="129"/>
      <c r="W43" s="6"/>
      <c r="X43" s="35"/>
      <c r="Y43" s="712"/>
      <c r="Z43" s="131"/>
      <c r="AA43" s="130"/>
      <c r="AB43" s="79"/>
      <c r="AE43" s="394">
        <f t="shared" si="83"/>
        <v>-33</v>
      </c>
      <c r="AF43" s="29">
        <f t="shared" si="40"/>
        <v>33</v>
      </c>
      <c r="AG43" s="299">
        <f>AG38</f>
        <v>0</v>
      </c>
      <c r="AH43" s="5">
        <f t="shared" si="93"/>
        <v>-33</v>
      </c>
      <c r="AI43" s="244"/>
      <c r="AJ43" s="376">
        <f>AJ38</f>
        <v>0</v>
      </c>
      <c r="AK43" s="231">
        <f t="shared" si="94"/>
        <v>33</v>
      </c>
      <c r="AL43" s="129"/>
      <c r="AM43" s="130"/>
      <c r="AN43" s="35"/>
      <c r="AO43" s="712"/>
      <c r="AP43" s="129"/>
      <c r="AQ43" s="6"/>
      <c r="AR43" s="35"/>
      <c r="AS43" s="712"/>
      <c r="AT43" s="131"/>
      <c r="AU43" s="130"/>
      <c r="AV43" s="79"/>
      <c r="AY43" s="394">
        <f t="shared" si="84"/>
        <v>-33</v>
      </c>
      <c r="AZ43" s="29">
        <f t="shared" si="87"/>
        <v>33</v>
      </c>
      <c r="BA43" s="299">
        <f>BA38</f>
        <v>0</v>
      </c>
      <c r="BB43" s="5">
        <f t="shared" si="95"/>
        <v>-33</v>
      </c>
      <c r="BC43" s="277"/>
      <c r="BD43" s="376">
        <f>BD38</f>
        <v>0</v>
      </c>
      <c r="BE43" s="231">
        <f t="shared" si="96"/>
        <v>33</v>
      </c>
      <c r="BF43" s="129"/>
      <c r="BG43" s="130"/>
      <c r="BH43" s="35"/>
      <c r="BI43" s="712"/>
      <c r="BJ43" s="129"/>
      <c r="BK43" s="6"/>
      <c r="BL43" s="35"/>
      <c r="BM43" s="712"/>
      <c r="BN43" s="131"/>
      <c r="BO43" s="130"/>
      <c r="BP43" s="79"/>
      <c r="BS43" s="394">
        <f t="shared" si="85"/>
        <v>-33</v>
      </c>
      <c r="BT43" s="29">
        <f t="shared" si="88"/>
        <v>33</v>
      </c>
      <c r="BU43" s="299">
        <f>BU38</f>
        <v>0</v>
      </c>
      <c r="BV43" s="5">
        <f t="shared" si="97"/>
        <v>-33</v>
      </c>
      <c r="BW43" s="277"/>
      <c r="BX43" s="376">
        <f>BX38</f>
        <v>0</v>
      </c>
      <c r="BY43" s="231">
        <f t="shared" si="98"/>
        <v>33</v>
      </c>
      <c r="BZ43" s="129"/>
      <c r="CA43" s="130"/>
      <c r="CB43" s="35"/>
      <c r="CC43" s="712"/>
      <c r="CD43" s="129"/>
      <c r="CE43" s="6"/>
      <c r="CF43" s="35"/>
      <c r="CG43" s="712"/>
      <c r="CH43" s="131"/>
      <c r="CI43" s="130"/>
      <c r="CJ43" s="79"/>
      <c r="CM43" s="394">
        <f t="shared" si="86"/>
        <v>-33</v>
      </c>
      <c r="CN43" s="29">
        <f t="shared" si="89"/>
        <v>33</v>
      </c>
      <c r="CO43" s="299">
        <f>CO38</f>
        <v>0</v>
      </c>
      <c r="CP43" s="5">
        <f t="shared" si="99"/>
        <v>-33</v>
      </c>
      <c r="CQ43" s="244"/>
      <c r="CR43" s="376">
        <f>CR38</f>
        <v>0</v>
      </c>
      <c r="CS43" s="231">
        <f t="shared" si="100"/>
        <v>33</v>
      </c>
      <c r="CT43" s="129"/>
      <c r="CU43" s="130"/>
      <c r="CV43" s="35"/>
      <c r="CW43" s="712"/>
      <c r="CX43" s="129"/>
      <c r="CY43" s="6"/>
      <c r="CZ43" s="35"/>
      <c r="DA43" s="712"/>
      <c r="DB43" s="131"/>
      <c r="DC43" s="130"/>
      <c r="DD43" s="79"/>
      <c r="DG43" s="394"/>
      <c r="DH43" s="29">
        <f t="shared" si="90"/>
        <v>33</v>
      </c>
      <c r="DI43" s="299">
        <f>DI38</f>
        <v>0</v>
      </c>
      <c r="DJ43" s="5">
        <f t="shared" si="101"/>
        <v>-33</v>
      </c>
      <c r="DK43" s="244"/>
      <c r="DL43" s="376">
        <f>DL38</f>
        <v>0</v>
      </c>
      <c r="DM43" s="231">
        <f t="shared" si="102"/>
        <v>33</v>
      </c>
    </row>
    <row r="44" spans="1:117" x14ac:dyDescent="0.25">
      <c r="A44" s="75"/>
      <c r="B44" s="74" t="s">
        <v>181</v>
      </c>
      <c r="C44" s="75">
        <v>1</v>
      </c>
      <c r="D44" s="343" t="s">
        <v>265</v>
      </c>
      <c r="E44" s="343"/>
      <c r="F44" s="275">
        <v>9</v>
      </c>
      <c r="G44" s="453"/>
      <c r="H44" s="198" t="s">
        <v>174</v>
      </c>
      <c r="I44" s="755"/>
      <c r="J44" s="534">
        <f t="shared" si="82"/>
        <v>-33</v>
      </c>
      <c r="K44" s="394">
        <f t="shared" si="8"/>
        <v>-33</v>
      </c>
      <c r="L44" s="29">
        <v>33</v>
      </c>
      <c r="M44" s="299">
        <f>M38</f>
        <v>0</v>
      </c>
      <c r="N44" s="5">
        <f t="shared" si="91"/>
        <v>-33</v>
      </c>
      <c r="O44" s="277"/>
      <c r="P44" s="376">
        <f>P38</f>
        <v>0</v>
      </c>
      <c r="Q44" s="231">
        <f t="shared" si="92"/>
        <v>33</v>
      </c>
      <c r="R44" s="129"/>
      <c r="S44" s="130"/>
      <c r="T44" s="35"/>
      <c r="U44" s="712"/>
      <c r="V44" s="129"/>
      <c r="W44" s="130"/>
      <c r="X44" s="79"/>
      <c r="Y44" s="712"/>
      <c r="Z44" s="131"/>
      <c r="AA44" s="130"/>
      <c r="AB44" s="79"/>
      <c r="AE44" s="394">
        <f t="shared" si="83"/>
        <v>-33</v>
      </c>
      <c r="AF44" s="29">
        <f t="shared" si="40"/>
        <v>33</v>
      </c>
      <c r="AG44" s="299">
        <f>AG38</f>
        <v>0</v>
      </c>
      <c r="AH44" s="5">
        <f t="shared" si="93"/>
        <v>-33</v>
      </c>
      <c r="AI44" s="244"/>
      <c r="AJ44" s="376">
        <f>AJ38</f>
        <v>0</v>
      </c>
      <c r="AK44" s="231">
        <f t="shared" si="94"/>
        <v>33</v>
      </c>
      <c r="AL44" s="129"/>
      <c r="AM44" s="130"/>
      <c r="AN44" s="35"/>
      <c r="AO44" s="712"/>
      <c r="AP44" s="129"/>
      <c r="AQ44" s="130"/>
      <c r="AR44" s="79"/>
      <c r="AS44" s="712"/>
      <c r="AT44" s="131"/>
      <c r="AU44" s="130"/>
      <c r="AV44" s="79"/>
      <c r="AY44" s="394">
        <f t="shared" si="84"/>
        <v>-33</v>
      </c>
      <c r="AZ44" s="29">
        <f t="shared" si="87"/>
        <v>33</v>
      </c>
      <c r="BA44" s="299">
        <f>BA38</f>
        <v>0</v>
      </c>
      <c r="BB44" s="5">
        <f t="shared" si="95"/>
        <v>-33</v>
      </c>
      <c r="BC44" s="277"/>
      <c r="BD44" s="376">
        <f>BD38</f>
        <v>0</v>
      </c>
      <c r="BE44" s="231">
        <f t="shared" si="96"/>
        <v>33</v>
      </c>
      <c r="BF44" s="129"/>
      <c r="BG44" s="130"/>
      <c r="BH44" s="35"/>
      <c r="BI44" s="712"/>
      <c r="BJ44" s="129"/>
      <c r="BK44" s="130"/>
      <c r="BL44" s="79"/>
      <c r="BM44" s="712"/>
      <c r="BN44" s="131"/>
      <c r="BO44" s="130"/>
      <c r="BP44" s="79"/>
      <c r="BS44" s="394">
        <f t="shared" si="85"/>
        <v>-33</v>
      </c>
      <c r="BT44" s="29">
        <f t="shared" si="88"/>
        <v>33</v>
      </c>
      <c r="BU44" s="299">
        <f>BU38</f>
        <v>0</v>
      </c>
      <c r="BV44" s="5">
        <f t="shared" si="97"/>
        <v>-33</v>
      </c>
      <c r="BW44" s="277"/>
      <c r="BX44" s="376">
        <f>BX38</f>
        <v>0</v>
      </c>
      <c r="BY44" s="231">
        <f t="shared" si="98"/>
        <v>33</v>
      </c>
      <c r="BZ44" s="129"/>
      <c r="CA44" s="130"/>
      <c r="CB44" s="35"/>
      <c r="CC44" s="712"/>
      <c r="CD44" s="129"/>
      <c r="CE44" s="130"/>
      <c r="CF44" s="79"/>
      <c r="CG44" s="712"/>
      <c r="CH44" s="131"/>
      <c r="CI44" s="130"/>
      <c r="CJ44" s="79"/>
      <c r="CM44" s="394">
        <f t="shared" si="86"/>
        <v>-33</v>
      </c>
      <c r="CN44" s="29">
        <f t="shared" si="89"/>
        <v>33</v>
      </c>
      <c r="CO44" s="299">
        <f>CO38</f>
        <v>0</v>
      </c>
      <c r="CP44" s="5">
        <f t="shared" si="99"/>
        <v>-33</v>
      </c>
      <c r="CQ44" s="244"/>
      <c r="CR44" s="376">
        <f>CR38</f>
        <v>0</v>
      </c>
      <c r="CS44" s="231">
        <f t="shared" si="100"/>
        <v>33</v>
      </c>
      <c r="CT44" s="129"/>
      <c r="CU44" s="130"/>
      <c r="CV44" s="35"/>
      <c r="CW44" s="712"/>
      <c r="CX44" s="129"/>
      <c r="CY44" s="130"/>
      <c r="CZ44" s="79"/>
      <c r="DA44" s="712"/>
      <c r="DB44" s="131"/>
      <c r="DC44" s="130"/>
      <c r="DD44" s="79"/>
      <c r="DG44" s="394"/>
      <c r="DH44" s="29">
        <f t="shared" si="90"/>
        <v>33</v>
      </c>
      <c r="DI44" s="299">
        <f>DI38</f>
        <v>0</v>
      </c>
      <c r="DJ44" s="5">
        <f t="shared" si="101"/>
        <v>-33</v>
      </c>
      <c r="DK44" s="244"/>
      <c r="DL44" s="376">
        <f>DL38</f>
        <v>0</v>
      </c>
      <c r="DM44" s="231">
        <f t="shared" si="102"/>
        <v>33</v>
      </c>
    </row>
    <row r="45" spans="1:117" x14ac:dyDescent="0.25">
      <c r="A45" s="75"/>
      <c r="B45" s="74" t="s">
        <v>182</v>
      </c>
      <c r="C45" s="75">
        <v>1</v>
      </c>
      <c r="D45" s="74"/>
      <c r="E45" s="74"/>
      <c r="F45" s="275">
        <v>3</v>
      </c>
      <c r="G45" s="23"/>
      <c r="H45" s="198" t="s">
        <v>174</v>
      </c>
      <c r="I45" s="755"/>
      <c r="J45" s="534">
        <f t="shared" si="82"/>
        <v>-33</v>
      </c>
      <c r="K45" s="394">
        <f t="shared" si="8"/>
        <v>-33</v>
      </c>
      <c r="L45" s="29">
        <v>33</v>
      </c>
      <c r="M45" s="299">
        <f>M38</f>
        <v>0</v>
      </c>
      <c r="N45" s="5">
        <f t="shared" si="91"/>
        <v>-33</v>
      </c>
      <c r="O45" s="277"/>
      <c r="P45" s="376">
        <f>P38</f>
        <v>0</v>
      </c>
      <c r="Q45" s="231">
        <f t="shared" si="92"/>
        <v>33</v>
      </c>
      <c r="R45" s="131"/>
      <c r="S45" s="130"/>
      <c r="T45" s="35"/>
      <c r="U45" s="712"/>
      <c r="V45" s="129"/>
      <c r="W45" s="130"/>
      <c r="X45" s="79"/>
      <c r="Y45" s="712"/>
      <c r="Z45" s="131"/>
      <c r="AA45" s="130"/>
      <c r="AB45" s="79"/>
      <c r="AE45" s="394">
        <f t="shared" si="83"/>
        <v>-33</v>
      </c>
      <c r="AF45" s="29">
        <f t="shared" si="40"/>
        <v>33</v>
      </c>
      <c r="AG45" s="299">
        <f>AG38</f>
        <v>0</v>
      </c>
      <c r="AH45" s="5">
        <f t="shared" si="93"/>
        <v>-33</v>
      </c>
      <c r="AI45" s="244"/>
      <c r="AJ45" s="376">
        <f>AJ38</f>
        <v>0</v>
      </c>
      <c r="AK45" s="231">
        <f t="shared" si="94"/>
        <v>33</v>
      </c>
      <c r="AL45" s="131"/>
      <c r="AM45" s="130"/>
      <c r="AN45" s="35"/>
      <c r="AO45" s="712"/>
      <c r="AP45" s="129"/>
      <c r="AQ45" s="130"/>
      <c r="AR45" s="79"/>
      <c r="AS45" s="712"/>
      <c r="AT45" s="131"/>
      <c r="AU45" s="130"/>
      <c r="AV45" s="79"/>
      <c r="AY45" s="394">
        <f t="shared" si="84"/>
        <v>-33</v>
      </c>
      <c r="AZ45" s="29">
        <f t="shared" si="87"/>
        <v>33</v>
      </c>
      <c r="BA45" s="299">
        <f>BA38</f>
        <v>0</v>
      </c>
      <c r="BB45" s="5">
        <f t="shared" si="95"/>
        <v>-33</v>
      </c>
      <c r="BC45" s="277"/>
      <c r="BD45" s="376">
        <f>BD38</f>
        <v>0</v>
      </c>
      <c r="BE45" s="231">
        <f t="shared" si="96"/>
        <v>33</v>
      </c>
      <c r="BF45" s="131"/>
      <c r="BG45" s="130"/>
      <c r="BH45" s="35"/>
      <c r="BI45" s="712"/>
      <c r="BJ45" s="129"/>
      <c r="BK45" s="130"/>
      <c r="BL45" s="79"/>
      <c r="BM45" s="712"/>
      <c r="BN45" s="131"/>
      <c r="BO45" s="130"/>
      <c r="BP45" s="79"/>
      <c r="BS45" s="394">
        <f t="shared" si="85"/>
        <v>-33</v>
      </c>
      <c r="BT45" s="29">
        <f t="shared" si="88"/>
        <v>33</v>
      </c>
      <c r="BU45" s="299">
        <f>BU38</f>
        <v>0</v>
      </c>
      <c r="BV45" s="5">
        <f t="shared" si="97"/>
        <v>-33</v>
      </c>
      <c r="BW45" s="277"/>
      <c r="BX45" s="376">
        <f>BX38</f>
        <v>0</v>
      </c>
      <c r="BY45" s="231">
        <f t="shared" si="98"/>
        <v>33</v>
      </c>
      <c r="BZ45" s="131"/>
      <c r="CA45" s="130"/>
      <c r="CB45" s="35"/>
      <c r="CC45" s="712"/>
      <c r="CD45" s="129"/>
      <c r="CE45" s="130"/>
      <c r="CF45" s="79"/>
      <c r="CG45" s="712"/>
      <c r="CH45" s="131"/>
      <c r="CI45" s="130"/>
      <c r="CJ45" s="79"/>
      <c r="CM45" s="394">
        <f t="shared" si="86"/>
        <v>-33</v>
      </c>
      <c r="CN45" s="29">
        <f t="shared" si="89"/>
        <v>33</v>
      </c>
      <c r="CO45" s="299">
        <f>CO38</f>
        <v>0</v>
      </c>
      <c r="CP45" s="5">
        <f t="shared" si="99"/>
        <v>-33</v>
      </c>
      <c r="CQ45" s="244"/>
      <c r="CR45" s="376">
        <f>CR38</f>
        <v>0</v>
      </c>
      <c r="CS45" s="231">
        <f t="shared" si="100"/>
        <v>33</v>
      </c>
      <c r="CT45" s="131"/>
      <c r="CU45" s="130"/>
      <c r="CV45" s="35"/>
      <c r="CW45" s="712"/>
      <c r="CX45" s="129"/>
      <c r="CY45" s="130"/>
      <c r="CZ45" s="79"/>
      <c r="DA45" s="712"/>
      <c r="DB45" s="131"/>
      <c r="DC45" s="130"/>
      <c r="DD45" s="79"/>
      <c r="DG45" s="394"/>
      <c r="DH45" s="29">
        <f t="shared" si="90"/>
        <v>33</v>
      </c>
      <c r="DI45" s="299">
        <f>DI38</f>
        <v>0</v>
      </c>
      <c r="DJ45" s="5">
        <f t="shared" si="101"/>
        <v>-33</v>
      </c>
      <c r="DK45" s="244"/>
      <c r="DL45" s="376">
        <f>DL38</f>
        <v>0</v>
      </c>
      <c r="DM45" s="231">
        <f t="shared" si="102"/>
        <v>33</v>
      </c>
    </row>
    <row r="46" spans="1:117" ht="15.75" thickBot="1" x14ac:dyDescent="0.3">
      <c r="A46" s="19"/>
      <c r="B46" s="12" t="s">
        <v>183</v>
      </c>
      <c r="C46" s="19">
        <v>1</v>
      </c>
      <c r="D46" s="12"/>
      <c r="E46" s="12"/>
      <c r="F46" s="146">
        <v>44.01</v>
      </c>
      <c r="G46" s="588" t="s">
        <v>334</v>
      </c>
      <c r="H46" s="61" t="s">
        <v>77</v>
      </c>
      <c r="I46" s="64"/>
      <c r="J46" s="533">
        <f t="shared" si="82"/>
        <v>-45</v>
      </c>
      <c r="K46" s="394">
        <f t="shared" si="8"/>
        <v>-45</v>
      </c>
      <c r="L46" s="29">
        <v>45</v>
      </c>
      <c r="M46" s="301">
        <f>M38</f>
        <v>0</v>
      </c>
      <c r="N46" s="5">
        <f t="shared" si="91"/>
        <v>-45</v>
      </c>
      <c r="O46" s="284"/>
      <c r="P46" s="305">
        <f>P38</f>
        <v>0</v>
      </c>
      <c r="Q46" s="232">
        <f t="shared" si="92"/>
        <v>45</v>
      </c>
      <c r="R46" s="200"/>
      <c r="S46" s="201"/>
      <c r="T46" s="35"/>
      <c r="U46" s="712"/>
      <c r="V46" s="200"/>
      <c r="W46" s="201"/>
      <c r="X46" s="36"/>
      <c r="Y46" s="220"/>
      <c r="Z46" s="122"/>
      <c r="AA46" s="201"/>
      <c r="AB46" s="36"/>
      <c r="AE46" s="394">
        <f t="shared" si="83"/>
        <v>-45</v>
      </c>
      <c r="AF46" s="29">
        <f t="shared" si="40"/>
        <v>45</v>
      </c>
      <c r="AG46" s="301">
        <f>AG38</f>
        <v>0</v>
      </c>
      <c r="AH46" s="5">
        <f t="shared" si="93"/>
        <v>-45</v>
      </c>
      <c r="AI46" s="241"/>
      <c r="AJ46" s="305">
        <f>AJ38</f>
        <v>0</v>
      </c>
      <c r="AK46" s="232">
        <f t="shared" si="94"/>
        <v>45</v>
      </c>
      <c r="AL46" s="200"/>
      <c r="AM46" s="201"/>
      <c r="AN46" s="35"/>
      <c r="AO46" s="712"/>
      <c r="AP46" s="200"/>
      <c r="AQ46" s="201"/>
      <c r="AR46" s="36"/>
      <c r="AS46" s="220"/>
      <c r="AT46" s="122"/>
      <c r="AU46" s="201"/>
      <c r="AV46" s="36"/>
      <c r="AY46" s="394">
        <f t="shared" si="84"/>
        <v>-45</v>
      </c>
      <c r="AZ46" s="29">
        <f t="shared" si="87"/>
        <v>45</v>
      </c>
      <c r="BA46" s="301">
        <f>BA38</f>
        <v>0</v>
      </c>
      <c r="BB46" s="5">
        <f t="shared" si="95"/>
        <v>-45</v>
      </c>
      <c r="BC46" s="256"/>
      <c r="BD46" s="305">
        <f>BD38</f>
        <v>0</v>
      </c>
      <c r="BE46" s="232">
        <f t="shared" si="96"/>
        <v>45</v>
      </c>
      <c r="BF46" s="200"/>
      <c r="BG46" s="201"/>
      <c r="BH46" s="35"/>
      <c r="BI46" s="712"/>
      <c r="BJ46" s="200"/>
      <c r="BK46" s="201"/>
      <c r="BL46" s="36"/>
      <c r="BM46" s="220"/>
      <c r="BN46" s="122"/>
      <c r="BO46" s="201"/>
      <c r="BP46" s="36"/>
      <c r="BS46" s="394">
        <f t="shared" si="85"/>
        <v>-45</v>
      </c>
      <c r="BT46" s="29">
        <f t="shared" si="88"/>
        <v>45</v>
      </c>
      <c r="BU46" s="301">
        <f>BU38</f>
        <v>0</v>
      </c>
      <c r="BV46" s="5">
        <f t="shared" si="97"/>
        <v>-45</v>
      </c>
      <c r="BW46" s="284"/>
      <c r="BX46" s="305">
        <f>BX38</f>
        <v>0</v>
      </c>
      <c r="BY46" s="232">
        <f t="shared" si="98"/>
        <v>45</v>
      </c>
      <c r="BZ46" s="200"/>
      <c r="CA46" s="201"/>
      <c r="CB46" s="35"/>
      <c r="CC46" s="712"/>
      <c r="CD46" s="200"/>
      <c r="CE46" s="201"/>
      <c r="CF46" s="36"/>
      <c r="CG46" s="220"/>
      <c r="CH46" s="122"/>
      <c r="CI46" s="201"/>
      <c r="CJ46" s="36"/>
      <c r="CM46" s="394">
        <f t="shared" si="86"/>
        <v>-45</v>
      </c>
      <c r="CN46" s="29">
        <f t="shared" si="89"/>
        <v>45</v>
      </c>
      <c r="CO46" s="301">
        <f>CO38</f>
        <v>0</v>
      </c>
      <c r="CP46" s="5">
        <f t="shared" si="99"/>
        <v>-45</v>
      </c>
      <c r="CQ46" s="241"/>
      <c r="CR46" s="305">
        <f>CR38</f>
        <v>0</v>
      </c>
      <c r="CS46" s="232">
        <f t="shared" si="100"/>
        <v>45</v>
      </c>
      <c r="CT46" s="200"/>
      <c r="CU46" s="201"/>
      <c r="CV46" s="35"/>
      <c r="CW46" s="712"/>
      <c r="CX46" s="200"/>
      <c r="CY46" s="201"/>
      <c r="CZ46" s="36"/>
      <c r="DA46" s="220"/>
      <c r="DB46" s="122"/>
      <c r="DC46" s="201"/>
      <c r="DD46" s="36"/>
      <c r="DG46" s="394"/>
      <c r="DH46" s="29">
        <f t="shared" si="90"/>
        <v>45</v>
      </c>
      <c r="DI46" s="301">
        <f>DI38</f>
        <v>0</v>
      </c>
      <c r="DJ46" s="5">
        <f t="shared" si="101"/>
        <v>-45</v>
      </c>
      <c r="DK46" s="241"/>
      <c r="DL46" s="305">
        <f>DL38</f>
        <v>0</v>
      </c>
      <c r="DM46" s="232">
        <f t="shared" si="102"/>
        <v>45</v>
      </c>
    </row>
    <row r="47" spans="1:117" x14ac:dyDescent="0.25">
      <c r="A47" s="53"/>
      <c r="B47" s="58" t="s">
        <v>154</v>
      </c>
      <c r="C47" s="53"/>
      <c r="D47" s="51"/>
      <c r="E47" s="51"/>
      <c r="F47" s="338"/>
      <c r="G47" s="59"/>
      <c r="H47" s="54"/>
      <c r="I47" s="54"/>
      <c r="J47" s="53">
        <f>SUM(M47,AG47,BA47,BU47)</f>
        <v>0</v>
      </c>
      <c r="K47" s="53"/>
      <c r="L47" s="55"/>
      <c r="M47" s="56"/>
      <c r="N47" s="56"/>
      <c r="O47" s="56"/>
      <c r="P47" s="243"/>
      <c r="Q47" s="230"/>
      <c r="R47" s="119">
        <f>SUM(R48:R49)</f>
        <v>0</v>
      </c>
      <c r="S47" s="120">
        <f>SUM(S48:S49)</f>
        <v>0</v>
      </c>
      <c r="T47" s="57"/>
      <c r="U47" s="219"/>
      <c r="V47" s="119">
        <f>SUM(V48:V49)</f>
        <v>0</v>
      </c>
      <c r="W47" s="120">
        <f>SUM(W48:W49)</f>
        <v>0</v>
      </c>
      <c r="X47" s="57"/>
      <c r="Y47" s="219"/>
      <c r="Z47" s="119">
        <f>SUM(Z48:Z49)</f>
        <v>0</v>
      </c>
      <c r="AA47" s="120">
        <f>SUM(AA48:AA49)</f>
        <v>0</v>
      </c>
      <c r="AB47" s="57"/>
      <c r="AC47" s="230"/>
      <c r="AD47" s="230"/>
      <c r="AE47" s="53">
        <f>SUM(AG47,BA47,BU47)</f>
        <v>0</v>
      </c>
      <c r="AF47" s="55"/>
      <c r="AG47" s="56"/>
      <c r="AH47" s="56"/>
      <c r="AI47" s="56"/>
      <c r="AJ47" s="243"/>
      <c r="AK47" s="230"/>
      <c r="AL47" s="119">
        <f>SUM(AL48:AL49)</f>
        <v>0</v>
      </c>
      <c r="AM47" s="120">
        <f>SUM(AM48:AM49)</f>
        <v>0</v>
      </c>
      <c r="AN47" s="57"/>
      <c r="AO47" s="219"/>
      <c r="AP47" s="119">
        <f>SUM(AP48:AP49)</f>
        <v>0</v>
      </c>
      <c r="AQ47" s="120">
        <f>SUM(AQ48:AQ49)</f>
        <v>0</v>
      </c>
      <c r="AR47" s="57"/>
      <c r="AS47" s="219"/>
      <c r="AT47" s="119">
        <f>SUM(AT48:AT49)</f>
        <v>0</v>
      </c>
      <c r="AU47" s="120">
        <f>SUM(AU48:AU49)</f>
        <v>0</v>
      </c>
      <c r="AV47" s="57"/>
      <c r="AW47" s="230"/>
      <c r="AX47" s="230"/>
      <c r="AY47" s="53">
        <f>SUM(BA47,BU47)</f>
        <v>0</v>
      </c>
      <c r="AZ47" s="55"/>
      <c r="BA47" s="56"/>
      <c r="BB47" s="56"/>
      <c r="BC47" s="390"/>
      <c r="BD47" s="243"/>
      <c r="BE47" s="230"/>
      <c r="BF47" s="119">
        <f>SUM(BF48:BF49)</f>
        <v>0</v>
      </c>
      <c r="BG47" s="120">
        <f>SUM(BG48:BG49)</f>
        <v>0</v>
      </c>
      <c r="BH47" s="57"/>
      <c r="BI47" s="219"/>
      <c r="BJ47" s="119">
        <f>SUM(BJ48:BJ49)</f>
        <v>0</v>
      </c>
      <c r="BK47" s="120">
        <f>SUM(BK48:BK49)</f>
        <v>0</v>
      </c>
      <c r="BL47" s="57"/>
      <c r="BM47" s="219"/>
      <c r="BN47" s="119">
        <f>SUM(BN48:BN49)</f>
        <v>0</v>
      </c>
      <c r="BO47" s="120">
        <f>SUM(BO48:BO49)</f>
        <v>0</v>
      </c>
      <c r="BP47" s="57"/>
      <c r="BQ47" s="230"/>
      <c r="BR47" s="230"/>
      <c r="BS47" s="53">
        <f>BU47</f>
        <v>0</v>
      </c>
      <c r="BT47" s="55"/>
      <c r="BU47" s="56"/>
      <c r="BV47" s="56"/>
      <c r="BW47" s="56"/>
      <c r="BX47" s="243"/>
      <c r="BY47" s="230"/>
      <c r="BZ47" s="119">
        <f>SUM(BZ48:BZ49)</f>
        <v>0</v>
      </c>
      <c r="CA47" s="120">
        <f>SUM(CA48:CA49)</f>
        <v>0</v>
      </c>
      <c r="CB47" s="57"/>
      <c r="CC47" s="219"/>
      <c r="CD47" s="119">
        <f>SUM(CD48:CD49)</f>
        <v>0</v>
      </c>
      <c r="CE47" s="120">
        <f>SUM(CE48:CE49)</f>
        <v>0</v>
      </c>
      <c r="CF47" s="57"/>
      <c r="CG47" s="219"/>
      <c r="CH47" s="119">
        <f>SUM(CH48:CH49)</f>
        <v>0</v>
      </c>
      <c r="CI47" s="120">
        <f>SUM(CI48:CI49)</f>
        <v>0</v>
      </c>
      <c r="CJ47" s="57"/>
      <c r="CK47" s="230"/>
      <c r="CL47" s="230"/>
      <c r="CM47" s="53">
        <f>CO47</f>
        <v>0</v>
      </c>
      <c r="CN47" s="55"/>
      <c r="CO47" s="56"/>
      <c r="CP47" s="56"/>
      <c r="CQ47" s="56"/>
      <c r="CR47" s="243"/>
      <c r="CS47" s="230"/>
      <c r="CT47" s="119">
        <f>SUM(CT48:CT49)</f>
        <v>0</v>
      </c>
      <c r="CU47" s="120">
        <f>SUM(CU48:CU49)</f>
        <v>0</v>
      </c>
      <c r="CV47" s="57"/>
      <c r="CW47" s="219"/>
      <c r="CX47" s="119">
        <f>SUM(CX48:CX49)</f>
        <v>0</v>
      </c>
      <c r="CY47" s="120">
        <f>SUM(CY48:CY49)</f>
        <v>0</v>
      </c>
      <c r="CZ47" s="57"/>
      <c r="DA47" s="219"/>
      <c r="DB47" s="119">
        <f>SUM(DB48:DB49)</f>
        <v>0</v>
      </c>
      <c r="DC47" s="120">
        <f>SUM(DC48:DC49)</f>
        <v>0</v>
      </c>
      <c r="DD47" s="57"/>
      <c r="DE47" s="230"/>
      <c r="DF47" s="230"/>
      <c r="DG47" s="53">
        <f>DI47</f>
        <v>0</v>
      </c>
      <c r="DH47" s="55"/>
      <c r="DI47" s="56"/>
      <c r="DJ47" s="56"/>
      <c r="DK47" s="56"/>
      <c r="DL47" s="243"/>
      <c r="DM47" s="230"/>
    </row>
    <row r="48" spans="1:117" x14ac:dyDescent="0.25">
      <c r="A48" s="17">
        <v>11515</v>
      </c>
      <c r="B48" s="281" t="s">
        <v>642</v>
      </c>
      <c r="C48" s="17"/>
      <c r="D48" s="10" t="s">
        <v>18</v>
      </c>
      <c r="E48" s="10"/>
      <c r="F48" s="337">
        <v>3000</v>
      </c>
      <c r="G48" s="10" t="s">
        <v>198</v>
      </c>
      <c r="H48" s="382"/>
      <c r="I48" s="382"/>
      <c r="J48" s="536">
        <f>SUM(M48,AG48,BA48,BU48)-L48</f>
        <v>-978</v>
      </c>
      <c r="K48" s="394">
        <f t="shared" si="8"/>
        <v>-4708</v>
      </c>
      <c r="L48" s="515">
        <v>5084</v>
      </c>
      <c r="M48" s="258">
        <f>379+376-379</f>
        <v>376</v>
      </c>
      <c r="N48" s="5">
        <f>M48-L48</f>
        <v>-4708</v>
      </c>
      <c r="O48" s="7"/>
      <c r="P48" s="242">
        <f>100+2+274</f>
        <v>376</v>
      </c>
      <c r="Q48" s="231">
        <f t="shared" ref="Q48:Q59" si="103">L48+O48-P48</f>
        <v>4708</v>
      </c>
      <c r="R48" s="123"/>
      <c r="S48" s="8"/>
      <c r="T48" s="34"/>
      <c r="U48" s="713"/>
      <c r="V48" s="123"/>
      <c r="W48" s="8"/>
      <c r="X48" s="34"/>
      <c r="Y48" s="713"/>
      <c r="Z48" s="20"/>
      <c r="AA48" s="8"/>
      <c r="AB48" s="34"/>
      <c r="AC48" s="713"/>
      <c r="AD48" s="713"/>
      <c r="AE48" s="394">
        <f>SUM(M48,AG48)-SUM(O48,AI48)-L48</f>
        <v>-3923</v>
      </c>
      <c r="AF48" s="32">
        <f>Q48</f>
        <v>4708</v>
      </c>
      <c r="AG48" s="7">
        <f>3200-3200+1618-1618+785</f>
        <v>785</v>
      </c>
      <c r="AH48" s="5">
        <f>AG48-AF48</f>
        <v>-3923</v>
      </c>
      <c r="AI48" s="7"/>
      <c r="AJ48" s="242">
        <f>5+34+36+178+110+300+12</f>
        <v>675</v>
      </c>
      <c r="AK48" s="231">
        <f t="shared" ref="AK48:AK59" si="104">AF48+AI48-AJ48</f>
        <v>4033</v>
      </c>
      <c r="AL48" s="123"/>
      <c r="AM48" s="8"/>
      <c r="AN48" s="34"/>
      <c r="AO48" s="713"/>
      <c r="AP48" s="123"/>
      <c r="AQ48" s="8"/>
      <c r="AR48" s="34"/>
      <c r="AS48" s="713"/>
      <c r="AT48" s="20"/>
      <c r="AU48" s="8"/>
      <c r="AV48" s="34"/>
      <c r="AW48" s="713"/>
      <c r="AX48" s="713"/>
      <c r="AY48" s="394">
        <f>SUM(M48,AG48,BA48)-SUM(O48,AI48,BC48)-L48</f>
        <v>-4078</v>
      </c>
      <c r="AZ48" s="606">
        <v>3841</v>
      </c>
      <c r="BA48" s="7">
        <f>700-700+1050-1050+1298-1298+345</f>
        <v>345</v>
      </c>
      <c r="BB48" s="5">
        <f>BA48-AZ48</f>
        <v>-3496</v>
      </c>
      <c r="BC48" s="7">
        <v>500</v>
      </c>
      <c r="BD48" s="242">
        <f>5+84+6+100+150</f>
        <v>345</v>
      </c>
      <c r="BE48" s="231">
        <f>AZ48+BC48-BD48</f>
        <v>3996</v>
      </c>
      <c r="BF48" s="123"/>
      <c r="BG48" s="8"/>
      <c r="BH48" s="34"/>
      <c r="BI48" s="713"/>
      <c r="BJ48" s="123"/>
      <c r="BK48" s="8"/>
      <c r="BL48" s="35"/>
      <c r="BM48" s="713"/>
      <c r="BN48" s="20"/>
      <c r="BO48" s="8"/>
      <c r="BP48" s="34" t="s">
        <v>828</v>
      </c>
      <c r="BQ48" s="713"/>
      <c r="BR48" s="713"/>
      <c r="BS48" s="394">
        <f>SUM(M48,AG48,BA48,BU48)-SUM(O48,AI48,BC48,BW48)-L48</f>
        <v>-1478</v>
      </c>
      <c r="BT48" s="32">
        <f t="shared" ref="BT48:BT49" si="105">BE48</f>
        <v>3996</v>
      </c>
      <c r="BU48" s="7">
        <f>1421-1421+2250-2250+2600</f>
        <v>2600</v>
      </c>
      <c r="BV48" s="5">
        <f>BU48-BT48</f>
        <v>-1396</v>
      </c>
      <c r="BW48" s="242"/>
      <c r="BX48" s="242">
        <f>100+50+300+300+400+345+300+420</f>
        <v>2215</v>
      </c>
      <c r="BY48" s="231">
        <f>BT48+BW48-BX48</f>
        <v>1781</v>
      </c>
      <c r="BZ48" s="123"/>
      <c r="CA48" s="8"/>
      <c r="CB48" s="34"/>
      <c r="CC48" s="713"/>
      <c r="CD48" s="123"/>
      <c r="CE48" s="8"/>
      <c r="CF48" s="34"/>
      <c r="CG48" s="713"/>
      <c r="CH48" s="20"/>
      <c r="CI48" s="8"/>
      <c r="CJ48" s="148" t="s">
        <v>797</v>
      </c>
      <c r="CK48" s="797"/>
      <c r="CL48" s="797"/>
      <c r="CM48" s="394">
        <f>SUM(M48,AG48,BA48,BU48,CO48)-SUM(O48,AI48,BC48,BW48,CQ48)-L48</f>
        <v>-1408</v>
      </c>
      <c r="CN48" s="32">
        <f t="shared" ref="CN48:CN49" si="106">BY48</f>
        <v>1781</v>
      </c>
      <c r="CO48" s="242">
        <v>70</v>
      </c>
      <c r="CP48" s="5">
        <f>CO48-CN48</f>
        <v>-1711</v>
      </c>
      <c r="CQ48" s="258"/>
      <c r="CR48" s="242"/>
      <c r="CS48" s="231">
        <f t="shared" ref="CS48:CS59" si="107">CN48+CQ48-CR48</f>
        <v>1781</v>
      </c>
      <c r="CT48" s="123"/>
      <c r="CU48" s="8"/>
      <c r="CV48" s="34"/>
      <c r="CW48" s="713"/>
      <c r="CX48" s="123"/>
      <c r="CY48" s="8"/>
      <c r="CZ48" s="34"/>
      <c r="DA48" s="713"/>
      <c r="DB48" s="20"/>
      <c r="DC48" s="8"/>
      <c r="DD48" s="34"/>
      <c r="DE48" s="713"/>
      <c r="DF48" s="713"/>
      <c r="DG48" s="394">
        <f>SUM(M48,AG48,BA48,BU48,DI48)-SUM(O48,AI48,BC48,BW48,CQ48)-L48</f>
        <v>-1478</v>
      </c>
      <c r="DH48" s="29">
        <f>BY48</f>
        <v>1781</v>
      </c>
      <c r="DI48" s="242"/>
      <c r="DJ48" s="5">
        <f>DI48-DH48</f>
        <v>-1781</v>
      </c>
      <c r="DK48" s="242"/>
      <c r="DL48" s="242"/>
      <c r="DM48" s="231">
        <f t="shared" ref="DM48:DM52" si="108">DH48+DK48-DL48</f>
        <v>1781</v>
      </c>
    </row>
    <row r="49" spans="1:117" ht="15.75" thickBot="1" x14ac:dyDescent="0.3">
      <c r="A49" s="18">
        <v>11434</v>
      </c>
      <c r="B49" s="282" t="s">
        <v>643</v>
      </c>
      <c r="C49" s="18"/>
      <c r="D49" s="11" t="s">
        <v>18</v>
      </c>
      <c r="E49" s="11"/>
      <c r="F49" s="149">
        <v>3000</v>
      </c>
      <c r="G49" s="11" t="s">
        <v>198</v>
      </c>
      <c r="H49" s="26"/>
      <c r="I49" s="382"/>
      <c r="J49" s="536">
        <f>SUM(M49,AG49,BA49,BU49)-L49</f>
        <v>158</v>
      </c>
      <c r="K49" s="394">
        <f t="shared" si="8"/>
        <v>-3958</v>
      </c>
      <c r="L49" s="544">
        <v>4120</v>
      </c>
      <c r="M49" s="256">
        <f>498+162-498</f>
        <v>162</v>
      </c>
      <c r="N49" s="5">
        <f>M49-L49</f>
        <v>-3958</v>
      </c>
      <c r="O49" s="256"/>
      <c r="P49" s="240">
        <f>14+148</f>
        <v>162</v>
      </c>
      <c r="Q49" s="231">
        <f t="shared" si="103"/>
        <v>3958</v>
      </c>
      <c r="R49" s="121"/>
      <c r="S49" s="6"/>
      <c r="T49" s="35"/>
      <c r="U49" s="612"/>
      <c r="V49" s="121"/>
      <c r="W49" s="6"/>
      <c r="X49" s="35"/>
      <c r="Y49" s="612"/>
      <c r="Z49" s="21"/>
      <c r="AA49" s="6"/>
      <c r="AB49" s="35"/>
      <c r="AC49" s="713"/>
      <c r="AD49" s="713"/>
      <c r="AE49" s="394">
        <f>SUM(M49,AG49)-SUM(O49,AI49)-L49</f>
        <v>-3507</v>
      </c>
      <c r="AF49" s="29">
        <f>Q49</f>
        <v>3958</v>
      </c>
      <c r="AG49" s="5">
        <f>3450-3450+1700-1700+451</f>
        <v>451</v>
      </c>
      <c r="AH49" s="5">
        <f>AG49-AF49</f>
        <v>-3507</v>
      </c>
      <c r="AI49" s="240"/>
      <c r="AJ49" s="240">
        <f>36+18+40+21+300+8+7</f>
        <v>430</v>
      </c>
      <c r="AK49" s="231">
        <f>AF49+AI49-AJ49</f>
        <v>3528</v>
      </c>
      <c r="AL49" s="121"/>
      <c r="AM49" s="6"/>
      <c r="AN49" s="35"/>
      <c r="AO49" s="612"/>
      <c r="AP49" s="121"/>
      <c r="AQ49" s="6"/>
      <c r="AR49" s="35"/>
      <c r="AS49" s="612"/>
      <c r="AT49" s="21"/>
      <c r="AU49" s="6"/>
      <c r="AV49" s="35"/>
      <c r="AW49" s="713"/>
      <c r="AX49" s="713"/>
      <c r="AY49" s="394">
        <f>SUM(M49,AG49,BA49)-SUM(O49,AI49,BC49)-L49</f>
        <v>-4342</v>
      </c>
      <c r="AZ49" s="607">
        <v>3046</v>
      </c>
      <c r="BA49" s="5">
        <f>850-850+1150-1150+1090-1090+665</f>
        <v>665</v>
      </c>
      <c r="BB49" s="5">
        <f>BA49-AZ49</f>
        <v>-2381</v>
      </c>
      <c r="BC49" s="5">
        <v>1500</v>
      </c>
      <c r="BD49" s="240">
        <f>113+12+200+200+70+70</f>
        <v>665</v>
      </c>
      <c r="BE49" s="231">
        <f>AZ49+BC49-BD49</f>
        <v>3881</v>
      </c>
      <c r="BF49" s="121"/>
      <c r="BG49" s="6"/>
      <c r="BH49" s="35"/>
      <c r="BI49" s="713"/>
      <c r="BJ49" s="123"/>
      <c r="BK49" s="6"/>
      <c r="BL49" s="35"/>
      <c r="BM49" s="612"/>
      <c r="BN49" s="21"/>
      <c r="BO49" s="6"/>
      <c r="BP49" s="35" t="s">
        <v>829</v>
      </c>
      <c r="BQ49" s="713"/>
      <c r="BR49" s="713"/>
      <c r="BS49" s="394">
        <f>SUM(M49,AG49,BA49,BU49)-SUM(O49,AI49,BC49,BW49)-L49</f>
        <v>-2342</v>
      </c>
      <c r="BT49" s="29">
        <f t="shared" si="105"/>
        <v>3881</v>
      </c>
      <c r="BU49" s="5">
        <f>1702-1702+2750-2750+3000</f>
        <v>3000</v>
      </c>
      <c r="BV49" s="5">
        <f>BU49-BT49</f>
        <v>-881</v>
      </c>
      <c r="BW49" s="240">
        <v>1000</v>
      </c>
      <c r="BX49" s="240">
        <f>400+1000+1670+140+44+6+200</f>
        <v>3460</v>
      </c>
      <c r="BY49" s="231">
        <f>BT49+BW49-BX49</f>
        <v>1421</v>
      </c>
      <c r="BZ49" s="121"/>
      <c r="CA49" s="6"/>
      <c r="CB49" s="35" t="s">
        <v>873</v>
      </c>
      <c r="CC49" s="612"/>
      <c r="CD49" s="121"/>
      <c r="CE49" s="6"/>
      <c r="CF49" s="35"/>
      <c r="CG49" s="612"/>
      <c r="CH49" s="21"/>
      <c r="CI49" s="6"/>
      <c r="CJ49" s="148" t="s">
        <v>797</v>
      </c>
      <c r="CK49" s="797"/>
      <c r="CL49" s="797"/>
      <c r="CM49" s="394">
        <f>SUM(M49,AG49,BA49,BU49,CO49)-SUM(O49,AI49,BC49,BW49,CQ49)-L49</f>
        <v>-542</v>
      </c>
      <c r="CN49" s="29">
        <f t="shared" si="106"/>
        <v>1421</v>
      </c>
      <c r="CO49" s="240">
        <v>1800</v>
      </c>
      <c r="CP49" s="5">
        <f>CO49-CN49</f>
        <v>379</v>
      </c>
      <c r="CQ49" s="240"/>
      <c r="CR49" s="240"/>
      <c r="CS49" s="231">
        <f t="shared" si="107"/>
        <v>1421</v>
      </c>
      <c r="CT49" s="121"/>
      <c r="CU49" s="6"/>
      <c r="CV49" s="35"/>
      <c r="CW49" s="612"/>
      <c r="CX49" s="121"/>
      <c r="CY49" s="6"/>
      <c r="CZ49" s="35"/>
      <c r="DA49" s="612"/>
      <c r="DB49" s="21"/>
      <c r="DC49" s="6"/>
      <c r="DD49" s="35"/>
      <c r="DE49" s="713"/>
      <c r="DF49" s="713"/>
      <c r="DG49" s="394">
        <f>SUM(M49,AG49,BA49,BU49,DI49)-SUM(O49,AI49,BC49,BW49,CQ49)-L49</f>
        <v>-2342</v>
      </c>
      <c r="DH49" s="29">
        <f>BY49</f>
        <v>1421</v>
      </c>
      <c r="DI49" s="240"/>
      <c r="DJ49" s="5">
        <f>DI49-DH49</f>
        <v>-1421</v>
      </c>
      <c r="DK49" s="240"/>
      <c r="DL49" s="240"/>
      <c r="DM49" s="231">
        <f t="shared" si="108"/>
        <v>1421</v>
      </c>
    </row>
    <row r="50" spans="1:117" x14ac:dyDescent="0.25">
      <c r="A50" s="53">
        <v>6382</v>
      </c>
      <c r="B50" s="52" t="s">
        <v>24</v>
      </c>
      <c r="C50" s="53"/>
      <c r="D50" s="51" t="s">
        <v>18</v>
      </c>
      <c r="E50" s="51"/>
      <c r="F50" s="338"/>
      <c r="G50" s="51"/>
      <c r="H50" s="54"/>
      <c r="I50" s="54"/>
      <c r="J50" s="53">
        <f>SUM(M50,AG50,BA50,BU50)</f>
        <v>0</v>
      </c>
      <c r="K50" s="53"/>
      <c r="L50" s="55"/>
      <c r="M50" s="56">
        <v>0</v>
      </c>
      <c r="N50" s="56"/>
      <c r="O50" s="56"/>
      <c r="P50" s="243"/>
      <c r="Q50" s="230">
        <f t="shared" si="103"/>
        <v>0</v>
      </c>
      <c r="R50" s="119">
        <f>SUM(R51:R52)</f>
        <v>0</v>
      </c>
      <c r="S50" s="120">
        <f>SUM(S51:S52)</f>
        <v>0</v>
      </c>
      <c r="T50" s="57"/>
      <c r="U50" s="219"/>
      <c r="V50" s="119">
        <f>SUM(V51:V52)</f>
        <v>0</v>
      </c>
      <c r="W50" s="120">
        <f>SUM(W51:W52)</f>
        <v>0</v>
      </c>
      <c r="X50" s="57"/>
      <c r="Y50" s="219"/>
      <c r="Z50" s="119">
        <f>SUM(Z51:Z52)</f>
        <v>0</v>
      </c>
      <c r="AA50" s="120">
        <f>SUM(AA51:AA52)</f>
        <v>0</v>
      </c>
      <c r="AB50" s="57"/>
      <c r="AC50" s="230"/>
      <c r="AD50" s="230"/>
      <c r="AE50" s="53">
        <f>SUM(AG50,BA50,BU50)</f>
        <v>0</v>
      </c>
      <c r="AF50" s="55">
        <f>Q50</f>
        <v>0</v>
      </c>
      <c r="AG50" s="56">
        <v>0</v>
      </c>
      <c r="AH50" s="56"/>
      <c r="AI50" s="56"/>
      <c r="AJ50" s="243"/>
      <c r="AK50" s="230">
        <f t="shared" si="104"/>
        <v>0</v>
      </c>
      <c r="AL50" s="119">
        <f>SUM(AL51:AL52)</f>
        <v>0</v>
      </c>
      <c r="AM50" s="120">
        <f>SUM(AM51:AM52)</f>
        <v>0</v>
      </c>
      <c r="AN50" s="57"/>
      <c r="AO50" s="219"/>
      <c r="AP50" s="119">
        <f>SUM(AP51:AP52)</f>
        <v>0</v>
      </c>
      <c r="AQ50" s="120">
        <f>SUM(AQ51:AQ52)</f>
        <v>0</v>
      </c>
      <c r="AR50" s="57"/>
      <c r="AS50" s="219"/>
      <c r="AT50" s="119">
        <f>SUM(AT51:AT52)</f>
        <v>0</v>
      </c>
      <c r="AU50" s="120">
        <f>SUM(AU51:AU52)</f>
        <v>0</v>
      </c>
      <c r="AV50" s="57"/>
      <c r="AW50" s="230"/>
      <c r="AX50" s="230"/>
      <c r="AY50" s="53">
        <f>SUM(BA50,BU50)</f>
        <v>0</v>
      </c>
      <c r="AZ50" s="55">
        <f>AK50</f>
        <v>0</v>
      </c>
      <c r="BA50" s="56">
        <v>0</v>
      </c>
      <c r="BB50" s="56"/>
      <c r="BC50" s="390"/>
      <c r="BD50" s="243"/>
      <c r="BE50" s="230">
        <f t="shared" ref="BE50:BE59" si="109">AZ50+BC50-BD50</f>
        <v>0</v>
      </c>
      <c r="BF50" s="119">
        <f>SUM(BF51:BF52)</f>
        <v>0</v>
      </c>
      <c r="BG50" s="120">
        <f>SUM(BG51:BG52)</f>
        <v>0</v>
      </c>
      <c r="BH50" s="57"/>
      <c r="BI50" s="219"/>
      <c r="BJ50" s="119">
        <f>SUM(BJ51:BJ52)</f>
        <v>0</v>
      </c>
      <c r="BK50" s="120">
        <f>SUM(BK51:BK52)</f>
        <v>0</v>
      </c>
      <c r="BL50" s="57"/>
      <c r="BM50" s="219"/>
      <c r="BN50" s="119">
        <f>SUM(BN51:BN52)</f>
        <v>0</v>
      </c>
      <c r="BO50" s="120">
        <f>SUM(BO51:BO52)</f>
        <v>0</v>
      </c>
      <c r="BP50" s="57"/>
      <c r="BQ50" s="230"/>
      <c r="BR50" s="230"/>
      <c r="BS50" s="53">
        <f>BU50</f>
        <v>0</v>
      </c>
      <c r="BT50" s="55">
        <f>BE50</f>
        <v>0</v>
      </c>
      <c r="BU50" s="56">
        <v>0</v>
      </c>
      <c r="BV50" s="56"/>
      <c r="BW50" s="56"/>
      <c r="BX50" s="243"/>
      <c r="BY50" s="230">
        <f t="shared" ref="BY50:BY59" si="110">BT50+BW50-BX50</f>
        <v>0</v>
      </c>
      <c r="BZ50" s="119">
        <f>SUM(BZ51:BZ52)</f>
        <v>0</v>
      </c>
      <c r="CA50" s="120">
        <f>SUM(CA51:CA52)</f>
        <v>0</v>
      </c>
      <c r="CB50" s="57"/>
      <c r="CC50" s="219"/>
      <c r="CD50" s="119">
        <f>SUM(CD51:CD52)</f>
        <v>0</v>
      </c>
      <c r="CE50" s="120">
        <f>SUM(CE51:CE52)</f>
        <v>0</v>
      </c>
      <c r="CF50" s="57"/>
      <c r="CG50" s="219"/>
      <c r="CH50" s="119">
        <f>SUM(CH51:CH52)</f>
        <v>0</v>
      </c>
      <c r="CI50" s="120">
        <f>SUM(CI51:CI52)</f>
        <v>0</v>
      </c>
      <c r="CJ50" s="57"/>
      <c r="CK50" s="230"/>
      <c r="CL50" s="230"/>
      <c r="CM50" s="53">
        <f>CO50</f>
        <v>0</v>
      </c>
      <c r="CN50" s="55">
        <f>BX50</f>
        <v>0</v>
      </c>
      <c r="CO50" s="243">
        <v>0</v>
      </c>
      <c r="CP50" s="56"/>
      <c r="CQ50" s="56"/>
      <c r="CR50" s="243"/>
      <c r="CS50" s="230">
        <f t="shared" si="107"/>
        <v>0</v>
      </c>
      <c r="CT50" s="119">
        <f>SUM(CT51:CT52)</f>
        <v>0</v>
      </c>
      <c r="CU50" s="120">
        <f>SUM(CU51:CU52)</f>
        <v>0</v>
      </c>
      <c r="CV50" s="57"/>
      <c r="CW50" s="219"/>
      <c r="CX50" s="119">
        <f>SUM(CX51:CX52)</f>
        <v>0</v>
      </c>
      <c r="CY50" s="120">
        <f>SUM(CY51:CY52)</f>
        <v>0</v>
      </c>
      <c r="CZ50" s="57"/>
      <c r="DA50" s="219"/>
      <c r="DB50" s="119">
        <f>SUM(DB51:DB52)</f>
        <v>0</v>
      </c>
      <c r="DC50" s="120">
        <f>SUM(DC51:DC52)</f>
        <v>0</v>
      </c>
      <c r="DD50" s="57"/>
      <c r="DE50" s="230"/>
      <c r="DF50" s="230"/>
      <c r="DG50" s="53">
        <f>DI50</f>
        <v>0</v>
      </c>
      <c r="DH50" s="55">
        <f>CR50</f>
        <v>0</v>
      </c>
      <c r="DI50" s="243">
        <v>0</v>
      </c>
      <c r="DJ50" s="56"/>
      <c r="DK50" s="56"/>
      <c r="DL50" s="243"/>
      <c r="DM50" s="230">
        <f t="shared" si="108"/>
        <v>0</v>
      </c>
    </row>
    <row r="51" spans="1:117" x14ac:dyDescent="0.25">
      <c r="A51" s="18"/>
      <c r="B51" s="14" t="s">
        <v>233</v>
      </c>
      <c r="C51" s="18">
        <v>1</v>
      </c>
      <c r="D51" s="11"/>
      <c r="E51" s="11"/>
      <c r="F51" s="149"/>
      <c r="G51" s="11" t="s">
        <v>198</v>
      </c>
      <c r="H51" s="25" t="s">
        <v>77</v>
      </c>
      <c r="I51" s="24"/>
      <c r="J51" s="536">
        <f>SUM(M51,AG51,BA51,BU51)-L51</f>
        <v>0</v>
      </c>
      <c r="K51" s="394">
        <f t="shared" si="8"/>
        <v>0</v>
      </c>
      <c r="L51" s="544">
        <v>0</v>
      </c>
      <c r="M51" s="298">
        <f>M50</f>
        <v>0</v>
      </c>
      <c r="N51" s="5"/>
      <c r="O51" s="256"/>
      <c r="P51" s="240"/>
      <c r="Q51" s="231">
        <f t="shared" si="103"/>
        <v>0</v>
      </c>
      <c r="R51" s="121"/>
      <c r="S51" s="6"/>
      <c r="T51" s="35"/>
      <c r="U51" s="612"/>
      <c r="V51" s="121"/>
      <c r="W51" s="6"/>
      <c r="X51" s="35"/>
      <c r="Y51" s="612"/>
      <c r="Z51" s="21"/>
      <c r="AA51" s="6"/>
      <c r="AB51" s="35"/>
      <c r="AC51" s="713"/>
      <c r="AD51" s="713"/>
      <c r="AE51" s="394">
        <f>SUM(M51,AG51)-SUM(O51,AI51)-L51</f>
        <v>0</v>
      </c>
      <c r="AF51" s="29">
        <f>Q51</f>
        <v>0</v>
      </c>
      <c r="AG51" s="298">
        <f>AG50</f>
        <v>0</v>
      </c>
      <c r="AH51" s="5"/>
      <c r="AI51" s="256"/>
      <c r="AJ51" s="240"/>
      <c r="AK51" s="231">
        <f t="shared" si="104"/>
        <v>0</v>
      </c>
      <c r="AL51" s="121"/>
      <c r="AM51" s="6"/>
      <c r="AN51" s="35"/>
      <c r="AO51" s="612"/>
      <c r="AP51" s="121"/>
      <c r="AQ51" s="6"/>
      <c r="AR51" s="35"/>
      <c r="AS51" s="612"/>
      <c r="AT51" s="21"/>
      <c r="AU51" s="6"/>
      <c r="AV51" s="35"/>
      <c r="AW51" s="713"/>
      <c r="AX51" s="713"/>
      <c r="AY51" s="394">
        <f>SUM(M51,AG51,BA51)-SUM(O51,AI51,BC51)-L51</f>
        <v>0</v>
      </c>
      <c r="AZ51" s="29">
        <f t="shared" ref="AZ51:AZ52" si="111">AK51</f>
        <v>0</v>
      </c>
      <c r="BA51" s="298">
        <f>BA50</f>
        <v>0</v>
      </c>
      <c r="BB51" s="5"/>
      <c r="BC51" s="256"/>
      <c r="BD51" s="240"/>
      <c r="BE51" s="231">
        <f t="shared" si="109"/>
        <v>0</v>
      </c>
      <c r="BF51" s="121"/>
      <c r="BG51" s="6"/>
      <c r="BH51" s="35"/>
      <c r="BI51" s="612"/>
      <c r="BJ51" s="121"/>
      <c r="BK51" s="6"/>
      <c r="BL51" s="35"/>
      <c r="BM51" s="612"/>
      <c r="BN51" s="21"/>
      <c r="BO51" s="6"/>
      <c r="BP51" s="35"/>
      <c r="BQ51" s="713"/>
      <c r="BR51" s="713"/>
      <c r="BS51" s="394">
        <f>SUM(M51,AG51,BA51,BU51)-SUM(O51,AI51,BC51,BW51)-L51</f>
        <v>0</v>
      </c>
      <c r="BT51" s="29">
        <f t="shared" ref="BT51:BT52" si="112">BE51</f>
        <v>0</v>
      </c>
      <c r="BU51" s="298">
        <f>BU50</f>
        <v>0</v>
      </c>
      <c r="BV51" s="5"/>
      <c r="BW51" s="256"/>
      <c r="BX51" s="240"/>
      <c r="BY51" s="231">
        <f t="shared" si="110"/>
        <v>0</v>
      </c>
      <c r="BZ51" s="121"/>
      <c r="CA51" s="6"/>
      <c r="CB51" s="35"/>
      <c r="CC51" s="612"/>
      <c r="CD51" s="121"/>
      <c r="CE51" s="6"/>
      <c r="CF51" s="35"/>
      <c r="CG51" s="612"/>
      <c r="CH51" s="21"/>
      <c r="CI51" s="6"/>
      <c r="CJ51" s="35"/>
      <c r="CK51" s="713"/>
      <c r="CL51" s="713"/>
      <c r="CM51" s="394">
        <f>SUM(M51,AG51,BA51,BU51,CO51)-SUM(O51,AI51,BC51,BW51,CQ51)-L51</f>
        <v>0</v>
      </c>
      <c r="CN51" s="29">
        <f t="shared" ref="CN51:CN52" si="113">BY51</f>
        <v>0</v>
      </c>
      <c r="CO51" s="298">
        <f>CO50</f>
        <v>0</v>
      </c>
      <c r="CP51" s="5"/>
      <c r="CQ51" s="240"/>
      <c r="CR51" s="240"/>
      <c r="CS51" s="231">
        <f t="shared" si="107"/>
        <v>0</v>
      </c>
      <c r="CT51" s="121"/>
      <c r="CU51" s="6"/>
      <c r="CV51" s="35"/>
      <c r="CW51" s="612"/>
      <c r="CX51" s="121"/>
      <c r="CY51" s="6"/>
      <c r="CZ51" s="35"/>
      <c r="DA51" s="612"/>
      <c r="DB51" s="21"/>
      <c r="DC51" s="6"/>
      <c r="DD51" s="35"/>
      <c r="DE51" s="713"/>
      <c r="DF51" s="713"/>
      <c r="DG51" s="394"/>
      <c r="DH51" s="29">
        <f>BY51</f>
        <v>0</v>
      </c>
      <c r="DI51" s="298">
        <f>DI50</f>
        <v>0</v>
      </c>
      <c r="DJ51" s="5"/>
      <c r="DK51" s="240"/>
      <c r="DL51" s="240"/>
      <c r="DM51" s="231">
        <f t="shared" si="108"/>
        <v>0</v>
      </c>
    </row>
    <row r="52" spans="1:117" ht="15.75" thickBot="1" x14ac:dyDescent="0.3">
      <c r="A52" s="18"/>
      <c r="B52" s="14" t="s">
        <v>592</v>
      </c>
      <c r="C52" s="18">
        <v>1</v>
      </c>
      <c r="D52" s="11"/>
      <c r="E52" s="11"/>
      <c r="F52" s="149">
        <v>2.21</v>
      </c>
      <c r="G52" s="23" t="s">
        <v>757</v>
      </c>
      <c r="H52" s="25" t="s">
        <v>34</v>
      </c>
      <c r="I52" s="24"/>
      <c r="J52" s="536">
        <f>SUM(M52,AG52,BA52,BU52)-L52</f>
        <v>-255</v>
      </c>
      <c r="K52" s="394">
        <f t="shared" si="8"/>
        <v>-255</v>
      </c>
      <c r="L52" s="544">
        <v>255</v>
      </c>
      <c r="M52" s="298">
        <f>M50</f>
        <v>0</v>
      </c>
      <c r="N52" s="5">
        <f>M52-L52</f>
        <v>-255</v>
      </c>
      <c r="O52" s="256"/>
      <c r="P52" s="240"/>
      <c r="Q52" s="231">
        <f t="shared" si="103"/>
        <v>255</v>
      </c>
      <c r="R52" s="121"/>
      <c r="S52" s="6"/>
      <c r="T52" s="35"/>
      <c r="U52" s="612"/>
      <c r="V52" s="121"/>
      <c r="W52" s="6"/>
      <c r="X52" s="35"/>
      <c r="Y52" s="612"/>
      <c r="Z52" s="21"/>
      <c r="AA52" s="6"/>
      <c r="AB52" s="35"/>
      <c r="AC52" s="713"/>
      <c r="AD52" s="713"/>
      <c r="AE52" s="394">
        <f>SUM(M52,AG52)-SUM(O52,AI52)-L52</f>
        <v>-255</v>
      </c>
      <c r="AF52" s="29">
        <f>Q52</f>
        <v>255</v>
      </c>
      <c r="AG52" s="298">
        <f>AG50</f>
        <v>0</v>
      </c>
      <c r="AH52" s="5">
        <f>AG52-AF52</f>
        <v>-255</v>
      </c>
      <c r="AI52" s="256"/>
      <c r="AJ52" s="240"/>
      <c r="AK52" s="231">
        <f t="shared" si="104"/>
        <v>255</v>
      </c>
      <c r="AL52" s="121"/>
      <c r="AM52" s="6"/>
      <c r="AN52" s="35"/>
      <c r="AO52" s="612"/>
      <c r="AP52" s="121"/>
      <c r="AQ52" s="6"/>
      <c r="AR52" s="35"/>
      <c r="AS52" s="612"/>
      <c r="AT52" s="21"/>
      <c r="AU52" s="6"/>
      <c r="AV52" s="35"/>
      <c r="AW52" s="713"/>
      <c r="AX52" s="713"/>
      <c r="AY52" s="394">
        <f>SUM(M52,AG52,BA52)-SUM(O52,AI52,BC52)-L52</f>
        <v>-255</v>
      </c>
      <c r="AZ52" s="29">
        <f t="shared" si="111"/>
        <v>255</v>
      </c>
      <c r="BA52" s="298">
        <f>BA50</f>
        <v>0</v>
      </c>
      <c r="BB52" s="5">
        <f>BA52-AZ52</f>
        <v>-255</v>
      </c>
      <c r="BC52" s="256"/>
      <c r="BD52" s="240"/>
      <c r="BE52" s="231">
        <f t="shared" si="109"/>
        <v>255</v>
      </c>
      <c r="BF52" s="121"/>
      <c r="BG52" s="6"/>
      <c r="BH52" s="35"/>
      <c r="BI52" s="612"/>
      <c r="BJ52" s="121"/>
      <c r="BK52" s="6"/>
      <c r="BL52" s="35"/>
      <c r="BM52" s="612"/>
      <c r="BN52" s="21"/>
      <c r="BO52" s="6"/>
      <c r="BP52" s="35"/>
      <c r="BQ52" s="713"/>
      <c r="BR52" s="713"/>
      <c r="BS52" s="394">
        <f>SUM(M52,AG52,BA52,BU52)-SUM(O52,AI52,BC52,BW52)-L52</f>
        <v>-255</v>
      </c>
      <c r="BT52" s="29">
        <f t="shared" si="112"/>
        <v>255</v>
      </c>
      <c r="BU52" s="298">
        <f>BU50</f>
        <v>0</v>
      </c>
      <c r="BV52" s="5">
        <f>BU52-BT52</f>
        <v>-255</v>
      </c>
      <c r="BW52" s="256"/>
      <c r="BX52" s="240"/>
      <c r="BY52" s="231">
        <f t="shared" si="110"/>
        <v>255</v>
      </c>
      <c r="BZ52" s="121"/>
      <c r="CA52" s="6"/>
      <c r="CB52" s="35"/>
      <c r="CC52" s="612"/>
      <c r="CD52" s="121"/>
      <c r="CE52" s="6"/>
      <c r="CF52" s="35"/>
      <c r="CG52" s="612"/>
      <c r="CH52" s="21"/>
      <c r="CI52" s="6"/>
      <c r="CJ52" s="35"/>
      <c r="CK52" s="713"/>
      <c r="CL52" s="713"/>
      <c r="CM52" s="394">
        <f>SUM(M52,AG52,BA52,BU52,CO52)-SUM(O52,AI52,BC52,BW52,CQ52)-L52</f>
        <v>-255</v>
      </c>
      <c r="CN52" s="29">
        <f t="shared" si="113"/>
        <v>255</v>
      </c>
      <c r="CO52" s="298">
        <f>CO50</f>
        <v>0</v>
      </c>
      <c r="CP52" s="5">
        <f>CO52-CN52</f>
        <v>-255</v>
      </c>
      <c r="CQ52" s="240"/>
      <c r="CR52" s="240"/>
      <c r="CS52" s="231">
        <f t="shared" si="107"/>
        <v>255</v>
      </c>
      <c r="CT52" s="121"/>
      <c r="CU52" s="6"/>
      <c r="CV52" s="35"/>
      <c r="CW52" s="612"/>
      <c r="CX52" s="121"/>
      <c r="CY52" s="6"/>
      <c r="CZ52" s="35"/>
      <c r="DA52" s="612"/>
      <c r="DB52" s="21"/>
      <c r="DC52" s="6"/>
      <c r="DD52" s="35"/>
      <c r="DE52" s="713"/>
      <c r="DF52" s="713"/>
      <c r="DG52" s="394"/>
      <c r="DH52" s="29">
        <f>BY52</f>
        <v>255</v>
      </c>
      <c r="DI52" s="298">
        <f>DI50</f>
        <v>0</v>
      </c>
      <c r="DJ52" s="5">
        <f>DI52-DH52</f>
        <v>-255</v>
      </c>
      <c r="DK52" s="240"/>
      <c r="DL52" s="240"/>
      <c r="DM52" s="231">
        <f t="shared" si="108"/>
        <v>255</v>
      </c>
    </row>
    <row r="53" spans="1:117" x14ac:dyDescent="0.25">
      <c r="A53" s="53">
        <v>1164</v>
      </c>
      <c r="B53" s="52" t="s">
        <v>25</v>
      </c>
      <c r="C53" s="53"/>
      <c r="D53" s="51" t="s">
        <v>18</v>
      </c>
      <c r="E53" s="51"/>
      <c r="F53" s="338"/>
      <c r="G53" s="51"/>
      <c r="H53" s="54"/>
      <c r="I53" s="54"/>
      <c r="J53" s="53">
        <f>SUM(M53,AG53,BA53,BU53)</f>
        <v>1312</v>
      </c>
      <c r="K53" s="53"/>
      <c r="L53" s="55"/>
      <c r="M53" s="390">
        <f>79+59-79</f>
        <v>59</v>
      </c>
      <c r="N53" s="56"/>
      <c r="O53" s="56"/>
      <c r="P53" s="243">
        <f>59</f>
        <v>59</v>
      </c>
      <c r="Q53" s="230"/>
      <c r="R53" s="119">
        <f>SUM(R54:R54)</f>
        <v>0</v>
      </c>
      <c r="S53" s="120">
        <f>SUM(S54:S54)</f>
        <v>0</v>
      </c>
      <c r="T53" s="57"/>
      <c r="U53" s="219"/>
      <c r="V53" s="119">
        <f>SUM(V54:V54)</f>
        <v>0</v>
      </c>
      <c r="W53" s="120">
        <f>SUM(W54:W54)</f>
        <v>0</v>
      </c>
      <c r="X53" s="57"/>
      <c r="Y53" s="219"/>
      <c r="Z53" s="119">
        <f>SUM(Z54:Z54)</f>
        <v>0</v>
      </c>
      <c r="AA53" s="120">
        <f>SUM(AA54:AA54)</f>
        <v>0</v>
      </c>
      <c r="AB53" s="57"/>
      <c r="AC53" s="230"/>
      <c r="AD53" s="230"/>
      <c r="AE53" s="53">
        <f>SUM(AG53,BA53,BU53)</f>
        <v>1253</v>
      </c>
      <c r="AF53" s="55"/>
      <c r="AG53" s="56">
        <f>320-320+178-178+149</f>
        <v>149</v>
      </c>
      <c r="AH53" s="56"/>
      <c r="AI53" s="56"/>
      <c r="AJ53" s="243">
        <f>65+38+20+20+6</f>
        <v>149</v>
      </c>
      <c r="AK53" s="230"/>
      <c r="AL53" s="119">
        <f>SUM(AL54:AL54)</f>
        <v>0</v>
      </c>
      <c r="AM53" s="120">
        <f>SUM(AM54:AM54)</f>
        <v>0</v>
      </c>
      <c r="AN53" s="57"/>
      <c r="AO53" s="219"/>
      <c r="AP53" s="119">
        <f>SUM(AP54:AP54)</f>
        <v>0</v>
      </c>
      <c r="AQ53" s="120">
        <f>SUM(AQ54:AQ54)</f>
        <v>0</v>
      </c>
      <c r="AR53" s="57"/>
      <c r="AS53" s="219"/>
      <c r="AT53" s="119">
        <f>SUM(AT54:AT54)</f>
        <v>0</v>
      </c>
      <c r="AU53" s="120">
        <f>SUM(AU54:AU54)</f>
        <v>0</v>
      </c>
      <c r="AV53" s="57"/>
      <c r="AW53" s="230"/>
      <c r="AX53" s="230"/>
      <c r="AY53" s="53">
        <f>SUM(BA53,BU53)</f>
        <v>1104</v>
      </c>
      <c r="AZ53" s="55"/>
      <c r="BA53" s="56">
        <f>500-500+353-353+243</f>
        <v>243</v>
      </c>
      <c r="BB53" s="56"/>
      <c r="BC53" s="56"/>
      <c r="BD53" s="243">
        <f>202+37+4</f>
        <v>243</v>
      </c>
      <c r="BE53" s="230"/>
      <c r="BF53" s="119">
        <f>SUM(BF54:BF54)</f>
        <v>0</v>
      </c>
      <c r="BG53" s="120">
        <f>SUM(BG54:BG54)</f>
        <v>0</v>
      </c>
      <c r="BH53" s="57"/>
      <c r="BI53" s="219"/>
      <c r="BJ53" s="119">
        <f>SUM(BJ54:BJ54)</f>
        <v>0</v>
      </c>
      <c r="BK53" s="120">
        <f>SUM(BK54:BK54)</f>
        <v>0</v>
      </c>
      <c r="BL53" s="57"/>
      <c r="BM53" s="219"/>
      <c r="BN53" s="119">
        <f>SUM(BN54:BN54)</f>
        <v>0</v>
      </c>
      <c r="BO53" s="120">
        <f>SUM(BO54:BO54)</f>
        <v>0</v>
      </c>
      <c r="BP53" s="57"/>
      <c r="BQ53" s="230"/>
      <c r="BR53" s="230"/>
      <c r="BS53" s="53">
        <f>BU53</f>
        <v>861</v>
      </c>
      <c r="BT53" s="55"/>
      <c r="BU53" s="56">
        <f>811-811+861</f>
        <v>861</v>
      </c>
      <c r="BV53" s="56"/>
      <c r="BW53" s="56"/>
      <c r="BX53" s="243">
        <f>16+7</f>
        <v>23</v>
      </c>
      <c r="BY53" s="230"/>
      <c r="BZ53" s="119">
        <f>SUM(BZ54:BZ54)</f>
        <v>0</v>
      </c>
      <c r="CA53" s="120">
        <f>SUM(CA54:CA54)</f>
        <v>0</v>
      </c>
      <c r="CB53" s="57"/>
      <c r="CC53" s="219"/>
      <c r="CD53" s="119">
        <f>SUM(CD54:CD54)</f>
        <v>0</v>
      </c>
      <c r="CE53" s="120">
        <f>SUM(CE54:CE54)</f>
        <v>0</v>
      </c>
      <c r="CF53" s="57"/>
      <c r="CG53" s="219"/>
      <c r="CH53" s="119">
        <f>SUM(CH54:CH54)</f>
        <v>0</v>
      </c>
      <c r="CI53" s="120">
        <f>SUM(CI54:CI54)</f>
        <v>0</v>
      </c>
      <c r="CJ53" s="57"/>
      <c r="CK53" s="230"/>
      <c r="CL53" s="230"/>
      <c r="CM53" s="53">
        <f>CO53</f>
        <v>0</v>
      </c>
      <c r="CN53" s="55"/>
      <c r="CO53" s="243"/>
      <c r="CP53" s="56"/>
      <c r="CQ53" s="56"/>
      <c r="CR53" s="243"/>
      <c r="CS53" s="230"/>
      <c r="CT53" s="119">
        <f>SUM(CT54:CT54)</f>
        <v>0</v>
      </c>
      <c r="CU53" s="120">
        <f>SUM(CU54:CU54)</f>
        <v>0</v>
      </c>
      <c r="CV53" s="57"/>
      <c r="CW53" s="219"/>
      <c r="CX53" s="119">
        <f>SUM(CX54:CX54)</f>
        <v>0</v>
      </c>
      <c r="CY53" s="120">
        <f>SUM(CY54:CY54)</f>
        <v>0</v>
      </c>
      <c r="CZ53" s="57"/>
      <c r="DA53" s="219"/>
      <c r="DB53" s="119">
        <f>SUM(DB54:DB54)</f>
        <v>0</v>
      </c>
      <c r="DC53" s="120">
        <f>SUM(DC54:DC54)</f>
        <v>0</v>
      </c>
      <c r="DD53" s="57"/>
      <c r="DE53" s="230"/>
      <c r="DF53" s="230"/>
      <c r="DG53" s="53">
        <f>DI53</f>
        <v>0</v>
      </c>
      <c r="DH53" s="55"/>
      <c r="DI53" s="243"/>
      <c r="DJ53" s="56"/>
      <c r="DK53" s="56"/>
      <c r="DL53" s="243"/>
      <c r="DM53" s="230"/>
    </row>
    <row r="54" spans="1:117" ht="15.75" thickBot="1" x14ac:dyDescent="0.3">
      <c r="A54" s="18"/>
      <c r="B54" s="14" t="s">
        <v>593</v>
      </c>
      <c r="C54" s="18">
        <v>1</v>
      </c>
      <c r="D54" s="11"/>
      <c r="E54" s="11"/>
      <c r="F54" s="149">
        <v>4.2</v>
      </c>
      <c r="G54" s="23" t="s">
        <v>757</v>
      </c>
      <c r="H54" s="25" t="s">
        <v>34</v>
      </c>
      <c r="I54" s="24"/>
      <c r="J54" s="536">
        <f>SUM(M54,AG54,BA54,BU54)-L54</f>
        <v>-602</v>
      </c>
      <c r="K54" s="394">
        <f t="shared" si="8"/>
        <v>-1855</v>
      </c>
      <c r="L54" s="544">
        <v>1914</v>
      </c>
      <c r="M54" s="298">
        <f>M53</f>
        <v>59</v>
      </c>
      <c r="N54" s="5">
        <f>M54-L54</f>
        <v>-1855</v>
      </c>
      <c r="O54" s="256"/>
      <c r="P54" s="303">
        <f>P53</f>
        <v>59</v>
      </c>
      <c r="Q54" s="231">
        <f t="shared" si="103"/>
        <v>1855</v>
      </c>
      <c r="R54" s="121"/>
      <c r="S54" s="6"/>
      <c r="T54" s="35"/>
      <c r="U54" s="612"/>
      <c r="V54" s="121"/>
      <c r="W54" s="6"/>
      <c r="X54" s="35"/>
      <c r="Y54" s="612"/>
      <c r="Z54" s="21"/>
      <c r="AA54" s="6"/>
      <c r="AB54" s="35"/>
      <c r="AC54" s="713"/>
      <c r="AD54" s="713"/>
      <c r="AE54" s="394">
        <f>SUM(M54,AG54)-SUM(O54,AI54)-L54</f>
        <v>-1706</v>
      </c>
      <c r="AF54" s="29">
        <f>Q54</f>
        <v>1855</v>
      </c>
      <c r="AG54" s="298">
        <f>AG53</f>
        <v>149</v>
      </c>
      <c r="AH54" s="5">
        <f>AG54-AF54</f>
        <v>-1706</v>
      </c>
      <c r="AI54" s="256"/>
      <c r="AJ54" s="303">
        <f>AJ53</f>
        <v>149</v>
      </c>
      <c r="AK54" s="231">
        <f t="shared" si="104"/>
        <v>1706</v>
      </c>
      <c r="AL54" s="121"/>
      <c r="AM54" s="6"/>
      <c r="AN54" s="35"/>
      <c r="AO54" s="612"/>
      <c r="AP54" s="121"/>
      <c r="AQ54" s="6"/>
      <c r="AR54" s="35"/>
      <c r="AS54" s="612"/>
      <c r="AT54" s="21"/>
      <c r="AU54" s="6"/>
      <c r="AV54" s="35"/>
      <c r="AW54" s="713"/>
      <c r="AX54" s="713"/>
      <c r="AY54" s="394">
        <f>SUM(M54,AG54,BA54)-SUM(O54,AI54,BC54)-L54</f>
        <v>-1463</v>
      </c>
      <c r="AZ54" s="607">
        <v>1664</v>
      </c>
      <c r="BA54" s="298">
        <f>BA53</f>
        <v>243</v>
      </c>
      <c r="BB54" s="5">
        <f>BA54-AZ54</f>
        <v>-1421</v>
      </c>
      <c r="BC54" s="256"/>
      <c r="BD54" s="303">
        <f>BD53</f>
        <v>243</v>
      </c>
      <c r="BE54" s="231">
        <f t="shared" si="109"/>
        <v>1421</v>
      </c>
      <c r="BF54" s="121"/>
      <c r="BG54" s="6"/>
      <c r="BH54" s="35"/>
      <c r="BI54" s="612"/>
      <c r="BJ54" s="121"/>
      <c r="BK54" s="6"/>
      <c r="BL54" s="35"/>
      <c r="BM54" s="612"/>
      <c r="BN54" s="121"/>
      <c r="BO54" s="6"/>
      <c r="BP54" s="35"/>
      <c r="BQ54" s="713"/>
      <c r="BR54" s="713"/>
      <c r="BS54" s="394">
        <f>SUM(M54,AG54,BA54,BU54)-SUM(O54,AI54,BC54,BW54)-L54</f>
        <v>-602</v>
      </c>
      <c r="BT54" s="29">
        <f t="shared" ref="BT54" si="114">BE54</f>
        <v>1421</v>
      </c>
      <c r="BU54" s="298">
        <f>BU53</f>
        <v>861</v>
      </c>
      <c r="BV54" s="5">
        <f>BU54-BT54</f>
        <v>-560</v>
      </c>
      <c r="BW54" s="258"/>
      <c r="BX54" s="303">
        <f>BX53</f>
        <v>23</v>
      </c>
      <c r="BY54" s="231">
        <f t="shared" si="110"/>
        <v>1398</v>
      </c>
      <c r="BZ54" s="121"/>
      <c r="CA54" s="6"/>
      <c r="CB54" s="35"/>
      <c r="CC54" s="612"/>
      <c r="CD54" s="121"/>
      <c r="CE54" s="6"/>
      <c r="CF54" s="35"/>
      <c r="CG54" s="612"/>
      <c r="CH54" s="21"/>
      <c r="CI54" s="6"/>
      <c r="CJ54" s="35"/>
      <c r="CK54" s="713"/>
      <c r="CL54" s="713"/>
      <c r="CM54" s="394">
        <f>SUM(M54,AG54,BA54,BU54,CO54)-SUM(O54,AI54,BC54,BW54,CQ54)-L54</f>
        <v>-602</v>
      </c>
      <c r="CN54" s="29">
        <f t="shared" ref="CN54" si="115">BY54</f>
        <v>1398</v>
      </c>
      <c r="CO54" s="298">
        <f>CO53</f>
        <v>0</v>
      </c>
      <c r="CP54" s="5">
        <f>CO54-CN54</f>
        <v>-1398</v>
      </c>
      <c r="CQ54" s="240"/>
      <c r="CR54" s="303">
        <f>CR53</f>
        <v>0</v>
      </c>
      <c r="CS54" s="231">
        <f t="shared" si="107"/>
        <v>1398</v>
      </c>
      <c r="CT54" s="121"/>
      <c r="CU54" s="6"/>
      <c r="CV54" s="35"/>
      <c r="CW54" s="612"/>
      <c r="CX54" s="121"/>
      <c r="CY54" s="6"/>
      <c r="CZ54" s="35"/>
      <c r="DA54" s="612"/>
      <c r="DB54" s="21"/>
      <c r="DC54" s="6"/>
      <c r="DD54" s="35"/>
      <c r="DE54" s="713"/>
      <c r="DF54" s="713"/>
      <c r="DG54" s="394">
        <f>SUM(M54,AG54,BA54,BU54,DI54)-SUM(O54,AI54,BC54,BW54,CQ54)-L54</f>
        <v>-602</v>
      </c>
      <c r="DH54" s="29">
        <f>BY54</f>
        <v>1398</v>
      </c>
      <c r="DI54" s="298">
        <f>DI53</f>
        <v>0</v>
      </c>
      <c r="DJ54" s="5">
        <f>DI54-DH54</f>
        <v>-1398</v>
      </c>
      <c r="DK54" s="240"/>
      <c r="DL54" s="303">
        <f>DL53</f>
        <v>0</v>
      </c>
      <c r="DM54" s="231">
        <f t="shared" ref="DM54" si="116">DH54+DK54-DL54</f>
        <v>1398</v>
      </c>
    </row>
    <row r="55" spans="1:117" x14ac:dyDescent="0.25">
      <c r="A55" s="53"/>
      <c r="B55" s="52" t="s">
        <v>236</v>
      </c>
      <c r="C55" s="53"/>
      <c r="D55" s="51" t="s">
        <v>18</v>
      </c>
      <c r="E55" s="51"/>
      <c r="F55" s="338"/>
      <c r="G55" s="51"/>
      <c r="H55" s="54"/>
      <c r="I55" s="54"/>
      <c r="J55" s="53">
        <f>SUM(M55,AG55,BA55,BU55)</f>
        <v>1213</v>
      </c>
      <c r="K55" s="53"/>
      <c r="L55" s="55"/>
      <c r="M55" s="390">
        <f>114+50-114</f>
        <v>50</v>
      </c>
      <c r="N55" s="56"/>
      <c r="O55" s="56"/>
      <c r="P55" s="243">
        <f>50</f>
        <v>50</v>
      </c>
      <c r="Q55" s="230"/>
      <c r="R55" s="119">
        <f>SUM(R56:R59)</f>
        <v>0</v>
      </c>
      <c r="S55" s="120">
        <f>SUM(S56:S59)</f>
        <v>0</v>
      </c>
      <c r="T55" s="57"/>
      <c r="U55" s="219"/>
      <c r="V55" s="119">
        <f>SUM(V56:V59)</f>
        <v>0</v>
      </c>
      <c r="W55" s="120">
        <f>SUM(W56:W59)</f>
        <v>0</v>
      </c>
      <c r="X55" s="57"/>
      <c r="Y55" s="219"/>
      <c r="Z55" s="119">
        <f>SUM(Z56:Z59)</f>
        <v>0</v>
      </c>
      <c r="AA55" s="120">
        <f>SUM(AA56:AA59)</f>
        <v>0</v>
      </c>
      <c r="AB55" s="57"/>
      <c r="AC55" s="230"/>
      <c r="AD55" s="230"/>
      <c r="AE55" s="53">
        <f>SUM(AG55,BA55,BU55)</f>
        <v>1163</v>
      </c>
      <c r="AF55" s="55"/>
      <c r="AG55" s="56">
        <f>1050-1050+335-335+419</f>
        <v>419</v>
      </c>
      <c r="AH55" s="56"/>
      <c r="AI55" s="56"/>
      <c r="AJ55" s="243">
        <f>16+10+118+12+33+230</f>
        <v>419</v>
      </c>
      <c r="AK55" s="230"/>
      <c r="AL55" s="119">
        <f>SUM(AL56:AL59)</f>
        <v>0</v>
      </c>
      <c r="AM55" s="120">
        <f>SUM(AM56:AM59)</f>
        <v>0</v>
      </c>
      <c r="AN55" s="57"/>
      <c r="AO55" s="219"/>
      <c r="AP55" s="119">
        <f>SUM(AP56:AP59)</f>
        <v>0</v>
      </c>
      <c r="AQ55" s="120">
        <f>SUM(AQ56:AQ59)</f>
        <v>0</v>
      </c>
      <c r="AR55" s="57"/>
      <c r="AS55" s="219"/>
      <c r="AT55" s="119">
        <f>SUM(AT56:AT59)</f>
        <v>0</v>
      </c>
      <c r="AU55" s="120">
        <f>SUM(AU56:AU59)</f>
        <v>0</v>
      </c>
      <c r="AV55" s="57"/>
      <c r="AW55" s="230"/>
      <c r="AX55" s="230"/>
      <c r="AY55" s="53">
        <f>SUM(BA55,BU55)</f>
        <v>744</v>
      </c>
      <c r="AZ55" s="55"/>
      <c r="BA55" s="56">
        <f>100-100+362-362+312-312+144</f>
        <v>144</v>
      </c>
      <c r="BB55" s="56"/>
      <c r="BC55" s="56"/>
      <c r="BD55" s="243">
        <f>12+1+20+50+11+50</f>
        <v>144</v>
      </c>
      <c r="BE55" s="230"/>
      <c r="BF55" s="119">
        <f>SUM(BF56:BF59)</f>
        <v>0</v>
      </c>
      <c r="BG55" s="120">
        <f>SUM(BG56:BG59)</f>
        <v>0</v>
      </c>
      <c r="BH55" s="57"/>
      <c r="BI55" s="219"/>
      <c r="BJ55" s="119">
        <f>SUM(BJ56:BJ59)</f>
        <v>0</v>
      </c>
      <c r="BK55" s="120">
        <f>SUM(BK56:BK59)</f>
        <v>0</v>
      </c>
      <c r="BL55" s="57"/>
      <c r="BM55" s="219"/>
      <c r="BN55" s="119">
        <f>SUM(BN56:BN59)</f>
        <v>0</v>
      </c>
      <c r="BO55" s="120">
        <f>SUM(BO56:BO59)</f>
        <v>0</v>
      </c>
      <c r="BP55" s="57"/>
      <c r="BQ55" s="230"/>
      <c r="BR55" s="230"/>
      <c r="BS55" s="53">
        <f>BU55</f>
        <v>600</v>
      </c>
      <c r="BT55" s="55"/>
      <c r="BU55" s="56">
        <f>236-236+580-580+600</f>
        <v>600</v>
      </c>
      <c r="BV55" s="56"/>
      <c r="BW55" s="56"/>
      <c r="BX55" s="243">
        <f>50+50+200+30+100+78+122+100+100</f>
        <v>830</v>
      </c>
      <c r="BY55" s="230"/>
      <c r="BZ55" s="119">
        <f>SUM(BZ56:BZ59)</f>
        <v>0</v>
      </c>
      <c r="CA55" s="120">
        <f>SUM(CA56:CA59)</f>
        <v>0</v>
      </c>
      <c r="CB55" s="57"/>
      <c r="CC55" s="219"/>
      <c r="CD55" s="119">
        <f>SUM(CD56:CD59)</f>
        <v>0</v>
      </c>
      <c r="CE55" s="120">
        <f>SUM(CE56:CE59)</f>
        <v>0</v>
      </c>
      <c r="CF55" s="57"/>
      <c r="CG55" s="219"/>
      <c r="CH55" s="119">
        <f>SUM(CH56:CH59)</f>
        <v>0</v>
      </c>
      <c r="CI55" s="120">
        <f>SUM(CI56:CI59)</f>
        <v>0</v>
      </c>
      <c r="CJ55" s="57"/>
      <c r="CK55" s="230"/>
      <c r="CL55" s="230"/>
      <c r="CM55" s="53">
        <f>CO55</f>
        <v>130</v>
      </c>
      <c r="CN55" s="55"/>
      <c r="CO55" s="243">
        <v>130</v>
      </c>
      <c r="CP55" s="56"/>
      <c r="CQ55" s="56"/>
      <c r="CR55" s="243"/>
      <c r="CS55" s="230"/>
      <c r="CT55" s="119">
        <f>SUM(CT56:CT59)</f>
        <v>0</v>
      </c>
      <c r="CU55" s="120">
        <f>SUM(CU56:CU59)</f>
        <v>0</v>
      </c>
      <c r="CV55" s="57"/>
      <c r="CW55" s="219"/>
      <c r="CX55" s="119">
        <f>SUM(CX56:CX59)</f>
        <v>0</v>
      </c>
      <c r="CY55" s="120">
        <f>SUM(CY56:CY59)</f>
        <v>0</v>
      </c>
      <c r="CZ55" s="57"/>
      <c r="DA55" s="219"/>
      <c r="DB55" s="119">
        <f>SUM(DB56:DB59)</f>
        <v>0</v>
      </c>
      <c r="DC55" s="120">
        <f>SUM(DC56:DC59)</f>
        <v>0</v>
      </c>
      <c r="DD55" s="57"/>
      <c r="DE55" s="230"/>
      <c r="DF55" s="230"/>
      <c r="DG55" s="53">
        <f>DI55</f>
        <v>0</v>
      </c>
      <c r="DH55" s="55"/>
      <c r="DI55" s="243"/>
      <c r="DJ55" s="56"/>
      <c r="DK55" s="56"/>
      <c r="DL55" s="243"/>
      <c r="DM55" s="230"/>
    </row>
    <row r="56" spans="1:117" x14ac:dyDescent="0.25">
      <c r="A56" s="18"/>
      <c r="B56" s="14" t="s">
        <v>594</v>
      </c>
      <c r="C56" s="18">
        <v>1</v>
      </c>
      <c r="D56" s="11"/>
      <c r="E56" s="11"/>
      <c r="F56" s="149">
        <v>2.6</v>
      </c>
      <c r="G56" s="23" t="s">
        <v>757</v>
      </c>
      <c r="H56" s="25" t="s">
        <v>34</v>
      </c>
      <c r="I56" s="24"/>
      <c r="J56" s="536">
        <f>SUM(M56,AG56,BA56,BU56)-L56</f>
        <v>-2713</v>
      </c>
      <c r="K56" s="394">
        <f t="shared" si="8"/>
        <v>-3876</v>
      </c>
      <c r="L56" s="544">
        <v>3926</v>
      </c>
      <c r="M56" s="298">
        <f>M55</f>
        <v>50</v>
      </c>
      <c r="N56" s="5">
        <f>M56-L56</f>
        <v>-3876</v>
      </c>
      <c r="O56" s="256"/>
      <c r="P56" s="303">
        <f>P55</f>
        <v>50</v>
      </c>
      <c r="Q56" s="231">
        <f t="shared" si="103"/>
        <v>3876</v>
      </c>
      <c r="R56" s="121"/>
      <c r="S56" s="6"/>
      <c r="T56" s="35"/>
      <c r="U56" s="612"/>
      <c r="V56" s="121"/>
      <c r="W56" s="6"/>
      <c r="X56" s="35"/>
      <c r="Y56" s="612"/>
      <c r="Z56" s="21"/>
      <c r="AA56" s="6"/>
      <c r="AB56" s="35"/>
      <c r="AC56" s="713"/>
      <c r="AD56" s="713"/>
      <c r="AE56" s="394">
        <f>SUM(M56,AG56)-SUM(O56,AI56)-L56</f>
        <v>-3457</v>
      </c>
      <c r="AF56" s="29">
        <f>Q56</f>
        <v>3876</v>
      </c>
      <c r="AG56" s="298">
        <f>AG55</f>
        <v>419</v>
      </c>
      <c r="AH56" s="5">
        <f>AG56-AF56</f>
        <v>-3457</v>
      </c>
      <c r="AI56" s="256"/>
      <c r="AJ56" s="303">
        <f>AJ55</f>
        <v>419</v>
      </c>
      <c r="AK56" s="231">
        <f t="shared" si="104"/>
        <v>3457</v>
      </c>
      <c r="AL56" s="121"/>
      <c r="AM56" s="6"/>
      <c r="AN56" s="35"/>
      <c r="AO56" s="612"/>
      <c r="AP56" s="121"/>
      <c r="AQ56" s="6"/>
      <c r="AR56" s="35"/>
      <c r="AS56" s="612"/>
      <c r="AT56" s="21"/>
      <c r="AU56" s="6"/>
      <c r="AV56" s="35"/>
      <c r="AW56" s="713"/>
      <c r="AX56" s="713"/>
      <c r="AY56" s="394">
        <f>SUM(M56,AG56,BA56)-SUM(O56,AI56,BC56)-L56</f>
        <v>-3313</v>
      </c>
      <c r="AZ56" s="607">
        <f t="shared" ref="AZ56:AZ59" si="117">AK56</f>
        <v>3457</v>
      </c>
      <c r="BA56" s="298">
        <f>BA55</f>
        <v>144</v>
      </c>
      <c r="BB56" s="5">
        <f>BA56-AZ56</f>
        <v>-3313</v>
      </c>
      <c r="BC56" s="256"/>
      <c r="BD56" s="303">
        <f>BD55</f>
        <v>144</v>
      </c>
      <c r="BE56" s="231">
        <f t="shared" si="109"/>
        <v>3313</v>
      </c>
      <c r="BF56" s="121"/>
      <c r="BG56" s="6"/>
      <c r="BH56" s="35"/>
      <c r="BI56" s="612"/>
      <c r="BJ56" s="121"/>
      <c r="BK56" s="6"/>
      <c r="BL56" s="35"/>
      <c r="BM56" s="612"/>
      <c r="BN56" s="21"/>
      <c r="BO56" s="6"/>
      <c r="BP56" s="35"/>
      <c r="BQ56" s="713"/>
      <c r="BR56" s="713"/>
      <c r="BS56" s="394">
        <f>SUM(M56,AG56,BA56,BU56)-SUM(O56,AI56,BC56,BW56)-L56</f>
        <v>-2713</v>
      </c>
      <c r="BT56" s="29">
        <f t="shared" ref="BT56:BT59" si="118">BE56</f>
        <v>3313</v>
      </c>
      <c r="BU56" s="298">
        <f>BU55</f>
        <v>600</v>
      </c>
      <c r="BV56" s="5">
        <f>BU56-BT56</f>
        <v>-2713</v>
      </c>
      <c r="BW56" s="256"/>
      <c r="BX56" s="303">
        <f>BX55</f>
        <v>830</v>
      </c>
      <c r="BY56" s="231">
        <f t="shared" si="110"/>
        <v>2483</v>
      </c>
      <c r="BZ56" s="121"/>
      <c r="CA56" s="6"/>
      <c r="CB56" s="35"/>
      <c r="CC56" s="612"/>
      <c r="CD56" s="121"/>
      <c r="CE56" s="6"/>
      <c r="CF56" s="35"/>
      <c r="CG56" s="612"/>
      <c r="CH56" s="21"/>
      <c r="CI56" s="6"/>
      <c r="CJ56" s="35"/>
      <c r="CK56" s="713"/>
      <c r="CL56" s="713"/>
      <c r="CM56" s="394">
        <f>SUM(M56,AG56,BA56,BU56,CO56)-SUM(O56,AI56,BC56,BW56,CQ56)-L56</f>
        <v>-2583</v>
      </c>
      <c r="CN56" s="29">
        <f t="shared" ref="CN56:CN59" si="119">BY56</f>
        <v>2483</v>
      </c>
      <c r="CO56" s="298">
        <f>CO55</f>
        <v>130</v>
      </c>
      <c r="CP56" s="5">
        <f>CO56-CN56</f>
        <v>-2353</v>
      </c>
      <c r="CQ56" s="240"/>
      <c r="CR56" s="303">
        <f>CR55</f>
        <v>0</v>
      </c>
      <c r="CS56" s="231">
        <f t="shared" si="107"/>
        <v>2483</v>
      </c>
      <c r="CT56" s="121"/>
      <c r="CU56" s="6"/>
      <c r="CV56" s="35"/>
      <c r="CW56" s="612"/>
      <c r="CX56" s="121"/>
      <c r="CY56" s="6"/>
      <c r="CZ56" s="35"/>
      <c r="DA56" s="612"/>
      <c r="DB56" s="21"/>
      <c r="DC56" s="6"/>
      <c r="DD56" s="35"/>
      <c r="DE56" s="713"/>
      <c r="DF56" s="713"/>
      <c r="DG56" s="394">
        <f>SUM(M56,AG56,BA56,BU56,DI56)-SUM(O56,AI56,BC56,BW56,CQ56)-L56</f>
        <v>-2713</v>
      </c>
      <c r="DH56" s="29">
        <f>BY56</f>
        <v>2483</v>
      </c>
      <c r="DI56" s="298">
        <f>DI55</f>
        <v>0</v>
      </c>
      <c r="DJ56" s="5">
        <f>DI56-DH56</f>
        <v>-2483</v>
      </c>
      <c r="DK56" s="240"/>
      <c r="DL56" s="303">
        <f>DL55</f>
        <v>0</v>
      </c>
      <c r="DM56" s="231">
        <f t="shared" ref="DM56:DM59" si="120">DH56+DK56-DL56</f>
        <v>2483</v>
      </c>
    </row>
    <row r="57" spans="1:117" x14ac:dyDescent="0.25">
      <c r="A57" s="18"/>
      <c r="B57" s="14" t="s">
        <v>595</v>
      </c>
      <c r="C57" s="18">
        <v>1</v>
      </c>
      <c r="D57" s="11"/>
      <c r="E57" s="11"/>
      <c r="F57" s="149">
        <v>1.1200000000000001</v>
      </c>
      <c r="G57" s="23" t="s">
        <v>757</v>
      </c>
      <c r="H57" s="25" t="s">
        <v>34</v>
      </c>
      <c r="I57" s="24"/>
      <c r="J57" s="536">
        <f>SUM(M57,AG57,BA57,BU57)-L57</f>
        <v>-2791</v>
      </c>
      <c r="K57" s="394">
        <f t="shared" si="8"/>
        <v>-3954</v>
      </c>
      <c r="L57" s="544">
        <v>4004</v>
      </c>
      <c r="M57" s="298">
        <f>M56</f>
        <v>50</v>
      </c>
      <c r="N57" s="5">
        <f>M57-L57</f>
        <v>-3954</v>
      </c>
      <c r="O57" s="256"/>
      <c r="P57" s="303">
        <f>P56</f>
        <v>50</v>
      </c>
      <c r="Q57" s="231">
        <f t="shared" ref="Q57" si="121">L57+O57-P57</f>
        <v>3954</v>
      </c>
      <c r="R57" s="121"/>
      <c r="S57" s="6"/>
      <c r="T57" s="35"/>
      <c r="U57" s="612"/>
      <c r="V57" s="121"/>
      <c r="W57" s="6"/>
      <c r="X57" s="35"/>
      <c r="Y57" s="612"/>
      <c r="Z57" s="21"/>
      <c r="AA57" s="6"/>
      <c r="AB57" s="35"/>
      <c r="AC57" s="713"/>
      <c r="AD57" s="713"/>
      <c r="AE57" s="394">
        <f>SUM(M57,AG57)-SUM(O57,AI57)-L57</f>
        <v>-3535</v>
      </c>
      <c r="AF57" s="29">
        <f>Q57</f>
        <v>3954</v>
      </c>
      <c r="AG57" s="298">
        <f>AG56</f>
        <v>419</v>
      </c>
      <c r="AH57" s="5">
        <f>AG57-AF57</f>
        <v>-3535</v>
      </c>
      <c r="AI57" s="256"/>
      <c r="AJ57" s="303">
        <f>AJ56</f>
        <v>419</v>
      </c>
      <c r="AK57" s="231">
        <f t="shared" ref="AK57" si="122">AF57+AI57-AJ57</f>
        <v>3535</v>
      </c>
      <c r="AL57" s="121"/>
      <c r="AM57" s="6"/>
      <c r="AN57" s="35"/>
      <c r="AO57" s="612"/>
      <c r="AP57" s="121"/>
      <c r="AQ57" s="6"/>
      <c r="AR57" s="35"/>
      <c r="AS57" s="612"/>
      <c r="AT57" s="21"/>
      <c r="AU57" s="6"/>
      <c r="AV57" s="35"/>
      <c r="AW57" s="713"/>
      <c r="AX57" s="713"/>
      <c r="AY57" s="394">
        <f>SUM(M57,AG57,BA57)-SUM(O57,AI57,BC57)-L57</f>
        <v>-3391</v>
      </c>
      <c r="AZ57" s="607">
        <f t="shared" ref="AZ57" si="123">AK57</f>
        <v>3535</v>
      </c>
      <c r="BA57" s="298">
        <f>BA56</f>
        <v>144</v>
      </c>
      <c r="BB57" s="5">
        <f>BA57-AZ57</f>
        <v>-3391</v>
      </c>
      <c r="BC57" s="256"/>
      <c r="BD57" s="303">
        <f>BD56</f>
        <v>144</v>
      </c>
      <c r="BE57" s="231">
        <f t="shared" ref="BE57" si="124">AZ57+BC57-BD57</f>
        <v>3391</v>
      </c>
      <c r="BF57" s="121"/>
      <c r="BG57" s="6"/>
      <c r="BH57" s="35"/>
      <c r="BI57" s="612"/>
      <c r="BJ57" s="121"/>
      <c r="BK57" s="6"/>
      <c r="BL57" s="35"/>
      <c r="BM57" s="612"/>
      <c r="BN57" s="21"/>
      <c r="BO57" s="6"/>
      <c r="BP57" s="35"/>
      <c r="BQ57" s="713"/>
      <c r="BR57" s="713"/>
      <c r="BS57" s="394">
        <f>SUM(M57,AG57,BA57,BU57)-SUM(O57,AI57,BC57,BW57)-L57</f>
        <v>-2791</v>
      </c>
      <c r="BT57" s="29">
        <f t="shared" ref="BT57" si="125">BE57</f>
        <v>3391</v>
      </c>
      <c r="BU57" s="298">
        <f>BU56</f>
        <v>600</v>
      </c>
      <c r="BV57" s="5">
        <f>BU57-BT57</f>
        <v>-2791</v>
      </c>
      <c r="BW57" s="256"/>
      <c r="BX57" s="303">
        <f>BX56</f>
        <v>830</v>
      </c>
      <c r="BY57" s="231">
        <f t="shared" ref="BY57" si="126">BT57+BW57-BX57</f>
        <v>2561</v>
      </c>
      <c r="BZ57" s="121"/>
      <c r="CA57" s="6"/>
      <c r="CB57" s="35"/>
      <c r="CC57" s="612"/>
      <c r="CD57" s="121"/>
      <c r="CE57" s="6"/>
      <c r="CF57" s="35"/>
      <c r="CG57" s="612"/>
      <c r="CH57" s="21"/>
      <c r="CI57" s="6"/>
      <c r="CJ57" s="35"/>
      <c r="CK57" s="713"/>
      <c r="CL57" s="713"/>
      <c r="CM57" s="394">
        <f>SUM(M57,AG57,BA57,BU57,CO57)-SUM(O57,AI57,BC57,BW57,CQ57)-L57</f>
        <v>-2661</v>
      </c>
      <c r="CN57" s="29">
        <f t="shared" ref="CN57" si="127">BY57</f>
        <v>2561</v>
      </c>
      <c r="CO57" s="298">
        <f>CO56</f>
        <v>130</v>
      </c>
      <c r="CP57" s="5">
        <f>CO57-CN57</f>
        <v>-2431</v>
      </c>
      <c r="CQ57" s="240"/>
      <c r="CR57" s="303">
        <f>CR56</f>
        <v>0</v>
      </c>
      <c r="CS57" s="231">
        <f t="shared" ref="CS57" si="128">CN57+CQ57-CR57</f>
        <v>2561</v>
      </c>
      <c r="CT57" s="121"/>
      <c r="CU57" s="6"/>
      <c r="CV57" s="35"/>
      <c r="CW57" s="612"/>
      <c r="CX57" s="121"/>
      <c r="CY57" s="6"/>
      <c r="CZ57" s="35"/>
      <c r="DA57" s="612"/>
      <c r="DB57" s="21"/>
      <c r="DC57" s="6"/>
      <c r="DD57" s="35"/>
      <c r="DE57" s="713"/>
      <c r="DF57" s="713"/>
      <c r="DG57" s="394">
        <f>SUM(M57,AG57,BA57,BU57,DI57)-SUM(O57,AI57,BC57,BW57,CQ57)-L57</f>
        <v>-2791</v>
      </c>
      <c r="DH57" s="29">
        <f t="shared" ref="DH57:DH59" si="129">BY57</f>
        <v>2561</v>
      </c>
      <c r="DI57" s="298">
        <f>DI56</f>
        <v>0</v>
      </c>
      <c r="DJ57" s="5">
        <f>DI57-DH57</f>
        <v>-2561</v>
      </c>
      <c r="DK57" s="240"/>
      <c r="DL57" s="303">
        <f>DL56</f>
        <v>0</v>
      </c>
      <c r="DM57" s="231">
        <f t="shared" si="120"/>
        <v>2561</v>
      </c>
    </row>
    <row r="58" spans="1:117" ht="30" x14ac:dyDescent="0.25">
      <c r="A58" s="18"/>
      <c r="B58" s="316" t="s">
        <v>513</v>
      </c>
      <c r="C58" s="18">
        <v>1</v>
      </c>
      <c r="D58" s="11"/>
      <c r="E58" s="11"/>
      <c r="F58" s="149">
        <v>67.36</v>
      </c>
      <c r="G58" s="317" t="s">
        <v>758</v>
      </c>
      <c r="H58" s="25" t="s">
        <v>55</v>
      </c>
      <c r="I58" s="24"/>
      <c r="J58" s="536">
        <f>SUM(M58,AG58,BA58,BU58)-L58</f>
        <v>-2859</v>
      </c>
      <c r="K58" s="394">
        <f t="shared" si="8"/>
        <v>-4022</v>
      </c>
      <c r="L58" s="544">
        <v>4072</v>
      </c>
      <c r="M58" s="298">
        <f>M55</f>
        <v>50</v>
      </c>
      <c r="N58" s="5">
        <f>M58-L58</f>
        <v>-4022</v>
      </c>
      <c r="O58" s="256"/>
      <c r="P58" s="303">
        <f>P55</f>
        <v>50</v>
      </c>
      <c r="Q58" s="231">
        <f t="shared" si="103"/>
        <v>4022</v>
      </c>
      <c r="R58" s="121"/>
      <c r="S58" s="6"/>
      <c r="T58" s="35"/>
      <c r="U58" s="612"/>
      <c r="V58" s="121"/>
      <c r="W58" s="6"/>
      <c r="X58" s="35"/>
      <c r="Y58" s="612"/>
      <c r="Z58" s="21"/>
      <c r="AA58" s="6"/>
      <c r="AB58" s="35"/>
      <c r="AC58" s="713"/>
      <c r="AD58" s="713"/>
      <c r="AE58" s="394">
        <f>SUM(M58,AG58)-SUM(O58,AI58)-L58</f>
        <v>-3603</v>
      </c>
      <c r="AF58" s="29">
        <f>Q58</f>
        <v>4022</v>
      </c>
      <c r="AG58" s="298">
        <f>AG55</f>
        <v>419</v>
      </c>
      <c r="AH58" s="5">
        <f>AG58-AF58</f>
        <v>-3603</v>
      </c>
      <c r="AI58" s="256"/>
      <c r="AJ58" s="303">
        <f>AJ55</f>
        <v>419</v>
      </c>
      <c r="AK58" s="231">
        <f t="shared" si="104"/>
        <v>3603</v>
      </c>
      <c r="AL58" s="121"/>
      <c r="AM58" s="6"/>
      <c r="AN58" s="35"/>
      <c r="AO58" s="612"/>
      <c r="AP58" s="215"/>
      <c r="AQ58" s="6"/>
      <c r="AR58" s="35"/>
      <c r="AS58" s="612"/>
      <c r="AT58" s="310"/>
      <c r="AU58" s="6"/>
      <c r="AV58" s="500"/>
      <c r="AW58" s="734"/>
      <c r="AX58" s="734"/>
      <c r="AY58" s="394">
        <f>SUM(M58,AG58,BA58)-SUM(O58,AI58,BC58)-L58</f>
        <v>-3459</v>
      </c>
      <c r="AZ58" s="29">
        <f t="shared" si="117"/>
        <v>3603</v>
      </c>
      <c r="BA58" s="298">
        <f>BA55</f>
        <v>144</v>
      </c>
      <c r="BB58" s="5">
        <f>BA58-AZ58</f>
        <v>-3459</v>
      </c>
      <c r="BC58" s="256"/>
      <c r="BD58" s="303">
        <f>BD55</f>
        <v>144</v>
      </c>
      <c r="BE58" s="231">
        <f t="shared" si="109"/>
        <v>3459</v>
      </c>
      <c r="BF58" s="526"/>
      <c r="BG58" s="210"/>
      <c r="BH58" s="500"/>
      <c r="BI58" s="717"/>
      <c r="BJ58" s="121"/>
      <c r="BK58" s="210"/>
      <c r="BL58" s="500"/>
      <c r="BM58" s="717"/>
      <c r="BN58" s="21"/>
      <c r="BO58" s="210"/>
      <c r="BP58" s="500"/>
      <c r="BQ58" s="734"/>
      <c r="BR58" s="734"/>
      <c r="BS58" s="394">
        <f>SUM(M58,AG58,BA58,BU58)-SUM(O58,AI58,BC58,BW58)-L58</f>
        <v>-2859</v>
      </c>
      <c r="BT58" s="29">
        <f t="shared" si="118"/>
        <v>3459</v>
      </c>
      <c r="BU58" s="298">
        <f>BU55</f>
        <v>600</v>
      </c>
      <c r="BV58" s="5">
        <f>BU58-BT58</f>
        <v>-2859</v>
      </c>
      <c r="BW58" s="5"/>
      <c r="BX58" s="303">
        <f>BX55</f>
        <v>830</v>
      </c>
      <c r="BY58" s="231">
        <f t="shared" si="110"/>
        <v>2629</v>
      </c>
      <c r="BZ58" s="121"/>
      <c r="CA58" s="6"/>
      <c r="CB58" s="211"/>
      <c r="CC58" s="708"/>
      <c r="CD58" s="121"/>
      <c r="CE58" s="6"/>
      <c r="CF58" s="35"/>
      <c r="CG58" s="612"/>
      <c r="CH58" s="21"/>
      <c r="CI58" s="6"/>
      <c r="CJ58" s="35"/>
      <c r="CK58" s="713"/>
      <c r="CL58" s="713"/>
      <c r="CM58" s="394">
        <f>SUM(M58,AG58,BA58,BU58,CO58)-SUM(O58,AI58,BC58,BW58,CQ58)-L58</f>
        <v>-2729</v>
      </c>
      <c r="CN58" s="29">
        <f t="shared" si="119"/>
        <v>2629</v>
      </c>
      <c r="CO58" s="298">
        <f>CO55</f>
        <v>130</v>
      </c>
      <c r="CP58" s="5">
        <f>CO58-CN58</f>
        <v>-2499</v>
      </c>
      <c r="CQ58" s="240"/>
      <c r="CR58" s="303">
        <f>CR55</f>
        <v>0</v>
      </c>
      <c r="CS58" s="231">
        <f t="shared" si="107"/>
        <v>2629</v>
      </c>
      <c r="CT58" s="121"/>
      <c r="CU58" s="6"/>
      <c r="CV58" s="35"/>
      <c r="CW58" s="612"/>
      <c r="CX58" s="121"/>
      <c r="CY58" s="6"/>
      <c r="CZ58" s="35"/>
      <c r="DA58" s="612"/>
      <c r="DB58" s="21"/>
      <c r="DC58" s="6"/>
      <c r="DD58" s="35"/>
      <c r="DE58" s="713"/>
      <c r="DF58" s="713"/>
      <c r="DG58" s="394">
        <f>SUM(M58,AG58,BA58,BU58,DI58)-SUM(O58,AI58,BC58,BW58,CQ58)-L58</f>
        <v>-2859</v>
      </c>
      <c r="DH58" s="29">
        <f t="shared" si="129"/>
        <v>2629</v>
      </c>
      <c r="DI58" s="298">
        <f>DI55</f>
        <v>0</v>
      </c>
      <c r="DJ58" s="5">
        <f>DI58-DH58</f>
        <v>-2629</v>
      </c>
      <c r="DK58" s="240"/>
      <c r="DL58" s="303">
        <f>DL55</f>
        <v>0</v>
      </c>
      <c r="DM58" s="231">
        <f t="shared" si="120"/>
        <v>2629</v>
      </c>
    </row>
    <row r="59" spans="1:117" ht="15.75" thickBot="1" x14ac:dyDescent="0.3">
      <c r="A59" s="18"/>
      <c r="B59" s="316" t="s">
        <v>494</v>
      </c>
      <c r="C59" s="18">
        <v>1</v>
      </c>
      <c r="D59" s="11"/>
      <c r="E59" s="11"/>
      <c r="F59" s="149">
        <v>52.78</v>
      </c>
      <c r="G59" s="23" t="s">
        <v>10</v>
      </c>
      <c r="H59" s="25" t="s">
        <v>34</v>
      </c>
      <c r="I59" s="24"/>
      <c r="J59" s="536">
        <f>SUM(M59,AG59,BA59,BU59)-L59</f>
        <v>-366</v>
      </c>
      <c r="K59" s="394">
        <f t="shared" si="8"/>
        <v>-1529</v>
      </c>
      <c r="L59" s="544">
        <v>1579</v>
      </c>
      <c r="M59" s="298">
        <f>M55</f>
        <v>50</v>
      </c>
      <c r="N59" s="5">
        <f>M59-L59</f>
        <v>-1529</v>
      </c>
      <c r="O59" s="256"/>
      <c r="P59" s="303">
        <f>P55</f>
        <v>50</v>
      </c>
      <c r="Q59" s="231">
        <f t="shared" si="103"/>
        <v>1529</v>
      </c>
      <c r="R59" s="121"/>
      <c r="S59" s="6"/>
      <c r="T59" s="35"/>
      <c r="U59" s="612"/>
      <c r="V59" s="121"/>
      <c r="W59" s="21"/>
      <c r="X59" s="35"/>
      <c r="Y59" s="612"/>
      <c r="Z59" s="21"/>
      <c r="AA59" s="21"/>
      <c r="AB59" s="35"/>
      <c r="AC59" s="713"/>
      <c r="AD59" s="713"/>
      <c r="AE59" s="394">
        <f>SUM(M59,AG59)-SUM(O59,AI59)-L59</f>
        <v>-1110</v>
      </c>
      <c r="AF59" s="29">
        <f>Q59</f>
        <v>1529</v>
      </c>
      <c r="AG59" s="298">
        <f>AG55</f>
        <v>419</v>
      </c>
      <c r="AH59" s="5">
        <f>AG59-AF59</f>
        <v>-1110</v>
      </c>
      <c r="AI59" s="277"/>
      <c r="AJ59" s="303">
        <f>AJ55</f>
        <v>419</v>
      </c>
      <c r="AK59" s="231">
        <f t="shared" si="104"/>
        <v>1110</v>
      </c>
      <c r="AL59" s="121"/>
      <c r="AM59" s="6"/>
      <c r="AN59" s="35"/>
      <c r="AO59" s="612"/>
      <c r="AP59" s="121"/>
      <c r="AQ59" s="6"/>
      <c r="AR59" s="35"/>
      <c r="AS59" s="612"/>
      <c r="AT59" s="21"/>
      <c r="AU59" s="6"/>
      <c r="AV59" s="35"/>
      <c r="AW59" s="713"/>
      <c r="AX59" s="713"/>
      <c r="AY59" s="394">
        <f>SUM(M59,AG59,BA59)-SUM(O59,AI59,BC59)-L59</f>
        <v>-966</v>
      </c>
      <c r="AZ59" s="29">
        <f t="shared" si="117"/>
        <v>1110</v>
      </c>
      <c r="BA59" s="298">
        <f>BA55</f>
        <v>144</v>
      </c>
      <c r="BB59" s="5">
        <f>BA59-AZ59</f>
        <v>-966</v>
      </c>
      <c r="BC59" s="240"/>
      <c r="BD59" s="303">
        <f>BD55</f>
        <v>144</v>
      </c>
      <c r="BE59" s="231">
        <f t="shared" si="109"/>
        <v>966</v>
      </c>
      <c r="BF59" s="121"/>
      <c r="BG59" s="6"/>
      <c r="BH59" s="35"/>
      <c r="BI59" s="612"/>
      <c r="BJ59" s="121"/>
      <c r="BK59" s="6"/>
      <c r="BL59" s="35"/>
      <c r="BM59" s="612"/>
      <c r="BN59" s="21"/>
      <c r="BO59" s="6"/>
      <c r="BP59" s="35"/>
      <c r="BQ59" s="713"/>
      <c r="BR59" s="713"/>
      <c r="BS59" s="394">
        <f>SUM(M59,AG59,BA59,BU59)-SUM(O59,AI59,BC59,BW59)-L59</f>
        <v>-366</v>
      </c>
      <c r="BT59" s="29">
        <f t="shared" si="118"/>
        <v>966</v>
      </c>
      <c r="BU59" s="298">
        <f>BU55</f>
        <v>600</v>
      </c>
      <c r="BV59" s="5">
        <f>BU59-BT59</f>
        <v>-366</v>
      </c>
      <c r="BW59" s="240"/>
      <c r="BX59" s="303">
        <f>BX55</f>
        <v>830</v>
      </c>
      <c r="BY59" s="231">
        <f t="shared" si="110"/>
        <v>136</v>
      </c>
      <c r="BZ59" s="121"/>
      <c r="CA59" s="6"/>
      <c r="CB59" s="216"/>
      <c r="CC59" s="734"/>
      <c r="CE59" s="121"/>
      <c r="CF59" s="35"/>
      <c r="CG59" s="612"/>
      <c r="CH59" s="21"/>
      <c r="CI59" s="6"/>
      <c r="CJ59" s="35"/>
      <c r="CK59" s="713"/>
      <c r="CL59" s="713"/>
      <c r="CM59" s="394">
        <f>SUM(M59,AG59,BA59,BU59,CO59)-SUM(O59,AI59,BC59,BW59,CQ59)-L59</f>
        <v>-236</v>
      </c>
      <c r="CN59" s="29">
        <f t="shared" si="119"/>
        <v>136</v>
      </c>
      <c r="CO59" s="298">
        <f>CO55</f>
        <v>130</v>
      </c>
      <c r="CP59" s="5">
        <f>CO59-CN59</f>
        <v>-6</v>
      </c>
      <c r="CQ59" s="240"/>
      <c r="CR59" s="303">
        <f>CR55</f>
        <v>0</v>
      </c>
      <c r="CS59" s="231">
        <f t="shared" si="107"/>
        <v>136</v>
      </c>
      <c r="CT59" s="121"/>
      <c r="CU59" s="6"/>
      <c r="CV59" s="35"/>
      <c r="CW59" s="612"/>
      <c r="CX59" s="121"/>
      <c r="CY59" s="6"/>
      <c r="CZ59" s="35"/>
      <c r="DA59" s="612"/>
      <c r="DB59" s="21"/>
      <c r="DC59" s="6"/>
      <c r="DD59" s="35"/>
      <c r="DE59" s="713"/>
      <c r="DF59" s="713"/>
      <c r="DG59" s="394">
        <f>SUM(M59,AG59,BA59,BU59,DI59)-SUM(O59,AI59,BC59,BW59,CQ59)-L59</f>
        <v>-366</v>
      </c>
      <c r="DH59" s="29">
        <f t="shared" si="129"/>
        <v>136</v>
      </c>
      <c r="DI59" s="298">
        <f>DI55</f>
        <v>0</v>
      </c>
      <c r="DJ59" s="5">
        <f>DI59-DH59</f>
        <v>-136</v>
      </c>
      <c r="DK59" s="240"/>
      <c r="DL59" s="303">
        <f>DL55</f>
        <v>0</v>
      </c>
      <c r="DM59" s="231">
        <f t="shared" si="120"/>
        <v>136</v>
      </c>
    </row>
    <row r="60" spans="1:117" x14ac:dyDescent="0.25">
      <c r="A60" s="84"/>
      <c r="B60" s="89" t="s">
        <v>237</v>
      </c>
      <c r="C60" s="84"/>
      <c r="D60" s="83"/>
      <c r="E60" s="83"/>
      <c r="F60" s="339"/>
      <c r="G60" s="83"/>
      <c r="H60" s="85"/>
      <c r="I60" s="85"/>
      <c r="J60" s="85"/>
      <c r="K60" s="85"/>
      <c r="L60" s="86"/>
      <c r="M60" s="87"/>
      <c r="N60" s="87"/>
      <c r="O60" s="87"/>
      <c r="P60" s="252"/>
      <c r="Q60" s="238"/>
      <c r="R60" s="135">
        <f>SUM(R61:R63)</f>
        <v>0</v>
      </c>
      <c r="S60" s="136">
        <f>SUM(S61:S63)</f>
        <v>0</v>
      </c>
      <c r="T60" s="88"/>
      <c r="U60" s="223"/>
      <c r="V60" s="135">
        <f>SUM(V61:V63)</f>
        <v>0</v>
      </c>
      <c r="W60" s="136">
        <f>SUM(W61:W63)</f>
        <v>0</v>
      </c>
      <c r="X60" s="88"/>
      <c r="Y60" s="223"/>
      <c r="Z60" s="135">
        <f>SUM(Z61:Z63)</f>
        <v>0</v>
      </c>
      <c r="AA60" s="136">
        <f>SUM(AA61:AA63)</f>
        <v>0</v>
      </c>
      <c r="AB60" s="88"/>
      <c r="AC60" s="223"/>
      <c r="AD60" s="223"/>
      <c r="AE60" s="85"/>
      <c r="AF60" s="86"/>
      <c r="AG60" s="87"/>
      <c r="AH60" s="87"/>
      <c r="AI60" s="87"/>
      <c r="AJ60" s="252"/>
      <c r="AK60" s="238"/>
      <c r="AL60" s="135">
        <f>SUM(AL61:AL63)</f>
        <v>0</v>
      </c>
      <c r="AM60" s="136">
        <f>SUM(AM61:AM63)</f>
        <v>0</v>
      </c>
      <c r="AN60" s="88"/>
      <c r="AO60" s="223"/>
      <c r="AP60" s="135">
        <f>SUM(AP61:AP63)</f>
        <v>0</v>
      </c>
      <c r="AQ60" s="136">
        <f>SUM(AQ61:AQ63)</f>
        <v>0</v>
      </c>
      <c r="AR60" s="88"/>
      <c r="AS60" s="223"/>
      <c r="AT60" s="135">
        <f>SUM(AT61:AT63)</f>
        <v>0</v>
      </c>
      <c r="AU60" s="136">
        <f>SUM(AU61:AU63)</f>
        <v>0</v>
      </c>
      <c r="AV60" s="88"/>
      <c r="AW60" s="223"/>
      <c r="AX60" s="223"/>
      <c r="AY60" s="85"/>
      <c r="AZ60" s="86"/>
      <c r="BA60" s="87"/>
      <c r="BB60" s="87"/>
      <c r="BC60" s="87"/>
      <c r="BD60" s="252"/>
      <c r="BE60" s="238"/>
      <c r="BF60" s="135">
        <f>SUM(BF61:BF63)</f>
        <v>0</v>
      </c>
      <c r="BG60" s="136">
        <f>SUM(BG61:BG63)</f>
        <v>0</v>
      </c>
      <c r="BH60" s="88"/>
      <c r="BI60" s="223"/>
      <c r="BJ60" s="135">
        <f>SUM(BJ61:BJ63)</f>
        <v>0</v>
      </c>
      <c r="BK60" s="136">
        <f>SUM(BK61:BK63)</f>
        <v>0</v>
      </c>
      <c r="BL60" s="88"/>
      <c r="BM60" s="223"/>
      <c r="BN60" s="135">
        <f>SUM(BN61:BN63)</f>
        <v>0</v>
      </c>
      <c r="BO60" s="136">
        <f>SUM(BO61:BO63)</f>
        <v>0</v>
      </c>
      <c r="BP60" s="88"/>
      <c r="BQ60" s="223"/>
      <c r="BR60" s="223"/>
      <c r="BS60" s="85"/>
      <c r="BT60" s="86"/>
      <c r="BU60" s="87"/>
      <c r="BV60" s="87"/>
      <c r="BW60" s="87"/>
      <c r="BX60" s="252"/>
      <c r="BY60" s="238"/>
      <c r="BZ60" s="135">
        <f>SUM(BZ61:BZ63)</f>
        <v>30000</v>
      </c>
      <c r="CA60" s="136">
        <f>SUM(CA61:CA63)</f>
        <v>0</v>
      </c>
      <c r="CB60" s="88"/>
      <c r="CC60" s="223"/>
      <c r="CD60" s="135">
        <f>SUM(CD61:CD63)</f>
        <v>0</v>
      </c>
      <c r="CE60" s="136">
        <f>SUM(CE61:CE63)</f>
        <v>30000</v>
      </c>
      <c r="CF60" s="88"/>
      <c r="CG60" s="223"/>
      <c r="CH60" s="135">
        <f>SUM(CH61:CH63)</f>
        <v>0</v>
      </c>
      <c r="CI60" s="136">
        <f>SUM(CI61:CI63)</f>
        <v>0</v>
      </c>
      <c r="CJ60" s="88"/>
      <c r="CK60" s="223"/>
      <c r="CL60" s="223"/>
      <c r="CM60" s="85"/>
      <c r="CN60" s="86"/>
      <c r="CO60" s="87"/>
      <c r="CP60" s="87"/>
      <c r="CQ60" s="87"/>
      <c r="CR60" s="252"/>
      <c r="CS60" s="238"/>
      <c r="CT60" s="135">
        <f>SUM(CT61:CT63)</f>
        <v>0</v>
      </c>
      <c r="CU60" s="136">
        <f>SUM(CU61:CU63)</f>
        <v>0</v>
      </c>
      <c r="CV60" s="88"/>
      <c r="CW60" s="223"/>
      <c r="CX60" s="135">
        <f>SUM(CX61:CX63)</f>
        <v>0</v>
      </c>
      <c r="CY60" s="136">
        <f>SUM(CY61:CY63)</f>
        <v>0</v>
      </c>
      <c r="CZ60" s="88"/>
      <c r="DA60" s="223"/>
      <c r="DB60" s="135">
        <f>SUM(DB61:DB63)</f>
        <v>1212000</v>
      </c>
      <c r="DC60" s="136">
        <f>SUM(DC61:DC63)</f>
        <v>0</v>
      </c>
      <c r="DD60" s="88"/>
      <c r="DE60" s="223"/>
      <c r="DF60" s="223"/>
      <c r="DG60" s="85"/>
      <c r="DH60" s="86"/>
      <c r="DI60" s="87"/>
      <c r="DJ60" s="87"/>
      <c r="DK60" s="87"/>
      <c r="DL60" s="252"/>
      <c r="DM60" s="238"/>
    </row>
    <row r="61" spans="1:117" x14ac:dyDescent="0.25">
      <c r="A61" s="18">
        <v>18855</v>
      </c>
      <c r="B61" s="14" t="s">
        <v>232</v>
      </c>
      <c r="C61" s="18">
        <v>1</v>
      </c>
      <c r="D61" s="11" t="s">
        <v>243</v>
      </c>
      <c r="E61" s="11"/>
      <c r="F61" s="149">
        <v>808</v>
      </c>
      <c r="G61" s="10" t="s">
        <v>198</v>
      </c>
      <c r="H61" s="25" t="s">
        <v>77</v>
      </c>
      <c r="I61" s="24"/>
      <c r="J61" s="536">
        <f>SUM(M61,AG61,BA61,BU61)-L61-L59</f>
        <v>-3278</v>
      </c>
      <c r="K61" s="394">
        <f>M61-O61-L61-L59</f>
        <v>-5694</v>
      </c>
      <c r="L61" s="544">
        <v>4224</v>
      </c>
      <c r="M61" s="298">
        <f>SUM(M53,M55)</f>
        <v>109</v>
      </c>
      <c r="N61" s="5">
        <f>IF(N59&gt;=0,M53+N59-L61,M53-L61)</f>
        <v>-4165</v>
      </c>
      <c r="O61" s="256"/>
      <c r="P61" s="303">
        <f>SUM(P53,P55)</f>
        <v>109</v>
      </c>
      <c r="Q61" s="231">
        <f>L61+O61-P61</f>
        <v>4115</v>
      </c>
      <c r="R61" s="21"/>
      <c r="S61" s="6"/>
      <c r="T61" s="216"/>
      <c r="U61" s="707"/>
      <c r="V61" s="21"/>
      <c r="W61" s="6"/>
      <c r="X61" s="35"/>
      <c r="Y61" s="612"/>
      <c r="Z61" s="21"/>
      <c r="AA61" s="6"/>
      <c r="AB61" s="35"/>
      <c r="AC61" s="713"/>
      <c r="AD61" s="713"/>
      <c r="AE61" s="394">
        <f>SUM(M61,AG61)-SUM(O61,AI61)-L61-L59</f>
        <v>-5126</v>
      </c>
      <c r="AF61" s="29">
        <f t="shared" ref="AF61:AF68" si="130">Q61</f>
        <v>4115</v>
      </c>
      <c r="AG61" s="298">
        <f>SUM(AG53,AG55)</f>
        <v>568</v>
      </c>
      <c r="AH61" s="5">
        <f>IF(AH59&gt;=0,AG53+AH59-AF61,AG53-AF61)</f>
        <v>-3966</v>
      </c>
      <c r="AI61" s="256"/>
      <c r="AJ61" s="303">
        <f>SUM(AJ53,AJ55)</f>
        <v>568</v>
      </c>
      <c r="AK61" s="231">
        <f t="shared" ref="AK61:AK68" si="131">AF61+AI61-AJ61</f>
        <v>3547</v>
      </c>
      <c r="AL61" s="21"/>
      <c r="AM61" s="6"/>
      <c r="AN61" s="216"/>
      <c r="AO61" s="707"/>
      <c r="AP61" s="21"/>
      <c r="AQ61" s="6"/>
      <c r="AR61" s="35"/>
      <c r="AS61" s="612"/>
      <c r="AT61" s="21"/>
      <c r="AU61" s="6"/>
      <c r="AV61" s="35"/>
      <c r="AW61" s="713"/>
      <c r="AX61" s="713"/>
      <c r="AY61" s="394">
        <f>SUM(M61,AG61,BA61)-SUM(O61,AI61,BC61)-L61-L59</f>
        <v>-4739</v>
      </c>
      <c r="AZ61" s="29">
        <f t="shared" ref="AZ61:AZ68" si="132">AK61</f>
        <v>3547</v>
      </c>
      <c r="BA61" s="298">
        <f>SUM(BA53,BA55)</f>
        <v>387</v>
      </c>
      <c r="BB61" s="5">
        <f>IF(BB59&gt;=0,BA53+BB59-AZ61,BA53-AZ61)</f>
        <v>-3304</v>
      </c>
      <c r="BC61" s="256"/>
      <c r="BD61" s="303">
        <f>SUM(BD53,BD55)</f>
        <v>387</v>
      </c>
      <c r="BE61" s="231">
        <f t="shared" ref="BE61:BE68" si="133">AZ61+BC61-BD61</f>
        <v>3160</v>
      </c>
      <c r="BF61" s="21"/>
      <c r="BG61" s="6"/>
      <c r="BH61" s="216"/>
      <c r="BI61" s="707"/>
      <c r="BJ61" s="21"/>
      <c r="BK61" s="6"/>
      <c r="BL61" s="35"/>
      <c r="BM61" s="612"/>
      <c r="BN61" s="21"/>
      <c r="BO61" s="6"/>
      <c r="BP61" s="35"/>
      <c r="BQ61" s="713"/>
      <c r="BR61" s="713"/>
      <c r="BS61" s="394">
        <f>SUM(M61,AG61,BA61,BU61)-SUM(O61,AI61,BC61,BW61)-L61-L59</f>
        <v>-3278</v>
      </c>
      <c r="BT61" s="29">
        <f t="shared" ref="BT61:BT68" si="134">BE61</f>
        <v>3160</v>
      </c>
      <c r="BU61" s="298">
        <f>SUM(BU53,BU55)</f>
        <v>1461</v>
      </c>
      <c r="BV61" s="5">
        <f>IF(BV59&gt;=0,BU53+BV59-BT61,BU53-BT61)</f>
        <v>-2299</v>
      </c>
      <c r="BW61" s="258"/>
      <c r="BX61" s="303">
        <f>SUM(BX53,BX55)</f>
        <v>853</v>
      </c>
      <c r="BY61" s="231">
        <f t="shared" ref="BY61:BY68" si="135">BT61+BW61-BX61</f>
        <v>2307</v>
      </c>
      <c r="BZ61" s="21"/>
      <c r="CA61" s="6"/>
      <c r="CB61" s="148"/>
      <c r="CC61" s="711"/>
      <c r="CD61" s="21"/>
      <c r="CE61" s="6"/>
      <c r="CF61" s="35"/>
      <c r="CG61" s="612"/>
      <c r="CH61" s="21"/>
      <c r="CI61" s="6"/>
      <c r="CJ61" s="35"/>
      <c r="CK61" s="713"/>
      <c r="CL61" s="713"/>
      <c r="CM61" s="394">
        <f>SUM(M61,AG61,BA61,BU61,CO61)-SUM(O61,AI61,BC61,BW61,CQ61)-L61-L59</f>
        <v>-6148</v>
      </c>
      <c r="CN61" s="29">
        <f t="shared" ref="CN61:CN68" si="136">BY61</f>
        <v>2307</v>
      </c>
      <c r="CO61" s="298">
        <f>SUM(CO53,CO55)</f>
        <v>130</v>
      </c>
      <c r="CP61" s="5">
        <f>IF(CP59&gt;=0,CO53+CP59-CN61,CO53-CN61)</f>
        <v>-2307</v>
      </c>
      <c r="CQ61" s="240">
        <v>3000</v>
      </c>
      <c r="CR61" s="303">
        <f>SUM(CR53,CQ59)</f>
        <v>0</v>
      </c>
      <c r="CS61" s="231">
        <f t="shared" ref="CS61:CS68" si="137">CN61+CQ61-CR61</f>
        <v>5307</v>
      </c>
      <c r="CT61" s="21"/>
      <c r="CU61" s="6"/>
      <c r="CV61" s="216"/>
      <c r="CW61" s="707"/>
      <c r="CX61" s="21"/>
      <c r="CY61" s="6"/>
      <c r="CZ61" s="35"/>
      <c r="DA61" s="612"/>
      <c r="DB61" s="21">
        <f>F61*CQ61/2</f>
        <v>1212000</v>
      </c>
      <c r="DC61" s="6"/>
      <c r="DD61" s="35" t="s">
        <v>946</v>
      </c>
      <c r="DE61" s="713"/>
      <c r="DF61" s="713"/>
      <c r="DG61" s="394">
        <f>SUM(M61,AG61,BA61,BU61,DI61)-SUM(O61,AI61,BC61,BW61,CQ61)-L61-L59</f>
        <v>-6278</v>
      </c>
      <c r="DH61" s="29">
        <f>BY61</f>
        <v>2307</v>
      </c>
      <c r="DI61" s="298">
        <f>SUM(DI53,DI55)</f>
        <v>0</v>
      </c>
      <c r="DJ61" s="5">
        <f>IF(DJ59&gt;=0,DI53+DJ59-DH61,DI53-DH61)</f>
        <v>-2307</v>
      </c>
      <c r="DK61" s="240"/>
      <c r="DL61" s="303">
        <f>SUM(DL53,DK59)</f>
        <v>0</v>
      </c>
      <c r="DM61" s="231">
        <f t="shared" ref="DM61:DM68" si="138">DH61+DK61-DL61</f>
        <v>2307</v>
      </c>
    </row>
    <row r="62" spans="1:117" x14ac:dyDescent="0.25">
      <c r="A62" s="18"/>
      <c r="B62" s="14" t="s">
        <v>26</v>
      </c>
      <c r="C62" s="18">
        <v>1</v>
      </c>
      <c r="D62" s="11" t="s">
        <v>243</v>
      </c>
      <c r="E62" s="11"/>
      <c r="F62" s="149">
        <v>20</v>
      </c>
      <c r="G62" s="11" t="s">
        <v>650</v>
      </c>
      <c r="H62" s="25" t="s">
        <v>77</v>
      </c>
      <c r="I62" s="24"/>
      <c r="J62" s="536">
        <f>SUM(M62,AG62,BA62,BU62)-L62</f>
        <v>-2492</v>
      </c>
      <c r="K62" s="394">
        <f t="shared" si="8"/>
        <v>-4908</v>
      </c>
      <c r="L62" s="544">
        <v>5017</v>
      </c>
      <c r="M62" s="298">
        <f>SUM(M53,M55)</f>
        <v>109</v>
      </c>
      <c r="N62" s="5">
        <f>M62-L62</f>
        <v>-4908</v>
      </c>
      <c r="O62" s="256"/>
      <c r="P62" s="303">
        <f>SUM(P53,P55)</f>
        <v>109</v>
      </c>
      <c r="Q62" s="231">
        <f t="shared" ref="Q62:Q68" si="139">L62+O62-P62</f>
        <v>4908</v>
      </c>
      <c r="R62" s="236"/>
      <c r="S62" s="210"/>
      <c r="T62" s="216"/>
      <c r="U62" s="707"/>
      <c r="V62" s="21"/>
      <c r="W62" s="6"/>
      <c r="X62" s="35"/>
      <c r="Y62" s="612"/>
      <c r="Z62" s="21"/>
      <c r="AA62" s="6"/>
      <c r="AB62" s="35"/>
      <c r="AC62" s="713"/>
      <c r="AD62" s="713"/>
      <c r="AE62" s="394">
        <f>SUM(M62,AG62)-SUM(O62,AI62)-L62</f>
        <v>-4340</v>
      </c>
      <c r="AF62" s="29">
        <f t="shared" si="130"/>
        <v>4908</v>
      </c>
      <c r="AG62" s="298">
        <f>SUM(AG53,AG55)</f>
        <v>568</v>
      </c>
      <c r="AH62" s="5">
        <f>AG62-AF62</f>
        <v>-4340</v>
      </c>
      <c r="AI62" s="256"/>
      <c r="AJ62" s="303">
        <f>SUM(AJ53,AJ55)</f>
        <v>568</v>
      </c>
      <c r="AK62" s="231">
        <f t="shared" si="131"/>
        <v>4340</v>
      </c>
      <c r="AL62" s="236"/>
      <c r="AM62" s="210"/>
      <c r="AN62" s="216"/>
      <c r="AO62" s="707"/>
      <c r="AP62" s="21"/>
      <c r="AQ62" s="6"/>
      <c r="AR62" s="35"/>
      <c r="AS62" s="612"/>
      <c r="AT62" s="21"/>
      <c r="AU62" s="6"/>
      <c r="AV62" s="35"/>
      <c r="AW62" s="713"/>
      <c r="AX62" s="713"/>
      <c r="AY62" s="394">
        <f>SUM(M62,AG62,BA62)-SUM(O62,AI62,BC62)-L62</f>
        <v>-3953</v>
      </c>
      <c r="AZ62" s="29">
        <f t="shared" si="132"/>
        <v>4340</v>
      </c>
      <c r="BA62" s="298">
        <f>SUM(BA53,BA55)</f>
        <v>387</v>
      </c>
      <c r="BB62" s="5">
        <f>BA62-AZ62</f>
        <v>-3953</v>
      </c>
      <c r="BC62" s="256"/>
      <c r="BD62" s="303">
        <f>SUM(BD53,BD55)</f>
        <v>387</v>
      </c>
      <c r="BE62" s="231">
        <f t="shared" si="133"/>
        <v>3953</v>
      </c>
      <c r="BF62" s="236"/>
      <c r="BG62" s="210"/>
      <c r="BH62" s="35"/>
      <c r="BI62" s="612"/>
      <c r="BJ62" s="21"/>
      <c r="BK62" s="6"/>
      <c r="BL62" s="35"/>
      <c r="BM62" s="612"/>
      <c r="BN62" s="21"/>
      <c r="BO62" s="6"/>
      <c r="BP62" s="35"/>
      <c r="BQ62" s="713"/>
      <c r="BR62" s="713"/>
      <c r="BS62" s="394">
        <f>SUM(M62,AG62,BA62,BU62)-SUM(O62,AI62,BC62,BW62)-L62</f>
        <v>-5492</v>
      </c>
      <c r="BT62" s="29">
        <f t="shared" si="134"/>
        <v>3953</v>
      </c>
      <c r="BU62" s="298">
        <f>SUM(BU53,BU55)</f>
        <v>1461</v>
      </c>
      <c r="BV62" s="5">
        <f>BU62-BT62</f>
        <v>-2492</v>
      </c>
      <c r="BW62" s="7">
        <v>3000</v>
      </c>
      <c r="BX62" s="303">
        <f>SUM(BX53,BX55)</f>
        <v>853</v>
      </c>
      <c r="BY62" s="231">
        <f t="shared" si="135"/>
        <v>6100</v>
      </c>
      <c r="BZ62" s="661">
        <v>30000</v>
      </c>
      <c r="CA62" s="657"/>
      <c r="CB62" s="662" t="s">
        <v>883</v>
      </c>
      <c r="CC62" s="780"/>
      <c r="CD62" s="21"/>
      <c r="CE62" s="663">
        <v>30000</v>
      </c>
      <c r="CF62" s="664" t="s">
        <v>888</v>
      </c>
      <c r="CG62" s="773"/>
      <c r="CH62" s="21"/>
      <c r="CI62" s="6"/>
      <c r="CJ62" s="35"/>
      <c r="CK62" s="713"/>
      <c r="CL62" s="713"/>
      <c r="CM62" s="394">
        <f>SUM(M62,AG62,BA62,BU62,CO62)-SUM(O62,AI62,BC62,BW62,CQ62)-L62</f>
        <v>-5362</v>
      </c>
      <c r="CN62" s="29">
        <f t="shared" si="136"/>
        <v>6100</v>
      </c>
      <c r="CO62" s="298">
        <f>SUM(CO53,CO55)</f>
        <v>130</v>
      </c>
      <c r="CP62" s="5">
        <f>CO62-CN62</f>
        <v>-5970</v>
      </c>
      <c r="CQ62" s="240"/>
      <c r="CR62" s="303">
        <f>SUM(CR53,CR55)</f>
        <v>0</v>
      </c>
      <c r="CS62" s="231">
        <f t="shared" si="137"/>
        <v>6100</v>
      </c>
      <c r="CT62" s="236"/>
      <c r="CU62" s="210"/>
      <c r="CV62" s="216"/>
      <c r="CW62" s="707"/>
      <c r="CX62" s="21"/>
      <c r="CY62" s="6"/>
      <c r="CZ62" s="35"/>
      <c r="DA62" s="612"/>
      <c r="DB62" s="21"/>
      <c r="DC62" s="6"/>
      <c r="DD62" s="35"/>
      <c r="DE62" s="713"/>
      <c r="DF62" s="713"/>
      <c r="DG62" s="394">
        <f>SUM(M62,AG62,BA62,BU62,DI62)-SUM(O62,AI62,BC62,BW62,CQ62)-L62</f>
        <v>-5492</v>
      </c>
      <c r="DH62" s="29">
        <f t="shared" ref="DH62:DH63" si="140">BY62</f>
        <v>6100</v>
      </c>
      <c r="DI62" s="298">
        <f>SUM(DI53,DI55)</f>
        <v>0</v>
      </c>
      <c r="DJ62" s="5">
        <f>DI62-DH62</f>
        <v>-6100</v>
      </c>
      <c r="DK62" s="240"/>
      <c r="DL62" s="303">
        <f>SUM(DL53,DL55)</f>
        <v>0</v>
      </c>
      <c r="DM62" s="231">
        <f t="shared" si="138"/>
        <v>6100</v>
      </c>
    </row>
    <row r="63" spans="1:117" ht="15.75" thickBot="1" x14ac:dyDescent="0.3">
      <c r="A63" s="19">
        <v>8748</v>
      </c>
      <c r="B63" s="50" t="s">
        <v>30</v>
      </c>
      <c r="C63" s="19"/>
      <c r="D63" s="12" t="s">
        <v>18</v>
      </c>
      <c r="E63" s="12"/>
      <c r="F63" s="560"/>
      <c r="G63" s="12" t="s">
        <v>28</v>
      </c>
      <c r="H63" s="28" t="s">
        <v>55</v>
      </c>
      <c r="I63" s="420"/>
      <c r="J63" s="536">
        <f>SUM(M63,AG63,BA63,BU63)-L63</f>
        <v>-45</v>
      </c>
      <c r="K63" s="394">
        <f t="shared" si="8"/>
        <v>-45</v>
      </c>
      <c r="L63" s="544">
        <v>45</v>
      </c>
      <c r="M63" s="31">
        <v>0</v>
      </c>
      <c r="N63" s="31">
        <f>M63-L63</f>
        <v>-45</v>
      </c>
      <c r="O63" s="284"/>
      <c r="P63" s="241"/>
      <c r="Q63" s="231">
        <f t="shared" si="139"/>
        <v>45</v>
      </c>
      <c r="R63" s="200"/>
      <c r="S63" s="201"/>
      <c r="T63" s="36"/>
      <c r="U63" s="220"/>
      <c r="V63" s="200"/>
      <c r="W63" s="201"/>
      <c r="X63" s="36"/>
      <c r="Y63" s="220"/>
      <c r="Z63" s="122"/>
      <c r="AA63" s="201"/>
      <c r="AB63" s="36"/>
      <c r="AE63" s="394">
        <f>SUM(M63,AG63)-SUM(O63,AI63)-L63</f>
        <v>-45</v>
      </c>
      <c r="AF63" s="29">
        <f t="shared" si="130"/>
        <v>45</v>
      </c>
      <c r="AG63" s="31">
        <v>0</v>
      </c>
      <c r="AH63" s="31">
        <f>AG63-AF63</f>
        <v>-45</v>
      </c>
      <c r="AI63" s="284"/>
      <c r="AJ63" s="241"/>
      <c r="AK63" s="231">
        <f t="shared" si="131"/>
        <v>45</v>
      </c>
      <c r="AL63" s="200"/>
      <c r="AM63" s="201"/>
      <c r="AN63" s="36"/>
      <c r="AO63" s="220"/>
      <c r="AP63" s="200"/>
      <c r="AQ63" s="201"/>
      <c r="AR63" s="36"/>
      <c r="AS63" s="220"/>
      <c r="AT63" s="122"/>
      <c r="AU63" s="201"/>
      <c r="AV63" s="36"/>
      <c r="AY63" s="394">
        <f>SUM(M63,AG63,BA63)-SUM(O63,AI63,BC63)-L63</f>
        <v>-45</v>
      </c>
      <c r="AZ63" s="29">
        <f t="shared" si="132"/>
        <v>45</v>
      </c>
      <c r="BA63" s="31">
        <v>0</v>
      </c>
      <c r="BB63" s="31">
        <f>BA63-AZ63</f>
        <v>-45</v>
      </c>
      <c r="BC63" s="284"/>
      <c r="BD63" s="241"/>
      <c r="BE63" s="231">
        <f t="shared" si="133"/>
        <v>45</v>
      </c>
      <c r="BF63" s="200"/>
      <c r="BG63" s="201"/>
      <c r="BH63" s="36"/>
      <c r="BI63" s="220"/>
      <c r="BJ63" s="200"/>
      <c r="BK63" s="201"/>
      <c r="BL63" s="36"/>
      <c r="BM63" s="220"/>
      <c r="BN63" s="122"/>
      <c r="BO63" s="201"/>
      <c r="BP63" s="36"/>
      <c r="BS63" s="394">
        <f>SUM(M63,AG63,BA63,BU63)-SUM(O63,AI63,BC63,BW63)-L63</f>
        <v>-45</v>
      </c>
      <c r="BT63" s="29">
        <f t="shared" si="134"/>
        <v>45</v>
      </c>
      <c r="BU63" s="31">
        <v>0</v>
      </c>
      <c r="BV63" s="31">
        <f>BU63-BT63</f>
        <v>-45</v>
      </c>
      <c r="BW63" s="284"/>
      <c r="BX63" s="241"/>
      <c r="BY63" s="231">
        <f t="shared" si="135"/>
        <v>45</v>
      </c>
      <c r="BZ63" s="200"/>
      <c r="CA63" s="201"/>
      <c r="CB63" s="36"/>
      <c r="CC63" s="220"/>
      <c r="CD63" s="200"/>
      <c r="CE63" s="201"/>
      <c r="CF63" s="36"/>
      <c r="CG63" s="220"/>
      <c r="CH63" s="122"/>
      <c r="CI63" s="201"/>
      <c r="CJ63" s="36"/>
      <c r="CM63" s="394">
        <f>SUM(M63,AG63,BA63,BU63,CO63)-SUM(O63,AI63,BC63,BW63,CQ63)-L63</f>
        <v>-45</v>
      </c>
      <c r="CN63" s="29">
        <f t="shared" si="136"/>
        <v>45</v>
      </c>
      <c r="CO63" s="31">
        <v>0</v>
      </c>
      <c r="CP63" s="31">
        <f>CO63-CN63</f>
        <v>-45</v>
      </c>
      <c r="CQ63" s="241"/>
      <c r="CR63" s="241"/>
      <c r="CS63" s="231">
        <f t="shared" si="137"/>
        <v>45</v>
      </c>
      <c r="CT63" s="200"/>
      <c r="CU63" s="201"/>
      <c r="CV63" s="36"/>
      <c r="CW63" s="220"/>
      <c r="CX63" s="200"/>
      <c r="CY63" s="201"/>
      <c r="CZ63" s="36"/>
      <c r="DA63" s="220"/>
      <c r="DB63" s="122"/>
      <c r="DC63" s="201"/>
      <c r="DD63" s="36"/>
      <c r="DG63" s="394">
        <f>SUM(M63,AG63,BA63,BU63,DI63)-SUM(O63,AI63,BC63,BW63,CQ63)-L63</f>
        <v>-45</v>
      </c>
      <c r="DH63" s="29">
        <f t="shared" si="140"/>
        <v>45</v>
      </c>
      <c r="DI63" s="31">
        <v>0</v>
      </c>
      <c r="DJ63" s="31">
        <f>DI63-DH63</f>
        <v>-45</v>
      </c>
      <c r="DK63" s="241"/>
      <c r="DL63" s="241"/>
      <c r="DM63" s="231">
        <f t="shared" si="138"/>
        <v>45</v>
      </c>
    </row>
    <row r="64" spans="1:117" x14ac:dyDescent="0.25">
      <c r="A64" s="53">
        <v>3594</v>
      </c>
      <c r="B64" s="52" t="s">
        <v>31</v>
      </c>
      <c r="C64" s="53"/>
      <c r="D64" s="51" t="s">
        <v>18</v>
      </c>
      <c r="E64" s="51"/>
      <c r="F64" s="338"/>
      <c r="G64" s="51"/>
      <c r="H64" s="54"/>
      <c r="I64" s="54"/>
      <c r="J64" s="53">
        <f>SUM(M64,AG64,BA64,BU64)</f>
        <v>0</v>
      </c>
      <c r="K64" s="53"/>
      <c r="L64" s="55">
        <v>1</v>
      </c>
      <c r="M64" s="56">
        <v>0</v>
      </c>
      <c r="N64" s="225">
        <v>0</v>
      </c>
      <c r="O64" s="225"/>
      <c r="P64" s="245"/>
      <c r="Q64" s="57">
        <f t="shared" si="139"/>
        <v>1</v>
      </c>
      <c r="R64" s="119">
        <f>SUM(R65:R68)</f>
        <v>0</v>
      </c>
      <c r="S64" s="120">
        <f>SUM(S65:S68)</f>
        <v>0</v>
      </c>
      <c r="T64" s="57"/>
      <c r="U64" s="219"/>
      <c r="V64" s="119">
        <f>SUM(V65:V68)</f>
        <v>0</v>
      </c>
      <c r="W64" s="120">
        <f>SUM(W65:W68)</f>
        <v>0</v>
      </c>
      <c r="X64" s="57"/>
      <c r="Y64" s="219"/>
      <c r="Z64" s="119">
        <f>SUM(Z65:Z68)</f>
        <v>0</v>
      </c>
      <c r="AA64" s="120">
        <f>SUM(AA65:AA68)</f>
        <v>0</v>
      </c>
      <c r="AB64" s="57"/>
      <c r="AC64" s="230"/>
      <c r="AD64" s="230"/>
      <c r="AE64" s="53">
        <f>SUM(AG64,BA64,BU64)</f>
        <v>0</v>
      </c>
      <c r="AF64" s="55">
        <f t="shared" si="130"/>
        <v>1</v>
      </c>
      <c r="AG64" s="56">
        <v>0</v>
      </c>
      <c r="AH64" s="225">
        <v>0</v>
      </c>
      <c r="AI64" s="225"/>
      <c r="AJ64" s="245"/>
      <c r="AK64" s="57">
        <f t="shared" si="131"/>
        <v>1</v>
      </c>
      <c r="AL64" s="119">
        <f>SUM(AL65:AL68)</f>
        <v>0</v>
      </c>
      <c r="AM64" s="120">
        <f>SUM(AM65:AM68)</f>
        <v>0</v>
      </c>
      <c r="AN64" s="57"/>
      <c r="AO64" s="219"/>
      <c r="AP64" s="119">
        <f>SUM(AP65:AP68)</f>
        <v>0</v>
      </c>
      <c r="AQ64" s="120">
        <f>SUM(AQ65:AQ68)</f>
        <v>0</v>
      </c>
      <c r="AR64" s="57"/>
      <c r="AS64" s="219"/>
      <c r="AT64" s="119">
        <f>SUM(AT65:AT68)</f>
        <v>0</v>
      </c>
      <c r="AU64" s="120">
        <f>SUM(AU65:AU68)</f>
        <v>0</v>
      </c>
      <c r="AV64" s="57"/>
      <c r="AW64" s="230"/>
      <c r="AX64" s="230"/>
      <c r="AY64" s="53">
        <f>SUM(BA64,BU64)</f>
        <v>0</v>
      </c>
      <c r="AZ64" s="55">
        <f t="shared" si="132"/>
        <v>1</v>
      </c>
      <c r="BA64" s="56">
        <v>0</v>
      </c>
      <c r="BB64" s="225">
        <v>0</v>
      </c>
      <c r="BC64" s="225"/>
      <c r="BD64" s="245"/>
      <c r="BE64" s="57">
        <f t="shared" si="133"/>
        <v>1</v>
      </c>
      <c r="BF64" s="119">
        <f>SUM(BF65:BF68)</f>
        <v>0</v>
      </c>
      <c r="BG64" s="120">
        <f>SUM(BG65:BG68)</f>
        <v>0</v>
      </c>
      <c r="BH64" s="57"/>
      <c r="BI64" s="219"/>
      <c r="BJ64" s="119">
        <f>SUM(BJ65:BJ68)</f>
        <v>0</v>
      </c>
      <c r="BK64" s="120">
        <f>SUM(BK65:BK68)</f>
        <v>0</v>
      </c>
      <c r="BL64" s="57"/>
      <c r="BM64" s="219"/>
      <c r="BN64" s="119">
        <f>SUM(BN65:BN68)</f>
        <v>0</v>
      </c>
      <c r="BO64" s="120">
        <f>SUM(BO65:BO68)</f>
        <v>0</v>
      </c>
      <c r="BP64" s="57"/>
      <c r="BQ64" s="230"/>
      <c r="BR64" s="230"/>
      <c r="BS64" s="53">
        <f>BU64</f>
        <v>0</v>
      </c>
      <c r="BT64" s="55">
        <f t="shared" si="134"/>
        <v>1</v>
      </c>
      <c r="BU64" s="56">
        <v>0</v>
      </c>
      <c r="BV64" s="225">
        <v>0</v>
      </c>
      <c r="BW64" s="225"/>
      <c r="BX64" s="245"/>
      <c r="BY64" s="57">
        <f t="shared" si="135"/>
        <v>1</v>
      </c>
      <c r="BZ64" s="119">
        <f>SUM(BZ65:BZ68)</f>
        <v>0</v>
      </c>
      <c r="CA64" s="120">
        <f>SUM(CA65:CA68)</f>
        <v>0</v>
      </c>
      <c r="CB64" s="57"/>
      <c r="CC64" s="219"/>
      <c r="CD64" s="119">
        <f>SUM(CD65:CD68)</f>
        <v>0</v>
      </c>
      <c r="CE64" s="120">
        <f>SUM(CE65:CE68)</f>
        <v>0</v>
      </c>
      <c r="CF64" s="57"/>
      <c r="CG64" s="219"/>
      <c r="CH64" s="119">
        <f>SUM(CH65:CH68)</f>
        <v>0</v>
      </c>
      <c r="CI64" s="120">
        <f>SUM(CI65:CI68)</f>
        <v>0</v>
      </c>
      <c r="CJ64" s="57"/>
      <c r="CK64" s="230"/>
      <c r="CL64" s="230"/>
      <c r="CM64" s="53">
        <f>CO64</f>
        <v>0</v>
      </c>
      <c r="CN64" s="55">
        <f t="shared" si="136"/>
        <v>1</v>
      </c>
      <c r="CO64" s="56">
        <v>0</v>
      </c>
      <c r="CP64" s="225">
        <v>0</v>
      </c>
      <c r="CQ64" s="225"/>
      <c r="CR64" s="245"/>
      <c r="CS64" s="57">
        <f t="shared" si="137"/>
        <v>1</v>
      </c>
      <c r="CT64" s="119">
        <f>SUM(CT65:CT68)</f>
        <v>0</v>
      </c>
      <c r="CU64" s="120">
        <f>SUM(CU65:CU68)</f>
        <v>0</v>
      </c>
      <c r="CV64" s="57"/>
      <c r="CW64" s="219"/>
      <c r="CX64" s="119">
        <f>SUM(CX65:CX68)</f>
        <v>0</v>
      </c>
      <c r="CY64" s="120">
        <f>SUM(CY65:CY68)</f>
        <v>0</v>
      </c>
      <c r="CZ64" s="57"/>
      <c r="DA64" s="219"/>
      <c r="DB64" s="119">
        <f>SUM(DB65:DB68)</f>
        <v>0</v>
      </c>
      <c r="DC64" s="120">
        <f>SUM(DC65:DC68)</f>
        <v>0</v>
      </c>
      <c r="DD64" s="57"/>
      <c r="DE64" s="230"/>
      <c r="DF64" s="230"/>
      <c r="DG64" s="53">
        <f>DI64</f>
        <v>0</v>
      </c>
      <c r="DH64" s="55">
        <f t="shared" ref="DH64" si="141">CS64</f>
        <v>1</v>
      </c>
      <c r="DI64" s="56">
        <v>0</v>
      </c>
      <c r="DJ64" s="225">
        <v>0</v>
      </c>
      <c r="DK64" s="225"/>
      <c r="DL64" s="245"/>
      <c r="DM64" s="57">
        <f t="shared" si="138"/>
        <v>1</v>
      </c>
    </row>
    <row r="65" spans="1:117" x14ac:dyDescent="0.25">
      <c r="A65" s="18"/>
      <c r="B65" s="11" t="s">
        <v>15</v>
      </c>
      <c r="C65" s="18">
        <v>1</v>
      </c>
      <c r="D65" s="11"/>
      <c r="E65" s="11"/>
      <c r="F65" s="561"/>
      <c r="G65" s="381" t="s">
        <v>33</v>
      </c>
      <c r="H65" s="25" t="s">
        <v>34</v>
      </c>
      <c r="I65" s="24"/>
      <c r="J65" s="536">
        <f>SUM(M65,AG65,BA65,BU65)-L65</f>
        <v>0</v>
      </c>
      <c r="K65" s="394">
        <f t="shared" si="8"/>
        <v>0</v>
      </c>
      <c r="L65" s="29">
        <v>0</v>
      </c>
      <c r="M65" s="5">
        <v>0</v>
      </c>
      <c r="N65" s="226">
        <f>M65-L65</f>
        <v>0</v>
      </c>
      <c r="O65" s="226"/>
      <c r="P65" s="246"/>
      <c r="Q65" s="35">
        <f t="shared" si="139"/>
        <v>0</v>
      </c>
      <c r="R65" s="121"/>
      <c r="S65" s="6"/>
      <c r="T65" s="35"/>
      <c r="U65" s="612"/>
      <c r="V65" s="121"/>
      <c r="W65" s="6"/>
      <c r="X65" s="35"/>
      <c r="Y65" s="612"/>
      <c r="Z65" s="21"/>
      <c r="AA65" s="6"/>
      <c r="AB65" s="35"/>
      <c r="AC65" s="713"/>
      <c r="AD65" s="713"/>
      <c r="AE65" s="394">
        <f>SUM(M65,AG65)-SUM(O65,AI65)-L65</f>
        <v>0</v>
      </c>
      <c r="AF65" s="29">
        <f t="shared" si="130"/>
        <v>0</v>
      </c>
      <c r="AG65" s="5">
        <v>0</v>
      </c>
      <c r="AH65" s="226">
        <f>AG65-AF65</f>
        <v>0</v>
      </c>
      <c r="AI65" s="226"/>
      <c r="AJ65" s="246"/>
      <c r="AK65" s="35">
        <f t="shared" si="131"/>
        <v>0</v>
      </c>
      <c r="AL65" s="121"/>
      <c r="AM65" s="6"/>
      <c r="AN65" s="35"/>
      <c r="AO65" s="612"/>
      <c r="AP65" s="121"/>
      <c r="AQ65" s="6"/>
      <c r="AR65" s="35"/>
      <c r="AS65" s="612"/>
      <c r="AT65" s="21"/>
      <c r="AU65" s="6"/>
      <c r="AV65" s="35"/>
      <c r="AW65" s="713"/>
      <c r="AX65" s="713"/>
      <c r="AY65" s="394">
        <f>SUM(M65,AG65,BA65)-SUM(O65,AI65,BC65)-L65</f>
        <v>0</v>
      </c>
      <c r="AZ65" s="29">
        <f t="shared" si="132"/>
        <v>0</v>
      </c>
      <c r="BA65" s="5">
        <v>0</v>
      </c>
      <c r="BB65" s="226">
        <f>BA65-AZ65</f>
        <v>0</v>
      </c>
      <c r="BC65" s="226"/>
      <c r="BD65" s="246"/>
      <c r="BE65" s="35">
        <f t="shared" si="133"/>
        <v>0</v>
      </c>
      <c r="BF65" s="121"/>
      <c r="BG65" s="6"/>
      <c r="BH65" s="35"/>
      <c r="BI65" s="612"/>
      <c r="BJ65" s="121"/>
      <c r="BK65" s="6"/>
      <c r="BL65" s="35"/>
      <c r="BM65" s="612"/>
      <c r="BN65" s="21"/>
      <c r="BO65" s="6"/>
      <c r="BP65" s="35"/>
      <c r="BQ65" s="713"/>
      <c r="BR65" s="713"/>
      <c r="BS65" s="394">
        <f>SUM(M65,AG65,BA65,BU65)-SUM(O65,AI65,BC65,BW65)-L65</f>
        <v>0</v>
      </c>
      <c r="BT65" s="29">
        <f t="shared" si="134"/>
        <v>0</v>
      </c>
      <c r="BU65" s="5">
        <v>0</v>
      </c>
      <c r="BV65" s="226">
        <f>BU65-BT65</f>
        <v>0</v>
      </c>
      <c r="BW65" s="226"/>
      <c r="BX65" s="246"/>
      <c r="BY65" s="35">
        <f t="shared" si="135"/>
        <v>0</v>
      </c>
      <c r="BZ65" s="121"/>
      <c r="CA65" s="6"/>
      <c r="CB65" s="35"/>
      <c r="CC65" s="612"/>
      <c r="CD65" s="121"/>
      <c r="CE65" s="6"/>
      <c r="CF65" s="35"/>
      <c r="CG65" s="612"/>
      <c r="CH65" s="21"/>
      <c r="CI65" s="6"/>
      <c r="CJ65" s="35"/>
      <c r="CK65" s="713"/>
      <c r="CL65" s="713"/>
      <c r="CM65" s="394">
        <f>SUM(M65,AG65,BA65,BU65,CO65)-SUM(O65,AI65,BC65,BW65,CQ65)-L65</f>
        <v>0</v>
      </c>
      <c r="CN65" s="29">
        <f t="shared" si="136"/>
        <v>0</v>
      </c>
      <c r="CO65" s="5">
        <v>0</v>
      </c>
      <c r="CP65" s="226">
        <f>CO65-CN65</f>
        <v>0</v>
      </c>
      <c r="CQ65" s="226"/>
      <c r="CR65" s="246"/>
      <c r="CS65" s="35">
        <f t="shared" si="137"/>
        <v>0</v>
      </c>
      <c r="CT65" s="121"/>
      <c r="CU65" s="6"/>
      <c r="CV65" s="35"/>
      <c r="CW65" s="612"/>
      <c r="CX65" s="121"/>
      <c r="CY65" s="6"/>
      <c r="CZ65" s="35"/>
      <c r="DA65" s="612"/>
      <c r="DB65" s="21"/>
      <c r="DC65" s="6"/>
      <c r="DD65" s="35"/>
      <c r="DE65" s="713"/>
      <c r="DF65" s="713"/>
      <c r="DG65" s="394"/>
      <c r="DH65" s="29">
        <f>BY65</f>
        <v>0</v>
      </c>
      <c r="DI65" s="5">
        <v>0</v>
      </c>
      <c r="DJ65" s="226">
        <f>DI65-DH65</f>
        <v>0</v>
      </c>
      <c r="DK65" s="226"/>
      <c r="DL65" s="246"/>
      <c r="DM65" s="35">
        <f t="shared" si="138"/>
        <v>0</v>
      </c>
    </row>
    <row r="66" spans="1:117" x14ac:dyDescent="0.25">
      <c r="A66" s="18"/>
      <c r="B66" s="14" t="s">
        <v>32</v>
      </c>
      <c r="C66" s="18">
        <v>1</v>
      </c>
      <c r="D66" s="11"/>
      <c r="E66" s="11"/>
      <c r="F66" s="561"/>
      <c r="G66" s="381" t="s">
        <v>331</v>
      </c>
      <c r="H66" s="25" t="s">
        <v>34</v>
      </c>
      <c r="I66" s="24"/>
      <c r="J66" s="536">
        <f>SUM(M66,AG66,BA66,BU66)-L66</f>
        <v>0</v>
      </c>
      <c r="K66" s="394">
        <f t="shared" si="8"/>
        <v>0</v>
      </c>
      <c r="L66" s="29">
        <v>0</v>
      </c>
      <c r="M66" s="5">
        <v>0</v>
      </c>
      <c r="N66" s="226">
        <f>M66-L66</f>
        <v>0</v>
      </c>
      <c r="O66" s="226"/>
      <c r="P66" s="246"/>
      <c r="Q66" s="35">
        <f t="shared" si="139"/>
        <v>0</v>
      </c>
      <c r="R66" s="121"/>
      <c r="S66" s="6"/>
      <c r="T66" s="35"/>
      <c r="U66" s="612"/>
      <c r="V66" s="121"/>
      <c r="W66" s="6"/>
      <c r="X66" s="35"/>
      <c r="Y66" s="612"/>
      <c r="Z66" s="21"/>
      <c r="AA66" s="6"/>
      <c r="AB66" s="35"/>
      <c r="AC66" s="713"/>
      <c r="AD66" s="713"/>
      <c r="AE66" s="394">
        <f>SUM(M66,AG66)-SUM(O66,AI66)-L66</f>
        <v>0</v>
      </c>
      <c r="AF66" s="29">
        <f t="shared" si="130"/>
        <v>0</v>
      </c>
      <c r="AG66" s="5">
        <v>0</v>
      </c>
      <c r="AH66" s="226">
        <f>AG66-AF66</f>
        <v>0</v>
      </c>
      <c r="AI66" s="226"/>
      <c r="AJ66" s="246"/>
      <c r="AK66" s="35">
        <f t="shared" si="131"/>
        <v>0</v>
      </c>
      <c r="AL66" s="121"/>
      <c r="AM66" s="6"/>
      <c r="AN66" s="35"/>
      <c r="AO66" s="612"/>
      <c r="AP66" s="121"/>
      <c r="AQ66" s="6"/>
      <c r="AR66" s="35"/>
      <c r="AS66" s="612"/>
      <c r="AT66" s="21"/>
      <c r="AU66" s="6"/>
      <c r="AV66" s="35"/>
      <c r="AW66" s="713"/>
      <c r="AX66" s="713"/>
      <c r="AY66" s="394">
        <f>SUM(M66,AG66,BA66)-SUM(O66,AI66,BC66)-L66</f>
        <v>0</v>
      </c>
      <c r="AZ66" s="29">
        <f t="shared" si="132"/>
        <v>0</v>
      </c>
      <c r="BA66" s="5">
        <v>0</v>
      </c>
      <c r="BB66" s="226">
        <f>BA66-AZ66</f>
        <v>0</v>
      </c>
      <c r="BC66" s="226"/>
      <c r="BD66" s="246"/>
      <c r="BE66" s="35">
        <f t="shared" si="133"/>
        <v>0</v>
      </c>
      <c r="BF66" s="121"/>
      <c r="BG66" s="6"/>
      <c r="BH66" s="35"/>
      <c r="BI66" s="612"/>
      <c r="BJ66" s="121"/>
      <c r="BK66" s="6"/>
      <c r="BL66" s="35"/>
      <c r="BM66" s="612"/>
      <c r="BN66" s="21"/>
      <c r="BO66" s="6"/>
      <c r="BP66" s="35"/>
      <c r="BQ66" s="713"/>
      <c r="BR66" s="713"/>
      <c r="BS66" s="394">
        <f>SUM(M66,AG66,BA66,BU66)-SUM(O66,AI66,BC66,BW66)-L66</f>
        <v>0</v>
      </c>
      <c r="BT66" s="29">
        <f t="shared" si="134"/>
        <v>0</v>
      </c>
      <c r="BU66" s="5">
        <v>0</v>
      </c>
      <c r="BV66" s="226">
        <f>BU66-BT66</f>
        <v>0</v>
      </c>
      <c r="BW66" s="226"/>
      <c r="BX66" s="246"/>
      <c r="BY66" s="35">
        <f t="shared" si="135"/>
        <v>0</v>
      </c>
      <c r="BZ66" s="121"/>
      <c r="CA66" s="6"/>
      <c r="CB66" s="35"/>
      <c r="CC66" s="612"/>
      <c r="CD66" s="121"/>
      <c r="CE66" s="6"/>
      <c r="CF66" s="35"/>
      <c r="CG66" s="612"/>
      <c r="CH66" s="21"/>
      <c r="CI66" s="6"/>
      <c r="CJ66" s="35"/>
      <c r="CK66" s="713"/>
      <c r="CL66" s="713"/>
      <c r="CM66" s="394">
        <f>SUM(M66,AG66,BA66,BU66,CO66)-SUM(O66,AI66,BC66,BW66,CQ66)-L66</f>
        <v>0</v>
      </c>
      <c r="CN66" s="29">
        <f t="shared" si="136"/>
        <v>0</v>
      </c>
      <c r="CO66" s="5">
        <v>0</v>
      </c>
      <c r="CP66" s="226">
        <f>CO66-CN66</f>
        <v>0</v>
      </c>
      <c r="CQ66" s="226"/>
      <c r="CR66" s="246"/>
      <c r="CS66" s="35">
        <f t="shared" si="137"/>
        <v>0</v>
      </c>
      <c r="CT66" s="121"/>
      <c r="CU66" s="6"/>
      <c r="CV66" s="35"/>
      <c r="CW66" s="612"/>
      <c r="CX66" s="121"/>
      <c r="CY66" s="6"/>
      <c r="CZ66" s="35"/>
      <c r="DA66" s="612"/>
      <c r="DB66" s="21"/>
      <c r="DC66" s="6"/>
      <c r="DD66" s="35"/>
      <c r="DE66" s="713"/>
      <c r="DF66" s="713"/>
      <c r="DG66" s="394"/>
      <c r="DH66" s="29">
        <f t="shared" ref="DH66:DH68" si="142">BY66</f>
        <v>0</v>
      </c>
      <c r="DI66" s="5">
        <v>0</v>
      </c>
      <c r="DJ66" s="226">
        <f>DI66-DH66</f>
        <v>0</v>
      </c>
      <c r="DK66" s="226"/>
      <c r="DL66" s="246"/>
      <c r="DM66" s="35">
        <f t="shared" si="138"/>
        <v>0</v>
      </c>
    </row>
    <row r="67" spans="1:117" x14ac:dyDescent="0.25">
      <c r="A67" s="18"/>
      <c r="B67" s="14" t="s">
        <v>37</v>
      </c>
      <c r="C67" s="18">
        <v>6</v>
      </c>
      <c r="D67" s="11"/>
      <c r="E67" s="11"/>
      <c r="F67" s="561"/>
      <c r="G67" s="379" t="s">
        <v>38</v>
      </c>
      <c r="H67" s="25" t="s">
        <v>39</v>
      </c>
      <c r="I67" s="24"/>
      <c r="J67" s="536">
        <f>SUM(M67,AG67,BA67,BU67)-L67</f>
        <v>0</v>
      </c>
      <c r="K67" s="394">
        <f t="shared" si="8"/>
        <v>0</v>
      </c>
      <c r="L67" s="29">
        <v>0</v>
      </c>
      <c r="M67" s="5">
        <v>0</v>
      </c>
      <c r="N67" s="226">
        <f>M67-L67</f>
        <v>0</v>
      </c>
      <c r="O67" s="226"/>
      <c r="P67" s="246"/>
      <c r="Q67" s="35">
        <f t="shared" si="139"/>
        <v>0</v>
      </c>
      <c r="R67" s="121"/>
      <c r="S67" s="6"/>
      <c r="T67" s="35"/>
      <c r="U67" s="612"/>
      <c r="V67" s="121"/>
      <c r="W67" s="6"/>
      <c r="X67" s="35"/>
      <c r="Y67" s="612"/>
      <c r="Z67" s="21"/>
      <c r="AA67" s="6"/>
      <c r="AB67" s="35"/>
      <c r="AC67" s="713"/>
      <c r="AD67" s="713"/>
      <c r="AE67" s="394">
        <f>SUM(M67,AG67)-SUM(O67,AI67)-L67</f>
        <v>0</v>
      </c>
      <c r="AF67" s="29">
        <f t="shared" si="130"/>
        <v>0</v>
      </c>
      <c r="AG67" s="5">
        <v>0</v>
      </c>
      <c r="AH67" s="226">
        <f>AG67-AF67</f>
        <v>0</v>
      </c>
      <c r="AI67" s="226"/>
      <c r="AJ67" s="246"/>
      <c r="AK67" s="35">
        <f t="shared" si="131"/>
        <v>0</v>
      </c>
      <c r="AL67" s="121"/>
      <c r="AM67" s="6"/>
      <c r="AN67" s="35"/>
      <c r="AO67" s="612"/>
      <c r="AP67" s="121"/>
      <c r="AQ67" s="6"/>
      <c r="AR67" s="35"/>
      <c r="AS67" s="612"/>
      <c r="AT67" s="21"/>
      <c r="AU67" s="6"/>
      <c r="AV67" s="35"/>
      <c r="AW67" s="713"/>
      <c r="AX67" s="713"/>
      <c r="AY67" s="394">
        <f>SUM(M67,AG67,BA67)-SUM(O67,AI67,BC67)-L67</f>
        <v>0</v>
      </c>
      <c r="AZ67" s="29">
        <f t="shared" si="132"/>
        <v>0</v>
      </c>
      <c r="BA67" s="5">
        <v>0</v>
      </c>
      <c r="BB67" s="226">
        <f>BA67-AZ67</f>
        <v>0</v>
      </c>
      <c r="BC67" s="226"/>
      <c r="BD67" s="246"/>
      <c r="BE67" s="35">
        <f t="shared" si="133"/>
        <v>0</v>
      </c>
      <c r="BF67" s="121"/>
      <c r="BG67" s="6"/>
      <c r="BH67" s="35"/>
      <c r="BI67" s="612"/>
      <c r="BJ67" s="121"/>
      <c r="BK67" s="6"/>
      <c r="BL67" s="35"/>
      <c r="BM67" s="612"/>
      <c r="BN67" s="21"/>
      <c r="BO67" s="6"/>
      <c r="BP67" s="35"/>
      <c r="BQ67" s="713"/>
      <c r="BR67" s="713"/>
      <c r="BS67" s="394">
        <f>SUM(M67,AG67,BA67,BU67)-SUM(O67,AI67,BC67,BW67)-L67</f>
        <v>0</v>
      </c>
      <c r="BT67" s="29">
        <f t="shared" si="134"/>
        <v>0</v>
      </c>
      <c r="BU67" s="5">
        <v>0</v>
      </c>
      <c r="BV67" s="226">
        <f>BU67-BT67</f>
        <v>0</v>
      </c>
      <c r="BW67" s="226"/>
      <c r="BX67" s="246"/>
      <c r="BY67" s="35">
        <f t="shared" si="135"/>
        <v>0</v>
      </c>
      <c r="BZ67" s="121"/>
      <c r="CA67" s="6"/>
      <c r="CB67" s="35"/>
      <c r="CC67" s="612"/>
      <c r="CD67" s="121"/>
      <c r="CE67" s="6"/>
      <c r="CF67" s="35"/>
      <c r="CG67" s="612"/>
      <c r="CH67" s="21"/>
      <c r="CI67" s="6"/>
      <c r="CJ67" s="35"/>
      <c r="CK67" s="713"/>
      <c r="CL67" s="713"/>
      <c r="CM67" s="394">
        <f>SUM(M67,AG67,BA67,BU67,CO67)-SUM(O67,AI67,BC67,BW67,CQ67)-L67</f>
        <v>0</v>
      </c>
      <c r="CN67" s="29">
        <f t="shared" si="136"/>
        <v>0</v>
      </c>
      <c r="CO67" s="5">
        <v>0</v>
      </c>
      <c r="CP67" s="226">
        <f>CO67-CN67</f>
        <v>0</v>
      </c>
      <c r="CQ67" s="226"/>
      <c r="CR67" s="246"/>
      <c r="CS67" s="35">
        <f t="shared" si="137"/>
        <v>0</v>
      </c>
      <c r="CT67" s="121"/>
      <c r="CU67" s="6"/>
      <c r="CV67" s="35"/>
      <c r="CW67" s="612"/>
      <c r="CX67" s="121"/>
      <c r="CY67" s="6"/>
      <c r="CZ67" s="35"/>
      <c r="DA67" s="612"/>
      <c r="DB67" s="21"/>
      <c r="DC67" s="6"/>
      <c r="DD67" s="35"/>
      <c r="DE67" s="713"/>
      <c r="DF67" s="713"/>
      <c r="DG67" s="394"/>
      <c r="DH67" s="29">
        <f t="shared" si="142"/>
        <v>0</v>
      </c>
      <c r="DI67" s="5">
        <v>0</v>
      </c>
      <c r="DJ67" s="226">
        <f>DI67-DH67</f>
        <v>0</v>
      </c>
      <c r="DK67" s="226"/>
      <c r="DL67" s="246"/>
      <c r="DM67" s="35">
        <f t="shared" si="138"/>
        <v>0</v>
      </c>
    </row>
    <row r="68" spans="1:117" ht="15.75" thickBot="1" x14ac:dyDescent="0.3">
      <c r="A68" s="19"/>
      <c r="B68" s="12" t="s">
        <v>35</v>
      </c>
      <c r="C68" s="19">
        <v>1</v>
      </c>
      <c r="D68" s="12"/>
      <c r="E68" s="12"/>
      <c r="F68" s="560"/>
      <c r="G68" s="92" t="s">
        <v>28</v>
      </c>
      <c r="H68" s="28" t="s">
        <v>55</v>
      </c>
      <c r="I68" s="420"/>
      <c r="J68" s="536">
        <f>SUM(M68,AG68,BA68,BU68)-L68</f>
        <v>0</v>
      </c>
      <c r="K68" s="394">
        <f t="shared" si="8"/>
        <v>0</v>
      </c>
      <c r="L68" s="29">
        <v>0</v>
      </c>
      <c r="M68" s="31">
        <v>0</v>
      </c>
      <c r="N68" s="227">
        <f>M68-L68</f>
        <v>0</v>
      </c>
      <c r="O68" s="227"/>
      <c r="P68" s="247"/>
      <c r="Q68" s="35">
        <f t="shared" si="139"/>
        <v>0</v>
      </c>
      <c r="R68" s="200"/>
      <c r="S68" s="201"/>
      <c r="T68" s="36"/>
      <c r="U68" s="220"/>
      <c r="V68" s="200"/>
      <c r="W68" s="201"/>
      <c r="X68" s="36"/>
      <c r="Y68" s="220"/>
      <c r="Z68" s="122"/>
      <c r="AA68" s="201"/>
      <c r="AB68" s="36"/>
      <c r="AE68" s="394">
        <f>SUM(M68,AG68)-SUM(O68,AI68)-L68</f>
        <v>0</v>
      </c>
      <c r="AF68" s="29">
        <f t="shared" si="130"/>
        <v>0</v>
      </c>
      <c r="AG68" s="31">
        <v>0</v>
      </c>
      <c r="AH68" s="227">
        <f>AG68-AF68</f>
        <v>0</v>
      </c>
      <c r="AI68" s="227"/>
      <c r="AJ68" s="247"/>
      <c r="AK68" s="35">
        <f t="shared" si="131"/>
        <v>0</v>
      </c>
      <c r="AL68" s="200"/>
      <c r="AM68" s="201"/>
      <c r="AN68" s="36"/>
      <c r="AO68" s="220"/>
      <c r="AP68" s="200"/>
      <c r="AQ68" s="201"/>
      <c r="AR68" s="36"/>
      <c r="AS68" s="220"/>
      <c r="AT68" s="122"/>
      <c r="AU68" s="201"/>
      <c r="AV68" s="36"/>
      <c r="AY68" s="394">
        <f>SUM(M68,AG68,BA68)-SUM(O68,AI68,BC68)-L68</f>
        <v>0</v>
      </c>
      <c r="AZ68" s="29">
        <f t="shared" si="132"/>
        <v>0</v>
      </c>
      <c r="BA68" s="31">
        <v>0</v>
      </c>
      <c r="BB68" s="227">
        <f>BA68-AZ68</f>
        <v>0</v>
      </c>
      <c r="BC68" s="227"/>
      <c r="BD68" s="247"/>
      <c r="BE68" s="35">
        <f t="shared" si="133"/>
        <v>0</v>
      </c>
      <c r="BF68" s="200"/>
      <c r="BG68" s="201"/>
      <c r="BH68" s="36"/>
      <c r="BI68" s="220"/>
      <c r="BJ68" s="200"/>
      <c r="BK68" s="201"/>
      <c r="BL68" s="36"/>
      <c r="BM68" s="220"/>
      <c r="BN68" s="122"/>
      <c r="BO68" s="201"/>
      <c r="BP68" s="36"/>
      <c r="BS68" s="394">
        <f>SUM(M68,AG68,BA68,BU68)-SUM(O68,AI68,BC68,BW68)-L68</f>
        <v>0</v>
      </c>
      <c r="BT68" s="29">
        <f t="shared" si="134"/>
        <v>0</v>
      </c>
      <c r="BU68" s="31">
        <v>0</v>
      </c>
      <c r="BV68" s="227">
        <f>BU68-BT68</f>
        <v>0</v>
      </c>
      <c r="BW68" s="227"/>
      <c r="BX68" s="247"/>
      <c r="BY68" s="35">
        <f t="shared" si="135"/>
        <v>0</v>
      </c>
      <c r="BZ68" s="200"/>
      <c r="CA68" s="201"/>
      <c r="CB68" s="36"/>
      <c r="CC68" s="220"/>
      <c r="CD68" s="200"/>
      <c r="CE68" s="201"/>
      <c r="CF68" s="36"/>
      <c r="CG68" s="220"/>
      <c r="CH68" s="122"/>
      <c r="CI68" s="201"/>
      <c r="CJ68" s="36"/>
      <c r="CM68" s="394">
        <f>SUM(M68,AG68,BA68,BU68,CO68)-SUM(O68,AI68,BC68,BW68,CQ68)-L68</f>
        <v>0</v>
      </c>
      <c r="CN68" s="29">
        <f t="shared" si="136"/>
        <v>0</v>
      </c>
      <c r="CO68" s="31">
        <v>0</v>
      </c>
      <c r="CP68" s="227">
        <f>CO68-CN68</f>
        <v>0</v>
      </c>
      <c r="CQ68" s="227"/>
      <c r="CR68" s="247"/>
      <c r="CS68" s="35">
        <f t="shared" si="137"/>
        <v>0</v>
      </c>
      <c r="CT68" s="200"/>
      <c r="CU68" s="201"/>
      <c r="CV68" s="36"/>
      <c r="CW68" s="220"/>
      <c r="CX68" s="200"/>
      <c r="CY68" s="201"/>
      <c r="CZ68" s="36"/>
      <c r="DA68" s="220"/>
      <c r="DB68" s="122"/>
      <c r="DC68" s="201"/>
      <c r="DD68" s="36"/>
      <c r="DG68" s="394"/>
      <c r="DH68" s="29">
        <f t="shared" si="142"/>
        <v>0</v>
      </c>
      <c r="DI68" s="31">
        <v>0</v>
      </c>
      <c r="DJ68" s="227">
        <f>DI68-DH68</f>
        <v>0</v>
      </c>
      <c r="DK68" s="227"/>
      <c r="DL68" s="247"/>
      <c r="DM68" s="35">
        <f t="shared" si="138"/>
        <v>0</v>
      </c>
    </row>
    <row r="69" spans="1:117" x14ac:dyDescent="0.25">
      <c r="A69" s="53"/>
      <c r="B69" s="52" t="s">
        <v>40</v>
      </c>
      <c r="C69" s="53"/>
      <c r="D69" s="51"/>
      <c r="E69" s="51"/>
      <c r="F69" s="338"/>
      <c r="G69" s="51"/>
      <c r="H69" s="54"/>
      <c r="I69" s="54"/>
      <c r="J69" s="53"/>
      <c r="K69" s="53"/>
      <c r="L69" s="55"/>
      <c r="M69" s="56"/>
      <c r="N69" s="56"/>
      <c r="O69" s="56"/>
      <c r="P69" s="243"/>
      <c r="Q69" s="230"/>
      <c r="R69" s="119">
        <f>SUM(R70:R75)</f>
        <v>0</v>
      </c>
      <c r="S69" s="120">
        <f>SUM(S70:S75)</f>
        <v>0</v>
      </c>
      <c r="T69" s="57"/>
      <c r="U69" s="219"/>
      <c r="V69" s="119">
        <f>SUM(V70:V75)</f>
        <v>0</v>
      </c>
      <c r="W69" s="120">
        <f>SUM(W70:W75)</f>
        <v>0</v>
      </c>
      <c r="X69" s="57"/>
      <c r="Y69" s="219"/>
      <c r="Z69" s="119">
        <f>SUM(Z70:Z75)</f>
        <v>92125</v>
      </c>
      <c r="AA69" s="120">
        <f>SUM(AA70:AA75)</f>
        <v>92125</v>
      </c>
      <c r="AB69" s="57"/>
      <c r="AC69" s="230"/>
      <c r="AD69" s="230"/>
      <c r="AE69" s="53"/>
      <c r="AF69" s="55"/>
      <c r="AG69" s="56"/>
      <c r="AH69" s="56"/>
      <c r="AI69" s="56"/>
      <c r="AJ69" s="243"/>
      <c r="AK69" s="230"/>
      <c r="AL69" s="119">
        <f>SUM(AL70:AL75)</f>
        <v>0</v>
      </c>
      <c r="AM69" s="120">
        <f>SUM(AM70:AM75)</f>
        <v>0</v>
      </c>
      <c r="AN69" s="57"/>
      <c r="AO69" s="219"/>
      <c r="AP69" s="119">
        <f>SUM(AP70:AP75)</f>
        <v>0</v>
      </c>
      <c r="AQ69" s="120">
        <f>SUM(AQ70:AQ75)</f>
        <v>0</v>
      </c>
      <c r="AR69" s="57"/>
      <c r="AS69" s="219"/>
      <c r="AT69" s="119">
        <f>SUM(AT70:AT75)</f>
        <v>326906</v>
      </c>
      <c r="AU69" s="120">
        <f>SUM(AU70:AU75)</f>
        <v>0</v>
      </c>
      <c r="AV69" s="57"/>
      <c r="AW69" s="230"/>
      <c r="AX69" s="230"/>
      <c r="AY69" s="53"/>
      <c r="AZ69" s="55"/>
      <c r="BA69" s="56"/>
      <c r="BB69" s="56"/>
      <c r="BC69" s="56"/>
      <c r="BD69" s="243"/>
      <c r="BE69" s="230"/>
      <c r="BF69" s="119">
        <f>SUM(BF70:BF75)</f>
        <v>0</v>
      </c>
      <c r="BG69" s="120">
        <f>SUM(BG70:BG75)</f>
        <v>0</v>
      </c>
      <c r="BH69" s="57"/>
      <c r="BI69" s="219"/>
      <c r="BJ69" s="119">
        <f>SUM(BJ70:BJ75)</f>
        <v>0</v>
      </c>
      <c r="BK69" s="120">
        <f>SUM(BK70:BK75)</f>
        <v>326906</v>
      </c>
      <c r="BL69" s="57"/>
      <c r="BM69" s="219"/>
      <c r="BN69" s="119">
        <f>SUM(BN70:BN75)</f>
        <v>0</v>
      </c>
      <c r="BO69" s="120">
        <f>SUM(BO70:BO75)</f>
        <v>0</v>
      </c>
      <c r="BP69" s="57"/>
      <c r="BQ69" s="230"/>
      <c r="BR69" s="230"/>
      <c r="BS69" s="53"/>
      <c r="BT69" s="55"/>
      <c r="BU69" s="56"/>
      <c r="BV69" s="56"/>
      <c r="BW69" s="56"/>
      <c r="BX69" s="243"/>
      <c r="BY69" s="230"/>
      <c r="BZ69" s="119">
        <f>SUM(BZ70:BZ75)</f>
        <v>66000</v>
      </c>
      <c r="CA69" s="120">
        <f>SUM(CA70:CA75)</f>
        <v>0</v>
      </c>
      <c r="CB69" s="57"/>
      <c r="CC69" s="219"/>
      <c r="CD69" s="119">
        <f>SUM(CD70:CD75)</f>
        <v>0</v>
      </c>
      <c r="CE69" s="120">
        <f>SUM(CE70:CE75)</f>
        <v>0</v>
      </c>
      <c r="CF69" s="57"/>
      <c r="CG69" s="219"/>
      <c r="CH69" s="119">
        <f>SUM(CH70:CH75)</f>
        <v>0</v>
      </c>
      <c r="CI69" s="120">
        <f>SUM(CI70:CI75)</f>
        <v>66000</v>
      </c>
      <c r="CJ69" s="57"/>
      <c r="CK69" s="230"/>
      <c r="CL69" s="230"/>
      <c r="CM69" s="53"/>
      <c r="CN69" s="55"/>
      <c r="CO69" s="56"/>
      <c r="CP69" s="56"/>
      <c r="CQ69" s="56"/>
      <c r="CR69" s="243"/>
      <c r="CS69" s="230"/>
      <c r="CT69" s="119">
        <f>SUM(CT70:CT75)</f>
        <v>0</v>
      </c>
      <c r="CU69" s="120">
        <f>SUM(CU70:CU75)</f>
        <v>0</v>
      </c>
      <c r="CV69" s="57"/>
      <c r="CW69" s="219"/>
      <c r="CX69" s="119">
        <f>SUM(CX70:CX75)</f>
        <v>0</v>
      </c>
      <c r="CY69" s="120">
        <f>SUM(CY70:CY75)</f>
        <v>0</v>
      </c>
      <c r="CZ69" s="57"/>
      <c r="DA69" s="219"/>
      <c r="DB69" s="119">
        <f>SUM(DB70:DB75)</f>
        <v>0</v>
      </c>
      <c r="DC69" s="120">
        <f>SUM(DC70:DC75)</f>
        <v>0</v>
      </c>
      <c r="DD69" s="57"/>
      <c r="DE69" s="230"/>
      <c r="DF69" s="230"/>
      <c r="DG69" s="53"/>
      <c r="DH69" s="55"/>
      <c r="DI69" s="56"/>
      <c r="DJ69" s="56"/>
      <c r="DK69" s="56"/>
      <c r="DL69" s="243"/>
      <c r="DM69" s="230"/>
    </row>
    <row r="70" spans="1:117" ht="30" x14ac:dyDescent="0.25">
      <c r="A70" s="18">
        <v>20245</v>
      </c>
      <c r="B70" s="15" t="s">
        <v>41</v>
      </c>
      <c r="C70" s="18"/>
      <c r="D70" s="15" t="s">
        <v>112</v>
      </c>
      <c r="E70" s="15"/>
      <c r="F70" s="568">
        <v>330</v>
      </c>
      <c r="G70" s="23" t="s">
        <v>649</v>
      </c>
      <c r="H70" s="25" t="s">
        <v>29</v>
      </c>
      <c r="I70" s="24"/>
      <c r="J70" s="534">
        <f t="shared" ref="J70:J75" si="143">SUM(M70,AG70,BA70,BU70)-L70</f>
        <v>-506</v>
      </c>
      <c r="K70" s="394">
        <f t="shared" si="8"/>
        <v>-1303</v>
      </c>
      <c r="L70" s="544">
        <v>1419</v>
      </c>
      <c r="M70" s="5">
        <f>300+116-300</f>
        <v>116</v>
      </c>
      <c r="N70" s="5">
        <f t="shared" ref="N70:N75" si="144">M70-L70</f>
        <v>-1303</v>
      </c>
      <c r="O70" s="256"/>
      <c r="P70" s="240">
        <f>4+40+2+70</f>
        <v>116</v>
      </c>
      <c r="Q70" s="231">
        <f t="shared" ref="Q70:Q75" si="145">L70+O70-P70</f>
        <v>1303</v>
      </c>
      <c r="R70" s="21"/>
      <c r="S70" s="199"/>
      <c r="T70" s="35"/>
      <c r="U70" s="612"/>
      <c r="V70" s="121"/>
      <c r="W70" s="6"/>
      <c r="X70" s="35"/>
      <c r="Y70" s="612"/>
      <c r="Z70" s="121"/>
      <c r="AA70" s="210"/>
      <c r="AB70" s="35"/>
      <c r="AC70" s="713"/>
      <c r="AD70" s="713"/>
      <c r="AE70" s="394">
        <f t="shared" ref="AE70:AE75" si="146">SUM(M70,AG70)-SUM(O70,AI70)-L70</f>
        <v>-1095</v>
      </c>
      <c r="AF70" s="29">
        <f t="shared" ref="AF70:AF75" si="147">Q70</f>
        <v>1303</v>
      </c>
      <c r="AG70" s="5">
        <f>300-300+456-456+208</f>
        <v>208</v>
      </c>
      <c r="AH70" s="5">
        <f t="shared" ref="AH70:AH75" si="148">AG70-AF70</f>
        <v>-1095</v>
      </c>
      <c r="AI70" s="258"/>
      <c r="AJ70" s="240">
        <f>16+16+56+25+70</f>
        <v>183</v>
      </c>
      <c r="AK70" s="231">
        <f t="shared" ref="AK70:AK75" si="149">AF70+AI70-AJ70</f>
        <v>1120</v>
      </c>
      <c r="AL70" s="21"/>
      <c r="AM70" s="210"/>
      <c r="AN70" s="35"/>
      <c r="AO70" s="612"/>
      <c r="AP70" s="121"/>
      <c r="AQ70" s="6"/>
      <c r="AR70" s="35"/>
      <c r="AS70" s="612"/>
      <c r="AT70" s="21">
        <v>99000</v>
      </c>
      <c r="AU70" s="6"/>
      <c r="AV70" s="35" t="s">
        <v>781</v>
      </c>
      <c r="AW70" s="713"/>
      <c r="AX70" s="713"/>
      <c r="AY70" s="394">
        <f t="shared" ref="AY70:AY75" si="150">SUM(M70,AG70,BA70)-SUM(O70,AI70,BC70)-L70</f>
        <v>-1606</v>
      </c>
      <c r="AZ70" s="29">
        <f t="shared" ref="AZ70:AZ75" si="151">AK70</f>
        <v>1120</v>
      </c>
      <c r="BA70" s="5">
        <f>500-500+409-409+89</f>
        <v>89</v>
      </c>
      <c r="BB70" s="5">
        <f t="shared" ref="BB70:BB75" si="152">BA70-AZ70</f>
        <v>-1031</v>
      </c>
      <c r="BC70" s="258">
        <v>600</v>
      </c>
      <c r="BD70" s="240">
        <f>5+84</f>
        <v>89</v>
      </c>
      <c r="BE70" s="231">
        <f t="shared" ref="BE70:BE75" si="153">AZ70+BC70-BD70</f>
        <v>1631</v>
      </c>
      <c r="BF70" s="21"/>
      <c r="BG70" s="21"/>
      <c r="BH70" s="35"/>
      <c r="BI70" s="612"/>
      <c r="BJ70" s="121"/>
      <c r="BK70" s="666">
        <v>99000</v>
      </c>
      <c r="BL70" s="664" t="s">
        <v>783</v>
      </c>
      <c r="BM70" s="773"/>
      <c r="BN70" s="21"/>
      <c r="BO70" s="6"/>
      <c r="BP70" s="257"/>
      <c r="BQ70" s="728"/>
      <c r="BR70" s="728"/>
      <c r="BS70" s="394">
        <f t="shared" ref="BS70:BS75" si="154">SUM(M70,AG70,BA70,BU70)-SUM(O70,AI70,BC70,BW70)-L70</f>
        <v>-1106</v>
      </c>
      <c r="BT70" s="29">
        <f t="shared" ref="BT70:BT75" si="155">BE70</f>
        <v>1631</v>
      </c>
      <c r="BU70" s="5">
        <v>500</v>
      </c>
      <c r="BV70" s="5">
        <f t="shared" ref="BV70:BV75" si="156">BU70-BT70</f>
        <v>-1131</v>
      </c>
      <c r="BW70" s="258"/>
      <c r="BX70" s="240">
        <f>110+3+40</f>
        <v>153</v>
      </c>
      <c r="BY70" s="231">
        <f t="shared" ref="BY70:BY75" si="157">BT70+BW70-BX70</f>
        <v>1478</v>
      </c>
      <c r="BZ70" s="21"/>
      <c r="CA70" s="6"/>
      <c r="CB70" s="257"/>
      <c r="CC70" s="730"/>
      <c r="CD70" s="121"/>
      <c r="CE70" s="6"/>
      <c r="CF70" s="257"/>
      <c r="CG70" s="730"/>
      <c r="CH70" s="21"/>
      <c r="CI70" s="6"/>
      <c r="CJ70" s="35"/>
      <c r="CK70" s="713"/>
      <c r="CL70" s="713"/>
      <c r="CM70" s="394">
        <f t="shared" ref="CM70:CM75" si="158">SUM(M70,AG70,BA70,BU70,CO70)-SUM(O70,AI70,BC70,BW70,CQ70)-L70</f>
        <v>-1106</v>
      </c>
      <c r="CN70" s="29">
        <f t="shared" ref="CN70:CN75" si="159">BY70</f>
        <v>1478</v>
      </c>
      <c r="CO70" s="240"/>
      <c r="CP70" s="5">
        <f t="shared" ref="CP70:CP75" si="160">CO70-CN70</f>
        <v>-1478</v>
      </c>
      <c r="CQ70" s="240"/>
      <c r="CR70" s="240"/>
      <c r="CS70" s="231">
        <f t="shared" ref="CS70:CS75" si="161">CN70+CQ70-CR70</f>
        <v>1478</v>
      </c>
      <c r="CT70" s="21"/>
      <c r="CU70" s="199"/>
      <c r="CV70" s="35"/>
      <c r="CW70" s="612"/>
      <c r="CX70" s="121"/>
      <c r="CY70" s="6"/>
      <c r="CZ70" s="35"/>
      <c r="DA70" s="612"/>
      <c r="DB70" s="21"/>
      <c r="DC70" s="6"/>
      <c r="DD70" s="35"/>
      <c r="DE70" s="713"/>
      <c r="DF70" s="713"/>
      <c r="DG70" s="394">
        <f t="shared" ref="DG70:DG75" si="162">SUM(M70,AG70,BA70,BU70,DI70)-SUM(O70,AI70,BC70,BW70,CQ70)-L70</f>
        <v>-1106</v>
      </c>
      <c r="DH70" s="29">
        <f>BY70</f>
        <v>1478</v>
      </c>
      <c r="DI70" s="240"/>
      <c r="DJ70" s="5">
        <f t="shared" ref="DJ70:DJ75" si="163">DI70-DH70</f>
        <v>-1478</v>
      </c>
      <c r="DK70" s="240"/>
      <c r="DL70" s="240"/>
      <c r="DM70" s="231">
        <f t="shared" ref="DM70:DM75" si="164">DH70+DK70-DL70</f>
        <v>1478</v>
      </c>
    </row>
    <row r="71" spans="1:117" ht="30" x14ac:dyDescent="0.25">
      <c r="A71" s="18">
        <v>20246</v>
      </c>
      <c r="B71" s="15" t="s">
        <v>42</v>
      </c>
      <c r="C71" s="18"/>
      <c r="D71" s="11" t="s">
        <v>18</v>
      </c>
      <c r="E71" s="11"/>
      <c r="F71" s="568">
        <v>184.25</v>
      </c>
      <c r="G71" s="23" t="s">
        <v>649</v>
      </c>
      <c r="H71" s="25" t="s">
        <v>29</v>
      </c>
      <c r="I71" s="24"/>
      <c r="J71" s="534">
        <f t="shared" si="143"/>
        <v>251</v>
      </c>
      <c r="K71" s="394">
        <f t="shared" si="8"/>
        <v>-4479</v>
      </c>
      <c r="L71" s="544">
        <v>3859</v>
      </c>
      <c r="M71" s="298">
        <f>M48+P71-M48</f>
        <v>380</v>
      </c>
      <c r="N71" s="5">
        <f t="shared" si="144"/>
        <v>-3479</v>
      </c>
      <c r="O71" s="258">
        <v>1000</v>
      </c>
      <c r="P71" s="240">
        <f>4+100+2+274</f>
        <v>380</v>
      </c>
      <c r="Q71" s="231">
        <f t="shared" si="145"/>
        <v>4479</v>
      </c>
      <c r="R71" s="236"/>
      <c r="S71" s="199"/>
      <c r="T71" s="216"/>
      <c r="U71" s="707"/>
      <c r="V71" s="121"/>
      <c r="W71" s="210"/>
      <c r="X71" s="216"/>
      <c r="Y71" s="707"/>
      <c r="Z71" s="581">
        <f>$F$71*50%*1000</f>
        <v>92125</v>
      </c>
      <c r="AA71" s="569">
        <f>$F$71*50%*1000</f>
        <v>92125</v>
      </c>
      <c r="AB71" s="211" t="s">
        <v>751</v>
      </c>
      <c r="AC71" s="733"/>
      <c r="AD71" s="733"/>
      <c r="AE71" s="394">
        <f t="shared" si="146"/>
        <v>-3694</v>
      </c>
      <c r="AF71" s="29">
        <f t="shared" si="147"/>
        <v>4479</v>
      </c>
      <c r="AG71" s="298">
        <f>AG48</f>
        <v>785</v>
      </c>
      <c r="AH71" s="5">
        <f t="shared" si="148"/>
        <v>-3694</v>
      </c>
      <c r="AI71" s="258"/>
      <c r="AJ71" s="240">
        <f>16+34+36+178+112+300+12</f>
        <v>688</v>
      </c>
      <c r="AK71" s="231">
        <f t="shared" si="149"/>
        <v>3791</v>
      </c>
      <c r="AL71" s="236"/>
      <c r="AM71" s="210"/>
      <c r="AN71" s="216"/>
      <c r="AO71" s="707"/>
      <c r="AP71" s="121"/>
      <c r="AQ71" s="210"/>
      <c r="AR71" s="35"/>
      <c r="AS71" s="612"/>
      <c r="AT71" s="21">
        <v>184250</v>
      </c>
      <c r="AU71" s="6"/>
      <c r="AV71" s="35" t="s">
        <v>782</v>
      </c>
      <c r="AW71" s="713"/>
      <c r="AX71" s="713"/>
      <c r="AY71" s="394">
        <f t="shared" si="150"/>
        <v>-5349</v>
      </c>
      <c r="AZ71" s="29">
        <f t="shared" si="151"/>
        <v>3791</v>
      </c>
      <c r="BA71" s="298">
        <f>BA48</f>
        <v>345</v>
      </c>
      <c r="BB71" s="5">
        <f t="shared" si="152"/>
        <v>-3446</v>
      </c>
      <c r="BC71" s="258">
        <v>2000</v>
      </c>
      <c r="BD71" s="240">
        <f>5+84+6+100+200</f>
        <v>395</v>
      </c>
      <c r="BE71" s="231">
        <f t="shared" si="153"/>
        <v>5396</v>
      </c>
      <c r="BF71" s="236"/>
      <c r="BG71" s="21"/>
      <c r="BH71" s="35"/>
      <c r="BI71" s="612"/>
      <c r="BJ71" s="236"/>
      <c r="BK71" s="666">
        <v>184250</v>
      </c>
      <c r="BL71" s="664" t="s">
        <v>784</v>
      </c>
      <c r="BM71" s="773"/>
      <c r="BN71" s="236"/>
      <c r="BO71" s="6"/>
      <c r="BP71" s="257"/>
      <c r="BQ71" s="728"/>
      <c r="BR71" s="728"/>
      <c r="BS71" s="394">
        <f t="shared" si="154"/>
        <v>-2749</v>
      </c>
      <c r="BT71" s="29">
        <f t="shared" si="155"/>
        <v>5396</v>
      </c>
      <c r="BU71" s="298">
        <f>BU48</f>
        <v>2600</v>
      </c>
      <c r="BV71" s="5">
        <f t="shared" si="156"/>
        <v>-2796</v>
      </c>
      <c r="BW71" s="7"/>
      <c r="BX71" s="240">
        <f>100+300+1120+514+300</f>
        <v>2334</v>
      </c>
      <c r="BY71" s="231">
        <f t="shared" si="157"/>
        <v>3062</v>
      </c>
      <c r="BZ71" s="236"/>
      <c r="CA71" s="6"/>
      <c r="CB71" s="257"/>
      <c r="CC71" s="730"/>
      <c r="CD71" s="121"/>
      <c r="CE71" s="6"/>
      <c r="CF71" s="35"/>
      <c r="CG71" s="612"/>
      <c r="CH71" s="121"/>
      <c r="CI71" s="210"/>
      <c r="CJ71" s="211"/>
      <c r="CK71" s="733"/>
      <c r="CL71" s="733"/>
      <c r="CM71" s="394">
        <f t="shared" si="158"/>
        <v>-2679</v>
      </c>
      <c r="CN71" s="29">
        <f t="shared" si="159"/>
        <v>3062</v>
      </c>
      <c r="CO71" s="303">
        <f>CO48</f>
        <v>70</v>
      </c>
      <c r="CP71" s="5">
        <f t="shared" si="160"/>
        <v>-2992</v>
      </c>
      <c r="CQ71" s="240"/>
      <c r="CR71" s="240"/>
      <c r="CS71" s="231">
        <f t="shared" si="161"/>
        <v>3062</v>
      </c>
      <c r="CT71" s="236"/>
      <c r="CU71" s="199"/>
      <c r="CV71" s="35"/>
      <c r="CW71" s="612"/>
      <c r="CX71" s="121"/>
      <c r="CY71" s="6"/>
      <c r="CZ71" s="35"/>
      <c r="DA71" s="612"/>
      <c r="DB71" s="21"/>
      <c r="DC71" s="6"/>
      <c r="DD71" s="35"/>
      <c r="DE71" s="713"/>
      <c r="DF71" s="713"/>
      <c r="DG71" s="394">
        <f t="shared" si="162"/>
        <v>-2749</v>
      </c>
      <c r="DH71" s="29">
        <f t="shared" ref="DH71:DH75" si="165">BY71</f>
        <v>3062</v>
      </c>
      <c r="DI71" s="303">
        <f>DI48</f>
        <v>0</v>
      </c>
      <c r="DJ71" s="5">
        <f t="shared" si="163"/>
        <v>-3062</v>
      </c>
      <c r="DK71" s="240"/>
      <c r="DL71" s="240"/>
      <c r="DM71" s="231">
        <f t="shared" si="164"/>
        <v>3062</v>
      </c>
    </row>
    <row r="72" spans="1:117" x14ac:dyDescent="0.25">
      <c r="A72" s="18">
        <v>20248</v>
      </c>
      <c r="B72" s="15" t="s">
        <v>43</v>
      </c>
      <c r="C72" s="18"/>
      <c r="D72" s="11" t="s">
        <v>18</v>
      </c>
      <c r="E72" s="11"/>
      <c r="F72" s="568">
        <v>132</v>
      </c>
      <c r="G72" s="23" t="s">
        <v>649</v>
      </c>
      <c r="H72" s="25" t="s">
        <v>29</v>
      </c>
      <c r="I72" s="24"/>
      <c r="J72" s="534">
        <f t="shared" si="143"/>
        <v>-854</v>
      </c>
      <c r="K72" s="394">
        <f t="shared" si="8"/>
        <v>-1446</v>
      </c>
      <c r="L72" s="544">
        <f>1661</f>
        <v>1661</v>
      </c>
      <c r="M72" s="5">
        <f>200+215-200</f>
        <v>215</v>
      </c>
      <c r="N72" s="5">
        <f t="shared" si="144"/>
        <v>-1446</v>
      </c>
      <c r="O72" s="256"/>
      <c r="P72" s="240">
        <f>6+18+2+60+10+99+20</f>
        <v>215</v>
      </c>
      <c r="Q72" s="231">
        <f t="shared" si="145"/>
        <v>1446</v>
      </c>
      <c r="R72" s="235"/>
      <c r="S72" s="210"/>
      <c r="T72" s="216"/>
      <c r="U72" s="707"/>
      <c r="V72" s="235"/>
      <c r="W72" s="210"/>
      <c r="X72" s="216"/>
      <c r="Y72" s="707"/>
      <c r="Z72" s="21"/>
      <c r="AA72" s="210"/>
      <c r="AB72" s="35"/>
      <c r="AC72" s="713"/>
      <c r="AD72" s="713"/>
      <c r="AE72" s="394">
        <f t="shared" si="146"/>
        <v>-1104</v>
      </c>
      <c r="AF72" s="29">
        <f t="shared" si="147"/>
        <v>1446</v>
      </c>
      <c r="AG72" s="5">
        <f>200-200+686-686+342</f>
        <v>342</v>
      </c>
      <c r="AH72" s="5">
        <f t="shared" si="148"/>
        <v>-1104</v>
      </c>
      <c r="AI72" s="258"/>
      <c r="AJ72" s="240">
        <f>20+86+53+130</f>
        <v>289</v>
      </c>
      <c r="AK72" s="231">
        <f t="shared" si="149"/>
        <v>1157</v>
      </c>
      <c r="AL72" s="236"/>
      <c r="AM72" s="210"/>
      <c r="AN72" s="35"/>
      <c r="AO72" s="612"/>
      <c r="AP72" s="235"/>
      <c r="AQ72" s="210"/>
      <c r="AR72" s="35"/>
      <c r="AS72" s="612"/>
      <c r="AT72" s="21">
        <v>43656</v>
      </c>
      <c r="AU72" s="6"/>
      <c r="AV72" s="35" t="s">
        <v>781</v>
      </c>
      <c r="AW72" s="713"/>
      <c r="AX72" s="713"/>
      <c r="AY72" s="394">
        <f t="shared" si="150"/>
        <v>-1704</v>
      </c>
      <c r="AZ72" s="29">
        <f t="shared" si="151"/>
        <v>1157</v>
      </c>
      <c r="BA72" s="5">
        <f>250-250+476-476</f>
        <v>0</v>
      </c>
      <c r="BB72" s="5">
        <f t="shared" si="152"/>
        <v>-1157</v>
      </c>
      <c r="BC72" s="258">
        <v>600</v>
      </c>
      <c r="BD72" s="240"/>
      <c r="BE72" s="231">
        <f t="shared" si="153"/>
        <v>1757</v>
      </c>
      <c r="BF72" s="236"/>
      <c r="BG72" s="21"/>
      <c r="BH72" s="35"/>
      <c r="BI72" s="612"/>
      <c r="BJ72" s="236"/>
      <c r="BK72" s="666">
        <v>43656</v>
      </c>
      <c r="BL72" s="664" t="s">
        <v>783</v>
      </c>
      <c r="BM72" s="773"/>
      <c r="BN72" s="236"/>
      <c r="BO72" s="6"/>
      <c r="BP72" s="35"/>
      <c r="BQ72" s="713"/>
      <c r="BR72" s="713"/>
      <c r="BS72" s="394">
        <f t="shared" si="154"/>
        <v>-2454</v>
      </c>
      <c r="BT72" s="29">
        <f t="shared" si="155"/>
        <v>1757</v>
      </c>
      <c r="BU72" s="5">
        <v>250</v>
      </c>
      <c r="BV72" s="5">
        <f t="shared" si="156"/>
        <v>-1507</v>
      </c>
      <c r="BW72" s="621">
        <v>1000</v>
      </c>
      <c r="BX72" s="240">
        <f>150+560+206</f>
        <v>916</v>
      </c>
      <c r="BY72" s="231">
        <f t="shared" si="157"/>
        <v>1841</v>
      </c>
      <c r="BZ72" s="666">
        <v>66000</v>
      </c>
      <c r="CA72" s="663"/>
      <c r="CB72" s="664" t="s">
        <v>846</v>
      </c>
      <c r="CC72" s="773"/>
      <c r="CD72" s="121"/>
      <c r="CE72" s="6"/>
      <c r="CF72" s="35"/>
      <c r="CG72" s="612"/>
      <c r="CH72" s="21"/>
      <c r="CI72" s="629">
        <v>66000</v>
      </c>
      <c r="CJ72" s="625" t="s">
        <v>847</v>
      </c>
      <c r="CK72" s="782"/>
      <c r="CL72" s="782"/>
      <c r="CM72" s="394">
        <f t="shared" si="158"/>
        <v>-2454</v>
      </c>
      <c r="CN72" s="29">
        <f t="shared" si="159"/>
        <v>1841</v>
      </c>
      <c r="CO72" s="240"/>
      <c r="CP72" s="5">
        <f t="shared" si="160"/>
        <v>-1841</v>
      </c>
      <c r="CQ72" s="240"/>
      <c r="CR72" s="240"/>
      <c r="CS72" s="231">
        <f t="shared" si="161"/>
        <v>1841</v>
      </c>
      <c r="CT72" s="235"/>
      <c r="CU72" s="210"/>
      <c r="CV72" s="35"/>
      <c r="CW72" s="612"/>
      <c r="CX72" s="121"/>
      <c r="CY72" s="6"/>
      <c r="CZ72" s="35"/>
      <c r="DA72" s="612"/>
      <c r="DB72" s="21"/>
      <c r="DC72" s="6"/>
      <c r="DD72" s="35"/>
      <c r="DE72" s="713"/>
      <c r="DF72" s="713"/>
      <c r="DG72" s="394">
        <f t="shared" si="162"/>
        <v>-2454</v>
      </c>
      <c r="DH72" s="29">
        <f t="shared" si="165"/>
        <v>1841</v>
      </c>
      <c r="DI72" s="240"/>
      <c r="DJ72" s="5">
        <f t="shared" si="163"/>
        <v>-1841</v>
      </c>
      <c r="DK72" s="256"/>
      <c r="DL72" s="240"/>
      <c r="DM72" s="231">
        <f t="shared" si="164"/>
        <v>1841</v>
      </c>
    </row>
    <row r="73" spans="1:117" x14ac:dyDescent="0.25">
      <c r="A73" s="18">
        <v>20247</v>
      </c>
      <c r="B73" s="15" t="s">
        <v>44</v>
      </c>
      <c r="C73" s="18"/>
      <c r="D73" s="11" t="s">
        <v>18</v>
      </c>
      <c r="E73" s="11"/>
      <c r="F73" s="149">
        <v>116.8</v>
      </c>
      <c r="G73" s="23" t="s">
        <v>649</v>
      </c>
      <c r="H73" s="25" t="s">
        <v>29</v>
      </c>
      <c r="I73" s="24"/>
      <c r="J73" s="534">
        <f t="shared" si="143"/>
        <v>-2653</v>
      </c>
      <c r="K73" s="394">
        <f t="shared" si="8"/>
        <v>-3907</v>
      </c>
      <c r="L73" s="544">
        <f>4032</f>
        <v>4032</v>
      </c>
      <c r="M73" s="5">
        <f>650+125-650</f>
        <v>125</v>
      </c>
      <c r="N73" s="5">
        <f t="shared" si="144"/>
        <v>-3907</v>
      </c>
      <c r="O73" s="258"/>
      <c r="P73" s="240">
        <f>10+10+105</f>
        <v>125</v>
      </c>
      <c r="Q73" s="231">
        <f t="shared" si="145"/>
        <v>3907</v>
      </c>
      <c r="R73" s="21"/>
      <c r="S73" s="210"/>
      <c r="T73" s="216"/>
      <c r="U73" s="707"/>
      <c r="V73" s="21"/>
      <c r="W73" s="210"/>
      <c r="X73" s="216"/>
      <c r="Y73" s="707"/>
      <c r="Z73" s="21"/>
      <c r="AA73" s="210"/>
      <c r="AB73" s="216"/>
      <c r="AC73" s="716"/>
      <c r="AD73" s="716"/>
      <c r="AE73" s="394">
        <f t="shared" si="146"/>
        <v>-3703</v>
      </c>
      <c r="AF73" s="29">
        <f t="shared" si="147"/>
        <v>3907</v>
      </c>
      <c r="AG73" s="5">
        <f>650-650+276-276+204</f>
        <v>204</v>
      </c>
      <c r="AH73" s="5">
        <f t="shared" si="148"/>
        <v>-3703</v>
      </c>
      <c r="AI73" s="256"/>
      <c r="AJ73" s="240">
        <f>36+34+100</f>
        <v>170</v>
      </c>
      <c r="AK73" s="231">
        <f t="shared" si="149"/>
        <v>3737</v>
      </c>
      <c r="AL73" s="236"/>
      <c r="AM73" s="210"/>
      <c r="AN73" s="35"/>
      <c r="AO73" s="612"/>
      <c r="AP73" s="121"/>
      <c r="AQ73" s="6"/>
      <c r="AR73" s="35"/>
      <c r="AS73" s="612"/>
      <c r="AT73" s="527"/>
      <c r="AU73" s="6"/>
      <c r="AV73" s="35"/>
      <c r="AW73" s="713"/>
      <c r="AX73" s="713"/>
      <c r="AY73" s="394">
        <f t="shared" si="150"/>
        <v>-3603</v>
      </c>
      <c r="AZ73" s="29">
        <f t="shared" si="151"/>
        <v>3737</v>
      </c>
      <c r="BA73" s="5">
        <f>950-950+413-413+100</f>
        <v>100</v>
      </c>
      <c r="BB73" s="5">
        <f t="shared" si="152"/>
        <v>-3637</v>
      </c>
      <c r="BC73" s="256"/>
      <c r="BD73" s="240">
        <f>100</f>
        <v>100</v>
      </c>
      <c r="BE73" s="231">
        <f t="shared" si="153"/>
        <v>3637</v>
      </c>
      <c r="BF73" s="21"/>
      <c r="BG73" s="6"/>
      <c r="BH73" s="257"/>
      <c r="BI73" s="730"/>
      <c r="BJ73" s="21"/>
      <c r="BK73" s="6"/>
      <c r="BL73" s="257"/>
      <c r="BM73" s="730"/>
      <c r="BN73" s="21"/>
      <c r="BO73" s="6"/>
      <c r="BP73" s="257"/>
      <c r="BQ73" s="728"/>
      <c r="BR73" s="728"/>
      <c r="BS73" s="394">
        <f t="shared" si="154"/>
        <v>-2653</v>
      </c>
      <c r="BT73" s="29">
        <f t="shared" si="155"/>
        <v>3637</v>
      </c>
      <c r="BU73" s="5">
        <v>950</v>
      </c>
      <c r="BV73" s="5">
        <f t="shared" si="156"/>
        <v>-2687</v>
      </c>
      <c r="BW73" s="7"/>
      <c r="BX73" s="240">
        <f>150+560+198+300</f>
        <v>1208</v>
      </c>
      <c r="BY73" s="231">
        <f t="shared" si="157"/>
        <v>2429</v>
      </c>
      <c r="BZ73" s="236"/>
      <c r="CA73" s="6"/>
      <c r="CB73" s="257"/>
      <c r="CC73" s="730"/>
      <c r="CD73" s="121"/>
      <c r="CE73" s="6"/>
      <c r="CF73" s="35"/>
      <c r="CG73" s="612"/>
      <c r="CH73" s="121"/>
      <c r="CI73" s="210"/>
      <c r="CJ73" s="211"/>
      <c r="CK73" s="733"/>
      <c r="CL73" s="733"/>
      <c r="CM73" s="394">
        <f t="shared" si="158"/>
        <v>-2653</v>
      </c>
      <c r="CN73" s="29">
        <f t="shared" si="159"/>
        <v>2429</v>
      </c>
      <c r="CO73" s="240"/>
      <c r="CP73" s="5">
        <f t="shared" si="160"/>
        <v>-2429</v>
      </c>
      <c r="CQ73" s="240"/>
      <c r="CR73" s="240"/>
      <c r="CS73" s="231">
        <f t="shared" si="161"/>
        <v>2429</v>
      </c>
      <c r="CT73" s="21"/>
      <c r="CU73" s="210"/>
      <c r="CV73" s="35"/>
      <c r="CW73" s="612"/>
      <c r="CX73" s="121"/>
      <c r="CY73" s="6"/>
      <c r="CZ73" s="35"/>
      <c r="DA73" s="612"/>
      <c r="DB73" s="21"/>
      <c r="DC73" s="6"/>
      <c r="DD73" s="35"/>
      <c r="DE73" s="713"/>
      <c r="DF73" s="713"/>
      <c r="DG73" s="394">
        <f t="shared" si="162"/>
        <v>-2653</v>
      </c>
      <c r="DH73" s="29">
        <f t="shared" si="165"/>
        <v>2429</v>
      </c>
      <c r="DI73" s="240"/>
      <c r="DJ73" s="5">
        <f t="shared" si="163"/>
        <v>-2429</v>
      </c>
      <c r="DK73" s="256"/>
      <c r="DL73" s="240"/>
      <c r="DM73" s="231">
        <f t="shared" si="164"/>
        <v>2429</v>
      </c>
    </row>
    <row r="74" spans="1:117" ht="30" x14ac:dyDescent="0.25">
      <c r="A74" s="18"/>
      <c r="B74" s="15" t="s">
        <v>45</v>
      </c>
      <c r="C74" s="18"/>
      <c r="D74" s="11" t="s">
        <v>18</v>
      </c>
      <c r="E74" s="11"/>
      <c r="F74" s="561"/>
      <c r="G74" s="381" t="s">
        <v>331</v>
      </c>
      <c r="H74" s="25" t="s">
        <v>47</v>
      </c>
      <c r="I74" s="24"/>
      <c r="J74" s="534">
        <f t="shared" si="143"/>
        <v>-19</v>
      </c>
      <c r="K74" s="394">
        <f t="shared" si="8"/>
        <v>-19</v>
      </c>
      <c r="L74" s="544">
        <v>19</v>
      </c>
      <c r="M74" s="5"/>
      <c r="N74" s="5">
        <f t="shared" si="144"/>
        <v>-19</v>
      </c>
      <c r="O74" s="256"/>
      <c r="P74" s="240"/>
      <c r="Q74" s="231">
        <f t="shared" si="145"/>
        <v>19</v>
      </c>
      <c r="R74" s="235"/>
      <c r="S74" s="199"/>
      <c r="T74" s="148"/>
      <c r="U74" s="711"/>
      <c r="V74" s="121"/>
      <c r="W74" s="6"/>
      <c r="X74" s="35"/>
      <c r="Y74" s="612"/>
      <c r="Z74" s="21"/>
      <c r="AA74" s="6"/>
      <c r="AB74" s="35"/>
      <c r="AC74" s="713"/>
      <c r="AD74" s="713"/>
      <c r="AE74" s="394">
        <f t="shared" si="146"/>
        <v>-19</v>
      </c>
      <c r="AF74" s="29">
        <f t="shared" si="147"/>
        <v>19</v>
      </c>
      <c r="AG74" s="5">
        <v>0</v>
      </c>
      <c r="AH74" s="5">
        <f t="shared" si="148"/>
        <v>-19</v>
      </c>
      <c r="AI74" s="256"/>
      <c r="AJ74" s="240"/>
      <c r="AK74" s="231">
        <f t="shared" si="149"/>
        <v>19</v>
      </c>
      <c r="AL74" s="235"/>
      <c r="AM74" s="199"/>
      <c r="AN74" s="148"/>
      <c r="AO74" s="711"/>
      <c r="AP74" s="121"/>
      <c r="AQ74" s="6"/>
      <c r="AR74" s="35"/>
      <c r="AS74" s="612"/>
      <c r="AT74" s="21"/>
      <c r="AU74" s="6"/>
      <c r="AV74" s="35"/>
      <c r="AW74" s="713"/>
      <c r="AX74" s="713"/>
      <c r="AY74" s="394">
        <f t="shared" si="150"/>
        <v>-19</v>
      </c>
      <c r="AZ74" s="29">
        <f t="shared" si="151"/>
        <v>19</v>
      </c>
      <c r="BA74" s="5">
        <v>0</v>
      </c>
      <c r="BB74" s="5">
        <f t="shared" si="152"/>
        <v>-19</v>
      </c>
      <c r="BC74" s="256"/>
      <c r="BD74" s="240"/>
      <c r="BE74" s="231">
        <f t="shared" si="153"/>
        <v>19</v>
      </c>
      <c r="BF74" s="235"/>
      <c r="BG74" s="199"/>
      <c r="BH74" s="148"/>
      <c r="BI74" s="711"/>
      <c r="BJ74" s="121"/>
      <c r="BK74" s="6"/>
      <c r="BL74" s="35"/>
      <c r="BM74" s="612"/>
      <c r="BN74" s="21"/>
      <c r="BO74" s="6"/>
      <c r="BP74" s="35"/>
      <c r="BQ74" s="713"/>
      <c r="BR74" s="713"/>
      <c r="BS74" s="394">
        <f t="shared" si="154"/>
        <v>-19</v>
      </c>
      <c r="BT74" s="29">
        <f t="shared" si="155"/>
        <v>19</v>
      </c>
      <c r="BU74" s="5">
        <v>0</v>
      </c>
      <c r="BV74" s="5">
        <f t="shared" si="156"/>
        <v>-19</v>
      </c>
      <c r="BW74" s="256"/>
      <c r="BX74" s="240"/>
      <c r="BY74" s="231">
        <f t="shared" si="157"/>
        <v>19</v>
      </c>
      <c r="BZ74" s="235"/>
      <c r="CA74" s="199"/>
      <c r="CB74" s="148"/>
      <c r="CC74" s="711"/>
      <c r="CD74" s="121"/>
      <c r="CE74" s="6"/>
      <c r="CF74" s="35"/>
      <c r="CG74" s="612"/>
      <c r="CH74" s="21"/>
      <c r="CI74" s="6"/>
      <c r="CJ74" s="35"/>
      <c r="CK74" s="713"/>
      <c r="CL74" s="713"/>
      <c r="CM74" s="394">
        <f t="shared" si="158"/>
        <v>-19</v>
      </c>
      <c r="CN74" s="29">
        <f t="shared" si="159"/>
        <v>19</v>
      </c>
      <c r="CO74" s="5">
        <v>0</v>
      </c>
      <c r="CP74" s="5">
        <f t="shared" si="160"/>
        <v>-19</v>
      </c>
      <c r="CQ74" s="240"/>
      <c r="CR74" s="240"/>
      <c r="CS74" s="231">
        <f t="shared" si="161"/>
        <v>19</v>
      </c>
      <c r="CT74" s="235"/>
      <c r="CU74" s="199"/>
      <c r="CV74" s="148"/>
      <c r="CW74" s="711"/>
      <c r="CX74" s="121"/>
      <c r="CY74" s="6"/>
      <c r="CZ74" s="35"/>
      <c r="DA74" s="612"/>
      <c r="DB74" s="21"/>
      <c r="DC74" s="6"/>
      <c r="DD74" s="35"/>
      <c r="DE74" s="713"/>
      <c r="DF74" s="713"/>
      <c r="DG74" s="394">
        <f t="shared" si="162"/>
        <v>-19</v>
      </c>
      <c r="DH74" s="29">
        <f t="shared" si="165"/>
        <v>19</v>
      </c>
      <c r="DI74" s="5">
        <v>0</v>
      </c>
      <c r="DJ74" s="5">
        <f t="shared" si="163"/>
        <v>-19</v>
      </c>
      <c r="DK74" s="240"/>
      <c r="DL74" s="240"/>
      <c r="DM74" s="231">
        <f t="shared" si="164"/>
        <v>19</v>
      </c>
    </row>
    <row r="75" spans="1:117" ht="30.75" thickBot="1" x14ac:dyDescent="0.3">
      <c r="A75" s="19"/>
      <c r="B75" s="60" t="s">
        <v>46</v>
      </c>
      <c r="C75" s="19"/>
      <c r="D75" s="12" t="s">
        <v>18</v>
      </c>
      <c r="E75" s="12"/>
      <c r="F75" s="560"/>
      <c r="G75" s="92" t="s">
        <v>331</v>
      </c>
      <c r="H75" s="28" t="s">
        <v>47</v>
      </c>
      <c r="I75" s="311"/>
      <c r="J75" s="533">
        <f t="shared" si="143"/>
        <v>-282</v>
      </c>
      <c r="K75" s="394">
        <f t="shared" si="8"/>
        <v>-282</v>
      </c>
      <c r="L75" s="545">
        <v>282</v>
      </c>
      <c r="M75" s="31"/>
      <c r="N75" s="31">
        <f t="shared" si="144"/>
        <v>-282</v>
      </c>
      <c r="O75" s="443"/>
      <c r="P75" s="241"/>
      <c r="Q75" s="231">
        <f t="shared" si="145"/>
        <v>282</v>
      </c>
      <c r="R75" s="272"/>
      <c r="S75" s="217"/>
      <c r="T75" s="273"/>
      <c r="U75" s="714"/>
      <c r="V75" s="200"/>
      <c r="W75" s="201"/>
      <c r="X75" s="36"/>
      <c r="Y75" s="220"/>
      <c r="Z75" s="122"/>
      <c r="AA75" s="201"/>
      <c r="AB75" s="36"/>
      <c r="AE75" s="394">
        <f t="shared" si="146"/>
        <v>-282</v>
      </c>
      <c r="AF75" s="29">
        <f t="shared" si="147"/>
        <v>282</v>
      </c>
      <c r="AG75" s="31">
        <v>0</v>
      </c>
      <c r="AH75" s="31">
        <f t="shared" si="148"/>
        <v>-282</v>
      </c>
      <c r="AI75" s="443"/>
      <c r="AJ75" s="241"/>
      <c r="AK75" s="231">
        <f t="shared" si="149"/>
        <v>282</v>
      </c>
      <c r="AL75" s="272"/>
      <c r="AM75" s="217"/>
      <c r="AN75" s="273"/>
      <c r="AO75" s="714"/>
      <c r="AP75" s="200"/>
      <c r="AQ75" s="201"/>
      <c r="AR75" s="36"/>
      <c r="AS75" s="220"/>
      <c r="AT75" s="122"/>
      <c r="AU75" s="201"/>
      <c r="AV75" s="36"/>
      <c r="AY75" s="394">
        <f t="shared" si="150"/>
        <v>-282</v>
      </c>
      <c r="AZ75" s="29">
        <f t="shared" si="151"/>
        <v>282</v>
      </c>
      <c r="BA75" s="31">
        <v>0</v>
      </c>
      <c r="BB75" s="31">
        <f t="shared" si="152"/>
        <v>-282</v>
      </c>
      <c r="BC75" s="443"/>
      <c r="BD75" s="241"/>
      <c r="BE75" s="231">
        <f t="shared" si="153"/>
        <v>282</v>
      </c>
      <c r="BF75" s="272"/>
      <c r="BG75" s="217"/>
      <c r="BH75" s="273"/>
      <c r="BI75" s="714"/>
      <c r="BJ75" s="200"/>
      <c r="BK75" s="201"/>
      <c r="BL75" s="36"/>
      <c r="BM75" s="220"/>
      <c r="BN75" s="122"/>
      <c r="BO75" s="201"/>
      <c r="BP75" s="36"/>
      <c r="BS75" s="394">
        <f t="shared" si="154"/>
        <v>-282</v>
      </c>
      <c r="BT75" s="29">
        <f t="shared" si="155"/>
        <v>282</v>
      </c>
      <c r="BU75" s="31">
        <v>0</v>
      </c>
      <c r="BV75" s="31">
        <f t="shared" si="156"/>
        <v>-282</v>
      </c>
      <c r="BW75" s="443"/>
      <c r="BX75" s="241"/>
      <c r="BY75" s="231">
        <f t="shared" si="157"/>
        <v>282</v>
      </c>
      <c r="BZ75" s="272"/>
      <c r="CA75" s="217"/>
      <c r="CB75" s="273"/>
      <c r="CC75" s="714"/>
      <c r="CD75" s="200"/>
      <c r="CE75" s="201"/>
      <c r="CF75" s="36"/>
      <c r="CG75" s="220"/>
      <c r="CH75" s="122"/>
      <c r="CI75" s="201"/>
      <c r="CJ75" s="36"/>
      <c r="CM75" s="394">
        <f t="shared" si="158"/>
        <v>-282</v>
      </c>
      <c r="CN75" s="29">
        <f t="shared" si="159"/>
        <v>282</v>
      </c>
      <c r="CO75" s="31">
        <v>0</v>
      </c>
      <c r="CP75" s="31">
        <f t="shared" si="160"/>
        <v>-282</v>
      </c>
      <c r="CQ75" s="247"/>
      <c r="CR75" s="241"/>
      <c r="CS75" s="231">
        <f t="shared" si="161"/>
        <v>282</v>
      </c>
      <c r="CT75" s="272"/>
      <c r="CU75" s="217"/>
      <c r="CV75" s="273"/>
      <c r="CW75" s="714"/>
      <c r="CX75" s="200"/>
      <c r="CY75" s="201"/>
      <c r="CZ75" s="36"/>
      <c r="DA75" s="220"/>
      <c r="DB75" s="122"/>
      <c r="DC75" s="201"/>
      <c r="DD75" s="36"/>
      <c r="DG75" s="394">
        <f t="shared" si="162"/>
        <v>-282</v>
      </c>
      <c r="DH75" s="29">
        <f t="shared" si="165"/>
        <v>282</v>
      </c>
      <c r="DI75" s="31">
        <v>0</v>
      </c>
      <c r="DJ75" s="31">
        <f t="shared" si="163"/>
        <v>-282</v>
      </c>
      <c r="DK75" s="247"/>
      <c r="DL75" s="241"/>
      <c r="DM75" s="231">
        <f t="shared" si="164"/>
        <v>282</v>
      </c>
    </row>
    <row r="76" spans="1:117" x14ac:dyDescent="0.25">
      <c r="A76" s="84"/>
      <c r="B76" s="89" t="s">
        <v>363</v>
      </c>
      <c r="C76" s="84"/>
      <c r="D76" s="83"/>
      <c r="E76" s="83"/>
      <c r="F76" s="339"/>
      <c r="G76" s="83"/>
      <c r="H76" s="85"/>
      <c r="I76" s="85"/>
      <c r="J76" s="84"/>
      <c r="K76" s="84"/>
      <c r="L76" s="86"/>
      <c r="M76" s="87"/>
      <c r="N76" s="87"/>
      <c r="O76" s="87"/>
      <c r="P76" s="252"/>
      <c r="Q76" s="238"/>
      <c r="R76" s="135">
        <f>SUM(R78:R79)</f>
        <v>0</v>
      </c>
      <c r="S76" s="136">
        <f>SUM(S78:S79)</f>
        <v>0</v>
      </c>
      <c r="T76" s="88"/>
      <c r="U76" s="223"/>
      <c r="V76" s="135">
        <f>SUM(V78:V79)</f>
        <v>0</v>
      </c>
      <c r="W76" s="136">
        <f>SUM(W78:W79)</f>
        <v>0</v>
      </c>
      <c r="X76" s="88"/>
      <c r="Y76" s="223"/>
      <c r="Z76" s="135">
        <f>SUM(Z78:Z79)</f>
        <v>0</v>
      </c>
      <c r="AA76" s="136">
        <f>SUM(AA78:AA79)</f>
        <v>0</v>
      </c>
      <c r="AB76" s="88"/>
      <c r="AC76" s="238"/>
      <c r="AD76" s="238"/>
      <c r="AE76" s="84"/>
      <c r="AF76" s="86"/>
      <c r="AG76" s="87"/>
      <c r="AH76" s="87"/>
      <c r="AI76" s="87"/>
      <c r="AJ76" s="252"/>
      <c r="AK76" s="238"/>
      <c r="AL76" s="135">
        <f>SUM(AL78:AL79)</f>
        <v>0</v>
      </c>
      <c r="AM76" s="136">
        <f>SUM(AM78:AM79)</f>
        <v>0</v>
      </c>
      <c r="AN76" s="88"/>
      <c r="AO76" s="223"/>
      <c r="AP76" s="135">
        <f>SUM(AP78:AP79)</f>
        <v>0</v>
      </c>
      <c r="AQ76" s="136">
        <f>SUM(AQ78:AQ79)</f>
        <v>0</v>
      </c>
      <c r="AR76" s="88"/>
      <c r="AS76" s="223"/>
      <c r="AT76" s="135">
        <f>SUM(AT78:AT79)</f>
        <v>0</v>
      </c>
      <c r="AU76" s="136">
        <f>SUM(AU78:AU79)</f>
        <v>0</v>
      </c>
      <c r="AV76" s="88"/>
      <c r="AW76" s="238"/>
      <c r="AX76" s="238"/>
      <c r="AY76" s="84"/>
      <c r="AZ76" s="86"/>
      <c r="BA76" s="87"/>
      <c r="BB76" s="87"/>
      <c r="BC76" s="87"/>
      <c r="BD76" s="252"/>
      <c r="BE76" s="238"/>
      <c r="BF76" s="135">
        <f>SUM(BF78:BF79)</f>
        <v>0</v>
      </c>
      <c r="BG76" s="136">
        <f>SUM(BG78:BG79)</f>
        <v>0</v>
      </c>
      <c r="BH76" s="88"/>
      <c r="BI76" s="223"/>
      <c r="BJ76" s="135">
        <f>SUM(BJ78:BJ79)</f>
        <v>0</v>
      </c>
      <c r="BK76" s="136">
        <f>SUM(BK78:BK79)</f>
        <v>0</v>
      </c>
      <c r="BL76" s="88"/>
      <c r="BM76" s="223"/>
      <c r="BN76" s="135">
        <f>SUM(BN78:BN79)</f>
        <v>0</v>
      </c>
      <c r="BO76" s="136">
        <f>SUM(BO78:BO79)</f>
        <v>0</v>
      </c>
      <c r="BP76" s="88"/>
      <c r="BQ76" s="238"/>
      <c r="BR76" s="238"/>
      <c r="BS76" s="84"/>
      <c r="BT76" s="86"/>
      <c r="BU76" s="87"/>
      <c r="BV76" s="87"/>
      <c r="BW76" s="87"/>
      <c r="BX76" s="252"/>
      <c r="BY76" s="238"/>
      <c r="BZ76" s="135">
        <f>SUM(BZ78:BZ79)</f>
        <v>0</v>
      </c>
      <c r="CA76" s="136">
        <f>SUM(CA78:CA79)</f>
        <v>0</v>
      </c>
      <c r="CB76" s="88"/>
      <c r="CC76" s="223"/>
      <c r="CD76" s="135">
        <f>SUM(CD78:CD79)</f>
        <v>0</v>
      </c>
      <c r="CE76" s="136">
        <f>SUM(CE78:CE79)</f>
        <v>0</v>
      </c>
      <c r="CF76" s="88"/>
      <c r="CG76" s="223"/>
      <c r="CH76" s="135">
        <f>SUM(CH78:CH79)</f>
        <v>0</v>
      </c>
      <c r="CI76" s="136">
        <f>SUM(CI78:CI79)</f>
        <v>0</v>
      </c>
      <c r="CJ76" s="88"/>
      <c r="CK76" s="238"/>
      <c r="CL76" s="238"/>
      <c r="CM76" s="84"/>
      <c r="CN76" s="86"/>
      <c r="CO76" s="87"/>
      <c r="CP76" s="87"/>
      <c r="CQ76" s="87"/>
      <c r="CR76" s="252"/>
      <c r="CS76" s="238"/>
      <c r="CT76" s="135">
        <f>SUM(CT78:CT79)</f>
        <v>0</v>
      </c>
      <c r="CU76" s="136">
        <f>SUM(CU78:CU79)</f>
        <v>0</v>
      </c>
      <c r="CV76" s="88"/>
      <c r="CW76" s="223"/>
      <c r="CX76" s="135">
        <f>SUM(CX78:CX79)</f>
        <v>0</v>
      </c>
      <c r="CY76" s="136">
        <f>SUM(CY78:CY79)</f>
        <v>0</v>
      </c>
      <c r="CZ76" s="88"/>
      <c r="DA76" s="223"/>
      <c r="DB76" s="135">
        <f>SUM(DB78:DB79)</f>
        <v>0</v>
      </c>
      <c r="DC76" s="136">
        <f>SUM(DC78:DC79)</f>
        <v>0</v>
      </c>
      <c r="DD76" s="88"/>
      <c r="DE76" s="238"/>
      <c r="DF76" s="238"/>
      <c r="DG76" s="84"/>
      <c r="DH76" s="86"/>
      <c r="DI76" s="87"/>
      <c r="DJ76" s="87"/>
      <c r="DK76" s="87"/>
      <c r="DL76" s="252"/>
      <c r="DM76" s="238"/>
    </row>
    <row r="77" spans="1:117" x14ac:dyDescent="0.25">
      <c r="A77" s="18">
        <v>19250</v>
      </c>
      <c r="B77" s="11" t="s">
        <v>863</v>
      </c>
      <c r="C77" s="18">
        <v>1</v>
      </c>
      <c r="D77" s="15"/>
      <c r="E77" s="15"/>
      <c r="F77" s="149"/>
      <c r="G77" s="11"/>
      <c r="H77" s="26"/>
      <c r="I77" s="26"/>
      <c r="J77" s="530"/>
      <c r="K77" s="395"/>
      <c r="L77" s="544"/>
      <c r="M77" s="298"/>
      <c r="N77" s="5"/>
      <c r="O77" s="256"/>
      <c r="P77" s="303"/>
      <c r="Q77" s="231"/>
      <c r="R77" s="121"/>
      <c r="S77" s="6"/>
      <c r="T77" s="35"/>
      <c r="U77" s="612"/>
      <c r="V77" s="121"/>
      <c r="W77" s="6"/>
      <c r="X77" s="35"/>
      <c r="Y77" s="612"/>
      <c r="Z77" s="121"/>
      <c r="AA77" s="6"/>
      <c r="AB77" s="35"/>
      <c r="AC77" s="231"/>
      <c r="AD77" s="231"/>
      <c r="AE77" s="398"/>
      <c r="AF77" s="29"/>
      <c r="AG77" s="298"/>
      <c r="AH77" s="5"/>
      <c r="AI77" s="240"/>
      <c r="AJ77" s="303"/>
      <c r="AK77" s="231"/>
      <c r="AL77" s="121"/>
      <c r="AM77" s="6"/>
      <c r="AN77" s="35"/>
      <c r="AO77" s="612"/>
      <c r="AP77" s="21"/>
      <c r="AQ77" s="6"/>
      <c r="AR77" s="35"/>
      <c r="AS77" s="612"/>
      <c r="AT77" s="21"/>
      <c r="AU77" s="6"/>
      <c r="AV77" s="35"/>
      <c r="AW77" s="231"/>
      <c r="AX77" s="231"/>
      <c r="AY77" s="398"/>
      <c r="AZ77" s="29"/>
      <c r="BA77" s="298"/>
      <c r="BB77" s="5"/>
      <c r="BC77" s="256"/>
      <c r="BD77" s="303"/>
      <c r="BE77" s="231"/>
      <c r="BF77" s="121"/>
      <c r="BG77" s="6"/>
      <c r="BH77" s="35"/>
      <c r="BI77" s="612"/>
      <c r="BJ77" s="121"/>
      <c r="BK77" s="6"/>
      <c r="BL77" s="35"/>
      <c r="BM77" s="612"/>
      <c r="BN77" s="21"/>
      <c r="BO77" s="6"/>
      <c r="BP77" s="35"/>
      <c r="BQ77" s="231"/>
      <c r="BR77" s="231"/>
      <c r="BS77" s="398"/>
      <c r="BT77" s="607">
        <v>150</v>
      </c>
      <c r="BU77" s="298">
        <f>BU24</f>
        <v>450</v>
      </c>
      <c r="BV77" s="5">
        <f>BU77-BT77</f>
        <v>300</v>
      </c>
      <c r="BW77" s="5">
        <f>250</f>
        <v>250</v>
      </c>
      <c r="BX77" s="303">
        <f>BX24</f>
        <v>302</v>
      </c>
      <c r="BY77" s="231">
        <f>BT77+BW77-BX77</f>
        <v>98</v>
      </c>
      <c r="BZ77" s="121"/>
      <c r="CA77" s="6"/>
      <c r="CB77" s="665" t="s">
        <v>864</v>
      </c>
      <c r="CC77" s="781"/>
      <c r="CD77" s="121"/>
      <c r="CE77" s="6"/>
      <c r="CF77" s="625"/>
      <c r="CG77" s="787"/>
      <c r="CH77" s="21"/>
      <c r="CI77" s="6"/>
      <c r="CJ77" s="35"/>
      <c r="CK77" s="234"/>
      <c r="CL77" s="234"/>
      <c r="CM77" s="395"/>
      <c r="CN77" s="29">
        <f t="shared" ref="CN77:CN78" si="166">BY77</f>
        <v>98</v>
      </c>
      <c r="CO77" s="298">
        <v>180</v>
      </c>
      <c r="CP77" s="5">
        <f t="shared" ref="CP77:CP78" si="167">CO77-CN77</f>
        <v>82</v>
      </c>
      <c r="CQ77" s="5"/>
      <c r="CR77" s="303"/>
      <c r="CS77" s="231">
        <f t="shared" ref="CS77:CS78" si="168">CN77+CQ77-CR77</f>
        <v>98</v>
      </c>
      <c r="CT77" s="121"/>
      <c r="CU77" s="6"/>
      <c r="CV77" s="35"/>
      <c r="CW77" s="612"/>
      <c r="CX77" s="121"/>
      <c r="CY77" s="6"/>
      <c r="CZ77" s="35"/>
      <c r="DA77" s="612"/>
      <c r="DB77" s="21"/>
      <c r="DC77" s="6"/>
      <c r="DD77" s="35"/>
      <c r="DE77" s="234"/>
      <c r="DF77" s="234"/>
      <c r="DG77" s="395"/>
      <c r="DH77" s="29"/>
      <c r="DI77" s="298"/>
      <c r="DJ77" s="5"/>
      <c r="DK77" s="5"/>
      <c r="DL77" s="303"/>
      <c r="DM77" s="231"/>
    </row>
    <row r="78" spans="1:117" x14ac:dyDescent="0.25">
      <c r="A78" s="18"/>
      <c r="B78" s="11" t="s">
        <v>419</v>
      </c>
      <c r="C78" s="18" t="s">
        <v>398</v>
      </c>
      <c r="D78" s="15" t="s">
        <v>332</v>
      </c>
      <c r="E78" s="15"/>
      <c r="F78" s="149">
        <v>47.97</v>
      </c>
      <c r="G78" s="11" t="s">
        <v>761</v>
      </c>
      <c r="H78" s="26" t="s">
        <v>23</v>
      </c>
      <c r="I78" s="26"/>
      <c r="J78" s="530">
        <f>SUM(M78,AG78,BA78,BU78)-L78</f>
        <v>-120</v>
      </c>
      <c r="K78" s="395">
        <f t="shared" si="8"/>
        <v>-794</v>
      </c>
      <c r="L78" s="544">
        <v>810</v>
      </c>
      <c r="M78" s="298">
        <f>M24</f>
        <v>16</v>
      </c>
      <c r="N78" s="5">
        <f t="shared" ref="N78" si="169">M78-L78</f>
        <v>-794</v>
      </c>
      <c r="O78" s="256"/>
      <c r="P78" s="303">
        <f>P24</f>
        <v>16</v>
      </c>
      <c r="Q78" s="231">
        <f t="shared" ref="Q78" si="170">L78+O78-P78</f>
        <v>794</v>
      </c>
      <c r="R78" s="121"/>
      <c r="S78" s="6"/>
      <c r="T78" s="35"/>
      <c r="U78" s="612"/>
      <c r="V78" s="121"/>
      <c r="W78" s="6"/>
      <c r="X78" s="35"/>
      <c r="Y78" s="612"/>
      <c r="Z78" s="121"/>
      <c r="AA78" s="6"/>
      <c r="AB78" s="35"/>
      <c r="AC78" s="231"/>
      <c r="AD78" s="231"/>
      <c r="AE78" s="398">
        <f>SUM(M78,AG78)-SUM(O78,AI78)-L78</f>
        <v>-699</v>
      </c>
      <c r="AF78" s="29">
        <f>Q78</f>
        <v>794</v>
      </c>
      <c r="AG78" s="298">
        <f>AG24</f>
        <v>95</v>
      </c>
      <c r="AH78" s="5">
        <f t="shared" ref="AH78" si="171">AG78-AF78</f>
        <v>-699</v>
      </c>
      <c r="AI78" s="240"/>
      <c r="AJ78" s="303">
        <f>AJ24</f>
        <v>89</v>
      </c>
      <c r="AK78" s="231">
        <f t="shared" ref="AK78" si="172">AF78+AI78-AJ78</f>
        <v>705</v>
      </c>
      <c r="AL78" s="121"/>
      <c r="AM78" s="6"/>
      <c r="AN78" s="35"/>
      <c r="AO78" s="612"/>
      <c r="AP78" s="21"/>
      <c r="AQ78" s="6"/>
      <c r="AR78" s="35"/>
      <c r="AS78" s="612"/>
      <c r="AT78" s="21"/>
      <c r="AU78" s="6"/>
      <c r="AV78" s="35"/>
      <c r="AW78" s="231"/>
      <c r="AX78" s="231"/>
      <c r="AY78" s="398">
        <f>SUM(M78,AG78,BA78)-SUM(O78,AI78,BC78)-L78</f>
        <v>-570</v>
      </c>
      <c r="AZ78" s="29">
        <f t="shared" ref="AZ78" si="173">AK78</f>
        <v>705</v>
      </c>
      <c r="BA78" s="298">
        <f>BA24</f>
        <v>129</v>
      </c>
      <c r="BB78" s="5">
        <f t="shared" ref="BB78" si="174">BA78-AZ78</f>
        <v>-576</v>
      </c>
      <c r="BC78" s="256"/>
      <c r="BD78" s="303">
        <f>BD24</f>
        <v>129</v>
      </c>
      <c r="BE78" s="231">
        <f t="shared" ref="BE78" si="175">AZ78+BC78-BD78</f>
        <v>576</v>
      </c>
      <c r="BF78" s="121"/>
      <c r="BG78" s="6"/>
      <c r="BH78" s="35"/>
      <c r="BI78" s="612"/>
      <c r="BJ78" s="121"/>
      <c r="BK78" s="6"/>
      <c r="BL78" s="35"/>
      <c r="BM78" s="612"/>
      <c r="BN78" s="21"/>
      <c r="BO78" s="6"/>
      <c r="BP78" s="35"/>
      <c r="BQ78" s="231"/>
      <c r="BR78" s="231"/>
      <c r="BS78" s="398">
        <f>SUM(M78,AG78,BA78,BU78)-SUM(O78,AI78,BC78,BW78)-L78</f>
        <v>-120</v>
      </c>
      <c r="BT78" s="607">
        <f>1000</f>
        <v>1000</v>
      </c>
      <c r="BU78" s="298">
        <f>BU24</f>
        <v>450</v>
      </c>
      <c r="BV78" s="5">
        <f t="shared" ref="BV78" si="176">BU78-BT78</f>
        <v>-550</v>
      </c>
      <c r="BW78" s="240"/>
      <c r="BX78" s="303">
        <f>BX24</f>
        <v>302</v>
      </c>
      <c r="BY78" s="231">
        <f t="shared" ref="BY78" si="177">BT78+BW78-BX78</f>
        <v>698</v>
      </c>
      <c r="BZ78" s="121"/>
      <c r="CA78" s="6"/>
      <c r="CB78" s="35"/>
      <c r="CC78" s="612"/>
      <c r="CD78" s="121"/>
      <c r="CE78" s="6"/>
      <c r="CF78" s="35"/>
      <c r="CG78" s="612"/>
      <c r="CH78" s="21"/>
      <c r="CI78" s="6"/>
      <c r="CJ78" s="35"/>
      <c r="CK78" s="234"/>
      <c r="CL78" s="234"/>
      <c r="CM78" s="395">
        <f>SUM(M78,AG78,BA78,BU78,CO78)-SUM(O78,AI78,BC78,BW78,CQ78)-L78</f>
        <v>80</v>
      </c>
      <c r="CN78" s="29">
        <f t="shared" si="166"/>
        <v>698</v>
      </c>
      <c r="CO78" s="298">
        <f>CO24</f>
        <v>200</v>
      </c>
      <c r="CP78" s="5">
        <f t="shared" si="167"/>
        <v>-498</v>
      </c>
      <c r="CQ78" s="5"/>
      <c r="CR78" s="303">
        <f>CR24</f>
        <v>0</v>
      </c>
      <c r="CS78" s="231">
        <f t="shared" si="168"/>
        <v>698</v>
      </c>
      <c r="CT78" s="121"/>
      <c r="CU78" s="6"/>
      <c r="CV78" s="35"/>
      <c r="CW78" s="612"/>
      <c r="CX78" s="121"/>
      <c r="CY78" s="6"/>
      <c r="CZ78" s="35"/>
      <c r="DA78" s="612"/>
      <c r="DB78" s="21"/>
      <c r="DC78" s="6"/>
      <c r="DD78" s="35"/>
      <c r="DE78" s="234"/>
      <c r="DF78" s="234"/>
      <c r="DG78" s="395">
        <f>SUM(M78,AG78,BA78,BU78,DI78)-SUM(O78,AI78,BC78,BW78,CQ78)-L78</f>
        <v>-120</v>
      </c>
      <c r="DH78" s="29">
        <f>BY78</f>
        <v>698</v>
      </c>
      <c r="DI78" s="298">
        <f>DI24</f>
        <v>0</v>
      </c>
      <c r="DJ78" s="5">
        <f t="shared" ref="DJ78:DJ79" si="178">DI78-DH78</f>
        <v>-698</v>
      </c>
      <c r="DK78" s="5"/>
      <c r="DL78" s="303">
        <f>DL24</f>
        <v>0</v>
      </c>
      <c r="DM78" s="231">
        <f t="shared" ref="DM78:DM79" si="179">DH78+DK78-DL78</f>
        <v>698</v>
      </c>
    </row>
    <row r="79" spans="1:117" ht="15.75" thickBot="1" x14ac:dyDescent="0.3">
      <c r="A79" s="63"/>
      <c r="B79" s="62" t="s">
        <v>399</v>
      </c>
      <c r="C79" s="63" t="s">
        <v>398</v>
      </c>
      <c r="D79" s="295" t="s">
        <v>18</v>
      </c>
      <c r="E79" s="295"/>
      <c r="F79" s="385">
        <v>72.5</v>
      </c>
      <c r="G79" s="62" t="s">
        <v>761</v>
      </c>
      <c r="H79" s="64" t="s">
        <v>23</v>
      </c>
      <c r="I79" s="64"/>
      <c r="J79" s="533">
        <f>SUM(M79,AG79,BA79,BU79)-L79</f>
        <v>-220</v>
      </c>
      <c r="K79" s="396">
        <f t="shared" si="8"/>
        <v>-894</v>
      </c>
      <c r="L79" s="551">
        <v>910</v>
      </c>
      <c r="M79" s="300">
        <f>M24</f>
        <v>16</v>
      </c>
      <c r="N79" s="65">
        <f t="shared" ref="N79" si="180">M79-L79</f>
        <v>-894</v>
      </c>
      <c r="O79" s="284"/>
      <c r="P79" s="384">
        <f>P24</f>
        <v>16</v>
      </c>
      <c r="Q79" s="297">
        <f t="shared" ref="Q79" si="181">L79+O79-P79</f>
        <v>894</v>
      </c>
      <c r="R79" s="126"/>
      <c r="S79" s="127"/>
      <c r="T79" s="66"/>
      <c r="U79" s="715"/>
      <c r="V79" s="126"/>
      <c r="W79" s="127"/>
      <c r="X79" s="66"/>
      <c r="Y79" s="715"/>
      <c r="Z79" s="126"/>
      <c r="AA79" s="127"/>
      <c r="AB79" s="66"/>
      <c r="AC79" s="297"/>
      <c r="AD79" s="297"/>
      <c r="AE79" s="396">
        <f>SUM(M79,AG79)-SUM(O79,AI79)-L79</f>
        <v>-799</v>
      </c>
      <c r="AF79" s="296">
        <f>Q79</f>
        <v>894</v>
      </c>
      <c r="AG79" s="300">
        <f>AG24</f>
        <v>95</v>
      </c>
      <c r="AH79" s="65">
        <f t="shared" ref="AH79" si="182">AG79-AF79</f>
        <v>-799</v>
      </c>
      <c r="AI79" s="250"/>
      <c r="AJ79" s="384">
        <f>AJ24</f>
        <v>89</v>
      </c>
      <c r="AK79" s="297">
        <f t="shared" ref="AK79" si="183">AF79+AI79-AJ79</f>
        <v>805</v>
      </c>
      <c r="AL79" s="126"/>
      <c r="AM79" s="127"/>
      <c r="AN79" s="66"/>
      <c r="AO79" s="715"/>
      <c r="AP79" s="128"/>
      <c r="AQ79" s="127"/>
      <c r="AR79" s="66"/>
      <c r="AS79" s="715"/>
      <c r="AT79" s="128"/>
      <c r="AU79" s="127"/>
      <c r="AV79" s="66"/>
      <c r="AW79" s="297"/>
      <c r="AX79" s="297"/>
      <c r="AY79" s="396">
        <f>SUM(M79,AG79,BA79)-SUM(O79,AI79,BC79)-L79</f>
        <v>-670</v>
      </c>
      <c r="AZ79" s="296">
        <f t="shared" ref="AZ79" si="184">AK79</f>
        <v>805</v>
      </c>
      <c r="BA79" s="300">
        <f>BA24</f>
        <v>129</v>
      </c>
      <c r="BB79" s="65">
        <f t="shared" ref="BB79" si="185">BA79-AZ79</f>
        <v>-676</v>
      </c>
      <c r="BC79" s="284"/>
      <c r="BD79" s="384">
        <f>BD24</f>
        <v>129</v>
      </c>
      <c r="BE79" s="297">
        <f t="shared" ref="BE79" si="186">AZ79+BC79-BD79</f>
        <v>676</v>
      </c>
      <c r="BF79" s="126"/>
      <c r="BG79" s="127"/>
      <c r="BH79" s="66"/>
      <c r="BI79" s="715"/>
      <c r="BJ79" s="126"/>
      <c r="BK79" s="127"/>
      <c r="BL79" s="66"/>
      <c r="BM79" s="715"/>
      <c r="BN79" s="128"/>
      <c r="BO79" s="127"/>
      <c r="BP79" s="66"/>
      <c r="BQ79" s="297"/>
      <c r="BR79" s="297"/>
      <c r="BS79" s="396">
        <f>SUM(M79,AG79,BA79,BU79)-SUM(O79,AI79,BC79,BW79)-L79</f>
        <v>-220</v>
      </c>
      <c r="BT79" s="608">
        <f>1000</f>
        <v>1000</v>
      </c>
      <c r="BU79" s="300">
        <f>BU24</f>
        <v>450</v>
      </c>
      <c r="BV79" s="65">
        <f t="shared" ref="BV79" si="187">BU79-BT79</f>
        <v>-550</v>
      </c>
      <c r="BW79" s="250"/>
      <c r="BX79" s="384">
        <f>BX24</f>
        <v>302</v>
      </c>
      <c r="BY79" s="297">
        <f t="shared" ref="BY79" si="188">BT79+BW79-BX79</f>
        <v>698</v>
      </c>
      <c r="BZ79" s="126"/>
      <c r="CA79" s="127"/>
      <c r="CB79" s="66"/>
      <c r="CC79" s="715"/>
      <c r="CD79" s="126"/>
      <c r="CE79" s="127"/>
      <c r="CF79" s="66"/>
      <c r="CG79" s="715"/>
      <c r="CH79" s="128"/>
      <c r="CI79" s="127"/>
      <c r="CJ79" s="66"/>
      <c r="CK79" s="297"/>
      <c r="CL79" s="297"/>
      <c r="CM79" s="396">
        <f>SUM(M79,AG79,BA79,BU79,CO79)-SUM(O79,AI79,BC79,BW79,CQ79)-L79</f>
        <v>-20</v>
      </c>
      <c r="CN79" s="296">
        <f t="shared" ref="CN79" si="189">BY79</f>
        <v>698</v>
      </c>
      <c r="CO79" s="300">
        <f>CO24</f>
        <v>200</v>
      </c>
      <c r="CP79" s="65">
        <f t="shared" ref="CP79" si="190">CO79-CN79</f>
        <v>-498</v>
      </c>
      <c r="CQ79" s="65"/>
      <c r="CR79" s="384">
        <f>CR24</f>
        <v>0</v>
      </c>
      <c r="CS79" s="297">
        <f t="shared" ref="CS79" si="191">CN79+CQ79-CR79</f>
        <v>698</v>
      </c>
      <c r="CT79" s="126"/>
      <c r="CU79" s="127"/>
      <c r="CV79" s="66"/>
      <c r="CW79" s="715"/>
      <c r="CX79" s="126"/>
      <c r="CY79" s="127"/>
      <c r="CZ79" s="66"/>
      <c r="DA79" s="715"/>
      <c r="DB79" s="128"/>
      <c r="DC79" s="127"/>
      <c r="DD79" s="66"/>
      <c r="DE79" s="297"/>
      <c r="DF79" s="297"/>
      <c r="DG79" s="396">
        <f>SUM(M79,AG79,BA79,BU79,DI79)-SUM(O79,AI79,BC79,BW79,CQ79)-L79</f>
        <v>-220</v>
      </c>
      <c r="DH79" s="30">
        <f>BY79</f>
        <v>698</v>
      </c>
      <c r="DI79" s="300">
        <f>DI24</f>
        <v>0</v>
      </c>
      <c r="DJ79" s="65">
        <f t="shared" si="178"/>
        <v>-698</v>
      </c>
      <c r="DK79" s="65"/>
      <c r="DL79" s="384">
        <f>DL24</f>
        <v>0</v>
      </c>
      <c r="DM79" s="297">
        <f t="shared" si="179"/>
        <v>698</v>
      </c>
    </row>
    <row r="80" spans="1:117" ht="15.75" thickBot="1" x14ac:dyDescent="0.3">
      <c r="P80" s="248"/>
      <c r="AJ80" s="248"/>
      <c r="BD80" s="248"/>
      <c r="BX80" s="248"/>
      <c r="CR80" s="248"/>
      <c r="DL80" s="248"/>
    </row>
    <row r="81" spans="1:117" ht="15.75" thickBot="1" x14ac:dyDescent="0.3">
      <c r="A81" s="95"/>
      <c r="B81" s="94" t="s">
        <v>106</v>
      </c>
      <c r="C81" s="95"/>
      <c r="D81" s="93"/>
      <c r="E81" s="93"/>
      <c r="F81" s="340"/>
      <c r="G81" s="93"/>
      <c r="H81" s="96"/>
      <c r="I81" s="96"/>
      <c r="J81" s="96"/>
      <c r="K81" s="96"/>
      <c r="L81" s="97"/>
      <c r="M81" s="98"/>
      <c r="N81" s="98"/>
      <c r="O81" s="98"/>
      <c r="P81" s="249"/>
      <c r="Q81" s="237"/>
      <c r="R81" s="124">
        <f>SUM(R82,R92,R102,R106,R110,R113,R96,R119,R163,R127,R134,R138,R146)</f>
        <v>155050</v>
      </c>
      <c r="S81" s="125">
        <f>SUM(S82,S92,S102,S106,S110,S113,S96,S119,S163,S127,S134,S138,S146)</f>
        <v>0</v>
      </c>
      <c r="T81" s="99"/>
      <c r="U81" s="221"/>
      <c r="V81" s="124">
        <f>SUM(V82,V92,V102,V106,V110,V113,V96,V119,V163,V127,V134,V138,V146)</f>
        <v>1440111.2</v>
      </c>
      <c r="W81" s="125">
        <f>SUM(W82,W92,W102,W106,W110,W113,W96,W119,W163,W127,W134,W138,W146)</f>
        <v>860674.99999999988</v>
      </c>
      <c r="X81" s="99"/>
      <c r="Y81" s="221"/>
      <c r="Z81" s="124">
        <f>SUM(Z82,Z92,Z102,Z106,Z110,Z113,Z96,Z119,Z163,Z127,Z134,Z138,Z146)</f>
        <v>334669.8</v>
      </c>
      <c r="AA81" s="125">
        <f>SUM(AA82,AA92,AA102,AA106,AA110,AA113,AA96,AA119,AA163,AA127,AA134,AA138,AA146)</f>
        <v>178850</v>
      </c>
      <c r="AB81" s="99"/>
      <c r="AC81" s="221"/>
      <c r="AD81" s="221"/>
      <c r="AE81" s="96"/>
      <c r="AF81" s="97"/>
      <c r="AG81" s="98"/>
      <c r="AH81" s="98"/>
      <c r="AI81" s="98"/>
      <c r="AJ81" s="249"/>
      <c r="AK81" s="237"/>
      <c r="AL81" s="124">
        <f>SUM(AL82,AL92,AL102,AL106,AL110,AL113,AL96,AL119,AL163,AL127,AL134,AL138,AL146)</f>
        <v>191100</v>
      </c>
      <c r="AM81" s="125">
        <f>SUM(AM82,AM92,AM102,AM106,AM110,AM113,AM96,AM119,AM163,AM127,AM134,AM138,AM146)</f>
        <v>348337.6</v>
      </c>
      <c r="AN81" s="99"/>
      <c r="AO81" s="221"/>
      <c r="AP81" s="124">
        <f>SUM(AP82,AP92,AP102,AP106,AP110,AP113,AP96,AP119,AP163,AP127,AP134,AP138,AP146)</f>
        <v>97215</v>
      </c>
      <c r="AQ81" s="125">
        <f>SUM(AQ82,AQ92,AQ102,AQ106,AQ110,AQ113,AQ96,AQ119,AQ163,AQ127,AQ134,AQ138,AQ146)</f>
        <v>889350</v>
      </c>
      <c r="AR81" s="99"/>
      <c r="AS81" s="221"/>
      <c r="AT81" s="124">
        <f>SUM(AT82,AT92,AT102,AT106,AT110,AT113,AT96,AT119,AT163,AT127,AT134,AT138,AT146)</f>
        <v>249010</v>
      </c>
      <c r="AU81" s="125">
        <f>SUM(AU82,AU92,AU102,AU106,AU110,AU113,AU96,AU119,AU163,AU127,AU134,AU138,AU146)</f>
        <v>905416.79999999993</v>
      </c>
      <c r="AV81" s="99"/>
      <c r="AW81" s="221"/>
      <c r="AX81" s="221"/>
      <c r="AY81" s="96"/>
      <c r="AZ81" s="97"/>
      <c r="BA81" s="98"/>
      <c r="BB81" s="98"/>
      <c r="BC81" s="98"/>
      <c r="BD81" s="249"/>
      <c r="BE81" s="237"/>
      <c r="BF81" s="124">
        <f>SUM(BF82,BF92,BF102,BF106,BF110,BF113,BF96,BF119,BF163,BF127,BF134,BF138,BF146)</f>
        <v>92000</v>
      </c>
      <c r="BG81" s="125">
        <f>SUM(BG82,BG92,BG102,BG106,BG110,BG113,BG96,BG119,BG163,BG127,BG134,BG138,BG146)</f>
        <v>595260</v>
      </c>
      <c r="BH81" s="99"/>
      <c r="BI81" s="221"/>
      <c r="BJ81" s="124">
        <f>SUM(BJ82,BJ92,BJ102,BJ106,BJ110,BJ113,BJ96,BJ119,BJ163,BJ127,BJ134,BJ138,BJ146)</f>
        <v>0</v>
      </c>
      <c r="BK81" s="125">
        <f>SUM(BK82,BK92,BK102,BK106,BK110,BK113,BK96,BK119,BK163,BK127,BK134,BK138,BK146)</f>
        <v>0</v>
      </c>
      <c r="BL81" s="99"/>
      <c r="BM81" s="221"/>
      <c r="BN81" s="124">
        <f>SUM(BN82,BN92,BN102,BN106,BN110,BN113,BN96,BN119,BN163,BN127,BN134,BN138,BN146)</f>
        <v>43200</v>
      </c>
      <c r="BO81" s="125">
        <f>SUM(BO82,BO92,BO102,BO106,BO110,BO113,BO96,BO119,BO163,BO127,BO134,BO138,BO146)</f>
        <v>0</v>
      </c>
      <c r="BP81" s="99"/>
      <c r="BQ81" s="221"/>
      <c r="BR81" s="221"/>
      <c r="BS81" s="96"/>
      <c r="BT81" s="97"/>
      <c r="BU81" s="98"/>
      <c r="BV81" s="98"/>
      <c r="BW81" s="98"/>
      <c r="BX81" s="249"/>
      <c r="BY81" s="237"/>
      <c r="BZ81" s="124">
        <f>SUM(BZ82,BZ92,BZ102,BZ106,BZ110,BZ113,BZ96,BZ119,BZ163,BZ127,BZ134,BZ138,BZ146)</f>
        <v>180000</v>
      </c>
      <c r="CA81" s="125">
        <f>SUM(CA82,CA92,CA102,CA106,CA110,CA113,CA96,CA119,CA163,CA127,CA134,CA138,CA146)</f>
        <v>0</v>
      </c>
      <c r="CB81" s="99"/>
      <c r="CC81" s="221"/>
      <c r="CD81" s="124">
        <f>SUM(CD82,CD92,CD102,CD106,CD110,CD113,CD96,CD119,CD163,CD127,CD134,CD138,CD146)</f>
        <v>2050459.16</v>
      </c>
      <c r="CE81" s="125">
        <f>SUM(CE82,CE92,CE102,CE106,CE110,CE113,CE96,CE119,CE163,CE127,CE134,CE138,CE146)</f>
        <v>75787.399999999994</v>
      </c>
      <c r="CF81" s="99"/>
      <c r="CG81" s="221"/>
      <c r="CH81" s="124">
        <f>SUM(CH82,CH92,CH102,CH106,CH110,CH113,CH96,CH119,CH163,CH127,CH134,CH138,CH146)</f>
        <v>622952.5</v>
      </c>
      <c r="CI81" s="125">
        <f>SUM(CI82,CI92,CI102,CI106,CI110,CI113,CI96,CI119,CI163,CI127,CI134,CI138,CI146)</f>
        <v>842249</v>
      </c>
      <c r="CJ81" s="99"/>
      <c r="CK81" s="221"/>
      <c r="CL81" s="221"/>
      <c r="CM81" s="96"/>
      <c r="CN81" s="97"/>
      <c r="CO81" s="98"/>
      <c r="CP81" s="98"/>
      <c r="CQ81" s="98"/>
      <c r="CR81" s="249"/>
      <c r="CS81" s="237"/>
      <c r="CT81" s="124">
        <f>SUM(CT82,CT92,CT102,CT106,CT110,CT113,CT96,CT119,CT163,CT127,CT134,CT138,CT146)</f>
        <v>0</v>
      </c>
      <c r="CU81" s="125">
        <f>SUM(CU82,CU92,CU102,CU106,CU110,CU113,CU96,CU119,CU163,CU127,CU134,CU138,CU146)</f>
        <v>1593229</v>
      </c>
      <c r="CV81" s="99"/>
      <c r="CW81" s="221"/>
      <c r="CX81" s="124">
        <f>SUM(CX82,CX92,CX102,CX106,CX110,CX113,CX96,CX119,CX163,CX127,CX134,CX138,CX146)</f>
        <v>0</v>
      </c>
      <c r="CY81" s="125">
        <f>SUM(CY82,CY92,CY102,CY106,CY110,CY113,CY96,CY119,CY163,CY127,CY134,CY138,CY146)</f>
        <v>43200</v>
      </c>
      <c r="CZ81" s="99"/>
      <c r="DA81" s="221"/>
      <c r="DB81" s="124">
        <f>SUM(DB82,DB92,DB102,DB106,DB110,DB113,DB96,DB119,DB163,DB127,DB134,DB138,DB146)</f>
        <v>0</v>
      </c>
      <c r="DC81" s="125">
        <f>SUM(DC82,DC92,DC102,DC106,DC110,DC113,DC96,DC119,DC163,DC127,DC134,DC138,DC146)</f>
        <v>0</v>
      </c>
      <c r="DD81" s="99"/>
      <c r="DE81" s="221"/>
      <c r="DF81" s="221"/>
      <c r="DG81" s="96"/>
      <c r="DH81" s="97"/>
      <c r="DI81" s="98"/>
      <c r="DJ81" s="98"/>
      <c r="DK81" s="98"/>
      <c r="DL81" s="249"/>
      <c r="DM81" s="237"/>
    </row>
    <row r="82" spans="1:117" x14ac:dyDescent="0.25">
      <c r="A82" s="53">
        <v>16364</v>
      </c>
      <c r="B82" s="52" t="s">
        <v>48</v>
      </c>
      <c r="C82" s="53"/>
      <c r="D82" s="51" t="s">
        <v>61</v>
      </c>
      <c r="E82" s="51"/>
      <c r="F82" s="338"/>
      <c r="G82" s="51"/>
      <c r="H82" s="54"/>
      <c r="I82" s="54"/>
      <c r="J82" s="53">
        <f>SUM(M82,AG82,BA82,BU82)</f>
        <v>531</v>
      </c>
      <c r="K82" s="53"/>
      <c r="L82" s="55"/>
      <c r="M82" s="56">
        <f>40+38-40</f>
        <v>38</v>
      </c>
      <c r="N82" s="56"/>
      <c r="O82" s="56"/>
      <c r="P82" s="243">
        <f>1+6+1+1+2+1+2+1+1+1+1+2+1+5+4+1+2+1+2+2</f>
        <v>38</v>
      </c>
      <c r="Q82" s="230"/>
      <c r="R82" s="119">
        <f>SUM(R84:R91)</f>
        <v>0</v>
      </c>
      <c r="S82" s="120">
        <f>SUM(S84:S91)</f>
        <v>0</v>
      </c>
      <c r="T82" s="57"/>
      <c r="U82" s="219"/>
      <c r="V82" s="119">
        <f>SUM(V84:V91)</f>
        <v>221880</v>
      </c>
      <c r="W82" s="120">
        <f>SUM(W84:W91)</f>
        <v>0</v>
      </c>
      <c r="X82" s="57"/>
      <c r="Y82" s="219"/>
      <c r="Z82" s="119">
        <f>SUM(Z84:Z91)</f>
        <v>18382</v>
      </c>
      <c r="AA82" s="120">
        <f>SUM(AA84:AA91)</f>
        <v>0</v>
      </c>
      <c r="AB82" s="57"/>
      <c r="AC82" s="230"/>
      <c r="AD82" s="230"/>
      <c r="AE82" s="53">
        <f>SUM(AG82,BA82,BU82)</f>
        <v>493</v>
      </c>
      <c r="AF82" s="55"/>
      <c r="AG82" s="56">
        <f>272-272+80-80+81</f>
        <v>81</v>
      </c>
      <c r="AH82" s="56"/>
      <c r="AI82" s="56"/>
      <c r="AJ82" s="243">
        <f>1+1+1+1+1+2+1+1+1+1+1+4+1+1+3+4+6+12+3+2+3+1+1+5+1+2+1+1+3+1+1+1+5+2+4+1</f>
        <v>81</v>
      </c>
      <c r="AK82" s="230"/>
      <c r="AL82" s="119">
        <f>SUM(AL84:AL91)</f>
        <v>0</v>
      </c>
      <c r="AM82" s="120">
        <f>SUM(AM84:AM91)</f>
        <v>62400</v>
      </c>
      <c r="AN82" s="57"/>
      <c r="AO82" s="219"/>
      <c r="AP82" s="119">
        <f>SUM(AP84:AP91)</f>
        <v>0</v>
      </c>
      <c r="AQ82" s="120">
        <f>SUM(AQ84:AQ91)</f>
        <v>0</v>
      </c>
      <c r="AR82" s="57"/>
      <c r="AS82" s="219"/>
      <c r="AT82" s="119">
        <f>SUM(AT84:AT91)</f>
        <v>74010</v>
      </c>
      <c r="AU82" s="120">
        <f>SUM(AU84:AU91)</f>
        <v>0</v>
      </c>
      <c r="AV82" s="57"/>
      <c r="AW82" s="230"/>
      <c r="AX82" s="230"/>
      <c r="AY82" s="53">
        <f>SUM(BA82,BU82)</f>
        <v>412</v>
      </c>
      <c r="AZ82" s="55"/>
      <c r="BA82" s="56">
        <f>103-103+292-292+307-307+262</f>
        <v>262</v>
      </c>
      <c r="BB82" s="56"/>
      <c r="BC82" s="56"/>
      <c r="BD82" s="243">
        <f>5+1+2+6+1+1+2+1+1+1+1+8+2+1+1+1+20+2+5+6+5+5+1+1+2+1+6+170+1+1+1</f>
        <v>262</v>
      </c>
      <c r="BE82" s="230"/>
      <c r="BF82" s="119">
        <f>SUM(BF84:BF91)</f>
        <v>0</v>
      </c>
      <c r="BG82" s="120">
        <f>SUM(BG84:BG91)</f>
        <v>299760</v>
      </c>
      <c r="BH82" s="57"/>
      <c r="BI82" s="219"/>
      <c r="BJ82" s="119">
        <f>SUM(BJ84:BJ91)</f>
        <v>0</v>
      </c>
      <c r="BK82" s="120">
        <f>SUM(BK84:BK91)</f>
        <v>0</v>
      </c>
      <c r="BL82" s="57"/>
      <c r="BM82" s="219"/>
      <c r="BN82" s="119">
        <f>SUM(BN84:BN91)</f>
        <v>0</v>
      </c>
      <c r="BO82" s="120">
        <f>SUM(BO84:BO91)</f>
        <v>0</v>
      </c>
      <c r="BP82" s="57"/>
      <c r="BQ82" s="230"/>
      <c r="BR82" s="230"/>
      <c r="BS82" s="53">
        <f>BU82</f>
        <v>150</v>
      </c>
      <c r="BT82" s="55"/>
      <c r="BU82" s="56">
        <f>135-135+150</f>
        <v>150</v>
      </c>
      <c r="BV82" s="56"/>
      <c r="BW82" s="56"/>
      <c r="BX82" s="243">
        <f>5+6+5+1+1+1+3+2+1+1+1+4+2+6+1+1+1+6+1+1+1+1+1+1+1+1</f>
        <v>56</v>
      </c>
      <c r="BY82" s="230"/>
      <c r="BZ82" s="119">
        <f>SUM(BZ84:BZ91)</f>
        <v>0</v>
      </c>
      <c r="CA82" s="120">
        <f>SUM(CA84:CA91)</f>
        <v>0</v>
      </c>
      <c r="CB82" s="57"/>
      <c r="CC82" s="219"/>
      <c r="CD82" s="119">
        <f>SUM(CD84:CD91)</f>
        <v>129804</v>
      </c>
      <c r="CE82" s="120">
        <f>SUM(CE84:CE91)</f>
        <v>0</v>
      </c>
      <c r="CF82" s="57"/>
      <c r="CG82" s="219"/>
      <c r="CH82" s="119">
        <f>SUM(CH84:CH91)</f>
        <v>55507.5</v>
      </c>
      <c r="CI82" s="120">
        <f>SUM(CI84:CI91)</f>
        <v>8250</v>
      </c>
      <c r="CJ82" s="57"/>
      <c r="CK82" s="230"/>
      <c r="CL82" s="230"/>
      <c r="CM82" s="53">
        <f>CO82</f>
        <v>0</v>
      </c>
      <c r="CN82" s="55"/>
      <c r="CO82" s="243"/>
      <c r="CP82" s="56"/>
      <c r="CQ82" s="56"/>
      <c r="CR82" s="243"/>
      <c r="CS82" s="230"/>
      <c r="CT82" s="119">
        <f>SUM(CT84:CT91)</f>
        <v>0</v>
      </c>
      <c r="CU82" s="120">
        <f>SUM(CU84:CU91)</f>
        <v>117907.5</v>
      </c>
      <c r="CV82" s="57"/>
      <c r="CW82" s="219"/>
      <c r="CX82" s="119">
        <f>SUM(CX84:CX91)</f>
        <v>0</v>
      </c>
      <c r="CY82" s="120">
        <f>SUM(CY84:CY91)</f>
        <v>0</v>
      </c>
      <c r="CZ82" s="57"/>
      <c r="DA82" s="219"/>
      <c r="DB82" s="119">
        <f>SUM(DB84:DB91)</f>
        <v>0</v>
      </c>
      <c r="DC82" s="120">
        <f>SUM(DC84:DC91)</f>
        <v>0</v>
      </c>
      <c r="DD82" s="57"/>
      <c r="DE82" s="230"/>
      <c r="DF82" s="230"/>
      <c r="DG82" s="53">
        <f>DI82</f>
        <v>0</v>
      </c>
      <c r="DH82" s="55"/>
      <c r="DI82" s="243"/>
      <c r="DJ82" s="56"/>
      <c r="DK82" s="56"/>
      <c r="DL82" s="243"/>
      <c r="DM82" s="230"/>
    </row>
    <row r="83" spans="1:117" x14ac:dyDescent="0.25">
      <c r="A83" s="18"/>
      <c r="B83" s="11" t="s">
        <v>875</v>
      </c>
      <c r="C83" s="18"/>
      <c r="D83" s="11"/>
      <c r="E83" s="11"/>
      <c r="F83" s="149"/>
      <c r="G83" s="11"/>
      <c r="H83" s="25"/>
      <c r="I83" s="24"/>
      <c r="J83" s="536"/>
      <c r="K83" s="394"/>
      <c r="L83" s="544"/>
      <c r="M83" s="298"/>
      <c r="N83" s="5"/>
      <c r="O83" s="256"/>
      <c r="P83" s="303"/>
      <c r="Q83" s="231"/>
      <c r="R83" s="121"/>
      <c r="S83" s="6"/>
      <c r="T83" s="35"/>
      <c r="U83" s="612"/>
      <c r="V83" s="21"/>
      <c r="W83" s="6"/>
      <c r="X83" s="35"/>
      <c r="Y83" s="612"/>
      <c r="Z83" s="21"/>
      <c r="AA83" s="6"/>
      <c r="AB83" s="35"/>
      <c r="AC83" s="713"/>
      <c r="AD83" s="713"/>
      <c r="AE83" s="394"/>
      <c r="AF83" s="29"/>
      <c r="AG83" s="298"/>
      <c r="AH83" s="5"/>
      <c r="AI83" s="5"/>
      <c r="AJ83" s="303"/>
      <c r="AK83" s="231"/>
      <c r="AL83" s="121"/>
      <c r="AM83" s="6"/>
      <c r="AN83" s="35"/>
      <c r="AO83" s="612"/>
      <c r="AP83" s="21"/>
      <c r="AQ83" s="6"/>
      <c r="AR83" s="35"/>
      <c r="AS83" s="612"/>
      <c r="AT83" s="21"/>
      <c r="AU83" s="6"/>
      <c r="AV83" s="35"/>
      <c r="AW83" s="713"/>
      <c r="AX83" s="713"/>
      <c r="AY83" s="394"/>
      <c r="AZ83" s="29"/>
      <c r="BA83" s="298"/>
      <c r="BB83" s="5"/>
      <c r="BC83" s="256"/>
      <c r="BD83" s="303"/>
      <c r="BE83" s="231"/>
      <c r="BF83" s="121"/>
      <c r="BG83" s="6"/>
      <c r="BH83" s="35"/>
      <c r="BI83" s="612"/>
      <c r="BJ83" s="21"/>
      <c r="BK83" s="6"/>
      <c r="BL83" s="35"/>
      <c r="BM83" s="612"/>
      <c r="BN83" s="21"/>
      <c r="BO83" s="6"/>
      <c r="BP83" s="35"/>
      <c r="BQ83" s="713"/>
      <c r="BR83" s="713"/>
      <c r="BS83" s="394"/>
      <c r="BT83" s="29"/>
      <c r="BU83" s="298"/>
      <c r="BV83" s="5"/>
      <c r="BW83" s="621">
        <v>300</v>
      </c>
      <c r="BX83" s="303"/>
      <c r="BY83" s="231"/>
      <c r="BZ83" s="21"/>
      <c r="CA83" s="6"/>
      <c r="CB83" s="35"/>
      <c r="CC83" s="612"/>
      <c r="CD83" s="21"/>
      <c r="CE83" s="6"/>
      <c r="CF83" s="625" t="s">
        <v>877</v>
      </c>
      <c r="CG83" s="787"/>
      <c r="CH83" s="21"/>
      <c r="CI83" s="6"/>
      <c r="CJ83" s="35"/>
      <c r="CK83" s="713"/>
      <c r="CL83" s="713"/>
      <c r="CM83" s="394"/>
      <c r="CN83" s="29"/>
      <c r="CO83" s="298"/>
      <c r="CP83" s="5"/>
      <c r="CQ83" s="256"/>
      <c r="CR83" s="303"/>
      <c r="CS83" s="231"/>
      <c r="CT83" s="121"/>
      <c r="CU83" s="6"/>
      <c r="CV83" s="35"/>
      <c r="CW83" s="612"/>
      <c r="CX83" s="21"/>
      <c r="CY83" s="6"/>
      <c r="CZ83" s="35"/>
      <c r="DA83" s="612"/>
      <c r="DB83" s="21"/>
      <c r="DC83" s="6"/>
      <c r="DD83" s="35"/>
      <c r="DE83" s="713"/>
      <c r="DF83" s="713"/>
      <c r="DG83" s="394"/>
      <c r="DH83" s="29"/>
      <c r="DI83" s="298"/>
      <c r="DJ83" s="5"/>
      <c r="DK83" s="240"/>
      <c r="DL83" s="303"/>
      <c r="DM83" s="231"/>
    </row>
    <row r="84" spans="1:117" x14ac:dyDescent="0.25">
      <c r="A84" s="18">
        <v>17159</v>
      </c>
      <c r="B84" s="11" t="s">
        <v>49</v>
      </c>
      <c r="C84" s="18" t="s">
        <v>51</v>
      </c>
      <c r="D84" s="11" t="s">
        <v>176</v>
      </c>
      <c r="E84" s="11"/>
      <c r="F84" s="149">
        <v>301</v>
      </c>
      <c r="G84" s="11" t="s">
        <v>649</v>
      </c>
      <c r="H84" s="25" t="s">
        <v>92</v>
      </c>
      <c r="I84" s="24"/>
      <c r="J84" s="536">
        <f t="shared" ref="J84:J91" si="192">SUM(M84,AG84,BA84,BU84)-L84</f>
        <v>490</v>
      </c>
      <c r="K84" s="394">
        <f t="shared" ref="K84:K136" si="193">M84-O84-L84</f>
        <v>-3</v>
      </c>
      <c r="L84" s="544">
        <v>41</v>
      </c>
      <c r="M84" s="298">
        <f>M82</f>
        <v>38</v>
      </c>
      <c r="N84" s="5">
        <f>M84-L84</f>
        <v>-3</v>
      </c>
      <c r="O84" s="256"/>
      <c r="P84" s="303">
        <f>P82</f>
        <v>38</v>
      </c>
      <c r="Q84" s="231">
        <f>L84+O84-P84</f>
        <v>3</v>
      </c>
      <c r="R84" s="121"/>
      <c r="S84" s="6"/>
      <c r="T84" s="35"/>
      <c r="U84" s="612"/>
      <c r="V84" s="21"/>
      <c r="W84" s="6"/>
      <c r="X84" s="35"/>
      <c r="Y84" s="612"/>
      <c r="Z84" s="21"/>
      <c r="AA84" s="6"/>
      <c r="AB84" s="35"/>
      <c r="AC84" s="713"/>
      <c r="AD84" s="713"/>
      <c r="AE84" s="394">
        <f t="shared" ref="AE84:AE91" si="194">SUM(M84,AG84)-SUM(O84,AI84)-L84</f>
        <v>-1422</v>
      </c>
      <c r="AF84" s="29">
        <f t="shared" ref="AF84:AF91" si="195">Q84</f>
        <v>3</v>
      </c>
      <c r="AG84" s="298">
        <f>AG82</f>
        <v>81</v>
      </c>
      <c r="AH84" s="5">
        <f>AG84-AF84</f>
        <v>78</v>
      </c>
      <c r="AI84" s="5">
        <v>1500</v>
      </c>
      <c r="AJ84" s="303">
        <f>AJ82</f>
        <v>81</v>
      </c>
      <c r="AK84" s="231">
        <f>AF84+AI84-AJ84</f>
        <v>1422</v>
      </c>
      <c r="AL84" s="121"/>
      <c r="AM84" s="6"/>
      <c r="AN84" s="35"/>
      <c r="AO84" s="612"/>
      <c r="AP84" s="21"/>
      <c r="AQ84" s="6"/>
      <c r="AR84" s="35"/>
      <c r="AS84" s="612"/>
      <c r="AT84" s="21"/>
      <c r="AU84" s="6"/>
      <c r="AV84" s="35"/>
      <c r="AW84" s="713"/>
      <c r="AX84" s="713"/>
      <c r="AY84" s="394">
        <f t="shared" ref="AY84:AY91" si="196">SUM(M84,AG84,BA84)-SUM(O84,AI84,BC84)-L84</f>
        <v>-1160</v>
      </c>
      <c r="AZ84" s="29">
        <f>AK84</f>
        <v>1422</v>
      </c>
      <c r="BA84" s="298">
        <f>BA82</f>
        <v>262</v>
      </c>
      <c r="BB84" s="5">
        <f>BA84-AZ84</f>
        <v>-1160</v>
      </c>
      <c r="BC84" s="256"/>
      <c r="BD84" s="303">
        <f>BD82</f>
        <v>262</v>
      </c>
      <c r="BE84" s="231">
        <f>AZ84+BC84-BD84</f>
        <v>1160</v>
      </c>
      <c r="BF84" s="121"/>
      <c r="BG84" s="6">
        <f>$F$84*50%*1500</f>
        <v>225750</v>
      </c>
      <c r="BH84" s="35" t="s">
        <v>645</v>
      </c>
      <c r="BI84" s="612"/>
      <c r="BJ84" s="21"/>
      <c r="BK84" s="6"/>
      <c r="BL84" s="35"/>
      <c r="BM84" s="612"/>
      <c r="BN84" s="21"/>
      <c r="BO84" s="6"/>
      <c r="BP84" s="35"/>
      <c r="BQ84" s="713"/>
      <c r="BR84" s="713"/>
      <c r="BS84" s="394">
        <f t="shared" ref="BS84:BS91" si="197">SUM(M84,AG84,BA84,BU84)-SUM(O84,AI84,BC84,BW84)-L84</f>
        <v>-1010</v>
      </c>
      <c r="BT84" s="29">
        <f>BE84</f>
        <v>1160</v>
      </c>
      <c r="BU84" s="298">
        <f>BU82</f>
        <v>150</v>
      </c>
      <c r="BV84" s="5">
        <f>BU84-BT84</f>
        <v>-1010</v>
      </c>
      <c r="BW84" s="240"/>
      <c r="BX84" s="303">
        <f>BX82</f>
        <v>56</v>
      </c>
      <c r="BY84" s="231">
        <f>BT84+BW84-BX84</f>
        <v>1104</v>
      </c>
      <c r="BZ84" s="21"/>
      <c r="CA84" s="6"/>
      <c r="CB84" s="35"/>
      <c r="CC84" s="612"/>
      <c r="CD84" s="235"/>
      <c r="CE84" s="199"/>
      <c r="CF84" s="148"/>
      <c r="CG84" s="711"/>
      <c r="CH84" s="21"/>
      <c r="CI84" s="199"/>
      <c r="CJ84" s="148"/>
      <c r="CK84" s="797"/>
      <c r="CL84" s="797"/>
      <c r="CM84" s="394">
        <f t="shared" ref="CM84:CM91" si="198">SUM(M84,AG84,BA84,BU84,CO84)-SUM(O84,AI84,BC84,BW84,CQ84)-L84</f>
        <v>-1010</v>
      </c>
      <c r="CN84" s="29">
        <f>BY84</f>
        <v>1104</v>
      </c>
      <c r="CO84" s="298">
        <f>CO82</f>
        <v>0</v>
      </c>
      <c r="CP84" s="5">
        <f>CO84-CN84</f>
        <v>-1104</v>
      </c>
      <c r="CQ84" s="256"/>
      <c r="CR84" s="303">
        <f>CR82</f>
        <v>0</v>
      </c>
      <c r="CS84" s="231">
        <f>CN84+CQ84-CR84</f>
        <v>1104</v>
      </c>
      <c r="CT84" s="121"/>
      <c r="CU84" s="6"/>
      <c r="CV84" s="35"/>
      <c r="CW84" s="612"/>
      <c r="CX84" s="21"/>
      <c r="CY84" s="6"/>
      <c r="CZ84" s="35"/>
      <c r="DA84" s="612"/>
      <c r="DB84" s="21"/>
      <c r="DC84" s="6"/>
      <c r="DD84" s="35"/>
      <c r="DE84" s="713"/>
      <c r="DF84" s="713"/>
      <c r="DG84" s="394">
        <f t="shared" ref="DG84:DG91" si="199">SUM(M84,AG84,BA84,BU84,DI84)-SUM(O84,AI84,BC84,BW84,CQ84)-L84</f>
        <v>-1010</v>
      </c>
      <c r="DH84" s="29">
        <f>BY84</f>
        <v>1104</v>
      </c>
      <c r="DI84" s="298">
        <f>DI82</f>
        <v>0</v>
      </c>
      <c r="DJ84" s="5">
        <f>DI84-DH84</f>
        <v>-1104</v>
      </c>
      <c r="DK84" s="240"/>
      <c r="DL84" s="303">
        <f>DL82</f>
        <v>0</v>
      </c>
      <c r="DM84" s="231">
        <f>DH84+DK84-DL84</f>
        <v>1104</v>
      </c>
    </row>
    <row r="85" spans="1:117" x14ac:dyDescent="0.25">
      <c r="A85" s="18">
        <v>17394</v>
      </c>
      <c r="B85" s="11" t="s">
        <v>596</v>
      </c>
      <c r="C85" s="18">
        <v>1</v>
      </c>
      <c r="D85" s="11"/>
      <c r="E85" s="11"/>
      <c r="F85" s="568">
        <f>162*1.2</f>
        <v>194.4</v>
      </c>
      <c r="G85" s="11" t="s">
        <v>50</v>
      </c>
      <c r="H85" s="147" t="s">
        <v>170</v>
      </c>
      <c r="I85" s="294"/>
      <c r="J85" s="536">
        <f t="shared" si="192"/>
        <v>288</v>
      </c>
      <c r="K85" s="394">
        <f t="shared" si="193"/>
        <v>-205</v>
      </c>
      <c r="L85" s="544">
        <v>243</v>
      </c>
      <c r="M85" s="298">
        <f>M82</f>
        <v>38</v>
      </c>
      <c r="N85" s="5">
        <f t="shared" ref="N85:N91" si="200">M85-L85</f>
        <v>-205</v>
      </c>
      <c r="O85" s="256"/>
      <c r="P85" s="303">
        <f>P82</f>
        <v>38</v>
      </c>
      <c r="Q85" s="231">
        <f t="shared" ref="Q85:Q91" si="201">L85+O85-P85</f>
        <v>205</v>
      </c>
      <c r="R85" s="21"/>
      <c r="S85" s="6"/>
      <c r="T85" s="35"/>
      <c r="U85" s="612"/>
      <c r="V85" s="573">
        <f>$F$85*50%*400</f>
        <v>38880</v>
      </c>
      <c r="W85" s="6"/>
      <c r="X85" s="35" t="s">
        <v>715</v>
      </c>
      <c r="Y85" s="612"/>
      <c r="Z85" s="21"/>
      <c r="AA85" s="6"/>
      <c r="AB85" s="35"/>
      <c r="AC85" s="713"/>
      <c r="AD85" s="713"/>
      <c r="AE85" s="394">
        <f t="shared" si="194"/>
        <v>-524</v>
      </c>
      <c r="AF85" s="29">
        <f t="shared" si="195"/>
        <v>205</v>
      </c>
      <c r="AG85" s="298">
        <f>AG82</f>
        <v>81</v>
      </c>
      <c r="AH85" s="5">
        <f t="shared" ref="AH85:AH91" si="202">AG85-AF85</f>
        <v>-124</v>
      </c>
      <c r="AI85" s="256">
        <v>400</v>
      </c>
      <c r="AJ85" s="303">
        <f>AJ82</f>
        <v>81</v>
      </c>
      <c r="AK85" s="231">
        <f t="shared" ref="AK85:AK91" si="203">AF85+AI85-AJ85</f>
        <v>524</v>
      </c>
      <c r="AL85" s="21"/>
      <c r="AM85" s="583">
        <f>$F$85*50%*400</f>
        <v>38880</v>
      </c>
      <c r="AN85" s="35" t="s">
        <v>716</v>
      </c>
      <c r="AO85" s="612"/>
      <c r="AP85" s="121"/>
      <c r="AQ85" s="6"/>
      <c r="AR85" s="35"/>
      <c r="AS85" s="612"/>
      <c r="AT85" s="21"/>
      <c r="AU85" s="6"/>
      <c r="AV85" s="35"/>
      <c r="AW85" s="713"/>
      <c r="AX85" s="713"/>
      <c r="AY85" s="394">
        <f t="shared" si="196"/>
        <v>-262</v>
      </c>
      <c r="AZ85" s="29">
        <f t="shared" ref="AZ85:AZ91" si="204">AK85</f>
        <v>524</v>
      </c>
      <c r="BA85" s="298">
        <f>BA82</f>
        <v>262</v>
      </c>
      <c r="BB85" s="5">
        <f t="shared" ref="BB85:BB91" si="205">BA85-AZ85</f>
        <v>-262</v>
      </c>
      <c r="BC85" s="256"/>
      <c r="BD85" s="303">
        <f>BD82</f>
        <v>262</v>
      </c>
      <c r="BE85" s="231">
        <f t="shared" ref="BE85:BE91" si="206">AZ85+BC85-BD85</f>
        <v>262</v>
      </c>
      <c r="BF85" s="21"/>
      <c r="BG85" s="6"/>
      <c r="BH85" s="35"/>
      <c r="BI85" s="612"/>
      <c r="BJ85" s="121"/>
      <c r="BK85" s="6"/>
      <c r="BL85" s="216"/>
      <c r="BM85" s="707"/>
      <c r="BN85" s="527"/>
      <c r="BO85" s="6"/>
      <c r="BP85" s="216"/>
      <c r="BQ85" s="716"/>
      <c r="BR85" s="716"/>
      <c r="BS85" s="394">
        <f t="shared" si="197"/>
        <v>-512</v>
      </c>
      <c r="BT85" s="29">
        <f t="shared" ref="BT85:BT91" si="207">BE85</f>
        <v>262</v>
      </c>
      <c r="BU85" s="298">
        <f>BU82</f>
        <v>150</v>
      </c>
      <c r="BV85" s="5">
        <f t="shared" ref="BV85:BV91" si="208">BU85-BT85</f>
        <v>-112</v>
      </c>
      <c r="BW85" s="621">
        <v>400</v>
      </c>
      <c r="BX85" s="303">
        <f>BX82</f>
        <v>56</v>
      </c>
      <c r="BY85" s="231">
        <f t="shared" ref="BY85:BY91" si="209">BT85+BW85-BX85</f>
        <v>606</v>
      </c>
      <c r="BZ85" s="21"/>
      <c r="CA85" s="6"/>
      <c r="CB85" s="35"/>
      <c r="CC85" s="612"/>
      <c r="CD85" s="666">
        <f>F85*BW85/2</f>
        <v>38880</v>
      </c>
      <c r="CE85" s="663"/>
      <c r="CF85" s="664" t="s">
        <v>929</v>
      </c>
      <c r="CG85" s="773"/>
      <c r="CH85" s="21"/>
      <c r="CI85" s="235"/>
      <c r="CJ85" s="148"/>
      <c r="CK85" s="797"/>
      <c r="CL85" s="797"/>
      <c r="CM85" s="394">
        <f t="shared" si="198"/>
        <v>-512</v>
      </c>
      <c r="CN85" s="29">
        <f t="shared" ref="CN85:CN91" si="210">BY85</f>
        <v>606</v>
      </c>
      <c r="CO85" s="298">
        <f>CO82</f>
        <v>0</v>
      </c>
      <c r="CP85" s="5">
        <f t="shared" ref="CP85:CP91" si="211">CO85-CN85</f>
        <v>-606</v>
      </c>
      <c r="CQ85" s="240"/>
      <c r="CR85" s="303">
        <f>CR82</f>
        <v>0</v>
      </c>
      <c r="CS85" s="231">
        <f t="shared" ref="CS85:CS91" si="212">CN85+CQ85-CR85</f>
        <v>606</v>
      </c>
      <c r="CT85" s="21"/>
      <c r="CU85" s="628">
        <v>38880</v>
      </c>
      <c r="CV85" s="625" t="s">
        <v>930</v>
      </c>
      <c r="CW85" s="787"/>
      <c r="CX85" s="121"/>
      <c r="CY85" s="6"/>
      <c r="CZ85" s="35"/>
      <c r="DA85" s="612"/>
      <c r="DB85" s="21"/>
      <c r="DC85" s="6"/>
      <c r="DD85" s="35"/>
      <c r="DE85" s="713"/>
      <c r="DF85" s="713"/>
      <c r="DG85" s="394">
        <f t="shared" si="199"/>
        <v>-512</v>
      </c>
      <c r="DH85" s="29">
        <f t="shared" ref="DH85:DH91" si="213">BY85</f>
        <v>606</v>
      </c>
      <c r="DI85" s="298">
        <f>DI82</f>
        <v>0</v>
      </c>
      <c r="DJ85" s="5">
        <f t="shared" ref="DJ85:DJ91" si="214">DI85-DH85</f>
        <v>-606</v>
      </c>
      <c r="DK85" s="240"/>
      <c r="DL85" s="303">
        <f>DL82</f>
        <v>0</v>
      </c>
      <c r="DM85" s="231">
        <f t="shared" ref="DM85:DM91" si="215">DH85+DK85-DL85</f>
        <v>606</v>
      </c>
    </row>
    <row r="86" spans="1:117" ht="45" x14ac:dyDescent="0.25">
      <c r="A86" s="18">
        <v>17313</v>
      </c>
      <c r="B86" s="15" t="s">
        <v>965</v>
      </c>
      <c r="C86" s="18">
        <v>1</v>
      </c>
      <c r="D86" s="11"/>
      <c r="E86" s="11"/>
      <c r="F86" s="568">
        <f>98*1.2</f>
        <v>117.6</v>
      </c>
      <c r="G86" s="11" t="s">
        <v>50</v>
      </c>
      <c r="H86" s="147" t="s">
        <v>170</v>
      </c>
      <c r="I86" s="294"/>
      <c r="J86" s="536">
        <f t="shared" si="192"/>
        <v>282</v>
      </c>
      <c r="K86" s="394">
        <f t="shared" si="193"/>
        <v>-211</v>
      </c>
      <c r="L86" s="544">
        <v>249</v>
      </c>
      <c r="M86" s="298">
        <f>M82</f>
        <v>38</v>
      </c>
      <c r="N86" s="5">
        <f t="shared" si="200"/>
        <v>-211</v>
      </c>
      <c r="O86" s="256"/>
      <c r="P86" s="303">
        <f>P82</f>
        <v>38</v>
      </c>
      <c r="Q86" s="231">
        <f t="shared" si="201"/>
        <v>211</v>
      </c>
      <c r="R86" s="121"/>
      <c r="S86" s="6"/>
      <c r="T86" s="35"/>
      <c r="U86" s="612"/>
      <c r="V86" s="573">
        <f>$F$86*50%*400</f>
        <v>23520</v>
      </c>
      <c r="W86" s="6"/>
      <c r="X86" s="35" t="s">
        <v>715</v>
      </c>
      <c r="Y86" s="612"/>
      <c r="Z86" s="21"/>
      <c r="AA86" s="6"/>
      <c r="AB86" s="35"/>
      <c r="AC86" s="713"/>
      <c r="AD86" s="713"/>
      <c r="AE86" s="394">
        <f t="shared" si="194"/>
        <v>-530</v>
      </c>
      <c r="AF86" s="29">
        <f t="shared" si="195"/>
        <v>211</v>
      </c>
      <c r="AG86" s="298">
        <f>AG82</f>
        <v>81</v>
      </c>
      <c r="AH86" s="5">
        <f t="shared" si="202"/>
        <v>-130</v>
      </c>
      <c r="AI86" s="256">
        <v>400</v>
      </c>
      <c r="AJ86" s="303">
        <f>AJ82</f>
        <v>81</v>
      </c>
      <c r="AK86" s="231">
        <f t="shared" si="203"/>
        <v>530</v>
      </c>
      <c r="AL86" s="121"/>
      <c r="AM86" s="583">
        <f>$F$86*50%*400</f>
        <v>23520</v>
      </c>
      <c r="AN86" s="35" t="s">
        <v>716</v>
      </c>
      <c r="AO86" s="612"/>
      <c r="AP86" s="121"/>
      <c r="AQ86" s="6"/>
      <c r="AR86" s="35"/>
      <c r="AS86" s="612"/>
      <c r="AT86" s="21"/>
      <c r="AU86" s="6"/>
      <c r="AV86" s="35"/>
      <c r="AW86" s="713"/>
      <c r="AX86" s="713"/>
      <c r="AY86" s="394">
        <f t="shared" si="196"/>
        <v>-268</v>
      </c>
      <c r="AZ86" s="29">
        <f t="shared" si="204"/>
        <v>530</v>
      </c>
      <c r="BA86" s="298">
        <f>BA82</f>
        <v>262</v>
      </c>
      <c r="BB86" s="5">
        <f t="shared" si="205"/>
        <v>-268</v>
      </c>
      <c r="BC86" s="256"/>
      <c r="BD86" s="303">
        <f>BD82</f>
        <v>262</v>
      </c>
      <c r="BE86" s="231">
        <f t="shared" si="206"/>
        <v>268</v>
      </c>
      <c r="BF86" s="121"/>
      <c r="BG86" s="6"/>
      <c r="BH86" s="35"/>
      <c r="BI86" s="612"/>
      <c r="BJ86" s="121"/>
      <c r="BK86" s="6"/>
      <c r="BL86" s="216"/>
      <c r="BM86" s="707"/>
      <c r="BN86" s="527"/>
      <c r="BO86" s="6"/>
      <c r="BP86" s="216"/>
      <c r="BQ86" s="716"/>
      <c r="BR86" s="716"/>
      <c r="BS86" s="394">
        <f t="shared" si="197"/>
        <v>-518</v>
      </c>
      <c r="BT86" s="29">
        <f t="shared" si="207"/>
        <v>268</v>
      </c>
      <c r="BU86" s="298">
        <f>BU82</f>
        <v>150</v>
      </c>
      <c r="BV86" s="5">
        <f t="shared" si="208"/>
        <v>-118</v>
      </c>
      <c r="BW86" s="621">
        <v>400</v>
      </c>
      <c r="BX86" s="303">
        <f>BX82</f>
        <v>56</v>
      </c>
      <c r="BY86" s="231">
        <f t="shared" si="209"/>
        <v>612</v>
      </c>
      <c r="BZ86" s="21"/>
      <c r="CA86" s="6"/>
      <c r="CB86" s="35"/>
      <c r="CC86" s="612"/>
      <c r="CD86" s="666">
        <f>F86*BW86/2</f>
        <v>23520</v>
      </c>
      <c r="CE86" s="663"/>
      <c r="CF86" s="664" t="s">
        <v>929</v>
      </c>
      <c r="CG86" s="773"/>
      <c r="CH86" s="526"/>
      <c r="CI86" s="199"/>
      <c r="CJ86" s="148"/>
      <c r="CK86" s="797"/>
      <c r="CL86" s="797"/>
      <c r="CM86" s="394">
        <f t="shared" si="198"/>
        <v>-518</v>
      </c>
      <c r="CN86" s="29">
        <f t="shared" si="210"/>
        <v>612</v>
      </c>
      <c r="CO86" s="298">
        <f>CO82</f>
        <v>0</v>
      </c>
      <c r="CP86" s="5">
        <f t="shared" si="211"/>
        <v>-612</v>
      </c>
      <c r="CQ86" s="240"/>
      <c r="CR86" s="303">
        <f>CR82</f>
        <v>0</v>
      </c>
      <c r="CS86" s="231">
        <f t="shared" si="212"/>
        <v>612</v>
      </c>
      <c r="CT86" s="526"/>
      <c r="CU86" s="629">
        <v>23520</v>
      </c>
      <c r="CV86" s="625" t="s">
        <v>930</v>
      </c>
      <c r="CW86" s="787"/>
      <c r="CX86" s="121"/>
      <c r="CY86" s="6"/>
      <c r="CZ86" s="35"/>
      <c r="DA86" s="612"/>
      <c r="DB86" s="21"/>
      <c r="DC86" s="6"/>
      <c r="DD86" s="35"/>
      <c r="DE86" s="713"/>
      <c r="DF86" s="713"/>
      <c r="DG86" s="394">
        <f t="shared" si="199"/>
        <v>-518</v>
      </c>
      <c r="DH86" s="29">
        <f t="shared" si="213"/>
        <v>612</v>
      </c>
      <c r="DI86" s="298">
        <f>DI82</f>
        <v>0</v>
      </c>
      <c r="DJ86" s="5">
        <f t="shared" si="214"/>
        <v>-612</v>
      </c>
      <c r="DK86" s="240"/>
      <c r="DL86" s="303">
        <f>DL82</f>
        <v>0</v>
      </c>
      <c r="DM86" s="231">
        <f t="shared" si="215"/>
        <v>612</v>
      </c>
    </row>
    <row r="87" spans="1:117" ht="37.9" customHeight="1" x14ac:dyDescent="0.25">
      <c r="A87" s="18"/>
      <c r="B87" s="15" t="s">
        <v>970</v>
      </c>
      <c r="C87" s="18">
        <v>1</v>
      </c>
      <c r="D87" s="345" t="s">
        <v>972</v>
      </c>
      <c r="E87" s="345"/>
      <c r="F87" s="568">
        <v>9</v>
      </c>
      <c r="G87" s="23" t="s">
        <v>757</v>
      </c>
      <c r="H87" s="147" t="s">
        <v>34</v>
      </c>
      <c r="I87" s="294"/>
      <c r="J87" s="536">
        <f t="shared" si="192"/>
        <v>289</v>
      </c>
      <c r="K87" s="394">
        <f t="shared" si="193"/>
        <v>-604</v>
      </c>
      <c r="L87" s="544">
        <v>242</v>
      </c>
      <c r="M87" s="298">
        <f>M82</f>
        <v>38</v>
      </c>
      <c r="N87" s="5">
        <f t="shared" si="200"/>
        <v>-204</v>
      </c>
      <c r="O87" s="256">
        <v>400</v>
      </c>
      <c r="P87" s="303">
        <f>P82</f>
        <v>38</v>
      </c>
      <c r="Q87" s="231">
        <f t="shared" si="201"/>
        <v>604</v>
      </c>
      <c r="R87" s="21"/>
      <c r="S87" s="6"/>
      <c r="T87" s="35"/>
      <c r="U87" s="612"/>
      <c r="V87" s="21"/>
      <c r="W87" s="6"/>
      <c r="X87" s="35"/>
      <c r="Y87" s="612"/>
      <c r="Z87" s="573">
        <f>$F$87*100%*400</f>
        <v>3600</v>
      </c>
      <c r="AA87" s="6"/>
      <c r="AB87" s="35" t="s">
        <v>705</v>
      </c>
      <c r="AC87" s="713"/>
      <c r="AD87" s="713"/>
      <c r="AE87" s="394">
        <f t="shared" si="194"/>
        <v>-523</v>
      </c>
      <c r="AF87" s="29">
        <f t="shared" si="195"/>
        <v>604</v>
      </c>
      <c r="AG87" s="298">
        <f>AG82</f>
        <v>81</v>
      </c>
      <c r="AH87" s="5">
        <f t="shared" si="202"/>
        <v>-523</v>
      </c>
      <c r="AI87" s="256"/>
      <c r="AJ87" s="303">
        <f>AJ82</f>
        <v>81</v>
      </c>
      <c r="AK87" s="231">
        <f t="shared" si="203"/>
        <v>523</v>
      </c>
      <c r="AL87" s="21"/>
      <c r="AM87" s="6"/>
      <c r="AN87" s="35"/>
      <c r="AO87" s="612"/>
      <c r="AP87" s="121"/>
      <c r="AQ87" s="6"/>
      <c r="AR87" s="35"/>
      <c r="AS87" s="612"/>
      <c r="AT87" s="21"/>
      <c r="AU87" s="6"/>
      <c r="AV87" s="35"/>
      <c r="AW87" s="713"/>
      <c r="AX87" s="713"/>
      <c r="AY87" s="394">
        <f t="shared" si="196"/>
        <v>-261</v>
      </c>
      <c r="AZ87" s="29">
        <f t="shared" si="204"/>
        <v>523</v>
      </c>
      <c r="BA87" s="298">
        <f>BA82</f>
        <v>262</v>
      </c>
      <c r="BB87" s="5">
        <f t="shared" si="205"/>
        <v>-261</v>
      </c>
      <c r="BC87" s="256"/>
      <c r="BD87" s="303">
        <f>BD82</f>
        <v>262</v>
      </c>
      <c r="BE87" s="231">
        <f t="shared" si="206"/>
        <v>261</v>
      </c>
      <c r="BF87" s="21"/>
      <c r="BG87" s="6"/>
      <c r="BH87" s="35"/>
      <c r="BI87" s="612"/>
      <c r="BJ87" s="121"/>
      <c r="BK87" s="6"/>
      <c r="BL87" s="216"/>
      <c r="BM87" s="707"/>
      <c r="BN87" s="21"/>
      <c r="BO87" s="6"/>
      <c r="BP87" s="35"/>
      <c r="BQ87" s="713"/>
      <c r="BR87" s="713"/>
      <c r="BS87" s="394">
        <f t="shared" si="197"/>
        <v>-411</v>
      </c>
      <c r="BT87" s="29">
        <f t="shared" si="207"/>
        <v>261</v>
      </c>
      <c r="BU87" s="298">
        <f>BU82</f>
        <v>150</v>
      </c>
      <c r="BV87" s="5">
        <f t="shared" si="208"/>
        <v>-111</v>
      </c>
      <c r="BW87" s="623">
        <v>300</v>
      </c>
      <c r="BX87" s="303">
        <f>BX82</f>
        <v>56</v>
      </c>
      <c r="BY87" s="231">
        <f t="shared" si="209"/>
        <v>505</v>
      </c>
      <c r="BZ87" s="21"/>
      <c r="CA87" s="6"/>
      <c r="CB87" s="35"/>
      <c r="CC87" s="612"/>
      <c r="CD87" s="666">
        <f>F87*BW87</f>
        <v>2700</v>
      </c>
      <c r="CE87" s="663"/>
      <c r="CF87" s="700" t="s">
        <v>889</v>
      </c>
      <c r="CG87" s="788"/>
      <c r="CH87" s="21"/>
      <c r="CI87" s="6"/>
      <c r="CJ87" s="148"/>
      <c r="CK87" s="797"/>
      <c r="CL87" s="797"/>
      <c r="CM87" s="394">
        <f t="shared" si="198"/>
        <v>-411</v>
      </c>
      <c r="CN87" s="29">
        <f t="shared" si="210"/>
        <v>505</v>
      </c>
      <c r="CO87" s="298">
        <f>CO82</f>
        <v>0</v>
      </c>
      <c r="CP87" s="5">
        <f t="shared" si="211"/>
        <v>-505</v>
      </c>
      <c r="CQ87" s="240"/>
      <c r="CR87" s="303">
        <f>CR82</f>
        <v>0</v>
      </c>
      <c r="CS87" s="231">
        <f t="shared" si="212"/>
        <v>505</v>
      </c>
      <c r="CT87" s="21"/>
      <c r="CU87" s="6"/>
      <c r="CV87" s="35"/>
      <c r="CW87" s="612"/>
      <c r="CX87" s="121"/>
      <c r="CY87" s="6"/>
      <c r="CZ87" s="35"/>
      <c r="DA87" s="612"/>
      <c r="DB87" s="21"/>
      <c r="DC87" s="6"/>
      <c r="DD87" s="35"/>
      <c r="DE87" s="713"/>
      <c r="DF87" s="713"/>
      <c r="DG87" s="394">
        <f t="shared" si="199"/>
        <v>-411</v>
      </c>
      <c r="DH87" s="29">
        <f t="shared" si="213"/>
        <v>505</v>
      </c>
      <c r="DI87" s="298">
        <f>DI82</f>
        <v>0</v>
      </c>
      <c r="DJ87" s="5">
        <f t="shared" si="214"/>
        <v>-505</v>
      </c>
      <c r="DK87" s="240"/>
      <c r="DL87" s="303">
        <f>DL82</f>
        <v>0</v>
      </c>
      <c r="DM87" s="231">
        <f t="shared" si="215"/>
        <v>505</v>
      </c>
    </row>
    <row r="88" spans="1:117" ht="38.25" x14ac:dyDescent="0.25">
      <c r="A88" s="18"/>
      <c r="B88" s="15" t="s">
        <v>971</v>
      </c>
      <c r="C88" s="18">
        <v>1</v>
      </c>
      <c r="D88" s="11"/>
      <c r="E88" s="11"/>
      <c r="F88" s="568">
        <v>16.329999999999998</v>
      </c>
      <c r="G88" s="23" t="s">
        <v>757</v>
      </c>
      <c r="H88" s="147" t="s">
        <v>34</v>
      </c>
      <c r="I88" s="294"/>
      <c r="J88" s="536">
        <f t="shared" si="192"/>
        <v>265</v>
      </c>
      <c r="K88" s="394">
        <f t="shared" si="193"/>
        <v>-628</v>
      </c>
      <c r="L88" s="544">
        <v>266</v>
      </c>
      <c r="M88" s="298">
        <f>M82</f>
        <v>38</v>
      </c>
      <c r="N88" s="5">
        <f t="shared" si="200"/>
        <v>-228</v>
      </c>
      <c r="O88" s="256">
        <v>400</v>
      </c>
      <c r="P88" s="303">
        <f>P82</f>
        <v>38</v>
      </c>
      <c r="Q88" s="231">
        <f t="shared" si="201"/>
        <v>628</v>
      </c>
      <c r="R88" s="21"/>
      <c r="S88" s="6"/>
      <c r="T88" s="35"/>
      <c r="U88" s="612"/>
      <c r="V88" s="21"/>
      <c r="W88" s="6"/>
      <c r="X88" s="35"/>
      <c r="Y88" s="612"/>
      <c r="Z88" s="573">
        <f>$F$88*100%*400</f>
        <v>6531.9999999999991</v>
      </c>
      <c r="AA88" s="6"/>
      <c r="AB88" s="35" t="s">
        <v>705</v>
      </c>
      <c r="AC88" s="713"/>
      <c r="AD88" s="713"/>
      <c r="AE88" s="394">
        <f t="shared" si="194"/>
        <v>-547</v>
      </c>
      <c r="AF88" s="29">
        <f t="shared" si="195"/>
        <v>628</v>
      </c>
      <c r="AG88" s="298">
        <f>AG82</f>
        <v>81</v>
      </c>
      <c r="AH88" s="5">
        <f t="shared" si="202"/>
        <v>-547</v>
      </c>
      <c r="AI88" s="256"/>
      <c r="AJ88" s="303">
        <f>AJ82</f>
        <v>81</v>
      </c>
      <c r="AK88" s="231">
        <f t="shared" si="203"/>
        <v>547</v>
      </c>
      <c r="AL88" s="21"/>
      <c r="AM88" s="6"/>
      <c r="AN88" s="35"/>
      <c r="AO88" s="612"/>
      <c r="AP88" s="121"/>
      <c r="AQ88" s="6"/>
      <c r="AR88" s="35"/>
      <c r="AS88" s="612"/>
      <c r="AT88" s="21"/>
      <c r="AU88" s="6"/>
      <c r="AV88" s="35"/>
      <c r="AW88" s="713"/>
      <c r="AX88" s="713"/>
      <c r="AY88" s="394">
        <f t="shared" si="196"/>
        <v>-285</v>
      </c>
      <c r="AZ88" s="29">
        <f t="shared" si="204"/>
        <v>547</v>
      </c>
      <c r="BA88" s="298">
        <f>BA82</f>
        <v>262</v>
      </c>
      <c r="BB88" s="5">
        <f t="shared" si="205"/>
        <v>-285</v>
      </c>
      <c r="BC88" s="256"/>
      <c r="BD88" s="303">
        <f>BD82</f>
        <v>262</v>
      </c>
      <c r="BE88" s="231">
        <f t="shared" si="206"/>
        <v>285</v>
      </c>
      <c r="BF88" s="21"/>
      <c r="BG88" s="6"/>
      <c r="BH88" s="35"/>
      <c r="BI88" s="612"/>
      <c r="BJ88" s="121"/>
      <c r="BK88" s="6"/>
      <c r="BL88" s="216"/>
      <c r="BM88" s="707"/>
      <c r="BN88" s="21"/>
      <c r="BO88" s="6"/>
      <c r="BP88" s="35"/>
      <c r="BQ88" s="713"/>
      <c r="BR88" s="713"/>
      <c r="BS88" s="394">
        <f t="shared" si="197"/>
        <v>-435</v>
      </c>
      <c r="BT88" s="29">
        <f t="shared" si="207"/>
        <v>285</v>
      </c>
      <c r="BU88" s="298">
        <f>BU82</f>
        <v>150</v>
      </c>
      <c r="BV88" s="5">
        <f t="shared" si="208"/>
        <v>-135</v>
      </c>
      <c r="BW88" s="621">
        <v>300</v>
      </c>
      <c r="BX88" s="303">
        <f>BX82</f>
        <v>56</v>
      </c>
      <c r="BY88" s="231">
        <f t="shared" si="209"/>
        <v>529</v>
      </c>
      <c r="BZ88" s="21"/>
      <c r="CA88" s="6"/>
      <c r="CB88" s="35"/>
      <c r="CC88" s="612"/>
      <c r="CD88" s="666">
        <f>F88*BW88</f>
        <v>4898.9999999999991</v>
      </c>
      <c r="CE88" s="663"/>
      <c r="CF88" s="700" t="s">
        <v>889</v>
      </c>
      <c r="CG88" s="788"/>
      <c r="CH88" s="21"/>
      <c r="CI88" s="6"/>
      <c r="CM88" s="394">
        <f t="shared" si="198"/>
        <v>-435</v>
      </c>
      <c r="CN88" s="29">
        <f t="shared" si="210"/>
        <v>529</v>
      </c>
      <c r="CO88" s="298">
        <f>CO82</f>
        <v>0</v>
      </c>
      <c r="CP88" s="5">
        <f t="shared" si="211"/>
        <v>-529</v>
      </c>
      <c r="CQ88" s="240"/>
      <c r="CR88" s="303">
        <f>CR82</f>
        <v>0</v>
      </c>
      <c r="CS88" s="231">
        <f t="shared" si="212"/>
        <v>529</v>
      </c>
      <c r="CT88" s="21"/>
      <c r="CU88" s="6"/>
      <c r="CV88" s="35"/>
      <c r="CW88" s="612"/>
      <c r="CX88" s="121"/>
      <c r="CY88" s="6"/>
      <c r="CZ88" s="35"/>
      <c r="DA88" s="612"/>
      <c r="DB88" s="21"/>
      <c r="DC88" s="6"/>
      <c r="DD88" s="35"/>
      <c r="DE88" s="713"/>
      <c r="DF88" s="713"/>
      <c r="DG88" s="394">
        <f t="shared" si="199"/>
        <v>-435</v>
      </c>
      <c r="DH88" s="29">
        <f t="shared" si="213"/>
        <v>529</v>
      </c>
      <c r="DI88" s="298">
        <f>DI82</f>
        <v>0</v>
      </c>
      <c r="DJ88" s="5">
        <f t="shared" si="214"/>
        <v>-529</v>
      </c>
      <c r="DK88" s="240"/>
      <c r="DL88" s="303">
        <f>DL82</f>
        <v>0</v>
      </c>
      <c r="DM88" s="231">
        <f t="shared" si="215"/>
        <v>529</v>
      </c>
    </row>
    <row r="89" spans="1:117" ht="29.45" customHeight="1" x14ac:dyDescent="0.25">
      <c r="A89" s="18"/>
      <c r="B89" s="15" t="s">
        <v>953</v>
      </c>
      <c r="C89" s="18">
        <v>5</v>
      </c>
      <c r="D89" s="388" t="s">
        <v>952</v>
      </c>
      <c r="E89" s="388"/>
      <c r="F89" s="568">
        <v>2.75</v>
      </c>
      <c r="G89" s="15" t="s">
        <v>759</v>
      </c>
      <c r="H89" s="147" t="s">
        <v>23</v>
      </c>
      <c r="I89" s="294"/>
      <c r="J89" s="536">
        <f t="shared" si="192"/>
        <v>1154</v>
      </c>
      <c r="K89" s="394">
        <f t="shared" si="193"/>
        <v>-4311</v>
      </c>
      <c r="L89" s="544">
        <v>1501</v>
      </c>
      <c r="M89" s="298">
        <f>M82*5</f>
        <v>190</v>
      </c>
      <c r="N89" s="5">
        <f t="shared" si="200"/>
        <v>-1311</v>
      </c>
      <c r="O89" s="256">
        <v>3000</v>
      </c>
      <c r="P89" s="303">
        <f>P82*5</f>
        <v>190</v>
      </c>
      <c r="Q89" s="231">
        <f t="shared" si="201"/>
        <v>4311</v>
      </c>
      <c r="R89" s="121"/>
      <c r="S89" s="6"/>
      <c r="T89" s="35"/>
      <c r="U89" s="612"/>
      <c r="V89" s="121"/>
      <c r="W89" s="6"/>
      <c r="X89" s="35"/>
      <c r="Y89" s="612"/>
      <c r="Z89" s="573">
        <f>$F$89*100%*3000</f>
        <v>8250</v>
      </c>
      <c r="AA89" s="6"/>
      <c r="AB89" s="35" t="s">
        <v>709</v>
      </c>
      <c r="AC89" s="713"/>
      <c r="AD89" s="713"/>
      <c r="AE89" s="394">
        <f t="shared" si="194"/>
        <v>-3906</v>
      </c>
      <c r="AF89" s="29">
        <f t="shared" si="195"/>
        <v>4311</v>
      </c>
      <c r="AG89" s="298">
        <f>AG82*5</f>
        <v>405</v>
      </c>
      <c r="AH89" s="5">
        <f t="shared" si="202"/>
        <v>-3906</v>
      </c>
      <c r="AI89" s="256"/>
      <c r="AJ89" s="303">
        <f>AJ82*5</f>
        <v>405</v>
      </c>
      <c r="AK89" s="231">
        <f t="shared" si="203"/>
        <v>3906</v>
      </c>
      <c r="AL89" s="21"/>
      <c r="AM89" s="6"/>
      <c r="AN89" s="35"/>
      <c r="AO89" s="612"/>
      <c r="AP89" s="121"/>
      <c r="AQ89" s="6"/>
      <c r="AR89" s="35"/>
      <c r="AS89" s="612"/>
      <c r="AT89" s="21"/>
      <c r="AU89" s="6"/>
      <c r="AV89" s="35"/>
      <c r="AW89" s="713"/>
      <c r="AX89" s="713"/>
      <c r="AY89" s="394">
        <f t="shared" si="196"/>
        <v>-2596</v>
      </c>
      <c r="AZ89" s="29">
        <f t="shared" si="204"/>
        <v>3906</v>
      </c>
      <c r="BA89" s="298">
        <f>BA82*5</f>
        <v>1310</v>
      </c>
      <c r="BB89" s="5">
        <f t="shared" si="205"/>
        <v>-2596</v>
      </c>
      <c r="BC89" s="256"/>
      <c r="BD89" s="303">
        <f>BD82*5</f>
        <v>1310</v>
      </c>
      <c r="BE89" s="231">
        <f t="shared" si="206"/>
        <v>2596</v>
      </c>
      <c r="BF89" s="121"/>
      <c r="BG89" s="6"/>
      <c r="BH89" s="35"/>
      <c r="BI89" s="612"/>
      <c r="BJ89" s="121"/>
      <c r="BK89" s="6"/>
      <c r="BL89" s="35"/>
      <c r="BM89" s="612"/>
      <c r="BN89" s="21"/>
      <c r="BO89" s="6"/>
      <c r="BP89" s="35"/>
      <c r="BQ89" s="713"/>
      <c r="BR89" s="713"/>
      <c r="BS89" s="394">
        <f t="shared" si="197"/>
        <v>-4846</v>
      </c>
      <c r="BT89" s="29">
        <f t="shared" si="207"/>
        <v>2596</v>
      </c>
      <c r="BU89" s="298">
        <f>BU82*5</f>
        <v>750</v>
      </c>
      <c r="BV89" s="5">
        <f t="shared" si="208"/>
        <v>-1846</v>
      </c>
      <c r="BW89" s="621">
        <v>3000</v>
      </c>
      <c r="BX89" s="303">
        <f>BX82*5</f>
        <v>280</v>
      </c>
      <c r="BY89" s="231">
        <f t="shared" si="209"/>
        <v>5316</v>
      </c>
      <c r="BZ89" s="21"/>
      <c r="CA89" s="6"/>
      <c r="CB89" s="35"/>
      <c r="CC89" s="612"/>
      <c r="CD89" s="215"/>
      <c r="CE89" s="199"/>
      <c r="CF89" s="271"/>
      <c r="CG89" s="778"/>
      <c r="CH89" s="121"/>
      <c r="CI89" s="629">
        <f>$F$89*$BW$89</f>
        <v>8250</v>
      </c>
      <c r="CJ89" s="650" t="s">
        <v>924</v>
      </c>
      <c r="CK89" s="802"/>
      <c r="CL89" s="802"/>
      <c r="CM89" s="394">
        <f t="shared" si="198"/>
        <v>-4846</v>
      </c>
      <c r="CN89" s="29">
        <f t="shared" si="210"/>
        <v>5316</v>
      </c>
      <c r="CO89" s="298">
        <f>CO82*5</f>
        <v>0</v>
      </c>
      <c r="CP89" s="5">
        <f t="shared" si="211"/>
        <v>-5316</v>
      </c>
      <c r="CQ89" s="240"/>
      <c r="CR89" s="303">
        <f>CR82*5</f>
        <v>0</v>
      </c>
      <c r="CS89" s="231">
        <f t="shared" si="212"/>
        <v>5316</v>
      </c>
      <c r="CT89" s="121"/>
      <c r="CU89" s="6"/>
      <c r="CV89" s="35"/>
      <c r="CW89" s="612"/>
      <c r="CX89" s="121"/>
      <c r="CY89" s="6"/>
      <c r="CZ89" s="35"/>
      <c r="DA89" s="612"/>
      <c r="DB89" s="21"/>
      <c r="DC89" s="6"/>
      <c r="DD89" s="35"/>
      <c r="DE89" s="713"/>
      <c r="DF89" s="713"/>
      <c r="DG89" s="394">
        <f t="shared" si="199"/>
        <v>-4846</v>
      </c>
      <c r="DH89" s="29">
        <f t="shared" si="213"/>
        <v>5316</v>
      </c>
      <c r="DI89" s="298">
        <f>DI82*5</f>
        <v>0</v>
      </c>
      <c r="DJ89" s="5">
        <f t="shared" si="214"/>
        <v>-5316</v>
      </c>
      <c r="DK89" s="240"/>
      <c r="DL89" s="303">
        <f>DL82*5</f>
        <v>0</v>
      </c>
      <c r="DM89" s="231">
        <f t="shared" si="215"/>
        <v>5316</v>
      </c>
    </row>
    <row r="90" spans="1:117" ht="30" x14ac:dyDescent="0.25">
      <c r="A90" s="18"/>
      <c r="B90" s="15" t="s">
        <v>556</v>
      </c>
      <c r="C90" s="18">
        <v>1</v>
      </c>
      <c r="D90" s="11"/>
      <c r="E90" s="11"/>
      <c r="F90" s="568">
        <f>332.25*1.2</f>
        <v>398.7</v>
      </c>
      <c r="G90" s="22" t="s">
        <v>528</v>
      </c>
      <c r="H90" s="25" t="s">
        <v>55</v>
      </c>
      <c r="I90" s="24"/>
      <c r="J90" s="536">
        <f t="shared" si="192"/>
        <v>317</v>
      </c>
      <c r="K90" s="394">
        <f t="shared" si="193"/>
        <v>-576</v>
      </c>
      <c r="L90" s="544">
        <v>214</v>
      </c>
      <c r="M90" s="298">
        <f>M82</f>
        <v>38</v>
      </c>
      <c r="N90" s="5">
        <f t="shared" si="200"/>
        <v>-176</v>
      </c>
      <c r="O90" s="256">
        <v>400</v>
      </c>
      <c r="P90" s="303">
        <f>P82</f>
        <v>38</v>
      </c>
      <c r="Q90" s="231">
        <f t="shared" si="201"/>
        <v>576</v>
      </c>
      <c r="R90" s="121"/>
      <c r="S90" s="199"/>
      <c r="T90" s="216"/>
      <c r="U90" s="707"/>
      <c r="V90" s="578">
        <f>$F$90*100%*400</f>
        <v>159480</v>
      </c>
      <c r="W90" s="6"/>
      <c r="X90" s="35" t="s">
        <v>705</v>
      </c>
      <c r="Y90" s="612"/>
      <c r="Z90" s="310"/>
      <c r="AA90" s="6"/>
      <c r="AB90" s="35"/>
      <c r="AC90" s="713"/>
      <c r="AD90" s="713"/>
      <c r="AE90" s="394">
        <f t="shared" si="194"/>
        <v>-495</v>
      </c>
      <c r="AF90" s="29">
        <f t="shared" si="195"/>
        <v>576</v>
      </c>
      <c r="AG90" s="298">
        <f>AG82</f>
        <v>81</v>
      </c>
      <c r="AH90" s="5">
        <f t="shared" si="202"/>
        <v>-495</v>
      </c>
      <c r="AI90" s="256"/>
      <c r="AJ90" s="303">
        <f>AJ82</f>
        <v>81</v>
      </c>
      <c r="AK90" s="231">
        <f t="shared" si="203"/>
        <v>495</v>
      </c>
      <c r="AL90" s="310"/>
      <c r="AM90" s="6"/>
      <c r="AN90" s="35"/>
      <c r="AO90" s="612"/>
      <c r="AP90" s="215"/>
      <c r="AQ90" s="6"/>
      <c r="AR90" s="216"/>
      <c r="AS90" s="707"/>
      <c r="AT90" s="215"/>
      <c r="AU90" s="6"/>
      <c r="AV90" s="216"/>
      <c r="AW90" s="716"/>
      <c r="AX90" s="716"/>
      <c r="AY90" s="394">
        <f t="shared" si="196"/>
        <v>-233</v>
      </c>
      <c r="AZ90" s="29">
        <f t="shared" si="204"/>
        <v>495</v>
      </c>
      <c r="BA90" s="298">
        <f>BA82</f>
        <v>262</v>
      </c>
      <c r="BB90" s="5">
        <f t="shared" si="205"/>
        <v>-233</v>
      </c>
      <c r="BC90" s="256"/>
      <c r="BD90" s="303">
        <f>BD82</f>
        <v>262</v>
      </c>
      <c r="BE90" s="231">
        <f t="shared" si="206"/>
        <v>233</v>
      </c>
      <c r="BF90" s="121"/>
      <c r="BG90" s="6"/>
      <c r="BH90" s="216"/>
      <c r="BI90" s="707"/>
      <c r="BJ90" s="310"/>
      <c r="BK90" s="6"/>
      <c r="BL90" s="216"/>
      <c r="BM90" s="707"/>
      <c r="BN90" s="21"/>
      <c r="BO90" s="6"/>
      <c r="BP90" s="35"/>
      <c r="BQ90" s="713"/>
      <c r="BR90" s="713"/>
      <c r="BS90" s="394">
        <f t="shared" si="197"/>
        <v>-383</v>
      </c>
      <c r="BT90" s="29">
        <f t="shared" si="207"/>
        <v>233</v>
      </c>
      <c r="BU90" s="298">
        <f>BU82</f>
        <v>150</v>
      </c>
      <c r="BV90" s="5">
        <f t="shared" si="208"/>
        <v>-83</v>
      </c>
      <c r="BW90" s="623">
        <v>300</v>
      </c>
      <c r="BX90" s="303">
        <f>BX82</f>
        <v>56</v>
      </c>
      <c r="BY90" s="231">
        <f t="shared" si="209"/>
        <v>477</v>
      </c>
      <c r="BZ90" s="21"/>
      <c r="CA90" s="199"/>
      <c r="CB90" s="35"/>
      <c r="CC90" s="612"/>
      <c r="CD90" s="668">
        <f>F90*BW90/2</f>
        <v>59805</v>
      </c>
      <c r="CE90" s="663"/>
      <c r="CF90" s="664" t="s">
        <v>963</v>
      </c>
      <c r="CG90" s="773"/>
      <c r="CH90" s="121"/>
      <c r="CI90" s="199"/>
      <c r="CJ90" s="148"/>
      <c r="CK90" s="797"/>
      <c r="CL90" s="797"/>
      <c r="CM90" s="394">
        <f t="shared" si="198"/>
        <v>-383</v>
      </c>
      <c r="CN90" s="29">
        <f t="shared" si="210"/>
        <v>477</v>
      </c>
      <c r="CO90" s="298">
        <f>CO82</f>
        <v>0</v>
      </c>
      <c r="CP90" s="5">
        <f t="shared" si="211"/>
        <v>-477</v>
      </c>
      <c r="CQ90" s="240"/>
      <c r="CR90" s="303">
        <f>CR82</f>
        <v>0</v>
      </c>
      <c r="CS90" s="231">
        <f t="shared" si="212"/>
        <v>477</v>
      </c>
      <c r="CT90" s="526"/>
      <c r="CU90" s="199"/>
      <c r="CV90" s="148"/>
      <c r="CW90" s="711"/>
      <c r="CX90" s="215"/>
      <c r="CY90" s="6"/>
      <c r="CZ90" s="216"/>
      <c r="DA90" s="707"/>
      <c r="DB90" s="21"/>
      <c r="DC90" s="6"/>
      <c r="DD90" s="35"/>
      <c r="DE90" s="713"/>
      <c r="DF90" s="713"/>
      <c r="DG90" s="394">
        <f t="shared" si="199"/>
        <v>-383</v>
      </c>
      <c r="DH90" s="29">
        <f t="shared" si="213"/>
        <v>477</v>
      </c>
      <c r="DI90" s="298">
        <f>DI82</f>
        <v>0</v>
      </c>
      <c r="DJ90" s="5">
        <f t="shared" si="214"/>
        <v>-477</v>
      </c>
      <c r="DK90" s="240"/>
      <c r="DL90" s="303">
        <f>DL82</f>
        <v>0</v>
      </c>
      <c r="DM90" s="231">
        <f t="shared" si="215"/>
        <v>477</v>
      </c>
    </row>
    <row r="91" spans="1:117" ht="30.75" thickBot="1" x14ac:dyDescent="0.3">
      <c r="A91" s="18"/>
      <c r="B91" s="476" t="s">
        <v>557</v>
      </c>
      <c r="C91" s="18">
        <v>1</v>
      </c>
      <c r="D91" s="11"/>
      <c r="E91" s="11"/>
      <c r="F91" s="568">
        <v>370.05</v>
      </c>
      <c r="G91" s="22" t="s">
        <v>547</v>
      </c>
      <c r="H91" s="25" t="s">
        <v>82</v>
      </c>
      <c r="I91" s="24"/>
      <c r="J91" s="536">
        <f t="shared" si="192"/>
        <v>317</v>
      </c>
      <c r="K91" s="394">
        <f t="shared" si="193"/>
        <v>-176</v>
      </c>
      <c r="L91" s="544">
        <v>214</v>
      </c>
      <c r="M91" s="298">
        <f>M82</f>
        <v>38</v>
      </c>
      <c r="N91" s="5">
        <f t="shared" si="200"/>
        <v>-176</v>
      </c>
      <c r="O91" s="5"/>
      <c r="P91" s="303">
        <f>P82</f>
        <v>38</v>
      </c>
      <c r="Q91" s="231">
        <f t="shared" si="201"/>
        <v>176</v>
      </c>
      <c r="R91" s="121"/>
      <c r="S91" s="6"/>
      <c r="T91" s="216"/>
      <c r="U91" s="707"/>
      <c r="V91" s="121"/>
      <c r="W91" s="6"/>
      <c r="X91" s="216"/>
      <c r="Y91" s="707"/>
      <c r="Z91" s="121"/>
      <c r="AA91" s="6"/>
      <c r="AB91" s="216"/>
      <c r="AC91" s="716"/>
      <c r="AD91" s="716"/>
      <c r="AE91" s="394">
        <f t="shared" si="194"/>
        <v>-95</v>
      </c>
      <c r="AF91" s="29">
        <f t="shared" si="195"/>
        <v>176</v>
      </c>
      <c r="AG91" s="298">
        <f>AG82</f>
        <v>81</v>
      </c>
      <c r="AH91" s="5">
        <f t="shared" si="202"/>
        <v>-95</v>
      </c>
      <c r="AI91" s="5"/>
      <c r="AJ91" s="303">
        <f>AJ82</f>
        <v>81</v>
      </c>
      <c r="AK91" s="231">
        <f t="shared" si="203"/>
        <v>95</v>
      </c>
      <c r="AL91" s="121"/>
      <c r="AM91" s="6"/>
      <c r="AN91" s="216"/>
      <c r="AO91" s="707"/>
      <c r="AP91" s="121"/>
      <c r="AQ91" s="6"/>
      <c r="AR91" s="216"/>
      <c r="AS91" s="707"/>
      <c r="AT91" s="121">
        <f>$F$91*50%*400</f>
        <v>74010</v>
      </c>
      <c r="AU91" s="6"/>
      <c r="AV91" s="216" t="s">
        <v>715</v>
      </c>
      <c r="AW91" s="716"/>
      <c r="AX91" s="716"/>
      <c r="AY91" s="394">
        <f t="shared" si="196"/>
        <v>-233</v>
      </c>
      <c r="AZ91" s="29">
        <f t="shared" si="204"/>
        <v>95</v>
      </c>
      <c r="BA91" s="298">
        <f>BA82</f>
        <v>262</v>
      </c>
      <c r="BB91" s="5">
        <f t="shared" si="205"/>
        <v>167</v>
      </c>
      <c r="BC91" s="256">
        <v>400</v>
      </c>
      <c r="BD91" s="303">
        <f>BD82</f>
        <v>262</v>
      </c>
      <c r="BE91" s="231">
        <f t="shared" si="206"/>
        <v>233</v>
      </c>
      <c r="BF91" s="121"/>
      <c r="BG91" s="6">
        <f>$F$91*50%*400</f>
        <v>74010</v>
      </c>
      <c r="BH91" s="216" t="s">
        <v>716</v>
      </c>
      <c r="BI91" s="707"/>
      <c r="BJ91" s="121"/>
      <c r="BK91" s="6"/>
      <c r="BL91" s="211"/>
      <c r="BM91" s="708"/>
      <c r="BN91" s="121"/>
      <c r="BO91" s="6"/>
      <c r="BP91" s="216"/>
      <c r="BQ91" s="716"/>
      <c r="BR91" s="716"/>
      <c r="BS91" s="394">
        <f t="shared" si="197"/>
        <v>-383</v>
      </c>
      <c r="BT91" s="29">
        <f t="shared" si="207"/>
        <v>233</v>
      </c>
      <c r="BU91" s="298">
        <f>BU82</f>
        <v>150</v>
      </c>
      <c r="BV91" s="5">
        <f t="shared" si="208"/>
        <v>-83</v>
      </c>
      <c r="BW91" s="621">
        <v>300</v>
      </c>
      <c r="BX91" s="303">
        <f>BX82</f>
        <v>56</v>
      </c>
      <c r="BY91" s="231">
        <f t="shared" si="209"/>
        <v>477</v>
      </c>
      <c r="BZ91" s="21"/>
      <c r="CA91" s="6"/>
      <c r="CB91" s="35"/>
      <c r="CC91" s="612"/>
      <c r="CD91" s="215"/>
      <c r="CE91" s="199"/>
      <c r="CF91" s="148"/>
      <c r="CG91" s="711"/>
      <c r="CH91" s="630">
        <f>$F$91*$BW91/2</f>
        <v>55507.5</v>
      </c>
      <c r="CI91" s="629"/>
      <c r="CJ91" s="625" t="s">
        <v>798</v>
      </c>
      <c r="CK91" s="782"/>
      <c r="CL91" s="782"/>
      <c r="CM91" s="394">
        <f t="shared" si="198"/>
        <v>-383</v>
      </c>
      <c r="CN91" s="29">
        <f t="shared" si="210"/>
        <v>477</v>
      </c>
      <c r="CO91" s="298">
        <f>CO82</f>
        <v>0</v>
      </c>
      <c r="CP91" s="5">
        <f t="shared" si="211"/>
        <v>-477</v>
      </c>
      <c r="CQ91" s="240"/>
      <c r="CR91" s="303">
        <f>CR82</f>
        <v>0</v>
      </c>
      <c r="CS91" s="231">
        <f t="shared" si="212"/>
        <v>477</v>
      </c>
      <c r="CT91" s="121"/>
      <c r="CU91" s="629">
        <v>55507.5</v>
      </c>
      <c r="CV91" s="625" t="s">
        <v>799</v>
      </c>
      <c r="CW91" s="787"/>
      <c r="CX91" s="121"/>
      <c r="CY91" s="6"/>
      <c r="CZ91" s="216"/>
      <c r="DA91" s="707"/>
      <c r="DB91" s="121"/>
      <c r="DC91" s="6"/>
      <c r="DD91" s="216"/>
      <c r="DE91" s="716"/>
      <c r="DF91" s="716"/>
      <c r="DG91" s="394">
        <f t="shared" si="199"/>
        <v>-383</v>
      </c>
      <c r="DH91" s="29">
        <f t="shared" si="213"/>
        <v>477</v>
      </c>
      <c r="DI91" s="298">
        <f>DI82</f>
        <v>0</v>
      </c>
      <c r="DJ91" s="5">
        <f t="shared" si="214"/>
        <v>-477</v>
      </c>
      <c r="DK91" s="240"/>
      <c r="DL91" s="303">
        <f>DL82</f>
        <v>0</v>
      </c>
      <c r="DM91" s="231">
        <f t="shared" si="215"/>
        <v>477</v>
      </c>
    </row>
    <row r="92" spans="1:117" x14ac:dyDescent="0.25">
      <c r="A92" s="53">
        <v>16300</v>
      </c>
      <c r="B92" s="52" t="s">
        <v>52</v>
      </c>
      <c r="C92" s="53"/>
      <c r="D92" s="51" t="s">
        <v>61</v>
      </c>
      <c r="E92" s="51"/>
      <c r="F92" s="338"/>
      <c r="G92" s="51"/>
      <c r="H92" s="54"/>
      <c r="I92" s="54"/>
      <c r="J92" s="53">
        <f>SUM(M92,AG92,BA92,BU92)</f>
        <v>6851</v>
      </c>
      <c r="K92" s="53"/>
      <c r="L92" s="55"/>
      <c r="M92" s="56">
        <f>450+614-450</f>
        <v>614</v>
      </c>
      <c r="N92" s="56"/>
      <c r="O92" s="56"/>
      <c r="P92" s="243">
        <f>6+33+177+9+8+4+47+9+11+21+8+22+45+129+8+32+4+25+15+1</f>
        <v>614</v>
      </c>
      <c r="Q92" s="230"/>
      <c r="R92" s="119">
        <f>SUM(R93:R95)</f>
        <v>0</v>
      </c>
      <c r="S92" s="120">
        <f>SUM(S93:S95)</f>
        <v>0</v>
      </c>
      <c r="T92" s="57"/>
      <c r="U92" s="219"/>
      <c r="V92" s="119">
        <f>SUM(V93:V95)</f>
        <v>427500</v>
      </c>
      <c r="W92" s="120">
        <f>SUM(W93:W95)</f>
        <v>0</v>
      </c>
      <c r="X92" s="57"/>
      <c r="Y92" s="219"/>
      <c r="Z92" s="119">
        <f>SUM(Z93:Z95)</f>
        <v>7200</v>
      </c>
      <c r="AA92" s="120">
        <f>SUM(AA93:AA95)</f>
        <v>0</v>
      </c>
      <c r="AB92" s="57"/>
      <c r="AC92" s="230"/>
      <c r="AD92" s="230"/>
      <c r="AE92" s="53">
        <f>SUM(AG92,BA92,BU92)</f>
        <v>6237</v>
      </c>
      <c r="AF92" s="55"/>
      <c r="AG92" s="56">
        <f>3234-3234+800-800+839</f>
        <v>839</v>
      </c>
      <c r="AH92" s="56"/>
      <c r="AI92" s="56"/>
      <c r="AJ92" s="243">
        <f>20+18+12+10+12+3+8+28+32+8+6+10+60+90+18+6+28+26+76+10+78+1+4+8+28+25+30+33+18+78+55</f>
        <v>839</v>
      </c>
      <c r="AK92" s="230"/>
      <c r="AL92" s="119">
        <f>SUM(AL93:AL95)</f>
        <v>0</v>
      </c>
      <c r="AM92" s="120">
        <f>SUM(AM93:AM95)</f>
        <v>0</v>
      </c>
      <c r="AN92" s="57"/>
      <c r="AO92" s="219"/>
      <c r="AP92" s="119">
        <f>SUM(AP93:AP95)</f>
        <v>0</v>
      </c>
      <c r="AQ92" s="120">
        <f>SUM(AQ93:AQ95)</f>
        <v>589500</v>
      </c>
      <c r="AR92" s="57"/>
      <c r="AS92" s="219"/>
      <c r="AT92" s="119">
        <f>SUM(AT93:AT95)</f>
        <v>0</v>
      </c>
      <c r="AU92" s="120">
        <f>SUM(AU93:AU95)</f>
        <v>0</v>
      </c>
      <c r="AV92" s="57"/>
      <c r="AW92" s="230"/>
      <c r="AX92" s="230"/>
      <c r="AY92" s="53">
        <f>SUM(BA92,BU92)</f>
        <v>5398</v>
      </c>
      <c r="AZ92" s="55"/>
      <c r="BA92" s="56">
        <f>1100-1100+3434-3434+3756-3756+3498</f>
        <v>3498</v>
      </c>
      <c r="BB92" s="56"/>
      <c r="BC92" s="56"/>
      <c r="BD92" s="243">
        <f>13+112+7+16+38+6+16+30+7+240+18+24+1+8+2+240+54+100+100+100+50+16+19+30+171+2040+12+8+20</f>
        <v>3498</v>
      </c>
      <c r="BE92" s="230"/>
      <c r="BF92" s="119">
        <f>SUM(BF93:BF95)</f>
        <v>0</v>
      </c>
      <c r="BG92" s="120">
        <f>SUM(BG93:BG95)</f>
        <v>0</v>
      </c>
      <c r="BH92" s="57"/>
      <c r="BI92" s="219"/>
      <c r="BJ92" s="119">
        <f>SUM(BJ93:BJ95)</f>
        <v>0</v>
      </c>
      <c r="BK92" s="120">
        <f>SUM(BK93:BK95)</f>
        <v>0</v>
      </c>
      <c r="BL92" s="57"/>
      <c r="BM92" s="219"/>
      <c r="BN92" s="119">
        <f>SUM(BN93:BN95)</f>
        <v>43200</v>
      </c>
      <c r="BO92" s="120">
        <f>SUM(BO93:BO95)</f>
        <v>0</v>
      </c>
      <c r="BP92" s="57"/>
      <c r="BQ92" s="230"/>
      <c r="BR92" s="230"/>
      <c r="BS92" s="53">
        <f>BU92</f>
        <v>1900</v>
      </c>
      <c r="BT92" s="55"/>
      <c r="BU92" s="56">
        <f>1780-1780+1900</f>
        <v>1900</v>
      </c>
      <c r="BV92" s="56"/>
      <c r="BW92" s="56"/>
      <c r="BX92" s="243">
        <f>108+5+72+17+9+8+6+10+60+29+3+50+21+22+90+8+4+67+14+8+9+7+4</f>
        <v>631</v>
      </c>
      <c r="BY92" s="230"/>
      <c r="BZ92" s="119">
        <f>SUM(BZ93:BZ95)</f>
        <v>0</v>
      </c>
      <c r="CA92" s="120">
        <f>SUM(CA93:CA95)</f>
        <v>0</v>
      </c>
      <c r="CB92" s="57"/>
      <c r="CC92" s="219"/>
      <c r="CD92" s="119">
        <f>SUM(CD93:CD95)</f>
        <v>577200</v>
      </c>
      <c r="CE92" s="120">
        <f>SUM(CE93:CE95)</f>
        <v>0</v>
      </c>
      <c r="CF92" s="57"/>
      <c r="CG92" s="219"/>
      <c r="CH92" s="119">
        <f>SUM(CH93:CH95)</f>
        <v>43200</v>
      </c>
      <c r="CI92" s="120">
        <f>SUM(CI93:CI95)</f>
        <v>570000</v>
      </c>
      <c r="CJ92" s="57"/>
      <c r="CK92" s="230"/>
      <c r="CL92" s="230"/>
      <c r="CM92" s="53">
        <f>CO92</f>
        <v>0</v>
      </c>
      <c r="CN92" s="55"/>
      <c r="CO92" s="243"/>
      <c r="CP92" s="56"/>
      <c r="CQ92" s="56"/>
      <c r="CR92" s="243"/>
      <c r="CS92" s="230"/>
      <c r="CT92" s="119">
        <f>SUM(CT93:CT95)</f>
        <v>0</v>
      </c>
      <c r="CU92" s="120">
        <f>SUM(CU93:CU95)</f>
        <v>0</v>
      </c>
      <c r="CV92" s="57"/>
      <c r="CW92" s="219"/>
      <c r="CX92" s="119">
        <f>SUM(CX93:CX95)</f>
        <v>0</v>
      </c>
      <c r="CY92" s="120">
        <f>SUM(CY93:CY95)</f>
        <v>43200</v>
      </c>
      <c r="CZ92" s="57"/>
      <c r="DA92" s="219"/>
      <c r="DB92" s="119">
        <f>SUM(DB93:DB95)</f>
        <v>0</v>
      </c>
      <c r="DC92" s="120">
        <f>SUM(DC93:DC95)</f>
        <v>0</v>
      </c>
      <c r="DD92" s="57"/>
      <c r="DE92" s="230"/>
      <c r="DF92" s="230"/>
      <c r="DG92" s="53">
        <f>DI92</f>
        <v>0</v>
      </c>
      <c r="DH92" s="55"/>
      <c r="DI92" s="243"/>
      <c r="DJ92" s="56"/>
      <c r="DK92" s="56"/>
      <c r="DL92" s="243"/>
      <c r="DM92" s="230"/>
    </row>
    <row r="93" spans="1:117" x14ac:dyDescent="0.25">
      <c r="A93" s="18">
        <v>16231</v>
      </c>
      <c r="B93" s="11" t="s">
        <v>54</v>
      </c>
      <c r="C93" s="18" t="s">
        <v>51</v>
      </c>
      <c r="D93" s="11" t="s">
        <v>180</v>
      </c>
      <c r="E93" s="11"/>
      <c r="F93" s="149">
        <v>21.6</v>
      </c>
      <c r="G93" s="11" t="s">
        <v>649</v>
      </c>
      <c r="H93" s="25" t="s">
        <v>92</v>
      </c>
      <c r="I93" s="24"/>
      <c r="J93" s="536">
        <f>SUM(M93,AG93,BA93,BU93)-L93</f>
        <v>6584</v>
      </c>
      <c r="K93" s="394">
        <f t="shared" si="193"/>
        <v>-14653</v>
      </c>
      <c r="L93" s="544">
        <v>267</v>
      </c>
      <c r="M93" s="298">
        <f>M92</f>
        <v>614</v>
      </c>
      <c r="N93" s="5">
        <f>M93-L93</f>
        <v>347</v>
      </c>
      <c r="O93" s="256">
        <v>15000</v>
      </c>
      <c r="P93" s="303">
        <f>P92</f>
        <v>614</v>
      </c>
      <c r="Q93" s="231">
        <f>L93+O93-P93</f>
        <v>14653</v>
      </c>
      <c r="R93" s="121"/>
      <c r="S93" s="6"/>
      <c r="T93" s="35"/>
      <c r="U93" s="612"/>
      <c r="V93" s="21"/>
      <c r="W93" s="6"/>
      <c r="X93" s="35"/>
      <c r="Y93" s="612"/>
      <c r="Z93" s="21"/>
      <c r="AA93" s="6"/>
      <c r="AB93" s="35"/>
      <c r="AC93" s="713"/>
      <c r="AD93" s="713"/>
      <c r="AE93" s="394">
        <f>SUM(M93,AG93)-SUM(O93,AI93)-L93</f>
        <v>-13814</v>
      </c>
      <c r="AF93" s="29">
        <f>Q93</f>
        <v>14653</v>
      </c>
      <c r="AG93" s="298">
        <f>AG92</f>
        <v>839</v>
      </c>
      <c r="AH93" s="5">
        <f>AG93-AF93</f>
        <v>-13814</v>
      </c>
      <c r="AI93" s="256"/>
      <c r="AJ93" s="303">
        <f>AJ92</f>
        <v>839</v>
      </c>
      <c r="AK93" s="231">
        <f>AF93+AI93-AJ93</f>
        <v>13814</v>
      </c>
      <c r="AL93" s="121"/>
      <c r="AM93" s="6"/>
      <c r="AN93" s="35"/>
      <c r="AO93" s="612"/>
      <c r="AP93" s="21"/>
      <c r="AQ93" s="6">
        <f>$F$93*50%*15000</f>
        <v>162000</v>
      </c>
      <c r="AR93" s="35" t="s">
        <v>678</v>
      </c>
      <c r="AS93" s="612"/>
      <c r="AT93" s="21"/>
      <c r="AU93" s="6"/>
      <c r="AV93" s="35"/>
      <c r="AW93" s="713"/>
      <c r="AX93" s="713"/>
      <c r="AY93" s="394">
        <f>SUM(M93,AG93,BA93)-SUM(O93,AI93,BC93)-L93</f>
        <v>-14316</v>
      </c>
      <c r="AZ93" s="29">
        <f>AK93</f>
        <v>13814</v>
      </c>
      <c r="BA93" s="298">
        <f>BA92</f>
        <v>3498</v>
      </c>
      <c r="BB93" s="5">
        <f>BA93-AZ93</f>
        <v>-10316</v>
      </c>
      <c r="BC93" s="256">
        <v>4000</v>
      </c>
      <c r="BD93" s="303">
        <f>BD92</f>
        <v>3498</v>
      </c>
      <c r="BE93" s="231">
        <f>AZ93+BC93-BD93</f>
        <v>14316</v>
      </c>
      <c r="BF93" s="121"/>
      <c r="BG93" s="6"/>
      <c r="BH93" s="35"/>
      <c r="BI93" s="612"/>
      <c r="BJ93" s="21"/>
      <c r="BK93" s="6"/>
      <c r="BL93" s="35"/>
      <c r="BM93" s="612"/>
      <c r="BN93" s="21">
        <f>BC93*F93/2</f>
        <v>43200</v>
      </c>
      <c r="BO93" s="6"/>
      <c r="BP93" s="35" t="s">
        <v>801</v>
      </c>
      <c r="BQ93" s="713"/>
      <c r="BR93" s="713"/>
      <c r="BS93" s="394">
        <f>SUM(M93,AG93,BA93,BU93)-SUM(O93,AI93,BC93,BW93)-L93</f>
        <v>-16416</v>
      </c>
      <c r="BT93" s="29">
        <f>BE93</f>
        <v>14316</v>
      </c>
      <c r="BU93" s="298">
        <f>BU92</f>
        <v>1900</v>
      </c>
      <c r="BV93" s="5">
        <f>BU93-BT93</f>
        <v>-12416</v>
      </c>
      <c r="BW93" s="240">
        <v>4000</v>
      </c>
      <c r="BX93" s="303">
        <f>BX92</f>
        <v>631</v>
      </c>
      <c r="BY93" s="231">
        <f>BT93+BW93-BX93</f>
        <v>17685</v>
      </c>
      <c r="BZ93" s="21"/>
      <c r="CA93" s="6"/>
      <c r="CB93" s="35"/>
      <c r="CC93" s="612"/>
      <c r="CD93" s="235"/>
      <c r="CE93" s="235"/>
      <c r="CF93" s="148"/>
      <c r="CG93" s="711"/>
      <c r="CH93" s="235">
        <v>43200</v>
      </c>
      <c r="CI93" s="235"/>
      <c r="CJ93" s="148" t="s">
        <v>890</v>
      </c>
      <c r="CK93" s="797"/>
      <c r="CL93" s="797"/>
      <c r="CM93" s="394">
        <f>SUM(M93,AG93,BA93,BU93,CO93)-SUM(O93,AI93,BC93,BW93,CQ93)-L93</f>
        <v>-16416</v>
      </c>
      <c r="CN93" s="29">
        <f>BY93</f>
        <v>17685</v>
      </c>
      <c r="CO93" s="298">
        <f>CO92</f>
        <v>0</v>
      </c>
      <c r="CP93" s="5">
        <f>CO93-CN93</f>
        <v>-17685</v>
      </c>
      <c r="CQ93" s="256"/>
      <c r="CR93" s="303">
        <f>CR92</f>
        <v>0</v>
      </c>
      <c r="CS93" s="231">
        <f>CN93+CQ93-CR93</f>
        <v>17685</v>
      </c>
      <c r="CT93" s="121"/>
      <c r="CU93" s="6"/>
      <c r="CV93" s="35"/>
      <c r="CW93" s="612"/>
      <c r="CX93" s="21"/>
      <c r="CY93" s="235">
        <v>43200</v>
      </c>
      <c r="CZ93" s="148" t="s">
        <v>917</v>
      </c>
      <c r="DA93" s="711"/>
      <c r="DB93" s="21"/>
      <c r="DC93" s="6"/>
      <c r="DD93" s="35"/>
      <c r="DE93" s="713"/>
      <c r="DF93" s="713"/>
      <c r="DG93" s="394">
        <f>SUM(M93,AG93,BA93,BU93,DI93)-SUM(O93,AI93,BC93,BW93,CQ93)-L93</f>
        <v>-16416</v>
      </c>
      <c r="DH93" s="29">
        <f>BY93</f>
        <v>17685</v>
      </c>
      <c r="DI93" s="298">
        <f>DI92</f>
        <v>0</v>
      </c>
      <c r="DJ93" s="5">
        <f>DI93-DH93</f>
        <v>-17685</v>
      </c>
      <c r="DK93" s="240"/>
      <c r="DL93" s="303">
        <f>DL92</f>
        <v>0</v>
      </c>
      <c r="DM93" s="231">
        <f>DH93+DK93-DL93</f>
        <v>17685</v>
      </c>
    </row>
    <row r="94" spans="1:117" x14ac:dyDescent="0.25">
      <c r="A94" s="18">
        <v>16114</v>
      </c>
      <c r="B94" s="11" t="s">
        <v>53</v>
      </c>
      <c r="C94" s="18">
        <v>1</v>
      </c>
      <c r="D94" s="11"/>
      <c r="E94" s="11"/>
      <c r="F94" s="568">
        <v>285</v>
      </c>
      <c r="G94" s="15" t="s">
        <v>649</v>
      </c>
      <c r="H94" s="25" t="s">
        <v>55</v>
      </c>
      <c r="I94" s="24"/>
      <c r="J94" s="536">
        <f>SUM(M94,AG94,BA94,BU94)-L94</f>
        <v>3851</v>
      </c>
      <c r="K94" s="394">
        <f t="shared" si="193"/>
        <v>-2386</v>
      </c>
      <c r="L94" s="544">
        <v>3000</v>
      </c>
      <c r="M94" s="298">
        <f>M92</f>
        <v>614</v>
      </c>
      <c r="N94" s="5">
        <f>M94-L94</f>
        <v>-2386</v>
      </c>
      <c r="O94" s="256"/>
      <c r="P94" s="303">
        <f>P92</f>
        <v>614</v>
      </c>
      <c r="Q94" s="231">
        <f>L94+O94-P94</f>
        <v>2386</v>
      </c>
      <c r="R94" s="121"/>
      <c r="S94" s="210"/>
      <c r="T94" s="211"/>
      <c r="U94" s="708"/>
      <c r="V94" s="570">
        <f>$F$94*50%*3000</f>
        <v>427500</v>
      </c>
      <c r="W94" s="6"/>
      <c r="X94" s="216" t="s">
        <v>706</v>
      </c>
      <c r="Y94" s="707"/>
      <c r="Z94" s="21"/>
      <c r="AA94" s="6"/>
      <c r="AB94" s="216"/>
      <c r="AC94" s="716"/>
      <c r="AD94" s="716"/>
      <c r="AE94" s="394">
        <f>SUM(M94,AG94)-SUM(O94,AI94)-L94</f>
        <v>-4547</v>
      </c>
      <c r="AF94" s="29">
        <f>Q94</f>
        <v>2386</v>
      </c>
      <c r="AG94" s="298">
        <f>AG92</f>
        <v>839</v>
      </c>
      <c r="AH94" s="5">
        <f>AG94-AF94</f>
        <v>-1547</v>
      </c>
      <c r="AI94" s="599">
        <v>3000</v>
      </c>
      <c r="AJ94" s="303">
        <f>AJ92</f>
        <v>839</v>
      </c>
      <c r="AK94" s="231">
        <f>AF94+AI94-AJ94</f>
        <v>4547</v>
      </c>
      <c r="AL94" s="121"/>
      <c r="AP94" s="121"/>
      <c r="AQ94" s="6">
        <f>$F$94*50%*3000</f>
        <v>427500</v>
      </c>
      <c r="AR94" s="216" t="s">
        <v>677</v>
      </c>
      <c r="AS94" s="707"/>
      <c r="AT94" s="21"/>
      <c r="AU94" s="6"/>
      <c r="AV94" s="35"/>
      <c r="AW94" s="713"/>
      <c r="AX94" s="713"/>
      <c r="AY94" s="394">
        <f>SUM(M94,AG94,BA94)-SUM(O94,AI94,BC94)-L94</f>
        <v>-1049</v>
      </c>
      <c r="AZ94" s="29">
        <f t="shared" ref="AZ94" si="216">AK94</f>
        <v>4547</v>
      </c>
      <c r="BA94" s="298">
        <f>BA92</f>
        <v>3498</v>
      </c>
      <c r="BB94" s="5">
        <f>BA94-AZ94</f>
        <v>-1049</v>
      </c>
      <c r="BC94" s="240"/>
      <c r="BD94" s="303">
        <f>BD92</f>
        <v>3498</v>
      </c>
      <c r="BE94" s="231">
        <f>AZ94+BC94-BD94</f>
        <v>1049</v>
      </c>
      <c r="BF94" s="21"/>
      <c r="BG94" s="6"/>
      <c r="BH94" s="35"/>
      <c r="BI94" s="612"/>
      <c r="BJ94" s="121"/>
      <c r="BK94" s="6"/>
      <c r="BL94" s="35"/>
      <c r="BM94" s="612"/>
      <c r="BN94" s="21">
        <f>BC94*F94/2</f>
        <v>0</v>
      </c>
      <c r="BO94" s="6"/>
      <c r="BP94" s="35" t="s">
        <v>801</v>
      </c>
      <c r="BQ94" s="713"/>
      <c r="BR94" s="713"/>
      <c r="BS94" s="394">
        <f>SUM(M94,AG94,BA94,BU94)-SUM(O94,AI94,BC94,BW94)-L94</f>
        <v>-3149</v>
      </c>
      <c r="BT94" s="29">
        <f t="shared" ref="BT94:BT95" si="217">BE94</f>
        <v>1049</v>
      </c>
      <c r="BU94" s="298">
        <f>BU92</f>
        <v>1900</v>
      </c>
      <c r="BV94" s="5">
        <f>BU94-BT94</f>
        <v>851</v>
      </c>
      <c r="BW94" s="621">
        <v>4000</v>
      </c>
      <c r="BX94" s="303">
        <f>BX92</f>
        <v>631</v>
      </c>
      <c r="BY94" s="231">
        <f>BT94+BW94-BX94</f>
        <v>4418</v>
      </c>
      <c r="BZ94" s="121"/>
      <c r="CA94" s="6"/>
      <c r="CB94" s="35"/>
      <c r="CC94" s="612"/>
      <c r="CD94" s="668">
        <f>F94*BW94/2</f>
        <v>570000</v>
      </c>
      <c r="CE94" s="666"/>
      <c r="CF94" s="664" t="s">
        <v>890</v>
      </c>
      <c r="CG94" s="773"/>
      <c r="CH94" s="121"/>
      <c r="CI94" s="629">
        <v>570000</v>
      </c>
      <c r="CJ94" s="625" t="s">
        <v>917</v>
      </c>
      <c r="CK94" s="782"/>
      <c r="CL94" s="782"/>
      <c r="CM94" s="394">
        <f>SUM(M94,AG94,BA94,BU94,CO94)-SUM(O94,AI94,BC94,BW94,CQ94)-L94</f>
        <v>-3149</v>
      </c>
      <c r="CN94" s="29">
        <f t="shared" ref="CN94:CN95" si="218">BY94</f>
        <v>4418</v>
      </c>
      <c r="CO94" s="298">
        <f>CO92</f>
        <v>0</v>
      </c>
      <c r="CP94" s="5">
        <f>CO94-CN94</f>
        <v>-4418</v>
      </c>
      <c r="CQ94" s="240"/>
      <c r="CR94" s="303">
        <f>CR92</f>
        <v>0</v>
      </c>
      <c r="CS94" s="231">
        <f>CN94+CQ94-CR94</f>
        <v>4418</v>
      </c>
      <c r="CT94" s="121"/>
      <c r="CU94" s="199"/>
      <c r="CV94" s="148"/>
      <c r="CW94" s="711"/>
      <c r="CX94" s="121"/>
      <c r="CY94" s="6"/>
      <c r="CZ94" s="35"/>
      <c r="DA94" s="612"/>
      <c r="DB94" s="21"/>
      <c r="DC94" s="6"/>
      <c r="DD94" s="35"/>
      <c r="DE94" s="713"/>
      <c r="DF94" s="713"/>
      <c r="DG94" s="394">
        <f>SUM(M94,AG94,BA94,BU94,DI94)-SUM(O94,AI94,BC94,BW94,CQ94)-L94</f>
        <v>-3149</v>
      </c>
      <c r="DH94" s="29">
        <f t="shared" ref="DH94:DH95" si="219">BY94</f>
        <v>4418</v>
      </c>
      <c r="DI94" s="298">
        <f>DI92</f>
        <v>0</v>
      </c>
      <c r="DJ94" s="5">
        <f>DI94-DH94</f>
        <v>-4418</v>
      </c>
      <c r="DK94" s="240"/>
      <c r="DL94" s="303">
        <f>DL92</f>
        <v>0</v>
      </c>
      <c r="DM94" s="231">
        <f>DH94+DK94-DL94</f>
        <v>4418</v>
      </c>
    </row>
    <row r="95" spans="1:117" ht="42" thickBot="1" x14ac:dyDescent="0.3">
      <c r="A95" s="19"/>
      <c r="B95" s="60" t="s">
        <v>973</v>
      </c>
      <c r="C95" s="19">
        <v>1</v>
      </c>
      <c r="D95" s="320" t="s">
        <v>974</v>
      </c>
      <c r="E95" s="320"/>
      <c r="F95" s="571">
        <v>1.8</v>
      </c>
      <c r="G95" s="23" t="s">
        <v>757</v>
      </c>
      <c r="H95" s="28" t="s">
        <v>11</v>
      </c>
      <c r="I95" s="420"/>
      <c r="J95" s="536">
        <f>SUM(M95,AG95,BA95,BU95)-L95</f>
        <v>3735</v>
      </c>
      <c r="K95" s="394">
        <f t="shared" si="193"/>
        <v>-6502</v>
      </c>
      <c r="L95" s="544">
        <v>3116</v>
      </c>
      <c r="M95" s="298">
        <f>M92</f>
        <v>614</v>
      </c>
      <c r="N95" s="31">
        <f>M95-L95</f>
        <v>-2502</v>
      </c>
      <c r="O95" s="256">
        <v>4000</v>
      </c>
      <c r="P95" s="305">
        <f>P92</f>
        <v>614</v>
      </c>
      <c r="Q95" s="231">
        <f>L95+O95-P95</f>
        <v>6502</v>
      </c>
      <c r="R95" s="314"/>
      <c r="S95" s="201"/>
      <c r="T95" s="321"/>
      <c r="U95" s="710"/>
      <c r="V95" s="314"/>
      <c r="W95" s="201"/>
      <c r="X95" s="321"/>
      <c r="Y95" s="710"/>
      <c r="Z95" s="582">
        <f>$F$95*100%*4000</f>
        <v>7200</v>
      </c>
      <c r="AA95" s="201"/>
      <c r="AB95" s="36" t="s">
        <v>748</v>
      </c>
      <c r="AE95" s="394">
        <f>SUM(M95,AG95)-SUM(O95,AI95)-L95</f>
        <v>-5663</v>
      </c>
      <c r="AF95" s="29">
        <f>Q95</f>
        <v>6502</v>
      </c>
      <c r="AG95" s="298">
        <f>AG92</f>
        <v>839</v>
      </c>
      <c r="AH95" s="31">
        <f>AG95-AF95</f>
        <v>-5663</v>
      </c>
      <c r="AI95" s="258"/>
      <c r="AJ95" s="305">
        <f>AJ92</f>
        <v>839</v>
      </c>
      <c r="AK95" s="231">
        <f>AF95+AI95-AJ95</f>
        <v>5663</v>
      </c>
      <c r="AL95" s="122"/>
      <c r="AM95" s="201"/>
      <c r="AN95" s="321"/>
      <c r="AO95" s="710"/>
      <c r="AP95" s="314"/>
      <c r="AQ95" s="201"/>
      <c r="AR95" s="321"/>
      <c r="AS95" s="710"/>
      <c r="AT95" s="122"/>
      <c r="AU95" s="201"/>
      <c r="AV95" s="36"/>
      <c r="AY95" s="394">
        <f>SUM(M95,AG95,BA95)-SUM(O95,AI95,BC95)-L95</f>
        <v>-2165</v>
      </c>
      <c r="AZ95" s="607">
        <v>4506</v>
      </c>
      <c r="BA95" s="298">
        <f>BA92</f>
        <v>3498</v>
      </c>
      <c r="BB95" s="31">
        <f>BA95-AZ95</f>
        <v>-1008</v>
      </c>
      <c r="BC95" s="240"/>
      <c r="BD95" s="305">
        <f>BD92</f>
        <v>3498</v>
      </c>
      <c r="BE95" s="231">
        <f>AZ95+BC95-BD95</f>
        <v>1008</v>
      </c>
      <c r="BF95" s="314"/>
      <c r="BG95" s="201"/>
      <c r="BH95" s="321"/>
      <c r="BI95" s="710"/>
      <c r="BJ95" s="314"/>
      <c r="BK95" s="201"/>
      <c r="BL95" s="321"/>
      <c r="BM95" s="717"/>
      <c r="BN95" s="21">
        <f>BC95*F95/2</f>
        <v>0</v>
      </c>
      <c r="BO95" s="201"/>
      <c r="BP95" s="35" t="s">
        <v>801</v>
      </c>
      <c r="BQ95" s="713"/>
      <c r="BR95" s="713"/>
      <c r="BS95" s="394">
        <f>SUM(M95,AG95,BA95,BU95)-SUM(O95,AI95,BC95,BW95)-L95</f>
        <v>-4265</v>
      </c>
      <c r="BT95" s="29">
        <f t="shared" si="217"/>
        <v>1008</v>
      </c>
      <c r="BU95" s="298">
        <f>BU92</f>
        <v>1900</v>
      </c>
      <c r="BV95" s="31">
        <f>BU95-BT95</f>
        <v>892</v>
      </c>
      <c r="BW95" s="621">
        <v>4000</v>
      </c>
      <c r="BX95" s="305">
        <f>BX92</f>
        <v>631</v>
      </c>
      <c r="BY95" s="231">
        <f>BT95+BW95-BX95</f>
        <v>4377</v>
      </c>
      <c r="BZ95" s="314"/>
      <c r="CA95" s="21"/>
      <c r="CB95" s="35"/>
      <c r="CC95" s="712"/>
      <c r="CD95" s="698">
        <f>F95*BW95</f>
        <v>7200</v>
      </c>
      <c r="CE95" s="666"/>
      <c r="CF95" s="664" t="s">
        <v>891</v>
      </c>
      <c r="CG95" s="772"/>
      <c r="CH95" s="122"/>
      <c r="CI95" s="201"/>
      <c r="CJ95" s="36"/>
      <c r="CM95" s="394">
        <f>SUM(M95,AG95,BA95,BU95,CO95)-SUM(O95,AI95,BC95,BW95,CQ95)-L95</f>
        <v>-4265</v>
      </c>
      <c r="CN95" s="29">
        <f t="shared" si="218"/>
        <v>4377</v>
      </c>
      <c r="CO95" s="298">
        <f>CO92</f>
        <v>0</v>
      </c>
      <c r="CP95" s="31">
        <f>CO95-CN95</f>
        <v>-4377</v>
      </c>
      <c r="CQ95" s="241"/>
      <c r="CR95" s="305">
        <f>CR92</f>
        <v>0</v>
      </c>
      <c r="CS95" s="231">
        <f>CN95+CQ95-CR95</f>
        <v>4377</v>
      </c>
      <c r="CT95" s="314"/>
      <c r="CU95" s="201"/>
      <c r="CV95" s="321"/>
      <c r="CW95" s="710"/>
      <c r="CX95" s="314"/>
      <c r="CY95" s="201"/>
      <c r="CZ95" s="321"/>
      <c r="DA95" s="710"/>
      <c r="DB95" s="122"/>
      <c r="DC95" s="201"/>
      <c r="DD95" s="36"/>
      <c r="DG95" s="394">
        <f>SUM(M95,AG95,BA95,BU95,DI95)-SUM(O95,AI95,BC95,BW95,CQ95)-L95</f>
        <v>-4265</v>
      </c>
      <c r="DH95" s="29">
        <f t="shared" si="219"/>
        <v>4377</v>
      </c>
      <c r="DI95" s="298">
        <f>DI92</f>
        <v>0</v>
      </c>
      <c r="DJ95" s="31">
        <f>DI95-DH95</f>
        <v>-4377</v>
      </c>
      <c r="DK95" s="241"/>
      <c r="DL95" s="305">
        <f>DL92</f>
        <v>0</v>
      </c>
      <c r="DM95" s="231">
        <f>DH95+DK95-DL95</f>
        <v>4377</v>
      </c>
    </row>
    <row r="96" spans="1:117" x14ac:dyDescent="0.25">
      <c r="A96" s="53">
        <v>15029</v>
      </c>
      <c r="B96" s="52" t="s">
        <v>59</v>
      </c>
      <c r="C96" s="53"/>
      <c r="D96" s="51" t="s">
        <v>61</v>
      </c>
      <c r="E96" s="51"/>
      <c r="F96" s="338"/>
      <c r="G96" s="51"/>
      <c r="H96" s="54"/>
      <c r="I96" s="54"/>
      <c r="J96" s="53">
        <f>SUM(M96,AG96,BA96,BU96)</f>
        <v>725</v>
      </c>
      <c r="K96" s="53"/>
      <c r="L96" s="55"/>
      <c r="M96" s="56">
        <f>45+31-45</f>
        <v>31</v>
      </c>
      <c r="N96" s="56"/>
      <c r="O96" s="56"/>
      <c r="P96" s="243">
        <f>6+3+4+1+3+12+2</f>
        <v>31</v>
      </c>
      <c r="Q96" s="230"/>
      <c r="R96" s="119">
        <f>SUM(R97:R99)</f>
        <v>0</v>
      </c>
      <c r="S96" s="120">
        <f>SUM(S97:S99)</f>
        <v>0</v>
      </c>
      <c r="T96" s="57"/>
      <c r="U96" s="219"/>
      <c r="V96" s="119">
        <f>SUM(V97:V99)</f>
        <v>0</v>
      </c>
      <c r="W96" s="120">
        <f>SUM(W97:W99)</f>
        <v>0</v>
      </c>
      <c r="X96" s="57"/>
      <c r="Y96" s="219"/>
      <c r="Z96" s="119">
        <f>SUM(Z97:Z99)</f>
        <v>720</v>
      </c>
      <c r="AA96" s="120">
        <f>SUM(AA97:AA99)</f>
        <v>0</v>
      </c>
      <c r="AB96" s="57"/>
      <c r="AC96" s="230"/>
      <c r="AD96" s="230"/>
      <c r="AE96" s="53">
        <f>SUM(AG96,BA96,BU96)</f>
        <v>694</v>
      </c>
      <c r="AF96" s="55"/>
      <c r="AG96" s="56">
        <f>327-327+110-110+59</f>
        <v>59</v>
      </c>
      <c r="AH96" s="56"/>
      <c r="AI96" s="56"/>
      <c r="AJ96" s="243">
        <f>1+4+3+12+5+8+2+6+1+2+2+6+2+2+3</f>
        <v>59</v>
      </c>
      <c r="AK96" s="230"/>
      <c r="AL96" s="119">
        <f>SUM(AL97:AL99)</f>
        <v>0</v>
      </c>
      <c r="AM96" s="120">
        <f>SUM(AM97:AM99)</f>
        <v>0</v>
      </c>
      <c r="AN96" s="57"/>
      <c r="AO96" s="219"/>
      <c r="AP96" s="119">
        <f>SUM(AP97:AP99)</f>
        <v>0</v>
      </c>
      <c r="AQ96" s="120">
        <f>SUM(AQ97:AQ99)</f>
        <v>0</v>
      </c>
      <c r="AR96" s="57"/>
      <c r="AS96" s="219"/>
      <c r="AT96" s="119">
        <f>SUM(AT97:AT99)</f>
        <v>0</v>
      </c>
      <c r="AU96" s="120">
        <f>SUM(AU97:AU99)</f>
        <v>0</v>
      </c>
      <c r="AV96" s="57"/>
      <c r="AW96" s="230"/>
      <c r="AX96" s="230"/>
      <c r="AY96" s="53">
        <f>SUM(BA96,BU96)</f>
        <v>635</v>
      </c>
      <c r="AZ96" s="55"/>
      <c r="BA96" s="56">
        <f>180-180+367-367+342-342+315</f>
        <v>315</v>
      </c>
      <c r="BB96" s="56"/>
      <c r="BC96" s="56"/>
      <c r="BD96" s="243">
        <f>10+1+11+3+2+6+2+32+6+2+2+3+3+20+5+8+27+170+1+1</f>
        <v>315</v>
      </c>
      <c r="BE96" s="230"/>
      <c r="BF96" s="119">
        <f>SUM(BF97:BF99)</f>
        <v>0</v>
      </c>
      <c r="BG96" s="120">
        <f>SUM(BG97:BG99)</f>
        <v>28500</v>
      </c>
      <c r="BH96" s="57"/>
      <c r="BI96" s="219"/>
      <c r="BJ96" s="119">
        <f>SUM(BJ97:BJ99)</f>
        <v>0</v>
      </c>
      <c r="BK96" s="120">
        <f>SUM(BK97:BK99)</f>
        <v>0</v>
      </c>
      <c r="BL96" s="57"/>
      <c r="BM96" s="219"/>
      <c r="BN96" s="119">
        <f>SUM(BN97:BN99)</f>
        <v>0</v>
      </c>
      <c r="BO96" s="120">
        <f>SUM(BO97:BO99)</f>
        <v>0</v>
      </c>
      <c r="BP96" s="57"/>
      <c r="BQ96" s="230"/>
      <c r="BR96" s="230"/>
      <c r="BS96" s="53">
        <f>BU96</f>
        <v>320</v>
      </c>
      <c r="BT96" s="55"/>
      <c r="BU96" s="56">
        <f>278-278+320</f>
        <v>320</v>
      </c>
      <c r="BV96" s="56"/>
      <c r="BW96" s="56"/>
      <c r="BX96" s="243">
        <f>4+1+6+1+6+8+12+4+10+2+2+4</f>
        <v>60</v>
      </c>
      <c r="BY96" s="230"/>
      <c r="BZ96" s="119">
        <f>SUM(BZ97:BZ99)</f>
        <v>0</v>
      </c>
      <c r="CA96" s="120">
        <f>SUM(CA97:CA99)</f>
        <v>0</v>
      </c>
      <c r="CB96" s="57"/>
      <c r="CC96" s="219"/>
      <c r="CD96" s="119">
        <f>SUM(CD97:CD99)</f>
        <v>2790</v>
      </c>
      <c r="CE96" s="120">
        <f>SUM(CE97:CE99)</f>
        <v>0</v>
      </c>
      <c r="CF96" s="57"/>
      <c r="CG96" s="219"/>
      <c r="CH96" s="119">
        <f>SUM(CH97:CH99)</f>
        <v>0</v>
      </c>
      <c r="CI96" s="120">
        <f>SUM(CI97:CI99)</f>
        <v>0</v>
      </c>
      <c r="CJ96" s="57"/>
      <c r="CK96" s="230"/>
      <c r="CL96" s="230"/>
      <c r="CM96" s="53">
        <f>CO96</f>
        <v>0</v>
      </c>
      <c r="CN96" s="55"/>
      <c r="CO96" s="243"/>
      <c r="CP96" s="56"/>
      <c r="CQ96" s="56"/>
      <c r="CR96" s="243"/>
      <c r="CS96" s="230"/>
      <c r="CT96" s="119">
        <f>SUM(CT97:CT99)</f>
        <v>0</v>
      </c>
      <c r="CU96" s="120">
        <f>SUM(CU97:CU99)</f>
        <v>0</v>
      </c>
      <c r="CV96" s="57"/>
      <c r="CW96" s="219"/>
      <c r="CX96" s="119">
        <f>SUM(CX97:CX99)</f>
        <v>0</v>
      </c>
      <c r="CY96" s="120">
        <f>SUM(CY97:CY99)</f>
        <v>0</v>
      </c>
      <c r="CZ96" s="57"/>
      <c r="DA96" s="219"/>
      <c r="DB96" s="119">
        <f>SUM(DB97:DB99)</f>
        <v>0</v>
      </c>
      <c r="DC96" s="120">
        <f>SUM(DC97:DC99)</f>
        <v>0</v>
      </c>
      <c r="DD96" s="57"/>
      <c r="DE96" s="230"/>
      <c r="DF96" s="230"/>
      <c r="DG96" s="53">
        <f>DI96</f>
        <v>0</v>
      </c>
      <c r="DH96" s="55"/>
      <c r="DI96" s="243"/>
      <c r="DJ96" s="56"/>
      <c r="DK96" s="56"/>
      <c r="DL96" s="243"/>
      <c r="DM96" s="230"/>
    </row>
    <row r="97" spans="1:117" x14ac:dyDescent="0.25">
      <c r="A97" s="18">
        <v>16230</v>
      </c>
      <c r="B97" s="11" t="s">
        <v>54</v>
      </c>
      <c r="C97" s="18" t="s">
        <v>51</v>
      </c>
      <c r="D97" s="11" t="s">
        <v>180</v>
      </c>
      <c r="E97" s="11"/>
      <c r="F97" s="149">
        <v>19</v>
      </c>
      <c r="G97" s="11" t="s">
        <v>649</v>
      </c>
      <c r="H97" s="25" t="s">
        <v>92</v>
      </c>
      <c r="I97" s="24"/>
      <c r="J97" s="536">
        <f>SUM(M97,AG97,BA97,BU97)-L97</f>
        <v>-996</v>
      </c>
      <c r="K97" s="394">
        <f t="shared" si="193"/>
        <v>-1690</v>
      </c>
      <c r="L97" s="544">
        <v>1721</v>
      </c>
      <c r="M97" s="298">
        <f>M96</f>
        <v>31</v>
      </c>
      <c r="N97" s="5">
        <f>M97-L97</f>
        <v>-1690</v>
      </c>
      <c r="O97" s="256"/>
      <c r="P97" s="303">
        <f>P96</f>
        <v>31</v>
      </c>
      <c r="Q97" s="231">
        <f>L97+O97-P97</f>
        <v>1690</v>
      </c>
      <c r="R97" s="121"/>
      <c r="S97" s="6"/>
      <c r="T97" s="35"/>
      <c r="U97" s="612"/>
      <c r="V97" s="121"/>
      <c r="W97" s="6"/>
      <c r="X97" s="35"/>
      <c r="Y97" s="612"/>
      <c r="Z97" s="21"/>
      <c r="AA97" s="6"/>
      <c r="AB97" s="35"/>
      <c r="AC97" s="713"/>
      <c r="AD97" s="713"/>
      <c r="AE97" s="394">
        <f>SUM(M97,AG97)-SUM(O97,AI97)-L97</f>
        <v>-1631</v>
      </c>
      <c r="AF97" s="29">
        <f>Q97</f>
        <v>1690</v>
      </c>
      <c r="AG97" s="298">
        <f>AG96</f>
        <v>59</v>
      </c>
      <c r="AH97" s="5">
        <f>AG97-AF97</f>
        <v>-1631</v>
      </c>
      <c r="AI97" s="256"/>
      <c r="AJ97" s="303">
        <f>AJ96</f>
        <v>59</v>
      </c>
      <c r="AK97" s="231">
        <f>AF97+AI97-AJ97</f>
        <v>1631</v>
      </c>
      <c r="AL97" s="121"/>
      <c r="AM97" s="6"/>
      <c r="AN97" s="35"/>
      <c r="AO97" s="612"/>
      <c r="AP97" s="121"/>
      <c r="AQ97" s="6"/>
      <c r="AR97" s="35"/>
      <c r="AS97" s="612"/>
      <c r="AT97" s="21"/>
      <c r="AU97" s="6"/>
      <c r="AV97" s="35"/>
      <c r="AW97" s="713"/>
      <c r="AX97" s="713"/>
      <c r="AY97" s="394">
        <f>SUM(M97,AG97,BA97)-SUM(O97,AI97,BC97)-L97</f>
        <v>-4316</v>
      </c>
      <c r="AZ97" s="29">
        <f>AK97</f>
        <v>1631</v>
      </c>
      <c r="BA97" s="298">
        <f>BA96</f>
        <v>315</v>
      </c>
      <c r="BB97" s="5">
        <f>BA97-AZ97</f>
        <v>-1316</v>
      </c>
      <c r="BC97" s="256">
        <v>3000</v>
      </c>
      <c r="BD97" s="303">
        <f>BD96</f>
        <v>315</v>
      </c>
      <c r="BE97" s="231">
        <f>AZ97+BC97-BD97</f>
        <v>4316</v>
      </c>
      <c r="BF97" s="121"/>
      <c r="BG97" s="6">
        <f>$F$97*50%*3000</f>
        <v>28500</v>
      </c>
      <c r="BH97" s="35" t="s">
        <v>677</v>
      </c>
      <c r="BI97" s="612"/>
      <c r="BJ97" s="121"/>
      <c r="BK97" s="6"/>
      <c r="BL97" s="35"/>
      <c r="BM97" s="612"/>
      <c r="BN97" s="21"/>
      <c r="BO97" s="6"/>
      <c r="BP97" s="35"/>
      <c r="BQ97" s="713"/>
      <c r="BR97" s="713"/>
      <c r="BS97" s="394">
        <f>SUM(M97,AG97,BA97,BU97)-SUM(O97,AI97,BC97,BW97)-L97</f>
        <v>-3996</v>
      </c>
      <c r="BT97" s="29">
        <f>BE97</f>
        <v>4316</v>
      </c>
      <c r="BU97" s="298">
        <f>BU96</f>
        <v>320</v>
      </c>
      <c r="BV97" s="5">
        <f>BU97-BT97</f>
        <v>-3996</v>
      </c>
      <c r="BW97" s="256"/>
      <c r="BX97" s="303">
        <f>BX96</f>
        <v>60</v>
      </c>
      <c r="BY97" s="231">
        <f>BT97+BW97-BX97</f>
        <v>4256</v>
      </c>
      <c r="BZ97" s="21"/>
      <c r="CA97" s="6"/>
      <c r="CB97" s="35"/>
      <c r="CC97" s="612"/>
      <c r="CD97" s="121"/>
      <c r="CE97" s="6"/>
      <c r="CF97" s="35"/>
      <c r="CG97" s="612"/>
      <c r="CH97" s="21"/>
      <c r="CI97" s="6"/>
      <c r="CJ97" s="35"/>
      <c r="CK97" s="713"/>
      <c r="CL97" s="713"/>
      <c r="CM97" s="394">
        <f>SUM(M97,AG97,BA97,BU97,CO97)-SUM(O97,AI97,BC97,BW97,CQ97)-L97</f>
        <v>-3996</v>
      </c>
      <c r="CN97" s="29">
        <f>BY97</f>
        <v>4256</v>
      </c>
      <c r="CO97" s="298">
        <f>CO96</f>
        <v>0</v>
      </c>
      <c r="CP97" s="5">
        <f>CO97-CN97</f>
        <v>-4256</v>
      </c>
      <c r="CQ97" s="256"/>
      <c r="CR97" s="303">
        <f>CR96</f>
        <v>0</v>
      </c>
      <c r="CS97" s="231">
        <f>CN97+CQ97-CR97</f>
        <v>4256</v>
      </c>
      <c r="CT97" s="121"/>
      <c r="CU97" s="6"/>
      <c r="CV97" s="35"/>
      <c r="CW97" s="612"/>
      <c r="CX97" s="121"/>
      <c r="CY97" s="6"/>
      <c r="CZ97" s="35"/>
      <c r="DA97" s="612"/>
      <c r="DB97" s="21"/>
      <c r="DC97" s="6"/>
      <c r="DD97" s="35"/>
      <c r="DE97" s="713"/>
      <c r="DF97" s="713"/>
      <c r="DG97" s="394">
        <f>SUM(M97,AG97,BA97,BU97,DI97)-SUM(O97,AI97,BC97,BW97,CQ97)-L97</f>
        <v>-3996</v>
      </c>
      <c r="DH97" s="29">
        <f>BY97</f>
        <v>4256</v>
      </c>
      <c r="DI97" s="298">
        <f>DI96</f>
        <v>0</v>
      </c>
      <c r="DJ97" s="5">
        <f>DI97-DH97</f>
        <v>-4256</v>
      </c>
      <c r="DK97" s="240"/>
      <c r="DL97" s="303">
        <f>DL96</f>
        <v>0</v>
      </c>
      <c r="DM97" s="231">
        <f>DH97+DK97-DL97</f>
        <v>4256</v>
      </c>
    </row>
    <row r="98" spans="1:117" ht="53.45" customHeight="1" x14ac:dyDescent="0.25">
      <c r="A98" s="18"/>
      <c r="B98" s="15" t="s">
        <v>975</v>
      </c>
      <c r="C98" s="18">
        <v>1</v>
      </c>
      <c r="D98" s="345" t="s">
        <v>976</v>
      </c>
      <c r="E98" s="345"/>
      <c r="F98" s="568">
        <v>1.8</v>
      </c>
      <c r="G98" s="23" t="s">
        <v>757</v>
      </c>
      <c r="H98" s="25" t="s">
        <v>11</v>
      </c>
      <c r="I98" s="25"/>
      <c r="J98" s="539">
        <f>SUM(M98,AG98,BA98,BU98)-L98</f>
        <v>195</v>
      </c>
      <c r="K98" s="394">
        <f t="shared" si="193"/>
        <v>-899</v>
      </c>
      <c r="L98" s="544">
        <v>530</v>
      </c>
      <c r="M98" s="298">
        <f>M96</f>
        <v>31</v>
      </c>
      <c r="N98" s="5">
        <f>M98-L98</f>
        <v>-499</v>
      </c>
      <c r="O98" s="256">
        <v>400</v>
      </c>
      <c r="P98" s="303">
        <f>P96</f>
        <v>31</v>
      </c>
      <c r="Q98" s="231">
        <f>L98+O98-P98</f>
        <v>899</v>
      </c>
      <c r="R98" s="121"/>
      <c r="S98" s="6"/>
      <c r="T98" s="35"/>
      <c r="U98" s="612"/>
      <c r="V98" s="121"/>
      <c r="W98" s="6"/>
      <c r="X98" s="35"/>
      <c r="Y98" s="612"/>
      <c r="Z98" s="573">
        <f>$F$98*100%*400</f>
        <v>720</v>
      </c>
      <c r="AA98" s="6"/>
      <c r="AB98" s="35" t="s">
        <v>705</v>
      </c>
      <c r="AC98" s="612"/>
      <c r="AD98" s="612"/>
      <c r="AE98" s="478">
        <f>SUM(M98,AG98)-SUM(O98,AI98)-L98</f>
        <v>-840</v>
      </c>
      <c r="AF98" s="29">
        <f>Q98</f>
        <v>899</v>
      </c>
      <c r="AG98" s="298">
        <f>AG96</f>
        <v>59</v>
      </c>
      <c r="AH98" s="5">
        <f>AG98-AF98</f>
        <v>-840</v>
      </c>
      <c r="AI98" s="256"/>
      <c r="AJ98" s="303">
        <f>AJ96</f>
        <v>59</v>
      </c>
      <c r="AK98" s="231">
        <f>AF98+AI98-AJ98</f>
        <v>840</v>
      </c>
      <c r="AL98" s="121"/>
      <c r="AM98" s="6"/>
      <c r="AN98" s="35"/>
      <c r="AO98" s="612"/>
      <c r="AP98" s="121"/>
      <c r="AQ98" s="6"/>
      <c r="AR98" s="35"/>
      <c r="AS98" s="612"/>
      <c r="AT98" s="21"/>
      <c r="AU98" s="6"/>
      <c r="AV98" s="35"/>
      <c r="AW98" s="612"/>
      <c r="AX98" s="612"/>
      <c r="AY98" s="478">
        <f>SUM(M98,AG98,BA98)-SUM(O98,AI98,BC98)-L98</f>
        <v>-525</v>
      </c>
      <c r="AZ98" s="607">
        <f>AK98</f>
        <v>840</v>
      </c>
      <c r="BA98" s="298">
        <f>BA96</f>
        <v>315</v>
      </c>
      <c r="BB98" s="5">
        <f>BA98-AZ98</f>
        <v>-525</v>
      </c>
      <c r="BC98" s="240"/>
      <c r="BD98" s="303">
        <f>BD96</f>
        <v>315</v>
      </c>
      <c r="BE98" s="231">
        <f>AZ98+BC98-BD98</f>
        <v>525</v>
      </c>
      <c r="BF98" s="121"/>
      <c r="BG98" s="6"/>
      <c r="BH98" s="35"/>
      <c r="BI98" s="612"/>
      <c r="BJ98" s="121"/>
      <c r="BK98" s="6"/>
      <c r="BL98" s="35"/>
      <c r="BM98" s="612"/>
      <c r="BN98" s="21">
        <f>BC98*F98</f>
        <v>0</v>
      </c>
      <c r="BO98" s="6"/>
      <c r="BP98" s="35" t="s">
        <v>802</v>
      </c>
      <c r="BQ98" s="612"/>
      <c r="BR98" s="612"/>
      <c r="BS98" s="478">
        <f>SUM(M98,AG98,BA98,BU98)-SUM(O98,AI98,BC98,BW98)-L98</f>
        <v>-1755</v>
      </c>
      <c r="BT98" s="29">
        <f t="shared" ref="BT98" si="220">BE98</f>
        <v>525</v>
      </c>
      <c r="BU98" s="298">
        <f>BU96</f>
        <v>320</v>
      </c>
      <c r="BV98" s="5">
        <f>BU98-BT98</f>
        <v>-205</v>
      </c>
      <c r="BW98" s="621">
        <v>1550</v>
      </c>
      <c r="BX98" s="303">
        <f>BX96</f>
        <v>60</v>
      </c>
      <c r="BY98" s="231">
        <f>BT98+BW98-BX98</f>
        <v>2015</v>
      </c>
      <c r="BZ98" s="121"/>
      <c r="CA98" s="6"/>
      <c r="CB98" s="35"/>
      <c r="CC98" s="612"/>
      <c r="CD98" s="668">
        <f>F98*BW98</f>
        <v>2790</v>
      </c>
      <c r="CE98" s="663"/>
      <c r="CF98" s="664" t="s">
        <v>802</v>
      </c>
      <c r="CG98" s="773"/>
      <c r="CH98" s="21"/>
      <c r="CI98" s="6"/>
      <c r="CJ98" s="35"/>
      <c r="CK98" s="713"/>
      <c r="CL98" s="713"/>
      <c r="CM98" s="394">
        <f>SUM(M98,AG98,BA98,BU98,CO98)-SUM(O98,AI98,BC98,BW98,CQ98)-L98</f>
        <v>-1755</v>
      </c>
      <c r="CN98" s="29">
        <f t="shared" ref="CN98" si="221">BY98</f>
        <v>2015</v>
      </c>
      <c r="CO98" s="298">
        <f>CO96</f>
        <v>0</v>
      </c>
      <c r="CP98" s="5">
        <f>CO98-CN98</f>
        <v>-2015</v>
      </c>
      <c r="CQ98" s="240"/>
      <c r="CR98" s="303">
        <f>CR96</f>
        <v>0</v>
      </c>
      <c r="CS98" s="231">
        <f>CN98+CQ98-CR98</f>
        <v>2015</v>
      </c>
      <c r="CT98" s="121"/>
      <c r="CU98" s="6"/>
      <c r="CV98" s="35"/>
      <c r="CW98" s="612"/>
      <c r="CX98" s="121"/>
      <c r="CY98" s="6"/>
      <c r="CZ98" s="35"/>
      <c r="DA98" s="612"/>
      <c r="DB98" s="21"/>
      <c r="DC98" s="6"/>
      <c r="DD98" s="35"/>
      <c r="DE98" s="713"/>
      <c r="DF98" s="713"/>
      <c r="DG98" s="394">
        <f>SUM(M98,AG98,BA98,BU98,DI98)-SUM(O98,AI98,BC98,BW98,CQ98)-L98</f>
        <v>-1755</v>
      </c>
      <c r="DH98" s="29">
        <f t="shared" ref="DH98:DH99" si="222">BY98</f>
        <v>2015</v>
      </c>
      <c r="DI98" s="298">
        <f>DI96</f>
        <v>0</v>
      </c>
      <c r="DJ98" s="5">
        <f>DI98-DH98</f>
        <v>-2015</v>
      </c>
      <c r="DK98" s="240"/>
      <c r="DL98" s="303">
        <f>DL96</f>
        <v>0</v>
      </c>
      <c r="DM98" s="231">
        <f>DH98+DK98-DL98</f>
        <v>2015</v>
      </c>
    </row>
    <row r="99" spans="1:117" ht="15.75" thickBot="1" x14ac:dyDescent="0.3">
      <c r="A99" s="17"/>
      <c r="B99" s="10" t="s">
        <v>538</v>
      </c>
      <c r="C99" s="17" t="s">
        <v>51</v>
      </c>
      <c r="D99" s="10" t="s">
        <v>134</v>
      </c>
      <c r="E99" s="10"/>
      <c r="F99" s="337">
        <v>210</v>
      </c>
      <c r="G99" s="109" t="s">
        <v>10</v>
      </c>
      <c r="H99" s="24" t="s">
        <v>170</v>
      </c>
      <c r="I99" s="24"/>
      <c r="J99" s="536">
        <f>SUM(M99,AG99,BA99,BU99)-L99</f>
        <v>-89</v>
      </c>
      <c r="K99" s="394">
        <f t="shared" si="193"/>
        <v>-89</v>
      </c>
      <c r="L99" s="515">
        <v>89</v>
      </c>
      <c r="M99" s="7"/>
      <c r="N99" s="7">
        <f>M99-L99</f>
        <v>-89</v>
      </c>
      <c r="O99" s="258"/>
      <c r="P99" s="242"/>
      <c r="Q99" s="234">
        <f>L99+O99-P99</f>
        <v>89</v>
      </c>
      <c r="R99" s="123"/>
      <c r="S99" s="8"/>
      <c r="T99" s="34"/>
      <c r="U99" s="713"/>
      <c r="V99" s="123"/>
      <c r="W99" s="8"/>
      <c r="X99" s="34"/>
      <c r="Y99" s="713"/>
      <c r="Z99" s="123"/>
      <c r="AA99" s="8"/>
      <c r="AB99" s="34"/>
      <c r="AC99" s="713"/>
      <c r="AD99" s="713"/>
      <c r="AE99" s="394">
        <f>SUM(M99,AG99)-SUM(O99,AI99)-L99</f>
        <v>-89</v>
      </c>
      <c r="AF99" s="32">
        <f>Q99</f>
        <v>89</v>
      </c>
      <c r="AG99" s="7"/>
      <c r="AH99" s="7">
        <f>AG99-AF99</f>
        <v>-89</v>
      </c>
      <c r="AI99" s="258"/>
      <c r="AJ99" s="242"/>
      <c r="AK99" s="234">
        <f>AF99+AI99-AJ99</f>
        <v>89</v>
      </c>
      <c r="AL99" s="123"/>
      <c r="AM99" s="8"/>
      <c r="AN99" s="34"/>
      <c r="AO99" s="713"/>
      <c r="AP99" s="123"/>
      <c r="AQ99" s="8"/>
      <c r="AR99" s="34"/>
      <c r="AS99" s="713"/>
      <c r="AT99" s="20"/>
      <c r="AU99" s="8"/>
      <c r="AV99" s="34"/>
      <c r="AW99" s="713"/>
      <c r="AX99" s="713"/>
      <c r="AY99" s="394">
        <f>SUM(M99,AG99,BA99)-SUM(O99,AI99,BC99)-L99</f>
        <v>-89</v>
      </c>
      <c r="AZ99" s="32">
        <f>AK99</f>
        <v>89</v>
      </c>
      <c r="BA99" s="7"/>
      <c r="BB99" s="7">
        <f>BA99-AZ99</f>
        <v>-89</v>
      </c>
      <c r="BC99" s="7"/>
      <c r="BD99" s="242"/>
      <c r="BE99" s="234">
        <f>AZ99+BC99-BD99</f>
        <v>89</v>
      </c>
      <c r="BF99" s="123"/>
      <c r="BG99" s="8"/>
      <c r="BH99" s="447"/>
      <c r="BI99" s="728"/>
      <c r="BJ99" s="123"/>
      <c r="BK99" s="8"/>
      <c r="BL99" s="34"/>
      <c r="BM99" s="713"/>
      <c r="BN99" s="20"/>
      <c r="BO99" s="8"/>
      <c r="BP99" s="34"/>
      <c r="BQ99" s="713"/>
      <c r="BR99" s="713"/>
      <c r="BS99" s="394">
        <f>SUM(M99,AG99,BA99,BU99)-SUM(O99,AI99,BC99,BW99)-L99</f>
        <v>-89</v>
      </c>
      <c r="BT99" s="32">
        <f>BE99</f>
        <v>89</v>
      </c>
      <c r="BU99" s="7"/>
      <c r="BV99" s="7">
        <f>BU99-BT99</f>
        <v>-89</v>
      </c>
      <c r="BW99" s="258"/>
      <c r="BX99" s="242"/>
      <c r="BY99" s="234">
        <f>BT99+BW99-BX99</f>
        <v>89</v>
      </c>
      <c r="BZ99" s="123"/>
      <c r="CA99" s="8"/>
      <c r="CB99" s="34"/>
      <c r="CC99" s="713"/>
      <c r="CD99" s="123"/>
      <c r="CE99" s="8"/>
      <c r="CF99" s="34"/>
      <c r="CG99" s="713"/>
      <c r="CH99" s="20"/>
      <c r="CI99" s="8"/>
      <c r="CJ99" s="34"/>
      <c r="CK99" s="713"/>
      <c r="CL99" s="713"/>
      <c r="CM99" s="394">
        <f>SUM(M99,AG99,BA99,BU99,CO99)-SUM(O99,AI99,BC99,BW99,CQ99)-L99</f>
        <v>-89</v>
      </c>
      <c r="CN99" s="32">
        <f>BY99</f>
        <v>89</v>
      </c>
      <c r="CO99" s="7"/>
      <c r="CP99" s="7">
        <f>CO99-CN99</f>
        <v>-89</v>
      </c>
      <c r="CQ99" s="242"/>
      <c r="CR99" s="242"/>
      <c r="CS99" s="234">
        <f>CN99+CQ99-CR99</f>
        <v>89</v>
      </c>
      <c r="CT99" s="123"/>
      <c r="CU99" s="8"/>
      <c r="CV99" s="34"/>
      <c r="CW99" s="713"/>
      <c r="CX99" s="123"/>
      <c r="CY99" s="8"/>
      <c r="CZ99" s="34"/>
      <c r="DA99" s="713"/>
      <c r="DB99" s="20"/>
      <c r="DC99" s="8"/>
      <c r="DD99" s="34"/>
      <c r="DE99" s="713"/>
      <c r="DF99" s="713"/>
      <c r="DG99" s="394">
        <f>SUM(M99,AG99,BA99,BU99,DI99)-SUM(O99,AI99,BC99,BW99,CQ99)-L99</f>
        <v>-89</v>
      </c>
      <c r="DH99" s="29">
        <f t="shared" si="222"/>
        <v>89</v>
      </c>
      <c r="DI99" s="7"/>
      <c r="DJ99" s="7">
        <f>DI99-DH99</f>
        <v>-89</v>
      </c>
      <c r="DK99" s="242"/>
      <c r="DL99" s="242"/>
      <c r="DM99" s="234">
        <f>DH99+DK99-DL99</f>
        <v>89</v>
      </c>
    </row>
    <row r="100" spans="1:117" x14ac:dyDescent="0.25">
      <c r="A100" s="84"/>
      <c r="B100" s="89" t="s">
        <v>445</v>
      </c>
      <c r="C100" s="84"/>
      <c r="D100" s="83"/>
      <c r="E100" s="83"/>
      <c r="F100" s="339"/>
      <c r="G100" s="83"/>
      <c r="H100" s="85"/>
      <c r="I100" s="85"/>
      <c r="J100" s="85"/>
      <c r="K100" s="85"/>
      <c r="L100" s="86"/>
      <c r="M100" s="87"/>
      <c r="N100" s="87"/>
      <c r="O100" s="87"/>
      <c r="P100" s="252"/>
      <c r="Q100" s="238"/>
      <c r="R100" s="135">
        <f>SUM(R101:R101)</f>
        <v>0</v>
      </c>
      <c r="S100" s="136">
        <f>SUM(S101:S101)</f>
        <v>0</v>
      </c>
      <c r="T100" s="88"/>
      <c r="U100" s="223"/>
      <c r="V100" s="135">
        <f>SUM(V101:V101)</f>
        <v>0</v>
      </c>
      <c r="W100" s="136">
        <f>SUM(W101:W101)</f>
        <v>0</v>
      </c>
      <c r="X100" s="88"/>
      <c r="Y100" s="223"/>
      <c r="Z100" s="135">
        <f>SUM(Z101:Z101)</f>
        <v>0</v>
      </c>
      <c r="AA100" s="136">
        <f>SUM(AA101:AA101)</f>
        <v>0</v>
      </c>
      <c r="AB100" s="88"/>
      <c r="AC100" s="223"/>
      <c r="AD100" s="223"/>
      <c r="AE100" s="85"/>
      <c r="AF100" s="86"/>
      <c r="AG100" s="87"/>
      <c r="AH100" s="87"/>
      <c r="AI100" s="87"/>
      <c r="AJ100" s="252"/>
      <c r="AK100" s="238"/>
      <c r="AL100" s="135">
        <f>SUM(AL101:AL101)</f>
        <v>0</v>
      </c>
      <c r="AM100" s="136">
        <f>SUM(AM101:AM101)</f>
        <v>0</v>
      </c>
      <c r="AN100" s="88"/>
      <c r="AO100" s="223"/>
      <c r="AP100" s="135">
        <f>SUM(AP101:AP101)</f>
        <v>0</v>
      </c>
      <c r="AQ100" s="136">
        <f>SUM(AQ101:AQ101)</f>
        <v>0</v>
      </c>
      <c r="AR100" s="88"/>
      <c r="AS100" s="223"/>
      <c r="AT100" s="135">
        <f>SUM(AT101:AT101)</f>
        <v>0</v>
      </c>
      <c r="AU100" s="136">
        <f>SUM(AU101:AU101)</f>
        <v>0</v>
      </c>
      <c r="AV100" s="88"/>
      <c r="AW100" s="223"/>
      <c r="AX100" s="223"/>
      <c r="AY100" s="85"/>
      <c r="AZ100" s="86"/>
      <c r="BA100" s="87"/>
      <c r="BB100" s="87"/>
      <c r="BC100" s="87"/>
      <c r="BD100" s="252"/>
      <c r="BE100" s="238"/>
      <c r="BF100" s="135">
        <f>SUM(BF101:BF101)</f>
        <v>0</v>
      </c>
      <c r="BG100" s="136">
        <f>SUM(BG101:BG101)</f>
        <v>0</v>
      </c>
      <c r="BH100" s="88"/>
      <c r="BI100" s="223"/>
      <c r="BJ100" s="135">
        <f>SUM(BJ101:BJ101)</f>
        <v>0</v>
      </c>
      <c r="BK100" s="136">
        <f>SUM(BK101:BK101)</f>
        <v>0</v>
      </c>
      <c r="BL100" s="88"/>
      <c r="BM100" s="223"/>
      <c r="BN100" s="135">
        <f>SUM(BN101:BN101)</f>
        <v>0</v>
      </c>
      <c r="BO100" s="136">
        <f>SUM(BO101:BO101)</f>
        <v>0</v>
      </c>
      <c r="BP100" s="88"/>
      <c r="BQ100" s="223"/>
      <c r="BR100" s="223"/>
      <c r="BS100" s="85"/>
      <c r="BT100" s="86"/>
      <c r="BU100" s="87"/>
      <c r="BV100" s="87"/>
      <c r="BW100" s="87"/>
      <c r="BX100" s="252"/>
      <c r="BY100" s="238"/>
      <c r="BZ100" s="135">
        <f>SUM(BZ101:BZ101)</f>
        <v>0</v>
      </c>
      <c r="CA100" s="136">
        <f>SUM(CA101:CA101)</f>
        <v>0</v>
      </c>
      <c r="CB100" s="88"/>
      <c r="CC100" s="223"/>
      <c r="CD100" s="135">
        <f>SUM(CD101:CD101)</f>
        <v>0</v>
      </c>
      <c r="CE100" s="136">
        <f>SUM(CE101:CE101)</f>
        <v>0</v>
      </c>
      <c r="CF100" s="88"/>
      <c r="CG100" s="223"/>
      <c r="CH100" s="135">
        <f>SUM(CH101:CH101)</f>
        <v>0</v>
      </c>
      <c r="CI100" s="136">
        <f>SUM(CI101:CI101)</f>
        <v>0</v>
      </c>
      <c r="CJ100" s="88"/>
      <c r="CK100" s="223"/>
      <c r="CL100" s="223"/>
      <c r="CM100" s="85"/>
      <c r="CN100" s="86"/>
      <c r="CO100" s="87"/>
      <c r="CP100" s="87"/>
      <c r="CQ100" s="87"/>
      <c r="CR100" s="252"/>
      <c r="CS100" s="238"/>
      <c r="CT100" s="135">
        <f>SUM(CT101:CT101)</f>
        <v>0</v>
      </c>
      <c r="CU100" s="136">
        <f>SUM(CU101:CU101)</f>
        <v>0</v>
      </c>
      <c r="CV100" s="88"/>
      <c r="CW100" s="223"/>
      <c r="CX100" s="135">
        <f>SUM(CX101:CX101)</f>
        <v>0</v>
      </c>
      <c r="CY100" s="136">
        <f>SUM(CY101:CY101)</f>
        <v>0</v>
      </c>
      <c r="CZ100" s="88"/>
      <c r="DA100" s="223"/>
      <c r="DB100" s="135">
        <f>SUM(DB101:DB101)</f>
        <v>0</v>
      </c>
      <c r="DC100" s="136">
        <f>SUM(DC101:DC101)</f>
        <v>0</v>
      </c>
      <c r="DD100" s="88"/>
      <c r="DE100" s="223"/>
      <c r="DF100" s="223"/>
      <c r="DG100" s="85"/>
      <c r="DH100" s="86"/>
      <c r="DI100" s="87"/>
      <c r="DJ100" s="87"/>
      <c r="DK100" s="87"/>
      <c r="DL100" s="252"/>
      <c r="DM100" s="238"/>
    </row>
    <row r="101" spans="1:117" ht="15.75" thickBot="1" x14ac:dyDescent="0.3">
      <c r="A101" s="18">
        <v>19766</v>
      </c>
      <c r="B101" s="11" t="s">
        <v>264</v>
      </c>
      <c r="C101" s="18">
        <v>1</v>
      </c>
      <c r="D101" s="11" t="s">
        <v>444</v>
      </c>
      <c r="E101" s="11"/>
      <c r="F101" s="149">
        <v>120</v>
      </c>
      <c r="G101" s="11" t="s">
        <v>198</v>
      </c>
      <c r="H101" s="147" t="s">
        <v>554</v>
      </c>
      <c r="I101" s="294"/>
      <c r="J101" s="536">
        <f>SUM(M101,AG101,BA101,BU101)-L101</f>
        <v>2371</v>
      </c>
      <c r="K101" s="394">
        <f t="shared" si="193"/>
        <v>-4560</v>
      </c>
      <c r="L101" s="544">
        <v>5205</v>
      </c>
      <c r="M101" s="298">
        <f>SUM(M92,M96)</f>
        <v>645</v>
      </c>
      <c r="N101" s="5">
        <f>M101-L101</f>
        <v>-4560</v>
      </c>
      <c r="O101" s="256"/>
      <c r="P101" s="303">
        <f>SUM(P92,P96)</f>
        <v>645</v>
      </c>
      <c r="Q101" s="231">
        <f>L101+O101-P101</f>
        <v>4560</v>
      </c>
      <c r="R101" s="21"/>
      <c r="S101" s="6"/>
      <c r="T101" s="35"/>
      <c r="U101" s="612"/>
      <c r="V101" s="236"/>
      <c r="W101" s="210"/>
      <c r="X101" s="216"/>
      <c r="Y101" s="707"/>
      <c r="Z101" s="21"/>
      <c r="AA101" s="6"/>
      <c r="AB101" s="35"/>
      <c r="AC101" s="713"/>
      <c r="AD101" s="713"/>
      <c r="AE101" s="394">
        <f>SUM(M101,AG101)-SUM(O101,AI101)-L101</f>
        <v>-9662</v>
      </c>
      <c r="AF101" s="29">
        <f>Q101</f>
        <v>4560</v>
      </c>
      <c r="AG101" s="298">
        <f>SUM(AG92,AG96)</f>
        <v>898</v>
      </c>
      <c r="AH101" s="5">
        <f>AG101-AF101</f>
        <v>-3662</v>
      </c>
      <c r="AI101" s="593">
        <v>6000</v>
      </c>
      <c r="AJ101" s="303">
        <f>SUM(AJ92,AJ96)</f>
        <v>898</v>
      </c>
      <c r="AK101" s="231">
        <f>AF101+AI101-AJ101</f>
        <v>9662</v>
      </c>
      <c r="AL101" s="21"/>
      <c r="AM101" s="6"/>
      <c r="AN101" s="35"/>
      <c r="AO101" s="612"/>
      <c r="AP101" s="236"/>
      <c r="AQ101" s="210"/>
      <c r="AR101" s="216"/>
      <c r="AS101" s="707"/>
      <c r="AT101" s="21"/>
      <c r="AU101" s="6"/>
      <c r="AV101" s="35" t="s">
        <v>785</v>
      </c>
      <c r="AW101" s="713"/>
      <c r="AX101" s="713"/>
      <c r="AY101" s="394">
        <f>SUM(M101,AG101,BA101)-SUM(O101,AI101,BC101)-L101</f>
        <v>-5849</v>
      </c>
      <c r="AZ101" s="29">
        <f>AK101</f>
        <v>9662</v>
      </c>
      <c r="BA101" s="298">
        <f>SUM(BA92,BA96)</f>
        <v>3813</v>
      </c>
      <c r="BB101" s="5">
        <f>BA101-AZ101</f>
        <v>-5849</v>
      </c>
      <c r="BC101" s="240"/>
      <c r="BD101" s="303">
        <f>SUM(BD92,BD96)</f>
        <v>3813</v>
      </c>
      <c r="BE101" s="231">
        <f>AZ101+BC101-BD101</f>
        <v>5849</v>
      </c>
      <c r="BF101" s="21"/>
      <c r="BG101" s="6"/>
      <c r="BH101" s="35"/>
      <c r="BI101" s="612"/>
      <c r="BJ101" s="236"/>
      <c r="BK101" s="210"/>
      <c r="BL101" s="216"/>
      <c r="BM101" s="707"/>
      <c r="BN101" s="21"/>
      <c r="BO101" s="6"/>
      <c r="BP101" s="35"/>
      <c r="BQ101" s="713"/>
      <c r="BR101" s="713"/>
      <c r="BS101" s="394">
        <f>SUM(M101,AG101,BA101,BU101)-SUM(O101,AI101,BC101,BW101)-L101</f>
        <v>-3629</v>
      </c>
      <c r="BT101" s="29">
        <f>BE101</f>
        <v>5849</v>
      </c>
      <c r="BU101" s="298">
        <f>SUM(BU92,BU96)</f>
        <v>2220</v>
      </c>
      <c r="BV101" s="5">
        <f>BU101-BT101</f>
        <v>-3629</v>
      </c>
      <c r="BW101" s="621"/>
      <c r="BX101" s="303">
        <f>SUM(BX92,BX96)</f>
        <v>691</v>
      </c>
      <c r="BY101" s="231">
        <f>BT101+BW101-BX101</f>
        <v>5158</v>
      </c>
      <c r="BZ101" s="21"/>
      <c r="CA101" s="6"/>
      <c r="CB101" s="35"/>
      <c r="CC101" s="612"/>
      <c r="CD101" s="236"/>
      <c r="CE101" s="210"/>
      <c r="CF101" s="625" t="s">
        <v>879</v>
      </c>
      <c r="CG101" s="787"/>
      <c r="CH101" s="21"/>
      <c r="CI101" s="6"/>
      <c r="CJ101" s="35"/>
      <c r="CK101" s="713"/>
      <c r="CL101" s="713"/>
      <c r="CM101" s="394">
        <f>SUM(M101,AG101,BA101,BU101,CO101)-SUM(O101,AI101,BC101,BW101,CQ101)-L101</f>
        <v>-8629</v>
      </c>
      <c r="CN101" s="29">
        <f>BY101</f>
        <v>5158</v>
      </c>
      <c r="CO101" s="298">
        <f>SUM(CO92,CO96)</f>
        <v>0</v>
      </c>
      <c r="CP101" s="5">
        <f>CO101-CN101</f>
        <v>-5158</v>
      </c>
      <c r="CQ101" s="621">
        <v>5000</v>
      </c>
      <c r="CR101" s="303">
        <f>SUM(CR92,CR96)</f>
        <v>0</v>
      </c>
      <c r="CS101" s="231">
        <f>CN101+CQ101-CR101</f>
        <v>10158</v>
      </c>
      <c r="CT101" s="21"/>
      <c r="CU101" s="6"/>
      <c r="CV101" s="35"/>
      <c r="CW101" s="612"/>
      <c r="CX101" s="236"/>
      <c r="CY101" s="210"/>
      <c r="CZ101" s="625" t="s">
        <v>923</v>
      </c>
      <c r="DA101" s="787"/>
      <c r="DB101" s="21"/>
      <c r="DC101" s="6"/>
      <c r="DD101" s="35"/>
      <c r="DE101" s="713"/>
      <c r="DF101" s="713"/>
      <c r="DG101" s="394">
        <f>SUM(M101,AG101,BA101,BU101,DI101)-SUM(O101,AI101,BC101,BW101,CQ101)-L101</f>
        <v>-8629</v>
      </c>
      <c r="DH101" s="29">
        <f>BY101</f>
        <v>5158</v>
      </c>
      <c r="DI101" s="298">
        <f>SUM(DI92,DI96)</f>
        <v>0</v>
      </c>
      <c r="DJ101" s="5">
        <f>DI101-DH101</f>
        <v>-5158</v>
      </c>
      <c r="DK101" s="256"/>
      <c r="DL101" s="303">
        <f>SUM(DL92,DL96)</f>
        <v>0</v>
      </c>
      <c r="DM101" s="231">
        <f>DH101+DK101-DL101</f>
        <v>5158</v>
      </c>
    </row>
    <row r="102" spans="1:117" x14ac:dyDescent="0.25">
      <c r="A102" s="53">
        <v>16363</v>
      </c>
      <c r="B102" s="52" t="s">
        <v>57</v>
      </c>
      <c r="C102" s="53"/>
      <c r="D102" s="51" t="s">
        <v>61</v>
      </c>
      <c r="E102" s="51"/>
      <c r="F102" s="338"/>
      <c r="G102" s="51"/>
      <c r="H102" s="54"/>
      <c r="I102" s="54"/>
      <c r="J102" s="53">
        <f>SUM(M102,AG102,BA102,BU102)</f>
        <v>695</v>
      </c>
      <c r="K102" s="53"/>
      <c r="L102" s="55"/>
      <c r="M102" s="56">
        <f>40+60-40</f>
        <v>60</v>
      </c>
      <c r="N102" s="56"/>
      <c r="O102" s="56"/>
      <c r="P102" s="243">
        <f>1+6+4+3+2+5+3+2+1+1+1+2+22+1+2+2+2</f>
        <v>60</v>
      </c>
      <c r="Q102" s="230"/>
      <c r="R102" s="119">
        <f>SUM(R103:R105)</f>
        <v>0</v>
      </c>
      <c r="S102" s="120">
        <f>SUM(S103:S105)</f>
        <v>0</v>
      </c>
      <c r="T102" s="57"/>
      <c r="U102" s="219"/>
      <c r="V102" s="119">
        <f>SUM(V103:V105)</f>
        <v>0</v>
      </c>
      <c r="W102" s="120">
        <f>SUM(W103:W105)</f>
        <v>0</v>
      </c>
      <c r="X102" s="57"/>
      <c r="Y102" s="219"/>
      <c r="Z102" s="119">
        <f>SUM(Z103:Z105)</f>
        <v>2325</v>
      </c>
      <c r="AA102" s="120">
        <f>SUM(AA103:AA105)</f>
        <v>0</v>
      </c>
      <c r="AB102" s="57"/>
      <c r="AC102" s="230"/>
      <c r="AD102" s="230"/>
      <c r="AE102" s="53">
        <f>SUM(AG102,BA102,BU102)</f>
        <v>635</v>
      </c>
      <c r="AF102" s="55"/>
      <c r="AG102" s="56">
        <f>272-272+75-75+97</f>
        <v>97</v>
      </c>
      <c r="AH102" s="56"/>
      <c r="AI102" s="56"/>
      <c r="AJ102" s="243">
        <f>1+1+2+1+4+3+2+12+1+16+12+20+1+8+2+1+2+1+2+3+1+1</f>
        <v>97</v>
      </c>
      <c r="AK102" s="230"/>
      <c r="AL102" s="119">
        <f>SUM(AL103:AL105)</f>
        <v>0</v>
      </c>
      <c r="AM102" s="120">
        <f>SUM(AM103:AM105)</f>
        <v>0</v>
      </c>
      <c r="AN102" s="57"/>
      <c r="AO102" s="219"/>
      <c r="AP102" s="119">
        <f>SUM(AP103:AP105)</f>
        <v>0</v>
      </c>
      <c r="AQ102" s="120">
        <f>SUM(AQ103:AQ105)</f>
        <v>0</v>
      </c>
      <c r="AR102" s="57"/>
      <c r="AS102" s="219"/>
      <c r="AT102" s="119">
        <f>SUM(AT103:AT105)</f>
        <v>0</v>
      </c>
      <c r="AU102" s="120">
        <f>SUM(AU103:AU105)</f>
        <v>0</v>
      </c>
      <c r="AV102" s="57"/>
      <c r="AW102" s="230"/>
      <c r="AX102" s="230"/>
      <c r="AY102" s="53">
        <f>SUM(BA102,BU102)</f>
        <v>538</v>
      </c>
      <c r="AZ102" s="55"/>
      <c r="BA102" s="56">
        <f>110-110+292-292+364-364+368</f>
        <v>368</v>
      </c>
      <c r="BB102" s="56"/>
      <c r="BC102" s="56"/>
      <c r="BD102" s="243">
        <f>1+8+4+12+1+1+1+1+1+32+5+3+1+5+2+20+1+40+14+5+15+3+2+9+170+8+1+2</f>
        <v>368</v>
      </c>
      <c r="BE102" s="230"/>
      <c r="BF102" s="119">
        <f>SUM(BF103:BF105)</f>
        <v>0</v>
      </c>
      <c r="BG102" s="120">
        <f>SUM(BG103:BG105)</f>
        <v>0</v>
      </c>
      <c r="BH102" s="57"/>
      <c r="BI102" s="219"/>
      <c r="BJ102" s="119">
        <f>SUM(BJ103:BJ105)</f>
        <v>0</v>
      </c>
      <c r="BK102" s="120">
        <f>SUM(BK103:BK105)</f>
        <v>0</v>
      </c>
      <c r="BL102" s="57"/>
      <c r="BM102" s="219"/>
      <c r="BN102" s="119">
        <f>SUM(BN103:BN105)</f>
        <v>0</v>
      </c>
      <c r="BO102" s="120">
        <f>SUM(BO103:BO105)</f>
        <v>0</v>
      </c>
      <c r="BP102" s="57"/>
      <c r="BQ102" s="230"/>
      <c r="BR102" s="230"/>
      <c r="BS102" s="53">
        <f>BU102</f>
        <v>170</v>
      </c>
      <c r="BT102" s="55"/>
      <c r="BU102" s="56">
        <v>170</v>
      </c>
      <c r="BV102" s="56"/>
      <c r="BW102" s="56"/>
      <c r="BX102" s="243">
        <f>1+7+4+3+1+1+3+3+6+5+12+1+4+18+2+4+1+1+1+11+1+2</f>
        <v>92</v>
      </c>
      <c r="BY102" s="230"/>
      <c r="BZ102" s="119">
        <f>SUM(BZ103:BZ105)</f>
        <v>0</v>
      </c>
      <c r="CA102" s="120">
        <f>SUM(CA103:CA105)</f>
        <v>0</v>
      </c>
      <c r="CB102" s="57"/>
      <c r="CC102" s="219"/>
      <c r="CD102" s="119">
        <f>SUM(CD103:CD105)</f>
        <v>4464</v>
      </c>
      <c r="CE102" s="120">
        <f>SUM(CE103:CE105)</f>
        <v>0</v>
      </c>
      <c r="CF102" s="57"/>
      <c r="CG102" s="219"/>
      <c r="CH102" s="119">
        <f>SUM(CH103:CH105)</f>
        <v>0</v>
      </c>
      <c r="CI102" s="120">
        <f>SUM(CI103:CI105)</f>
        <v>0</v>
      </c>
      <c r="CJ102" s="57"/>
      <c r="CK102" s="230"/>
      <c r="CL102" s="230"/>
      <c r="CM102" s="53">
        <f>CO102</f>
        <v>0</v>
      </c>
      <c r="CN102" s="55"/>
      <c r="CO102" s="243"/>
      <c r="CP102" s="56"/>
      <c r="CQ102" s="56"/>
      <c r="CR102" s="243"/>
      <c r="CS102" s="230"/>
      <c r="CT102" s="119">
        <f>SUM(CT103:CT105)</f>
        <v>0</v>
      </c>
      <c r="CU102" s="120">
        <f>SUM(CU103:CU105)</f>
        <v>0</v>
      </c>
      <c r="CV102" s="57"/>
      <c r="CW102" s="219"/>
      <c r="CX102" s="119">
        <f>SUM(CX103:CX105)</f>
        <v>0</v>
      </c>
      <c r="CY102" s="120">
        <f>SUM(CY103:CY105)</f>
        <v>0</v>
      </c>
      <c r="CZ102" s="57"/>
      <c r="DA102" s="219"/>
      <c r="DB102" s="119">
        <f>SUM(DB103:DB105)</f>
        <v>0</v>
      </c>
      <c r="DC102" s="120">
        <f>SUM(DC103:DC105)</f>
        <v>0</v>
      </c>
      <c r="DD102" s="57"/>
      <c r="DE102" s="230"/>
      <c r="DF102" s="230"/>
      <c r="DG102" s="53">
        <f>DI102</f>
        <v>0</v>
      </c>
      <c r="DH102" s="55"/>
      <c r="DI102" s="243"/>
      <c r="DJ102" s="56"/>
      <c r="DK102" s="56"/>
      <c r="DL102" s="243"/>
      <c r="DM102" s="230"/>
    </row>
    <row r="103" spans="1:117" ht="30" x14ac:dyDescent="0.25">
      <c r="A103" s="17">
        <v>27326</v>
      </c>
      <c r="B103" s="15" t="s">
        <v>227</v>
      </c>
      <c r="C103" s="17">
        <v>1</v>
      </c>
      <c r="D103" s="11" t="s">
        <v>57</v>
      </c>
      <c r="E103" s="10"/>
      <c r="F103" s="337"/>
      <c r="G103" s="10" t="s">
        <v>198</v>
      </c>
      <c r="H103" s="24"/>
      <c r="I103" s="24"/>
      <c r="J103" s="536">
        <f>SUM(M103,AG103,BA103,BU103)-L103</f>
        <v>188</v>
      </c>
      <c r="K103" s="394">
        <f t="shared" si="193"/>
        <v>-690</v>
      </c>
      <c r="L103" s="515">
        <v>507</v>
      </c>
      <c r="M103" s="302">
        <f>M102</f>
        <v>60</v>
      </c>
      <c r="N103" s="5">
        <f>M103-L103</f>
        <v>-447</v>
      </c>
      <c r="O103" s="7">
        <v>243</v>
      </c>
      <c r="P103" s="304">
        <f>P102</f>
        <v>60</v>
      </c>
      <c r="Q103" s="231">
        <f t="shared" ref="Q103:Q112" si="223">L103+O103-P103</f>
        <v>690</v>
      </c>
      <c r="R103" s="123"/>
      <c r="S103" s="8"/>
      <c r="T103" s="313"/>
      <c r="U103" s="716"/>
      <c r="V103" s="123"/>
      <c r="W103" s="8"/>
      <c r="X103" s="313"/>
      <c r="Y103" s="716"/>
      <c r="Z103" s="20"/>
      <c r="AA103" s="8"/>
      <c r="AB103" s="34"/>
      <c r="AC103" s="713"/>
      <c r="AD103" s="713"/>
      <c r="AE103" s="394">
        <f>SUM(M103,AG103)-SUM(O103,AI103)-L103</f>
        <v>-593</v>
      </c>
      <c r="AF103" s="32">
        <f>Q103</f>
        <v>690</v>
      </c>
      <c r="AG103" s="302">
        <f>AG102</f>
        <v>97</v>
      </c>
      <c r="AH103" s="5">
        <f>AG103-AF103</f>
        <v>-593</v>
      </c>
      <c r="AI103" s="258"/>
      <c r="AJ103" s="304">
        <f>AJ102</f>
        <v>97</v>
      </c>
      <c r="AK103" s="231">
        <f t="shared" ref="AK103:AK112" si="224">AF103+AI103-AJ103</f>
        <v>593</v>
      </c>
      <c r="AL103" s="123"/>
      <c r="AM103" s="8"/>
      <c r="AN103" s="313"/>
      <c r="AO103" s="716"/>
      <c r="AP103" s="123"/>
      <c r="AQ103" s="8"/>
      <c r="AR103" s="313"/>
      <c r="AS103" s="716"/>
      <c r="AT103" s="20"/>
      <c r="AU103" s="8"/>
      <c r="AV103" s="34"/>
      <c r="AW103" s="713"/>
      <c r="AX103" s="713"/>
      <c r="AY103" s="394">
        <f>SUM(M103,AG103,BA103)-SUM(O103,AI103,BC103)-L103</f>
        <v>-225</v>
      </c>
      <c r="AZ103" s="32">
        <f>AK103</f>
        <v>593</v>
      </c>
      <c r="BA103" s="302">
        <f>BA102</f>
        <v>368</v>
      </c>
      <c r="BB103" s="5">
        <f>BA103-AZ103</f>
        <v>-225</v>
      </c>
      <c r="BC103" s="258"/>
      <c r="BD103" s="304">
        <f>BD102</f>
        <v>368</v>
      </c>
      <c r="BE103" s="231">
        <f t="shared" ref="BE103:BE112" si="225">AZ103+BC103-BD103</f>
        <v>225</v>
      </c>
      <c r="BF103" s="123"/>
      <c r="BG103" s="8"/>
      <c r="BH103" s="313"/>
      <c r="BI103" s="716"/>
      <c r="BJ103" s="123"/>
      <c r="BK103" s="8"/>
      <c r="BL103" s="313"/>
      <c r="BM103" s="716"/>
      <c r="BN103" s="20"/>
      <c r="BO103" s="8"/>
      <c r="BP103" s="34"/>
      <c r="BQ103" s="713"/>
      <c r="BR103" s="713"/>
      <c r="BS103" s="394">
        <f>SUM(M103,AG103,BA103,BU103)-SUM(O103,AI103,BC103,BW103)-L103</f>
        <v>-55</v>
      </c>
      <c r="BT103" s="606">
        <v>176</v>
      </c>
      <c r="BU103" s="302">
        <f>BU102</f>
        <v>170</v>
      </c>
      <c r="BV103" s="5">
        <f>BU103-BT103</f>
        <v>-6</v>
      </c>
      <c r="BW103" s="258"/>
      <c r="BX103" s="304">
        <f>BX102</f>
        <v>92</v>
      </c>
      <c r="BY103" s="231">
        <f t="shared" ref="BY103:BY112" si="226">BT103+BW103-BX103</f>
        <v>84</v>
      </c>
      <c r="BZ103" s="123"/>
      <c r="CA103" s="8"/>
      <c r="CB103" s="313"/>
      <c r="CC103" s="716"/>
      <c r="CD103" s="123"/>
      <c r="CE103" s="8"/>
      <c r="CF103" s="313"/>
      <c r="CG103" s="716"/>
      <c r="CH103" s="20"/>
      <c r="CI103" s="8"/>
      <c r="CJ103" s="34"/>
      <c r="CK103" s="713"/>
      <c r="CL103" s="713"/>
      <c r="CM103" s="394">
        <f>SUM(M103,AG103,BA103,BU103,CO103)-SUM(O103,AI103,BC103,BW103,CQ103)-L103</f>
        <v>-55</v>
      </c>
      <c r="CN103" s="32">
        <f>BY103</f>
        <v>84</v>
      </c>
      <c r="CO103" s="302">
        <f>CO102</f>
        <v>0</v>
      </c>
      <c r="CP103" s="5">
        <f>CO103-CN103</f>
        <v>-84</v>
      </c>
      <c r="CQ103" s="242"/>
      <c r="CR103" s="304">
        <f>CR102</f>
        <v>0</v>
      </c>
      <c r="CS103" s="231">
        <f t="shared" ref="CS103:CS112" si="227">CN103+CQ103-CR103</f>
        <v>84</v>
      </c>
      <c r="CT103" s="123"/>
      <c r="CU103" s="8"/>
      <c r="CV103" s="313"/>
      <c r="CW103" s="716"/>
      <c r="CX103" s="123"/>
      <c r="CY103" s="8"/>
      <c r="CZ103" s="313"/>
      <c r="DA103" s="716"/>
      <c r="DB103" s="20"/>
      <c r="DC103" s="8"/>
      <c r="DD103" s="34"/>
      <c r="DE103" s="713"/>
      <c r="DF103" s="713"/>
      <c r="DG103" s="394">
        <f>SUM(M103,AG103,BA103,BU103,DI103)-SUM(O103,AI103,BC103,BW103,CQ103)-L103</f>
        <v>-55</v>
      </c>
      <c r="DH103" s="29">
        <f>BY103</f>
        <v>84</v>
      </c>
      <c r="DI103" s="302">
        <f>DI102</f>
        <v>0</v>
      </c>
      <c r="DJ103" s="5">
        <f>DI103-DH103</f>
        <v>-84</v>
      </c>
      <c r="DK103" s="242"/>
      <c r="DL103" s="304">
        <f>DL102</f>
        <v>0</v>
      </c>
      <c r="DM103" s="231">
        <f t="shared" ref="DM103:DM105" si="228">DH103+DK103-DL103</f>
        <v>84</v>
      </c>
    </row>
    <row r="104" spans="1:117" ht="54" customHeight="1" x14ac:dyDescent="0.25">
      <c r="A104" s="18"/>
      <c r="B104" s="15" t="s">
        <v>980</v>
      </c>
      <c r="C104" s="18">
        <v>1</v>
      </c>
      <c r="D104" s="345" t="s">
        <v>979</v>
      </c>
      <c r="E104" s="345"/>
      <c r="F104" s="568">
        <v>1.8</v>
      </c>
      <c r="G104" s="23" t="s">
        <v>757</v>
      </c>
      <c r="H104" s="147" t="s">
        <v>34</v>
      </c>
      <c r="I104" s="294"/>
      <c r="J104" s="536">
        <f>SUM(M104,AG104,BA104,BU104)-L104</f>
        <v>188</v>
      </c>
      <c r="K104" s="394">
        <f t="shared" si="193"/>
        <v>-697</v>
      </c>
      <c r="L104" s="515">
        <v>507</v>
      </c>
      <c r="M104" s="298">
        <f>M102</f>
        <v>60</v>
      </c>
      <c r="N104" s="5">
        <f>M104-L104</f>
        <v>-447</v>
      </c>
      <c r="O104" s="256">
        <v>250</v>
      </c>
      <c r="P104" s="303">
        <f>P102</f>
        <v>60</v>
      </c>
      <c r="Q104" s="231">
        <f t="shared" si="223"/>
        <v>697</v>
      </c>
      <c r="R104" s="21"/>
      <c r="S104" s="6"/>
      <c r="T104" s="35"/>
      <c r="U104" s="612"/>
      <c r="V104" s="121"/>
      <c r="W104" s="6"/>
      <c r="X104" s="35"/>
      <c r="Y104" s="612"/>
      <c r="Z104" s="573">
        <f>$F$104*100%*250</f>
        <v>450</v>
      </c>
      <c r="AA104" s="6"/>
      <c r="AB104" s="35" t="s">
        <v>747</v>
      </c>
      <c r="AC104" s="713"/>
      <c r="AD104" s="713"/>
      <c r="AE104" s="394">
        <f>SUM(M104,AG104)-SUM(O104,AI104)-L104</f>
        <v>-600</v>
      </c>
      <c r="AF104" s="32">
        <f>Q104</f>
        <v>697</v>
      </c>
      <c r="AG104" s="298">
        <f>AG102</f>
        <v>97</v>
      </c>
      <c r="AH104" s="5">
        <f>AG104-AF104</f>
        <v>-600</v>
      </c>
      <c r="AI104" s="256"/>
      <c r="AJ104" s="303">
        <f>AJ102</f>
        <v>97</v>
      </c>
      <c r="AK104" s="231">
        <f t="shared" si="224"/>
        <v>600</v>
      </c>
      <c r="AL104" s="21"/>
      <c r="AM104" s="6"/>
      <c r="AN104" s="35"/>
      <c r="AO104" s="612"/>
      <c r="AP104" s="121"/>
      <c r="AQ104" s="6"/>
      <c r="AR104" s="35"/>
      <c r="AS104" s="612"/>
      <c r="AT104" s="21"/>
      <c r="AU104" s="6"/>
      <c r="AV104" s="35"/>
      <c r="AW104" s="713"/>
      <c r="AX104" s="713"/>
      <c r="AY104" s="394">
        <f>SUM(M104,AG104,BA104)-SUM(O104,AI104,BC104)-L104</f>
        <v>-232</v>
      </c>
      <c r="AZ104" s="606">
        <f t="shared" ref="AZ104:AZ105" si="229">AK104</f>
        <v>600</v>
      </c>
      <c r="BA104" s="298">
        <f>BA102</f>
        <v>368</v>
      </c>
      <c r="BB104" s="5">
        <f>BA104-AZ104</f>
        <v>-232</v>
      </c>
      <c r="BC104" s="256"/>
      <c r="BD104" s="303">
        <f>BD102</f>
        <v>368</v>
      </c>
      <c r="BE104" s="231">
        <f t="shared" si="225"/>
        <v>232</v>
      </c>
      <c r="BF104" s="21"/>
      <c r="BG104" s="6"/>
      <c r="BH104" s="35"/>
      <c r="BI104" s="612"/>
      <c r="BJ104" s="21"/>
      <c r="BK104" s="6"/>
      <c r="BL104" s="35"/>
      <c r="BM104" s="612"/>
      <c r="BN104" s="21"/>
      <c r="BO104" s="6"/>
      <c r="BP104" s="35"/>
      <c r="BQ104" s="713"/>
      <c r="BR104" s="713"/>
      <c r="BS104" s="394">
        <f>SUM(M104,AG104,BA104,BU104)-SUM(O104,AI104,BC104,BW104)-L104</f>
        <v>-542</v>
      </c>
      <c r="BT104" s="32">
        <f t="shared" ref="BT104:BT105" si="230">BE104</f>
        <v>232</v>
      </c>
      <c r="BU104" s="298">
        <f>BU102</f>
        <v>170</v>
      </c>
      <c r="BV104" s="5">
        <f>BU104-BT104</f>
        <v>-62</v>
      </c>
      <c r="BW104" s="621">
        <v>480</v>
      </c>
      <c r="BX104" s="303">
        <f>BX102</f>
        <v>92</v>
      </c>
      <c r="BY104" s="231">
        <f t="shared" si="226"/>
        <v>620</v>
      </c>
      <c r="BZ104" s="21"/>
      <c r="CA104" s="6"/>
      <c r="CB104" s="35"/>
      <c r="CC104" s="612"/>
      <c r="CD104" s="668">
        <f>F104*BW104</f>
        <v>864</v>
      </c>
      <c r="CE104" s="663"/>
      <c r="CF104" s="664" t="s">
        <v>936</v>
      </c>
      <c r="CG104" s="773"/>
      <c r="CH104" s="21"/>
      <c r="CI104" s="6"/>
      <c r="CJ104" s="35"/>
      <c r="CK104" s="713"/>
      <c r="CL104" s="713"/>
      <c r="CM104" s="394">
        <f>SUM(M104,AG104,BA104,BU104,CO104)-SUM(O104,AI104,BC104,BW104,CQ104)-L104</f>
        <v>-542</v>
      </c>
      <c r="CN104" s="32">
        <f t="shared" ref="CN104:CN105" si="231">BY104</f>
        <v>620</v>
      </c>
      <c r="CO104" s="298">
        <f>CO102</f>
        <v>0</v>
      </c>
      <c r="CP104" s="5">
        <f>CO104-CN104</f>
        <v>-620</v>
      </c>
      <c r="CQ104" s="240"/>
      <c r="CR104" s="303">
        <f>CR102</f>
        <v>0</v>
      </c>
      <c r="CS104" s="231">
        <f t="shared" si="227"/>
        <v>620</v>
      </c>
      <c r="CT104" s="21"/>
      <c r="CU104" s="6"/>
      <c r="CV104" s="35"/>
      <c r="CW104" s="612"/>
      <c r="CX104" s="121"/>
      <c r="CY104" s="6"/>
      <c r="CZ104" s="35"/>
      <c r="DA104" s="612"/>
      <c r="DB104" s="21"/>
      <c r="DC104" s="6"/>
      <c r="DD104" s="35"/>
      <c r="DE104" s="713"/>
      <c r="DF104" s="713"/>
      <c r="DG104" s="394">
        <f>SUM(M104,AG104,BA104,BU104,DI104)-SUM(O104,AI104,BC104,BW104,CQ104)-L104</f>
        <v>-542</v>
      </c>
      <c r="DH104" s="29">
        <f t="shared" ref="DH104:DH105" si="232">BY104</f>
        <v>620</v>
      </c>
      <c r="DI104" s="298">
        <f>DI102</f>
        <v>0</v>
      </c>
      <c r="DJ104" s="5">
        <f>DI104-DH104</f>
        <v>-620</v>
      </c>
      <c r="DK104" s="240"/>
      <c r="DL104" s="303">
        <f>DL102</f>
        <v>0</v>
      </c>
      <c r="DM104" s="231">
        <f t="shared" si="228"/>
        <v>620</v>
      </c>
    </row>
    <row r="105" spans="1:117" ht="57" thickBot="1" x14ac:dyDescent="0.3">
      <c r="A105" s="18"/>
      <c r="B105" s="15" t="s">
        <v>978</v>
      </c>
      <c r="C105" s="18">
        <v>1</v>
      </c>
      <c r="D105" s="345" t="s">
        <v>979</v>
      </c>
      <c r="E105" s="345"/>
      <c r="F105" s="568">
        <v>7.5</v>
      </c>
      <c r="G105" s="23" t="s">
        <v>757</v>
      </c>
      <c r="H105" s="147" t="s">
        <v>34</v>
      </c>
      <c r="I105" s="294"/>
      <c r="J105" s="536">
        <f>SUM(M105,AG105,BA105,BU105)-L105</f>
        <v>188</v>
      </c>
      <c r="K105" s="394">
        <f t="shared" si="193"/>
        <v>-697</v>
      </c>
      <c r="L105" s="515">
        <v>507</v>
      </c>
      <c r="M105" s="298">
        <f>M102</f>
        <v>60</v>
      </c>
      <c r="N105" s="5">
        <f>M105-L105</f>
        <v>-447</v>
      </c>
      <c r="O105" s="256">
        <v>250</v>
      </c>
      <c r="P105" s="303">
        <f>P102</f>
        <v>60</v>
      </c>
      <c r="Q105" s="231">
        <f t="shared" si="223"/>
        <v>697</v>
      </c>
      <c r="R105" s="314"/>
      <c r="S105" s="201"/>
      <c r="T105" s="321"/>
      <c r="U105" s="717"/>
      <c r="V105" s="121"/>
      <c r="W105" s="6"/>
      <c r="X105" s="35"/>
      <c r="Y105" s="612"/>
      <c r="Z105" s="573">
        <f>$F$105*100%*250</f>
        <v>1875</v>
      </c>
      <c r="AA105" s="6"/>
      <c r="AB105" s="35" t="s">
        <v>747</v>
      </c>
      <c r="AC105" s="713"/>
      <c r="AD105" s="713"/>
      <c r="AE105" s="394">
        <f>SUM(M105,AG105)-SUM(O105,AI105)-L105</f>
        <v>-600</v>
      </c>
      <c r="AF105" s="32">
        <f>Q105</f>
        <v>697</v>
      </c>
      <c r="AG105" s="298">
        <f>AG102</f>
        <v>97</v>
      </c>
      <c r="AH105" s="5">
        <f>AG105-AF105</f>
        <v>-600</v>
      </c>
      <c r="AI105" s="256"/>
      <c r="AJ105" s="303">
        <f>AJ102</f>
        <v>97</v>
      </c>
      <c r="AK105" s="231">
        <f t="shared" si="224"/>
        <v>600</v>
      </c>
      <c r="AL105" s="314"/>
      <c r="AM105" s="201"/>
      <c r="AN105" s="321"/>
      <c r="AO105" s="717"/>
      <c r="AP105" s="121"/>
      <c r="AQ105" s="6"/>
      <c r="AR105" s="35"/>
      <c r="AS105" s="612"/>
      <c r="AT105" s="21"/>
      <c r="AU105" s="6"/>
      <c r="AV105" s="35"/>
      <c r="AW105" s="713"/>
      <c r="AX105" s="713"/>
      <c r="AY105" s="394">
        <f>SUM(M105,AG105,BA105)-SUM(O105,AI105,BC105)-L105</f>
        <v>-232</v>
      </c>
      <c r="AZ105" s="606">
        <f t="shared" si="229"/>
        <v>600</v>
      </c>
      <c r="BA105" s="298">
        <f>BA102</f>
        <v>368</v>
      </c>
      <c r="BB105" s="5">
        <f>BA105-AZ105</f>
        <v>-232</v>
      </c>
      <c r="BC105" s="256"/>
      <c r="BD105" s="303">
        <f>BD102</f>
        <v>368</v>
      </c>
      <c r="BE105" s="231">
        <f t="shared" si="225"/>
        <v>232</v>
      </c>
      <c r="BF105" s="314"/>
      <c r="BG105" s="201"/>
      <c r="BH105" s="321"/>
      <c r="BI105" s="710"/>
      <c r="BJ105" s="314"/>
      <c r="BK105" s="201"/>
      <c r="BL105" s="321"/>
      <c r="BM105" s="717"/>
      <c r="BN105" s="21"/>
      <c r="BO105" s="6"/>
      <c r="BP105" s="35"/>
      <c r="BQ105" s="713"/>
      <c r="BR105" s="713"/>
      <c r="BS105" s="394">
        <f>SUM(M105,AG105,BA105,BU105)-SUM(O105,AI105,BC105,BW105)-L105</f>
        <v>-542</v>
      </c>
      <c r="BT105" s="32">
        <f t="shared" si="230"/>
        <v>232</v>
      </c>
      <c r="BU105" s="298">
        <f>BU102</f>
        <v>170</v>
      </c>
      <c r="BV105" s="5">
        <f>BU105-BT105</f>
        <v>-62</v>
      </c>
      <c r="BW105" s="621">
        <v>480</v>
      </c>
      <c r="BX105" s="303">
        <f>BX102</f>
        <v>92</v>
      </c>
      <c r="BY105" s="231">
        <f t="shared" si="226"/>
        <v>620</v>
      </c>
      <c r="BZ105" s="314"/>
      <c r="CA105" s="201"/>
      <c r="CB105" s="321"/>
      <c r="CC105" s="717"/>
      <c r="CD105" s="668">
        <f>F105*BW105</f>
        <v>3600</v>
      </c>
      <c r="CE105" s="663"/>
      <c r="CF105" s="664" t="s">
        <v>936</v>
      </c>
      <c r="CG105" s="773"/>
      <c r="CH105" s="21"/>
      <c r="CI105" s="6"/>
      <c r="CJ105" s="35"/>
      <c r="CK105" s="713"/>
      <c r="CL105" s="713"/>
      <c r="CM105" s="394">
        <f>SUM(M105,AG105,BA105,BU105,CO105)-SUM(O105,AI105,BC105,BW105,CQ105)-L105</f>
        <v>-542</v>
      </c>
      <c r="CN105" s="32">
        <f t="shared" si="231"/>
        <v>620</v>
      </c>
      <c r="CO105" s="298">
        <f>CO102</f>
        <v>0</v>
      </c>
      <c r="CP105" s="5">
        <f>CO105-CN105</f>
        <v>-620</v>
      </c>
      <c r="CQ105" s="240"/>
      <c r="CR105" s="303">
        <f>CR102</f>
        <v>0</v>
      </c>
      <c r="CS105" s="231">
        <f t="shared" si="227"/>
        <v>620</v>
      </c>
      <c r="CT105" s="314"/>
      <c r="CU105" s="201"/>
      <c r="CV105" s="321"/>
      <c r="CW105" s="717"/>
      <c r="CX105" s="121"/>
      <c r="CY105" s="6"/>
      <c r="CZ105" s="35"/>
      <c r="DA105" s="612"/>
      <c r="DB105" s="21"/>
      <c r="DC105" s="6"/>
      <c r="DD105" s="35"/>
      <c r="DE105" s="713"/>
      <c r="DF105" s="713"/>
      <c r="DG105" s="394">
        <f>SUM(M105,AG105,BA105,BU105,DI105)-SUM(O105,AI105,BC105,BW105,CQ105)-L105</f>
        <v>-542</v>
      </c>
      <c r="DH105" s="29">
        <f t="shared" si="232"/>
        <v>620</v>
      </c>
      <c r="DI105" s="298">
        <f>DI102</f>
        <v>0</v>
      </c>
      <c r="DJ105" s="5">
        <f>DI105-DH105</f>
        <v>-620</v>
      </c>
      <c r="DK105" s="240"/>
      <c r="DL105" s="303">
        <f>DL102</f>
        <v>0</v>
      </c>
      <c r="DM105" s="231">
        <f t="shared" si="228"/>
        <v>620</v>
      </c>
    </row>
    <row r="106" spans="1:117" x14ac:dyDescent="0.25">
      <c r="A106" s="53"/>
      <c r="B106" s="52" t="s">
        <v>225</v>
      </c>
      <c r="C106" s="53"/>
      <c r="D106" s="51" t="s">
        <v>61</v>
      </c>
      <c r="E106" s="51"/>
      <c r="F106" s="338"/>
      <c r="G106" s="51"/>
      <c r="H106" s="54"/>
      <c r="I106" s="54"/>
      <c r="J106" s="53">
        <f>SUM(M106,AG106,BA106,BU106)</f>
        <v>32</v>
      </c>
      <c r="K106" s="53"/>
      <c r="L106" s="55"/>
      <c r="M106" s="56">
        <f>4+5-4</f>
        <v>5</v>
      </c>
      <c r="N106" s="56"/>
      <c r="O106" s="56"/>
      <c r="P106" s="243">
        <f>3+2</f>
        <v>5</v>
      </c>
      <c r="Q106" s="230"/>
      <c r="R106" s="119">
        <f>SUM(R107:R109)</f>
        <v>0</v>
      </c>
      <c r="S106" s="120">
        <f>SUM(S107:S109)</f>
        <v>0</v>
      </c>
      <c r="T106" s="57"/>
      <c r="U106" s="219"/>
      <c r="V106" s="119">
        <f>SUM(V107:V109)</f>
        <v>0</v>
      </c>
      <c r="W106" s="120">
        <f>SUM(W107:W109)</f>
        <v>0</v>
      </c>
      <c r="X106" s="57"/>
      <c r="Y106" s="219"/>
      <c r="Z106" s="119">
        <f>SUM(Z107:Z109)</f>
        <v>0</v>
      </c>
      <c r="AA106" s="120">
        <f>SUM(AA107:AA109)</f>
        <v>0</v>
      </c>
      <c r="AB106" s="57"/>
      <c r="AC106" s="230"/>
      <c r="AD106" s="230"/>
      <c r="AE106" s="53">
        <f>SUM(AG106,BA106,BU106)</f>
        <v>27</v>
      </c>
      <c r="AF106" s="55"/>
      <c r="AG106" s="56">
        <f>4-4+16</f>
        <v>16</v>
      </c>
      <c r="AH106" s="56"/>
      <c r="AI106" s="56"/>
      <c r="AJ106" s="243">
        <f>16</f>
        <v>16</v>
      </c>
      <c r="AK106" s="230"/>
      <c r="AL106" s="119">
        <f>SUM(AL107:AL109)</f>
        <v>0</v>
      </c>
      <c r="AM106" s="120">
        <f>SUM(AM107:AM109)</f>
        <v>0</v>
      </c>
      <c r="AN106" s="57"/>
      <c r="AO106" s="219"/>
      <c r="AP106" s="119">
        <f>SUM(AP107:AP109)</f>
        <v>0</v>
      </c>
      <c r="AQ106" s="120">
        <f>SUM(AQ107:AQ109)</f>
        <v>0</v>
      </c>
      <c r="AR106" s="57"/>
      <c r="AS106" s="219"/>
      <c r="AT106" s="119">
        <f>SUM(AT107:AT109)</f>
        <v>0</v>
      </c>
      <c r="AU106" s="120">
        <f>SUM(AU107:AU109)</f>
        <v>0</v>
      </c>
      <c r="AV106" s="57"/>
      <c r="AW106" s="230"/>
      <c r="AX106" s="230"/>
      <c r="AY106" s="53">
        <f>SUM(BA106,BU106)</f>
        <v>11</v>
      </c>
      <c r="AZ106" s="55"/>
      <c r="BA106" s="56">
        <f>6-6+3-3+5</f>
        <v>5</v>
      </c>
      <c r="BB106" s="56"/>
      <c r="BC106" s="56"/>
      <c r="BD106" s="243">
        <f>5</f>
        <v>5</v>
      </c>
      <c r="BE106" s="230"/>
      <c r="BF106" s="119">
        <f>SUM(BF107:BF109)</f>
        <v>0</v>
      </c>
      <c r="BG106" s="120">
        <f>SUM(BG107:BG109)</f>
        <v>0</v>
      </c>
      <c r="BH106" s="57"/>
      <c r="BI106" s="219"/>
      <c r="BJ106" s="119">
        <f>SUM(BJ107:BJ109)</f>
        <v>0</v>
      </c>
      <c r="BK106" s="120">
        <f>SUM(BK107:BK109)</f>
        <v>0</v>
      </c>
      <c r="BL106" s="57"/>
      <c r="BM106" s="219"/>
      <c r="BN106" s="119">
        <f>SUM(BN107:BN109)</f>
        <v>0</v>
      </c>
      <c r="BO106" s="120">
        <f>SUM(BO107:BO109)</f>
        <v>0</v>
      </c>
      <c r="BP106" s="57"/>
      <c r="BQ106" s="230"/>
      <c r="BR106" s="230"/>
      <c r="BS106" s="53">
        <f>BU106</f>
        <v>6</v>
      </c>
      <c r="BT106" s="55"/>
      <c r="BU106" s="56">
        <v>6</v>
      </c>
      <c r="BV106" s="56"/>
      <c r="BW106" s="56"/>
      <c r="BX106" s="243">
        <f>3</f>
        <v>3</v>
      </c>
      <c r="BY106" s="230"/>
      <c r="BZ106" s="119">
        <f>SUM(BZ107:BZ109)</f>
        <v>0</v>
      </c>
      <c r="CA106" s="120">
        <f>SUM(CA107:CA109)</f>
        <v>0</v>
      </c>
      <c r="CB106" s="57"/>
      <c r="CC106" s="219"/>
      <c r="CD106" s="119">
        <f>SUM(CD107:CD109)</f>
        <v>0</v>
      </c>
      <c r="CE106" s="120">
        <f>SUM(CE107:CE109)</f>
        <v>0</v>
      </c>
      <c r="CF106" s="57"/>
      <c r="CG106" s="219"/>
      <c r="CH106" s="119">
        <f>SUM(CH107:CH109)</f>
        <v>0</v>
      </c>
      <c r="CI106" s="120">
        <f>SUM(CI107:CI109)</f>
        <v>0</v>
      </c>
      <c r="CJ106" s="57"/>
      <c r="CK106" s="230"/>
      <c r="CL106" s="230"/>
      <c r="CM106" s="53">
        <f>CO106</f>
        <v>0</v>
      </c>
      <c r="CN106" s="55"/>
      <c r="CO106" s="243"/>
      <c r="CP106" s="56"/>
      <c r="CQ106" s="56"/>
      <c r="CR106" s="243"/>
      <c r="CS106" s="230"/>
      <c r="CT106" s="119">
        <f>SUM(CT107:CT109)</f>
        <v>0</v>
      </c>
      <c r="CU106" s="120">
        <f>SUM(CU107:CU109)</f>
        <v>0</v>
      </c>
      <c r="CV106" s="57"/>
      <c r="CW106" s="219"/>
      <c r="CX106" s="119">
        <f>SUM(CX107:CX109)</f>
        <v>0</v>
      </c>
      <c r="CY106" s="120">
        <f>SUM(CY107:CY109)</f>
        <v>0</v>
      </c>
      <c r="CZ106" s="57"/>
      <c r="DA106" s="219"/>
      <c r="DB106" s="119">
        <f>SUM(DB107:DB109)</f>
        <v>0</v>
      </c>
      <c r="DC106" s="120">
        <f>SUM(DC107:DC109)</f>
        <v>0</v>
      </c>
      <c r="DD106" s="57"/>
      <c r="DE106" s="230"/>
      <c r="DF106" s="230"/>
      <c r="DG106" s="53">
        <f>DI106</f>
        <v>0</v>
      </c>
      <c r="DH106" s="55"/>
      <c r="DI106" s="243"/>
      <c r="DJ106" s="56"/>
      <c r="DK106" s="56"/>
      <c r="DL106" s="243"/>
      <c r="DM106" s="230"/>
    </row>
    <row r="107" spans="1:117" ht="30" x14ac:dyDescent="0.25">
      <c r="A107" s="17">
        <v>15314</v>
      </c>
      <c r="B107" s="15" t="s">
        <v>248</v>
      </c>
      <c r="C107" s="17">
        <v>1</v>
      </c>
      <c r="D107" s="10" t="s">
        <v>225</v>
      </c>
      <c r="E107" s="10"/>
      <c r="F107" s="337"/>
      <c r="G107" s="10" t="s">
        <v>198</v>
      </c>
      <c r="H107" s="24"/>
      <c r="I107" s="24"/>
      <c r="J107" s="536">
        <f>SUM(M107,AG107,BA107,BU107)-L107</f>
        <v>-34</v>
      </c>
      <c r="K107" s="394">
        <f t="shared" si="193"/>
        <v>-61</v>
      </c>
      <c r="L107" s="515">
        <v>66</v>
      </c>
      <c r="M107" s="302">
        <f>M106</f>
        <v>5</v>
      </c>
      <c r="N107" s="5">
        <f>M107-L107</f>
        <v>-61</v>
      </c>
      <c r="O107" s="258"/>
      <c r="P107" s="304">
        <f>P106</f>
        <v>5</v>
      </c>
      <c r="Q107" s="231">
        <f t="shared" si="223"/>
        <v>61</v>
      </c>
      <c r="R107" s="123"/>
      <c r="S107" s="8"/>
      <c r="T107" s="34"/>
      <c r="U107" s="713"/>
      <c r="V107" s="123"/>
      <c r="W107" s="8"/>
      <c r="X107" s="34"/>
      <c r="Y107" s="713"/>
      <c r="Z107" s="20"/>
      <c r="AA107" s="8"/>
      <c r="AB107" s="34"/>
      <c r="AC107" s="713"/>
      <c r="AD107" s="713"/>
      <c r="AE107" s="394">
        <f>SUM(M107,AG107)-SUM(O107,AI107)-L107</f>
        <v>-45</v>
      </c>
      <c r="AF107" s="32">
        <f>Q107</f>
        <v>61</v>
      </c>
      <c r="AG107" s="302">
        <f>AG106</f>
        <v>16</v>
      </c>
      <c r="AH107" s="5">
        <f>AG107-AF107</f>
        <v>-45</v>
      </c>
      <c r="AI107" s="258"/>
      <c r="AJ107" s="304">
        <f>AJ106</f>
        <v>16</v>
      </c>
      <c r="AK107" s="231">
        <f t="shared" si="224"/>
        <v>45</v>
      </c>
      <c r="AL107" s="123"/>
      <c r="AM107" s="8"/>
      <c r="AN107" s="34"/>
      <c r="AO107" s="713"/>
      <c r="AP107" s="123"/>
      <c r="AQ107" s="8"/>
      <c r="AR107" s="34"/>
      <c r="AS107" s="713"/>
      <c r="AT107" s="20"/>
      <c r="AU107" s="8"/>
      <c r="AV107" s="34"/>
      <c r="AW107" s="713"/>
      <c r="AX107" s="713"/>
      <c r="AY107" s="394">
        <f>SUM(M107,AG107,BA107)-SUM(O107,AI107,BC107)-L107</f>
        <v>-40</v>
      </c>
      <c r="AZ107" s="32">
        <f>AK107</f>
        <v>45</v>
      </c>
      <c r="BA107" s="302">
        <f>BA106</f>
        <v>5</v>
      </c>
      <c r="BB107" s="5">
        <f>BA107-AZ107</f>
        <v>-40</v>
      </c>
      <c r="BC107" s="258"/>
      <c r="BD107" s="304">
        <f>BD106</f>
        <v>5</v>
      </c>
      <c r="BE107" s="231">
        <f t="shared" si="225"/>
        <v>40</v>
      </c>
      <c r="BF107" s="123"/>
      <c r="BG107" s="8"/>
      <c r="BH107" s="34"/>
      <c r="BI107" s="713"/>
      <c r="BJ107" s="123"/>
      <c r="BK107" s="8"/>
      <c r="BL107" s="34"/>
      <c r="BM107" s="713"/>
      <c r="BN107" s="20"/>
      <c r="BO107" s="8"/>
      <c r="BP107" s="34"/>
      <c r="BQ107" s="713"/>
      <c r="BR107" s="713"/>
      <c r="BS107" s="394">
        <f>SUM(M107,AG107,BA107,BU107)-SUM(O107,AI107,BC107,BW107)-L107</f>
        <v>-34</v>
      </c>
      <c r="BT107" s="606">
        <v>65</v>
      </c>
      <c r="BU107" s="302">
        <f>BU106</f>
        <v>6</v>
      </c>
      <c r="BV107" s="5">
        <f>BU107-BT107</f>
        <v>-59</v>
      </c>
      <c r="BW107" s="258"/>
      <c r="BX107" s="304">
        <f>BX106</f>
        <v>3</v>
      </c>
      <c r="BY107" s="231">
        <f t="shared" si="226"/>
        <v>62</v>
      </c>
      <c r="BZ107" s="123"/>
      <c r="CA107" s="8"/>
      <c r="CB107" s="34"/>
      <c r="CC107" s="713"/>
      <c r="CD107" s="123"/>
      <c r="CE107" s="8"/>
      <c r="CF107" s="34"/>
      <c r="CG107" s="713"/>
      <c r="CH107" s="20"/>
      <c r="CI107" s="8"/>
      <c r="CJ107" s="34"/>
      <c r="CK107" s="713"/>
      <c r="CL107" s="713"/>
      <c r="CM107" s="394">
        <f>SUM(M107,AG107,BA107,BU107,CO107)-SUM(O107,AI107,BC107,BW107,CQ107)-L107</f>
        <v>-34</v>
      </c>
      <c r="CN107" s="32">
        <f>BY107</f>
        <v>62</v>
      </c>
      <c r="CO107" s="302">
        <f>CO106</f>
        <v>0</v>
      </c>
      <c r="CP107" s="5">
        <f>CO107-CN107</f>
        <v>-62</v>
      </c>
      <c r="CQ107" s="242"/>
      <c r="CR107" s="304">
        <f>CR106</f>
        <v>0</v>
      </c>
      <c r="CS107" s="231">
        <f t="shared" si="227"/>
        <v>62</v>
      </c>
      <c r="CT107" s="123"/>
      <c r="CU107" s="8"/>
      <c r="CV107" s="34"/>
      <c r="CW107" s="713"/>
      <c r="CX107" s="123"/>
      <c r="CY107" s="8"/>
      <c r="CZ107" s="34"/>
      <c r="DA107" s="713"/>
      <c r="DB107" s="20"/>
      <c r="DC107" s="8"/>
      <c r="DD107" s="34"/>
      <c r="DE107" s="713"/>
      <c r="DF107" s="713"/>
      <c r="DG107" s="394">
        <f>SUM(M107,AG107,BA107,BU107,DI107)-SUM(O107,AI107,BC107,BW107,CQ107)-L107</f>
        <v>-34</v>
      </c>
      <c r="DH107" s="29">
        <f>BY107</f>
        <v>62</v>
      </c>
      <c r="DI107" s="302">
        <f>DI106</f>
        <v>0</v>
      </c>
      <c r="DJ107" s="5">
        <f>DI107-DH107</f>
        <v>-62</v>
      </c>
      <c r="DK107" s="242"/>
      <c r="DL107" s="304">
        <f>DL106</f>
        <v>0</v>
      </c>
      <c r="DM107" s="231">
        <f t="shared" ref="DM107:DM109" si="233">DH107+DK107-DL107</f>
        <v>62</v>
      </c>
    </row>
    <row r="108" spans="1:117" ht="30" x14ac:dyDescent="0.25">
      <c r="A108" s="18"/>
      <c r="B108" s="15" t="s">
        <v>597</v>
      </c>
      <c r="C108" s="18">
        <v>1</v>
      </c>
      <c r="D108" s="318" t="s">
        <v>427</v>
      </c>
      <c r="E108" s="318"/>
      <c r="F108" s="149">
        <v>13</v>
      </c>
      <c r="G108" s="23" t="s">
        <v>757</v>
      </c>
      <c r="H108" s="147" t="s">
        <v>34</v>
      </c>
      <c r="I108" s="294"/>
      <c r="J108" s="536">
        <f>SUM(M108,AG108,BA108,BU108)-L108</f>
        <v>-85</v>
      </c>
      <c r="K108" s="394">
        <f t="shared" si="193"/>
        <v>-112</v>
      </c>
      <c r="L108" s="515">
        <v>117</v>
      </c>
      <c r="M108" s="298">
        <f>M106</f>
        <v>5</v>
      </c>
      <c r="N108" s="5">
        <f>M108-L108</f>
        <v>-112</v>
      </c>
      <c r="O108" s="256"/>
      <c r="P108" s="303">
        <f>P106</f>
        <v>5</v>
      </c>
      <c r="Q108" s="231">
        <f t="shared" si="223"/>
        <v>112</v>
      </c>
      <c r="R108" s="21"/>
      <c r="S108" s="6"/>
      <c r="T108" s="35"/>
      <c r="U108" s="612"/>
      <c r="V108" s="121"/>
      <c r="W108" s="6"/>
      <c r="X108" s="35"/>
      <c r="Y108" s="612"/>
      <c r="Z108" s="21"/>
      <c r="AA108" s="6"/>
      <c r="AB108" s="35"/>
      <c r="AC108" s="713"/>
      <c r="AD108" s="713"/>
      <c r="AE108" s="394">
        <f>SUM(M108,AG108)-SUM(O108,AI108)-L108</f>
        <v>-96</v>
      </c>
      <c r="AF108" s="32">
        <f>Q108</f>
        <v>112</v>
      </c>
      <c r="AG108" s="298">
        <f>AG106</f>
        <v>16</v>
      </c>
      <c r="AH108" s="5">
        <f>AG108-AF108</f>
        <v>-96</v>
      </c>
      <c r="AI108" s="256"/>
      <c r="AJ108" s="303">
        <f>AJ106</f>
        <v>16</v>
      </c>
      <c r="AK108" s="231">
        <f t="shared" si="224"/>
        <v>96</v>
      </c>
      <c r="AL108" s="21"/>
      <c r="AM108" s="6"/>
      <c r="AN108" s="35"/>
      <c r="AO108" s="612"/>
      <c r="AP108" s="121"/>
      <c r="AQ108" s="6"/>
      <c r="AR108" s="35"/>
      <c r="AS108" s="612"/>
      <c r="AT108" s="21"/>
      <c r="AU108" s="6"/>
      <c r="AV108" s="35"/>
      <c r="AW108" s="713"/>
      <c r="AX108" s="713"/>
      <c r="AY108" s="394">
        <f>SUM(M108,AG108,BA108)-SUM(O108,AI108,BC108)-L108</f>
        <v>-91</v>
      </c>
      <c r="AZ108" s="606">
        <v>86</v>
      </c>
      <c r="BA108" s="298">
        <f>BA106</f>
        <v>5</v>
      </c>
      <c r="BB108" s="5">
        <f>BA108-AZ108</f>
        <v>-81</v>
      </c>
      <c r="BC108" s="256"/>
      <c r="BD108" s="303">
        <f>BD106</f>
        <v>5</v>
      </c>
      <c r="BE108" s="231">
        <f t="shared" si="225"/>
        <v>81</v>
      </c>
      <c r="BF108" s="21"/>
      <c r="BG108" s="6"/>
      <c r="BH108" s="35"/>
      <c r="BI108" s="612"/>
      <c r="BJ108" s="121"/>
      <c r="BK108" s="6"/>
      <c r="BL108" s="35"/>
      <c r="BM108" s="612"/>
      <c r="BN108" s="21"/>
      <c r="BO108" s="6"/>
      <c r="BP108" s="35"/>
      <c r="BQ108" s="713"/>
      <c r="BR108" s="713"/>
      <c r="BS108" s="394">
        <f>SUM(M108,AG108,BA108,BU108)-SUM(O108,AI108,BC108,BW108)-L108</f>
        <v>-85</v>
      </c>
      <c r="BT108" s="32">
        <f t="shared" ref="BT108:BT109" si="234">BE108</f>
        <v>81</v>
      </c>
      <c r="BU108" s="298">
        <f>BU106</f>
        <v>6</v>
      </c>
      <c r="BV108" s="5">
        <f>BU108-BT108</f>
        <v>-75</v>
      </c>
      <c r="BW108" s="256"/>
      <c r="BX108" s="303">
        <f>BX106</f>
        <v>3</v>
      </c>
      <c r="BY108" s="231">
        <f t="shared" si="226"/>
        <v>78</v>
      </c>
      <c r="BZ108" s="21"/>
      <c r="CA108" s="6"/>
      <c r="CB108" s="35"/>
      <c r="CC108" s="612"/>
      <c r="CD108" s="121"/>
      <c r="CE108" s="6"/>
      <c r="CF108" s="35"/>
      <c r="CG108" s="612"/>
      <c r="CH108" s="21"/>
      <c r="CI108" s="6"/>
      <c r="CJ108" s="35"/>
      <c r="CK108" s="713"/>
      <c r="CL108" s="713"/>
      <c r="CM108" s="394">
        <f>SUM(M108,AG108,BA108,BU108,CO108)-SUM(O108,AI108,BC108,BW108,CQ108)-L108</f>
        <v>-85</v>
      </c>
      <c r="CN108" s="32">
        <f t="shared" ref="CN108:CN109" si="235">BY108</f>
        <v>78</v>
      </c>
      <c r="CO108" s="298">
        <f>CO106</f>
        <v>0</v>
      </c>
      <c r="CP108" s="5">
        <f>CO108-CN108</f>
        <v>-78</v>
      </c>
      <c r="CQ108" s="240"/>
      <c r="CR108" s="303">
        <f>CR106</f>
        <v>0</v>
      </c>
      <c r="CS108" s="231">
        <f t="shared" si="227"/>
        <v>78</v>
      </c>
      <c r="CT108" s="21"/>
      <c r="CU108" s="6"/>
      <c r="CV108" s="35"/>
      <c r="CW108" s="612"/>
      <c r="CX108" s="121"/>
      <c r="CY108" s="6"/>
      <c r="CZ108" s="35"/>
      <c r="DA108" s="612"/>
      <c r="DB108" s="21"/>
      <c r="DC108" s="6"/>
      <c r="DD108" s="35"/>
      <c r="DE108" s="713"/>
      <c r="DF108" s="713"/>
      <c r="DG108" s="394">
        <f>SUM(M108,AG108,BA108,BU108,DI108)-SUM(O108,AI108,BC108,BW108,CQ108)-L108</f>
        <v>-85</v>
      </c>
      <c r="DH108" s="29">
        <f t="shared" ref="DH108:DH109" si="236">BY108</f>
        <v>78</v>
      </c>
      <c r="DI108" s="298">
        <f>DI106</f>
        <v>0</v>
      </c>
      <c r="DJ108" s="5">
        <f>DI108-DH108</f>
        <v>-78</v>
      </c>
      <c r="DK108" s="240"/>
      <c r="DL108" s="303">
        <f>DL106</f>
        <v>0</v>
      </c>
      <c r="DM108" s="231">
        <f t="shared" si="233"/>
        <v>78</v>
      </c>
    </row>
    <row r="109" spans="1:117" ht="30.75" thickBot="1" x14ac:dyDescent="0.3">
      <c r="A109" s="18"/>
      <c r="B109" s="15" t="s">
        <v>598</v>
      </c>
      <c r="C109" s="18">
        <v>1</v>
      </c>
      <c r="D109" s="318" t="s">
        <v>977</v>
      </c>
      <c r="E109" s="318"/>
      <c r="F109" s="149">
        <v>13</v>
      </c>
      <c r="G109" s="23" t="s">
        <v>757</v>
      </c>
      <c r="H109" s="147" t="s">
        <v>34</v>
      </c>
      <c r="I109" s="294"/>
      <c r="J109" s="536">
        <f>SUM(M109,AG109,BA109,BU109)-L109</f>
        <v>-85</v>
      </c>
      <c r="K109" s="394">
        <f t="shared" si="193"/>
        <v>-112</v>
      </c>
      <c r="L109" s="515">
        <v>117</v>
      </c>
      <c r="M109" s="298">
        <f>M106</f>
        <v>5</v>
      </c>
      <c r="N109" s="5">
        <f>M109-L109</f>
        <v>-112</v>
      </c>
      <c r="O109" s="256"/>
      <c r="P109" s="303">
        <f>P106</f>
        <v>5</v>
      </c>
      <c r="Q109" s="231">
        <f t="shared" si="223"/>
        <v>112</v>
      </c>
      <c r="R109" s="314"/>
      <c r="S109" s="201"/>
      <c r="T109" s="321"/>
      <c r="U109" s="717"/>
      <c r="V109" s="121"/>
      <c r="W109" s="6"/>
      <c r="X109" s="35"/>
      <c r="Y109" s="612"/>
      <c r="Z109" s="21"/>
      <c r="AA109" s="6"/>
      <c r="AB109" s="35"/>
      <c r="AC109" s="713"/>
      <c r="AD109" s="713"/>
      <c r="AE109" s="394">
        <f>SUM(M109,AG109)-SUM(O109,AI109)-L109</f>
        <v>-96</v>
      </c>
      <c r="AF109" s="32">
        <f>Q109</f>
        <v>112</v>
      </c>
      <c r="AG109" s="298">
        <f>AG106</f>
        <v>16</v>
      </c>
      <c r="AH109" s="5">
        <f>AG109-AF109</f>
        <v>-96</v>
      </c>
      <c r="AI109" s="256"/>
      <c r="AJ109" s="303">
        <f>AJ106</f>
        <v>16</v>
      </c>
      <c r="AK109" s="231">
        <f t="shared" si="224"/>
        <v>96</v>
      </c>
      <c r="AL109" s="314"/>
      <c r="AM109" s="201"/>
      <c r="AN109" s="321"/>
      <c r="AO109" s="717"/>
      <c r="AP109" s="121"/>
      <c r="AQ109" s="6"/>
      <c r="AR109" s="35"/>
      <c r="AS109" s="612"/>
      <c r="AT109" s="21"/>
      <c r="AU109" s="6"/>
      <c r="AV109" s="35"/>
      <c r="AW109" s="713"/>
      <c r="AX109" s="713"/>
      <c r="AY109" s="394">
        <f>SUM(M109,AG109,BA109)-SUM(O109,AI109,BC109)-L109</f>
        <v>-91</v>
      </c>
      <c r="AZ109" s="606">
        <v>86</v>
      </c>
      <c r="BA109" s="298">
        <f>BA106</f>
        <v>5</v>
      </c>
      <c r="BB109" s="5">
        <f>BA109-AZ109</f>
        <v>-81</v>
      </c>
      <c r="BC109" s="256"/>
      <c r="BD109" s="303">
        <f>BD106</f>
        <v>5</v>
      </c>
      <c r="BE109" s="231">
        <f t="shared" si="225"/>
        <v>81</v>
      </c>
      <c r="BF109" s="314"/>
      <c r="BG109" s="201"/>
      <c r="BH109" s="321"/>
      <c r="BI109" s="717"/>
      <c r="BJ109" s="121"/>
      <c r="BK109" s="6"/>
      <c r="BL109" s="35"/>
      <c r="BM109" s="612"/>
      <c r="BN109" s="21"/>
      <c r="BO109" s="6"/>
      <c r="BP109" s="35"/>
      <c r="BQ109" s="713"/>
      <c r="BR109" s="713"/>
      <c r="BS109" s="394">
        <f>SUM(M109,AG109,BA109,BU109)-SUM(O109,AI109,BC109,BW109)-L109</f>
        <v>-85</v>
      </c>
      <c r="BT109" s="32">
        <f t="shared" si="234"/>
        <v>81</v>
      </c>
      <c r="BU109" s="298">
        <f>BU106</f>
        <v>6</v>
      </c>
      <c r="BV109" s="5">
        <f>BU109-BT109</f>
        <v>-75</v>
      </c>
      <c r="BW109" s="256"/>
      <c r="BX109" s="303">
        <f>BX106</f>
        <v>3</v>
      </c>
      <c r="BY109" s="231">
        <f t="shared" si="226"/>
        <v>78</v>
      </c>
      <c r="BZ109" s="314"/>
      <c r="CA109" s="201"/>
      <c r="CB109" s="321"/>
      <c r="CC109" s="717"/>
      <c r="CD109" s="121"/>
      <c r="CE109" s="6"/>
      <c r="CF109" s="35"/>
      <c r="CG109" s="612"/>
      <c r="CH109" s="21"/>
      <c r="CI109" s="6"/>
      <c r="CJ109" s="35"/>
      <c r="CK109" s="713"/>
      <c r="CL109" s="713"/>
      <c r="CM109" s="394">
        <f>SUM(M109,AG109,BA109,BU109,CO109)-SUM(O109,AI109,BC109,BW109,CQ109)-L109</f>
        <v>-85</v>
      </c>
      <c r="CN109" s="32">
        <f t="shared" si="235"/>
        <v>78</v>
      </c>
      <c r="CO109" s="298">
        <f>CO106</f>
        <v>0</v>
      </c>
      <c r="CP109" s="5">
        <f>CO109-CN109</f>
        <v>-78</v>
      </c>
      <c r="CQ109" s="240"/>
      <c r="CR109" s="303">
        <f>CR106</f>
        <v>0</v>
      </c>
      <c r="CS109" s="231">
        <f t="shared" si="227"/>
        <v>78</v>
      </c>
      <c r="CT109" s="314"/>
      <c r="CU109" s="201"/>
      <c r="CV109" s="321"/>
      <c r="CW109" s="717"/>
      <c r="CX109" s="121"/>
      <c r="CY109" s="6"/>
      <c r="CZ109" s="35"/>
      <c r="DA109" s="612"/>
      <c r="DB109" s="21"/>
      <c r="DC109" s="6"/>
      <c r="DD109" s="35"/>
      <c r="DE109" s="713"/>
      <c r="DF109" s="713"/>
      <c r="DG109" s="394">
        <f>SUM(M109,AG109,BA109,BU109,DI109)-SUM(O109,AI109,BC109,BW109,CQ109)-L109</f>
        <v>-85</v>
      </c>
      <c r="DH109" s="29">
        <f t="shared" si="236"/>
        <v>78</v>
      </c>
      <c r="DI109" s="298">
        <f>DI106</f>
        <v>0</v>
      </c>
      <c r="DJ109" s="5">
        <f>DI109-DH109</f>
        <v>-78</v>
      </c>
      <c r="DK109" s="240"/>
      <c r="DL109" s="303">
        <f>DL106</f>
        <v>0</v>
      </c>
      <c r="DM109" s="231">
        <f t="shared" si="233"/>
        <v>78</v>
      </c>
    </row>
    <row r="110" spans="1:117" x14ac:dyDescent="0.25">
      <c r="A110" s="53"/>
      <c r="B110" s="52" t="s">
        <v>226</v>
      </c>
      <c r="C110" s="53"/>
      <c r="D110" s="51" t="s">
        <v>61</v>
      </c>
      <c r="E110" s="51"/>
      <c r="F110" s="338"/>
      <c r="G110" s="51"/>
      <c r="H110" s="54"/>
      <c r="I110" s="54"/>
      <c r="J110" s="53">
        <f>SUM(M110,AG110,BA110,BU110)</f>
        <v>213</v>
      </c>
      <c r="K110" s="53"/>
      <c r="L110" s="55"/>
      <c r="M110" s="56">
        <f>10+12-10</f>
        <v>12</v>
      </c>
      <c r="N110" s="56"/>
      <c r="O110" s="56"/>
      <c r="P110" s="243">
        <f>5+1+2+4</f>
        <v>12</v>
      </c>
      <c r="Q110" s="230"/>
      <c r="R110" s="119">
        <f>SUM(R111:R112)</f>
        <v>0</v>
      </c>
      <c r="S110" s="120">
        <f>SUM(S111:S112)</f>
        <v>0</v>
      </c>
      <c r="T110" s="57"/>
      <c r="U110" s="219"/>
      <c r="V110" s="119">
        <f>SUM(V111:V112)</f>
        <v>0</v>
      </c>
      <c r="W110" s="120">
        <f>SUM(W111:W112)</f>
        <v>0</v>
      </c>
      <c r="X110" s="57"/>
      <c r="Y110" s="219"/>
      <c r="Z110" s="119">
        <f>SUM(Z111:Z112)</f>
        <v>626</v>
      </c>
      <c r="AA110" s="120">
        <f>SUM(AA111:AA112)</f>
        <v>0</v>
      </c>
      <c r="AB110" s="57"/>
      <c r="AC110" s="230"/>
      <c r="AD110" s="230"/>
      <c r="AE110" s="53">
        <f>SUM(AG110,BA110,BU110)</f>
        <v>201</v>
      </c>
      <c r="AF110" s="55"/>
      <c r="AG110" s="56">
        <f>30-30+20-20+64</f>
        <v>64</v>
      </c>
      <c r="AH110" s="56"/>
      <c r="AI110" s="56"/>
      <c r="AJ110" s="243">
        <f>2+2+30+2+12+2+12+2</f>
        <v>64</v>
      </c>
      <c r="AK110" s="230"/>
      <c r="AL110" s="119">
        <f>SUM(AL111:AL112)</f>
        <v>0</v>
      </c>
      <c r="AM110" s="120">
        <f>SUM(AM111:AM112)</f>
        <v>0</v>
      </c>
      <c r="AN110" s="57"/>
      <c r="AO110" s="219"/>
      <c r="AP110" s="119">
        <f>SUM(AP111:AP112)</f>
        <v>0</v>
      </c>
      <c r="AQ110" s="120">
        <f>SUM(AQ111:AQ112)</f>
        <v>0</v>
      </c>
      <c r="AR110" s="57"/>
      <c r="AS110" s="219"/>
      <c r="AT110" s="119">
        <f>SUM(AT111:AT112)</f>
        <v>0</v>
      </c>
      <c r="AU110" s="120">
        <f>SUM(AU111:AU112)</f>
        <v>0</v>
      </c>
      <c r="AV110" s="57"/>
      <c r="AW110" s="230"/>
      <c r="AX110" s="230"/>
      <c r="AY110" s="53">
        <f>SUM(BA110,BU110)</f>
        <v>137</v>
      </c>
      <c r="AZ110" s="55"/>
      <c r="BA110" s="56">
        <f>30-30+40-40+10-10+77</f>
        <v>77</v>
      </c>
      <c r="BB110" s="56"/>
      <c r="BC110" s="56"/>
      <c r="BD110" s="243">
        <f>25+2+12+12+1+16+3+3+3</f>
        <v>77</v>
      </c>
      <c r="BE110" s="230"/>
      <c r="BF110" s="119">
        <f>SUM(BF111:BF112)</f>
        <v>0</v>
      </c>
      <c r="BG110" s="120">
        <f>SUM(BG111:BG112)</f>
        <v>0</v>
      </c>
      <c r="BH110" s="57"/>
      <c r="BI110" s="219"/>
      <c r="BJ110" s="119">
        <f>SUM(BJ111:BJ112)</f>
        <v>0</v>
      </c>
      <c r="BK110" s="120">
        <f>SUM(BK111:BK112)</f>
        <v>0</v>
      </c>
      <c r="BL110" s="57"/>
      <c r="BM110" s="219"/>
      <c r="BN110" s="119">
        <f>SUM(BN111:BN112)</f>
        <v>0</v>
      </c>
      <c r="BO110" s="120">
        <f>SUM(BO111:BO112)</f>
        <v>0</v>
      </c>
      <c r="BP110" s="57"/>
      <c r="BQ110" s="230"/>
      <c r="BR110" s="230"/>
      <c r="BS110" s="53">
        <f>BU110</f>
        <v>60</v>
      </c>
      <c r="BT110" s="55"/>
      <c r="BU110" s="56">
        <v>60</v>
      </c>
      <c r="BV110" s="56"/>
      <c r="BW110" s="56"/>
      <c r="BX110" s="243">
        <f>1+10+1+1+6+1+10+2+3+2+1+1+2+3+7+5+2</f>
        <v>58</v>
      </c>
      <c r="BY110" s="230"/>
      <c r="BZ110" s="119">
        <f>SUM(BZ111:BZ112)</f>
        <v>0</v>
      </c>
      <c r="CA110" s="120">
        <f>SUM(CA111:CA112)</f>
        <v>0</v>
      </c>
      <c r="CB110" s="57"/>
      <c r="CC110" s="219"/>
      <c r="CD110" s="119">
        <f>SUM(CD111:CD112)</f>
        <v>0</v>
      </c>
      <c r="CE110" s="120">
        <f>SUM(CE111:CE112)</f>
        <v>2100</v>
      </c>
      <c r="CF110" s="57"/>
      <c r="CG110" s="219"/>
      <c r="CH110" s="119">
        <f>SUM(CH111:CH112)</f>
        <v>0</v>
      </c>
      <c r="CI110" s="120">
        <f>SUM(CI111:CI112)</f>
        <v>0</v>
      </c>
      <c r="CJ110" s="57"/>
      <c r="CK110" s="230"/>
      <c r="CL110" s="230"/>
      <c r="CM110" s="53">
        <f>CO110</f>
        <v>0</v>
      </c>
      <c r="CN110" s="55"/>
      <c r="CO110" s="243"/>
      <c r="CP110" s="56"/>
      <c r="CQ110" s="56"/>
      <c r="CR110" s="243"/>
      <c r="CS110" s="230"/>
      <c r="CT110" s="119">
        <f>SUM(CT111:CT112)</f>
        <v>0</v>
      </c>
      <c r="CU110" s="120">
        <f>SUM(CU111:CU112)</f>
        <v>0</v>
      </c>
      <c r="CV110" s="57"/>
      <c r="CW110" s="219"/>
      <c r="CX110" s="119">
        <f>SUM(CX111:CX112)</f>
        <v>0</v>
      </c>
      <c r="CY110" s="120">
        <f>SUM(CY111:CY112)</f>
        <v>0</v>
      </c>
      <c r="CZ110" s="57"/>
      <c r="DA110" s="219"/>
      <c r="DB110" s="119">
        <f>SUM(DB111:DB112)</f>
        <v>0</v>
      </c>
      <c r="DC110" s="120">
        <f>SUM(DC111:DC112)</f>
        <v>0</v>
      </c>
      <c r="DD110" s="57"/>
      <c r="DE110" s="230"/>
      <c r="DF110" s="230"/>
      <c r="DG110" s="53">
        <f>DI110</f>
        <v>0</v>
      </c>
      <c r="DH110" s="55"/>
      <c r="DI110" s="243"/>
      <c r="DJ110" s="56"/>
      <c r="DK110" s="56"/>
      <c r="DL110" s="243"/>
      <c r="DM110" s="230"/>
    </row>
    <row r="111" spans="1:117" ht="30" x14ac:dyDescent="0.25">
      <c r="A111" s="17">
        <v>15160</v>
      </c>
      <c r="B111" s="15" t="s">
        <v>230</v>
      </c>
      <c r="C111" s="17">
        <v>1</v>
      </c>
      <c r="D111" s="10" t="s">
        <v>226</v>
      </c>
      <c r="E111" s="10"/>
      <c r="F111" s="337"/>
      <c r="G111" s="10" t="s">
        <v>198</v>
      </c>
      <c r="H111" s="24"/>
      <c r="I111" s="24"/>
      <c r="J111" s="536">
        <f>SUM(M111,AG111,BA111,BU111)-L111</f>
        <v>201</v>
      </c>
      <c r="K111" s="394">
        <f t="shared" si="193"/>
        <v>-50</v>
      </c>
      <c r="L111" s="515">
        <v>12</v>
      </c>
      <c r="M111" s="302">
        <f>M110</f>
        <v>12</v>
      </c>
      <c r="N111" s="5">
        <f>M111-L111</f>
        <v>0</v>
      </c>
      <c r="O111" s="258">
        <f>50</f>
        <v>50</v>
      </c>
      <c r="P111" s="304">
        <f>P110</f>
        <v>12</v>
      </c>
      <c r="Q111" s="231">
        <f t="shared" si="223"/>
        <v>50</v>
      </c>
      <c r="R111" s="123"/>
      <c r="S111" s="8"/>
      <c r="T111" s="34"/>
      <c r="U111" s="713"/>
      <c r="V111" s="123"/>
      <c r="W111" s="8"/>
      <c r="X111" s="34"/>
      <c r="Y111" s="713"/>
      <c r="Z111" s="20"/>
      <c r="AA111" s="8"/>
      <c r="AB111" s="34"/>
      <c r="AC111" s="713"/>
      <c r="AD111" s="713"/>
      <c r="AE111" s="394">
        <f>SUM(M111,AG111)-SUM(O111,AI111)-L111</f>
        <v>-86</v>
      </c>
      <c r="AF111" s="32">
        <f>Q111</f>
        <v>50</v>
      </c>
      <c r="AG111" s="302">
        <f>AG110</f>
        <v>64</v>
      </c>
      <c r="AH111" s="5">
        <f>AG111-AF111</f>
        <v>14</v>
      </c>
      <c r="AI111" s="567">
        <v>100</v>
      </c>
      <c r="AJ111" s="304">
        <f>AJ110</f>
        <v>64</v>
      </c>
      <c r="AK111" s="231">
        <f t="shared" si="224"/>
        <v>86</v>
      </c>
      <c r="AL111" s="123"/>
      <c r="AM111" s="8"/>
      <c r="AN111" s="34" t="s">
        <v>776</v>
      </c>
      <c r="AO111" s="713"/>
      <c r="AP111" s="123"/>
      <c r="AQ111" s="8"/>
      <c r="AR111" s="34"/>
      <c r="AS111" s="713"/>
      <c r="AT111" s="20"/>
      <c r="AU111" s="8"/>
      <c r="AV111" s="34"/>
      <c r="AW111" s="713"/>
      <c r="AX111" s="713"/>
      <c r="AY111" s="394">
        <f>SUM(M111,AG111,BA111)-SUM(O111,AI111,BC111)-L111</f>
        <v>-9</v>
      </c>
      <c r="AZ111" s="32">
        <f>AK111</f>
        <v>86</v>
      </c>
      <c r="BA111" s="302">
        <f>BA110</f>
        <v>77</v>
      </c>
      <c r="BB111" s="5">
        <f>BA111-AZ111</f>
        <v>-9</v>
      </c>
      <c r="BC111" s="240"/>
      <c r="BD111" s="304">
        <f>BD110</f>
        <v>77</v>
      </c>
      <c r="BE111" s="231">
        <f t="shared" si="225"/>
        <v>9</v>
      </c>
      <c r="BF111" s="123"/>
      <c r="BG111" s="8"/>
      <c r="BH111" s="34"/>
      <c r="BI111" s="713"/>
      <c r="BJ111" s="123"/>
      <c r="BK111" s="8"/>
      <c r="BL111" s="34"/>
      <c r="BM111" s="713"/>
      <c r="BN111" s="20"/>
      <c r="BO111" s="8"/>
      <c r="BP111" s="34"/>
      <c r="BQ111" s="713"/>
      <c r="BR111" s="713"/>
      <c r="BS111" s="394">
        <f>SUM(M111,AG111,BA111,BU111)-SUM(O111,AI111,BC111,BW111)-L111</f>
        <v>1</v>
      </c>
      <c r="BT111" s="32">
        <f>BE111</f>
        <v>9</v>
      </c>
      <c r="BU111" s="302">
        <f>BU110</f>
        <v>60</v>
      </c>
      <c r="BV111" s="5">
        <f>BU111-BT111</f>
        <v>51</v>
      </c>
      <c r="BW111" s="621">
        <v>50</v>
      </c>
      <c r="BX111" s="304">
        <f>BX110</f>
        <v>58</v>
      </c>
      <c r="BY111" s="231">
        <f t="shared" si="226"/>
        <v>1</v>
      </c>
      <c r="BZ111" s="123"/>
      <c r="CA111" s="8"/>
      <c r="CB111" s="642" t="s">
        <v>849</v>
      </c>
      <c r="CC111" s="782"/>
      <c r="CD111" s="123"/>
      <c r="CE111" s="8"/>
      <c r="CF111" s="34"/>
      <c r="CG111" s="713"/>
      <c r="CH111" s="20"/>
      <c r="CI111" s="8"/>
      <c r="CJ111" s="34"/>
      <c r="CK111" s="713"/>
      <c r="CL111" s="713"/>
      <c r="CM111" s="394">
        <f>SUM(M111,AG111,BA111,BU111,CO111)-SUM(O111,AI111,BC111,BW111,CQ111)-L111</f>
        <v>1</v>
      </c>
      <c r="CN111" s="32">
        <f>BY111</f>
        <v>1</v>
      </c>
      <c r="CO111" s="302">
        <f>CO110</f>
        <v>0</v>
      </c>
      <c r="CP111" s="5">
        <f>CO111-CN111</f>
        <v>-1</v>
      </c>
      <c r="CQ111" s="242"/>
      <c r="CR111" s="304">
        <f>CR110</f>
        <v>0</v>
      </c>
      <c r="CS111" s="231">
        <f t="shared" si="227"/>
        <v>1</v>
      </c>
      <c r="CT111" s="123"/>
      <c r="CU111" s="8"/>
      <c r="CV111" s="34"/>
      <c r="CW111" s="713"/>
      <c r="CX111" s="123"/>
      <c r="CY111" s="8"/>
      <c r="CZ111" s="34"/>
      <c r="DA111" s="713"/>
      <c r="DB111" s="20"/>
      <c r="DC111" s="8"/>
      <c r="DD111" s="34"/>
      <c r="DE111" s="713"/>
      <c r="DF111" s="713"/>
      <c r="DG111" s="394">
        <f>SUM(M111,AG111,BA111,BU111,DI111)-SUM(O111,AI111,BC111,BW111,CQ111)-L111</f>
        <v>1</v>
      </c>
      <c r="DH111" s="29">
        <f>BY111</f>
        <v>1</v>
      </c>
      <c r="DI111" s="302">
        <f>DI110</f>
        <v>0</v>
      </c>
      <c r="DJ111" s="5">
        <f>DI111-DH111</f>
        <v>-1</v>
      </c>
      <c r="DK111" s="242"/>
      <c r="DL111" s="304">
        <f>DL110</f>
        <v>0</v>
      </c>
      <c r="DM111" s="231">
        <f t="shared" ref="DM111:DM112" si="237">DH111+DK111-DL111</f>
        <v>1</v>
      </c>
    </row>
    <row r="112" spans="1:117" ht="53.45" customHeight="1" thickBot="1" x14ac:dyDescent="0.3">
      <c r="A112" s="18"/>
      <c r="B112" s="15" t="s">
        <v>981</v>
      </c>
      <c r="C112" s="18">
        <v>1</v>
      </c>
      <c r="D112" s="318" t="s">
        <v>982</v>
      </c>
      <c r="E112" s="318"/>
      <c r="F112" s="568">
        <v>3.13</v>
      </c>
      <c r="G112" s="23" t="s">
        <v>757</v>
      </c>
      <c r="H112" s="147" t="s">
        <v>34</v>
      </c>
      <c r="I112" s="294"/>
      <c r="J112" s="536">
        <f>SUM(M112,AG112,BA112,BU112)-L112</f>
        <v>186</v>
      </c>
      <c r="K112" s="394">
        <f t="shared" si="193"/>
        <v>-215</v>
      </c>
      <c r="L112" s="515">
        <v>27</v>
      </c>
      <c r="M112" s="298">
        <f>M110</f>
        <v>12</v>
      </c>
      <c r="N112" s="5">
        <f>M112-L112</f>
        <v>-15</v>
      </c>
      <c r="O112" s="256">
        <v>200</v>
      </c>
      <c r="P112" s="303">
        <f>P110</f>
        <v>12</v>
      </c>
      <c r="Q112" s="231">
        <f t="shared" si="223"/>
        <v>215</v>
      </c>
      <c r="R112" s="21"/>
      <c r="S112" s="6"/>
      <c r="T112" s="35"/>
      <c r="U112" s="612"/>
      <c r="V112" s="121"/>
      <c r="W112" s="6"/>
      <c r="X112" s="35"/>
      <c r="Y112" s="612"/>
      <c r="Z112" s="573">
        <f>$F$112*100%*200</f>
        <v>626</v>
      </c>
      <c r="AA112" s="6"/>
      <c r="AB112" s="35" t="s">
        <v>746</v>
      </c>
      <c r="AC112" s="713"/>
      <c r="AD112" s="713"/>
      <c r="AE112" s="394">
        <f>SUM(M112,AG112)-SUM(O112,AI112)-L112</f>
        <v>-151</v>
      </c>
      <c r="AF112" s="32">
        <f>Q112</f>
        <v>215</v>
      </c>
      <c r="AG112" s="298">
        <f>AG110</f>
        <v>64</v>
      </c>
      <c r="AH112" s="5">
        <f>AG112-AF112</f>
        <v>-151</v>
      </c>
      <c r="AI112" s="256"/>
      <c r="AJ112" s="303">
        <f>AJ110</f>
        <v>64</v>
      </c>
      <c r="AK112" s="231">
        <f t="shared" si="224"/>
        <v>151</v>
      </c>
      <c r="AL112" s="21"/>
      <c r="AM112" s="6"/>
      <c r="AN112" s="35"/>
      <c r="AO112" s="612"/>
      <c r="AP112" s="121"/>
      <c r="AQ112" s="6"/>
      <c r="AR112" s="35"/>
      <c r="AS112" s="612"/>
      <c r="AT112" s="21"/>
      <c r="AU112" s="6"/>
      <c r="AV112" s="35"/>
      <c r="AW112" s="713"/>
      <c r="AX112" s="713"/>
      <c r="AY112" s="394">
        <f>SUM(M112,AG112,BA112)-SUM(O112,AI112,BC112)-L112</f>
        <v>-74</v>
      </c>
      <c r="AZ112" s="606">
        <f t="shared" ref="AZ112" si="238">AK112</f>
        <v>151</v>
      </c>
      <c r="BA112" s="298">
        <f>BA110</f>
        <v>77</v>
      </c>
      <c r="BB112" s="5">
        <f>BA112-AZ112</f>
        <v>-74</v>
      </c>
      <c r="BC112" s="256"/>
      <c r="BD112" s="303">
        <f>BD110</f>
        <v>77</v>
      </c>
      <c r="BE112" s="231">
        <f t="shared" si="225"/>
        <v>74</v>
      </c>
      <c r="BF112" s="21"/>
      <c r="BG112" s="6"/>
      <c r="BH112" s="35"/>
      <c r="BI112" s="612"/>
      <c r="BJ112" s="21"/>
      <c r="BK112" s="6"/>
      <c r="BL112" s="35"/>
      <c r="BM112" s="612"/>
      <c r="BN112" s="21"/>
      <c r="BO112" s="6"/>
      <c r="BP112" s="35"/>
      <c r="BQ112" s="713"/>
      <c r="BR112" s="713"/>
      <c r="BS112" s="394">
        <f>SUM(M112,AG112,BA112,BU112)-SUM(O112,AI112,BC112,BW112)-L112</f>
        <v>-214</v>
      </c>
      <c r="BT112" s="32">
        <f t="shared" ref="BT112" si="239">BE112</f>
        <v>74</v>
      </c>
      <c r="BU112" s="298">
        <f>BU110</f>
        <v>60</v>
      </c>
      <c r="BV112" s="5">
        <f>BU112-BT112</f>
        <v>-14</v>
      </c>
      <c r="BW112" s="621">
        <v>200</v>
      </c>
      <c r="BX112" s="303">
        <f>BX110</f>
        <v>58</v>
      </c>
      <c r="BY112" s="231">
        <f t="shared" si="226"/>
        <v>216</v>
      </c>
      <c r="BZ112" s="21"/>
      <c r="CA112" s="6"/>
      <c r="CB112" s="35"/>
      <c r="CC112" s="612"/>
      <c r="CD112" s="121"/>
      <c r="CE112" s="663">
        <v>2100</v>
      </c>
      <c r="CF112" s="664" t="s">
        <v>926</v>
      </c>
      <c r="CG112" s="773"/>
      <c r="CH112" s="21"/>
      <c r="CI112" s="6"/>
      <c r="CJ112" s="35"/>
      <c r="CK112" s="713"/>
      <c r="CL112" s="713"/>
      <c r="CM112" s="394">
        <f>SUM(M112,AG112,BA112,BU112,CO112)-SUM(O112,AI112,BC112,BW112,CQ112)-L112</f>
        <v>-214</v>
      </c>
      <c r="CN112" s="32">
        <f t="shared" ref="CN112" si="240">BY112</f>
        <v>216</v>
      </c>
      <c r="CO112" s="298">
        <f>CO110</f>
        <v>0</v>
      </c>
      <c r="CP112" s="5">
        <f>CO112-CN112</f>
        <v>-216</v>
      </c>
      <c r="CQ112" s="240"/>
      <c r="CR112" s="303">
        <f>CR110</f>
        <v>0</v>
      </c>
      <c r="CS112" s="231">
        <f t="shared" si="227"/>
        <v>216</v>
      </c>
      <c r="CT112" s="21"/>
      <c r="CU112" s="6"/>
      <c r="CV112" s="35"/>
      <c r="CW112" s="612"/>
      <c r="CX112" s="121"/>
      <c r="CY112" s="6"/>
      <c r="CZ112" s="35"/>
      <c r="DA112" s="612"/>
      <c r="DB112" s="21"/>
      <c r="DC112" s="6"/>
      <c r="DD112" s="35"/>
      <c r="DE112" s="713"/>
      <c r="DF112" s="713"/>
      <c r="DG112" s="394">
        <f>SUM(M112,AG112,BA112,BU112,DI112)-SUM(O112,AI112,BC112,BW112,CQ112)-L112</f>
        <v>-214</v>
      </c>
      <c r="DH112" s="29">
        <f>BY112</f>
        <v>216</v>
      </c>
      <c r="DI112" s="298">
        <f>DI110</f>
        <v>0</v>
      </c>
      <c r="DJ112" s="5">
        <f>DI112-DH112</f>
        <v>-216</v>
      </c>
      <c r="DK112" s="240"/>
      <c r="DL112" s="303">
        <f>DL110</f>
        <v>0</v>
      </c>
      <c r="DM112" s="231">
        <f t="shared" si="237"/>
        <v>216</v>
      </c>
    </row>
    <row r="113" spans="1:117" x14ac:dyDescent="0.25">
      <c r="A113" s="84"/>
      <c r="B113" s="89" t="s">
        <v>231</v>
      </c>
      <c r="C113" s="84"/>
      <c r="D113" s="83"/>
      <c r="E113" s="83"/>
      <c r="F113" s="339"/>
      <c r="G113" s="83"/>
      <c r="H113" s="85"/>
      <c r="I113" s="85"/>
      <c r="J113" s="85"/>
      <c r="K113" s="85"/>
      <c r="L113" s="86"/>
      <c r="M113" s="87"/>
      <c r="N113" s="87"/>
      <c r="O113" s="87"/>
      <c r="P113" s="252"/>
      <c r="Q113" s="238"/>
      <c r="R113" s="135">
        <f>SUM(R114:R118)</f>
        <v>0</v>
      </c>
      <c r="S113" s="136">
        <f>SUM(S114:S118)</f>
        <v>0</v>
      </c>
      <c r="T113" s="88"/>
      <c r="U113" s="223"/>
      <c r="V113" s="135">
        <f>SUM(V114:V118)</f>
        <v>0</v>
      </c>
      <c r="W113" s="136">
        <f>SUM(W114:W118)</f>
        <v>0</v>
      </c>
      <c r="X113" s="88"/>
      <c r="Y113" s="223"/>
      <c r="Z113" s="135">
        <f>SUM(Z114:Z118)</f>
        <v>4898.9999999999991</v>
      </c>
      <c r="AA113" s="136">
        <f>SUM(AA114:AA118)</f>
        <v>0</v>
      </c>
      <c r="AB113" s="88"/>
      <c r="AC113" s="223"/>
      <c r="AD113" s="223"/>
      <c r="AE113" s="85"/>
      <c r="AF113" s="86"/>
      <c r="AG113" s="87"/>
      <c r="AH113" s="87"/>
      <c r="AI113" s="87"/>
      <c r="AJ113" s="252"/>
      <c r="AK113" s="238"/>
      <c r="AL113" s="135">
        <f>SUM(AL114:AL118)</f>
        <v>0</v>
      </c>
      <c r="AM113" s="136">
        <f>SUM(AM114:AM118)</f>
        <v>0</v>
      </c>
      <c r="AN113" s="88"/>
      <c r="AO113" s="223"/>
      <c r="AP113" s="135">
        <f>SUM(AP114:AP118)</f>
        <v>0</v>
      </c>
      <c r="AQ113" s="136">
        <f>SUM(AQ114:AQ118)</f>
        <v>30000</v>
      </c>
      <c r="AR113" s="88"/>
      <c r="AS113" s="223"/>
      <c r="AT113" s="135">
        <f>SUM(AT114:AT118)</f>
        <v>0</v>
      </c>
      <c r="AU113" s="136">
        <f>SUM(AU114:AU118)</f>
        <v>0</v>
      </c>
      <c r="AV113" s="88"/>
      <c r="AW113" s="223"/>
      <c r="AX113" s="223"/>
      <c r="AY113" s="85"/>
      <c r="AZ113" s="86"/>
      <c r="BA113" s="87"/>
      <c r="BB113" s="87"/>
      <c r="BC113" s="87"/>
      <c r="BD113" s="252"/>
      <c r="BE113" s="238"/>
      <c r="BF113" s="135">
        <f>SUM(BF114:BF118)</f>
        <v>0</v>
      </c>
      <c r="BG113" s="136">
        <f>SUM(BG114:BG118)</f>
        <v>0</v>
      </c>
      <c r="BH113" s="88"/>
      <c r="BI113" s="223"/>
      <c r="BJ113" s="135">
        <f>SUM(BJ114:BJ118)</f>
        <v>0</v>
      </c>
      <c r="BK113" s="136">
        <f>SUM(BK114:BK118)</f>
        <v>0</v>
      </c>
      <c r="BL113" s="88"/>
      <c r="BM113" s="223"/>
      <c r="BN113" s="135">
        <f>SUM(BN114:BN118)</f>
        <v>0</v>
      </c>
      <c r="BO113" s="136">
        <f>SUM(BO114:BO118)</f>
        <v>0</v>
      </c>
      <c r="BP113" s="88"/>
      <c r="BQ113" s="223"/>
      <c r="BR113" s="223"/>
      <c r="BS113" s="85"/>
      <c r="BT113" s="86"/>
      <c r="BU113" s="87"/>
      <c r="BV113" s="87"/>
      <c r="BW113" s="87"/>
      <c r="BX113" s="252"/>
      <c r="BY113" s="238"/>
      <c r="BZ113" s="135">
        <f>SUM(BZ114:BZ118)</f>
        <v>0</v>
      </c>
      <c r="CA113" s="136">
        <f>SUM(CA114:CA118)</f>
        <v>0</v>
      </c>
      <c r="CB113" s="88"/>
      <c r="CC113" s="223"/>
      <c r="CD113" s="135">
        <f>SUM(CD114:CD118)</f>
        <v>0</v>
      </c>
      <c r="CE113" s="136">
        <f>SUM(CE114:CE118)</f>
        <v>0</v>
      </c>
      <c r="CF113" s="88"/>
      <c r="CG113" s="223"/>
      <c r="CH113" s="135">
        <f>SUM(CH114:CH118)</f>
        <v>0</v>
      </c>
      <c r="CI113" s="136">
        <f>SUM(CI114:CI118)</f>
        <v>0</v>
      </c>
      <c r="CJ113" s="88"/>
      <c r="CK113" s="223"/>
      <c r="CL113" s="223"/>
      <c r="CM113" s="85"/>
      <c r="CN113" s="86"/>
      <c r="CO113" s="87"/>
      <c r="CP113" s="87"/>
      <c r="CQ113" s="87"/>
      <c r="CR113" s="252"/>
      <c r="CS113" s="238"/>
      <c r="CT113" s="135">
        <f>SUM(CT114:CT118)</f>
        <v>0</v>
      </c>
      <c r="CU113" s="136">
        <f>SUM(CU114:CU118)</f>
        <v>0</v>
      </c>
      <c r="CV113" s="88"/>
      <c r="CW113" s="223"/>
      <c r="CX113" s="135">
        <f>SUM(CX114:CX118)</f>
        <v>0</v>
      </c>
      <c r="CY113" s="136">
        <f>SUM(CY114:CY118)</f>
        <v>0</v>
      </c>
      <c r="CZ113" s="88"/>
      <c r="DA113" s="223"/>
      <c r="DB113" s="135">
        <f>SUM(DB114:DB118)</f>
        <v>0</v>
      </c>
      <c r="DC113" s="136">
        <f>SUM(DC114:DC118)</f>
        <v>0</v>
      </c>
      <c r="DD113" s="88"/>
      <c r="DE113" s="223"/>
      <c r="DF113" s="223"/>
      <c r="DG113" s="85"/>
      <c r="DH113" s="86"/>
      <c r="DI113" s="87"/>
      <c r="DJ113" s="87"/>
      <c r="DK113" s="87"/>
      <c r="DL113" s="252"/>
      <c r="DM113" s="238"/>
    </row>
    <row r="114" spans="1:117" x14ac:dyDescent="0.25">
      <c r="A114" s="18">
        <v>18700</v>
      </c>
      <c r="B114" s="11" t="s">
        <v>680</v>
      </c>
      <c r="C114" s="18" t="s">
        <v>398</v>
      </c>
      <c r="D114" s="11" t="s">
        <v>229</v>
      </c>
      <c r="E114" s="11"/>
      <c r="F114" s="149">
        <v>15</v>
      </c>
      <c r="G114" s="11" t="s">
        <v>649</v>
      </c>
      <c r="H114" s="25" t="s">
        <v>92</v>
      </c>
      <c r="I114" s="24"/>
      <c r="J114" s="536">
        <f>SUM(M114,AG114,BA114,BU114)-L114</f>
        <v>-384</v>
      </c>
      <c r="K114" s="394">
        <f t="shared" si="193"/>
        <v>-3247</v>
      </c>
      <c r="L114" s="544">
        <v>1324</v>
      </c>
      <c r="M114" s="298">
        <f>SUM(M102,M106,M110)</f>
        <v>77</v>
      </c>
      <c r="N114" s="5">
        <f>M114-L114</f>
        <v>-1247</v>
      </c>
      <c r="O114" s="256">
        <v>2000</v>
      </c>
      <c r="P114" s="303">
        <f>SUM(P102,P106,P110)</f>
        <v>77</v>
      </c>
      <c r="Q114" s="231">
        <f>L114+O114-P114</f>
        <v>3247</v>
      </c>
      <c r="R114" s="121"/>
      <c r="S114" s="6"/>
      <c r="T114" s="35"/>
      <c r="U114" s="612"/>
      <c r="V114" s="121"/>
      <c r="W114" s="6"/>
      <c r="X114" s="35"/>
      <c r="Y114" s="612"/>
      <c r="Z114" s="21"/>
      <c r="AA114" s="6"/>
      <c r="AB114" s="35"/>
      <c r="AC114" s="713"/>
      <c r="AD114" s="713"/>
      <c r="AE114" s="394">
        <f>SUM(M114,AG114)-SUM(O114,AI114)-L114</f>
        <v>-3070</v>
      </c>
      <c r="AF114" s="29">
        <f>Q114</f>
        <v>3247</v>
      </c>
      <c r="AG114" s="298">
        <f>SUM(AG102,AG106,AG110)</f>
        <v>177</v>
      </c>
      <c r="AH114" s="5">
        <f>AG114-AF114</f>
        <v>-3070</v>
      </c>
      <c r="AI114" s="256"/>
      <c r="AJ114" s="303">
        <f>SUM(AJ102,AJ106,AJ110)</f>
        <v>177</v>
      </c>
      <c r="AK114" s="231">
        <f>AF114+AI114-AJ114</f>
        <v>3070</v>
      </c>
      <c r="AL114" s="121"/>
      <c r="AM114" s="6"/>
      <c r="AN114" s="35"/>
      <c r="AO114" s="612"/>
      <c r="AP114" s="121"/>
      <c r="AQ114" s="6">
        <f>$F$114*50%*2000</f>
        <v>15000</v>
      </c>
      <c r="AR114" s="35" t="s">
        <v>679</v>
      </c>
      <c r="AS114" s="612"/>
      <c r="AT114" s="21"/>
      <c r="AU114" s="6"/>
      <c r="AV114" s="35"/>
      <c r="AW114" s="713"/>
      <c r="AX114" s="713"/>
      <c r="AY114" s="394">
        <f>SUM(M114,AG114,BA114)-SUM(O114,AI114,BC114)-L114</f>
        <v>-2620</v>
      </c>
      <c r="AZ114" s="29">
        <f>AK114</f>
        <v>3070</v>
      </c>
      <c r="BA114" s="298">
        <f>SUM(BA102,BA106,BA110)</f>
        <v>450</v>
      </c>
      <c r="BB114" s="5">
        <f>BA114-AZ114</f>
        <v>-2620</v>
      </c>
      <c r="BC114" s="256"/>
      <c r="BD114" s="303">
        <f>SUM(BD102,BD106,BD110)</f>
        <v>450</v>
      </c>
      <c r="BE114" s="231">
        <f>AZ114+BC114-BD114</f>
        <v>2620</v>
      </c>
      <c r="BF114" s="121"/>
      <c r="BG114" s="6"/>
      <c r="BH114" s="35"/>
      <c r="BI114" s="612"/>
      <c r="BJ114" s="121"/>
      <c r="BK114" s="6"/>
      <c r="BL114" s="35"/>
      <c r="BM114" s="612"/>
      <c r="BN114" s="21"/>
      <c r="BO114" s="6"/>
      <c r="BP114" s="35"/>
      <c r="BQ114" s="713"/>
      <c r="BR114" s="713"/>
      <c r="BS114" s="394">
        <f>SUM(M114,AG114,BA114,BU114)-SUM(O114,AI114,BC114,BW114)-L114</f>
        <v>-2384</v>
      </c>
      <c r="BT114" s="29">
        <f>BE114</f>
        <v>2620</v>
      </c>
      <c r="BU114" s="298">
        <f>SUM(BU102,BU106,BU110)</f>
        <v>236</v>
      </c>
      <c r="BV114" s="5">
        <f>BU114-BT114</f>
        <v>-2384</v>
      </c>
      <c r="BW114" s="256"/>
      <c r="BX114" s="303">
        <f>SUM(BX102,BX106,BX110)</f>
        <v>153</v>
      </c>
      <c r="BY114" s="231">
        <f>BT114+BW114-BX114</f>
        <v>2467</v>
      </c>
      <c r="BZ114" s="21"/>
      <c r="CA114" s="6"/>
      <c r="CB114" s="35"/>
      <c r="CC114" s="612"/>
      <c r="CD114" s="121"/>
      <c r="CE114" s="6"/>
      <c r="CF114" s="35"/>
      <c r="CG114" s="612"/>
      <c r="CH114" s="21"/>
      <c r="CI114" s="6"/>
      <c r="CJ114" s="35"/>
      <c r="CK114" s="713"/>
      <c r="CL114" s="713"/>
      <c r="CM114" s="394">
        <f>SUM(M114,AG114,BA114,BU114,CO114)-SUM(O114,AI114,BC114,BW114,CQ114)-L114</f>
        <v>-2384</v>
      </c>
      <c r="CN114" s="29">
        <f>BY114</f>
        <v>2467</v>
      </c>
      <c r="CO114" s="298">
        <f>SUM(CO102,CO106,CO110)</f>
        <v>0</v>
      </c>
      <c r="CP114" s="5">
        <f>CO114-CN114</f>
        <v>-2467</v>
      </c>
      <c r="CQ114" s="256"/>
      <c r="CR114" s="303">
        <f>SUM(CR102,CR106,CR110)</f>
        <v>0</v>
      </c>
      <c r="CS114" s="231">
        <f>CN114+CQ114-CR114</f>
        <v>2467</v>
      </c>
      <c r="CT114" s="121"/>
      <c r="CU114" s="6"/>
      <c r="CV114" s="35"/>
      <c r="CW114" s="612"/>
      <c r="CX114" s="121"/>
      <c r="CY114" s="6"/>
      <c r="CZ114" s="35"/>
      <c r="DA114" s="612"/>
      <c r="DB114" s="21"/>
      <c r="DC114" s="6"/>
      <c r="DD114" s="35"/>
      <c r="DE114" s="713"/>
      <c r="DF114" s="713"/>
      <c r="DG114" s="394">
        <f>SUM(M114,AG114,BA114,BU114,DI114)-SUM(O114,AI114,BC114,BW114,CQ114)-L114</f>
        <v>-2384</v>
      </c>
      <c r="DH114" s="29">
        <f>BY114</f>
        <v>2467</v>
      </c>
      <c r="DI114" s="298">
        <f>SUM(DI102,DI106,DI110)</f>
        <v>0</v>
      </c>
      <c r="DJ114" s="5">
        <f>DI114-DH114</f>
        <v>-2467</v>
      </c>
      <c r="DK114" s="240"/>
      <c r="DL114" s="303">
        <f>SUM(DL102,DL106,DL110)</f>
        <v>0</v>
      </c>
      <c r="DM114" s="231">
        <f>DH114+DK114-DL114</f>
        <v>2467</v>
      </c>
    </row>
    <row r="115" spans="1:117" x14ac:dyDescent="0.25">
      <c r="A115" s="18">
        <v>20182</v>
      </c>
      <c r="B115" s="11" t="s">
        <v>681</v>
      </c>
      <c r="C115" s="18" t="s">
        <v>398</v>
      </c>
      <c r="D115" s="11" t="s">
        <v>682</v>
      </c>
      <c r="E115" s="11"/>
      <c r="F115" s="149">
        <v>6</v>
      </c>
      <c r="G115" s="11" t="s">
        <v>649</v>
      </c>
      <c r="H115" s="25" t="s">
        <v>92</v>
      </c>
      <c r="I115" s="24"/>
      <c r="J115" s="536">
        <f>SUM(M115,AG115,BA115,BU115)-L115</f>
        <v>-1518</v>
      </c>
      <c r="K115" s="394">
        <f t="shared" ref="K115" si="241">M115-O115-L115</f>
        <v>-8075</v>
      </c>
      <c r="L115" s="544">
        <v>3183</v>
      </c>
      <c r="M115" s="298">
        <f>SUM(M96,M102,M106,M110)</f>
        <v>108</v>
      </c>
      <c r="N115" s="5">
        <f>M115-L115</f>
        <v>-3075</v>
      </c>
      <c r="O115" s="256">
        <v>5000</v>
      </c>
      <c r="P115" s="303">
        <f>SUM(P96,P102,P106,P110)</f>
        <v>108</v>
      </c>
      <c r="Q115" s="231">
        <f>L115+O115-P115</f>
        <v>8075</v>
      </c>
      <c r="R115" s="121"/>
      <c r="S115" s="6"/>
      <c r="T115" s="35"/>
      <c r="U115" s="612"/>
      <c r="V115" s="121"/>
      <c r="W115" s="6"/>
      <c r="X115" s="35"/>
      <c r="Y115" s="612"/>
      <c r="Z115" s="21"/>
      <c r="AA115" s="6"/>
      <c r="AB115" s="35"/>
      <c r="AC115" s="713"/>
      <c r="AD115" s="713"/>
      <c r="AE115" s="394">
        <f>SUM(M115,AG115)-SUM(O115,AI115)-L115</f>
        <v>-7839</v>
      </c>
      <c r="AF115" s="29">
        <f>Q115</f>
        <v>8075</v>
      </c>
      <c r="AG115" s="298">
        <f>SUM(AG96,AG102,AG106,AG110)</f>
        <v>236</v>
      </c>
      <c r="AH115" s="5">
        <f>AG115-AF115</f>
        <v>-7839</v>
      </c>
      <c r="AI115" s="256"/>
      <c r="AJ115" s="303">
        <f>SUM(AJ96,AJ102,AJ106,AJ110)</f>
        <v>236</v>
      </c>
      <c r="AK115" s="231">
        <f>AF115+AI115-AJ115</f>
        <v>7839</v>
      </c>
      <c r="AL115" s="121"/>
      <c r="AM115" s="6"/>
      <c r="AN115" s="35"/>
      <c r="AO115" s="612"/>
      <c r="AP115" s="121"/>
      <c r="AQ115" s="6">
        <f>$F$115*50%*5000</f>
        <v>15000</v>
      </c>
      <c r="AR115" s="35" t="s">
        <v>683</v>
      </c>
      <c r="AS115" s="612"/>
      <c r="AT115" s="21"/>
      <c r="AU115" s="6"/>
      <c r="AV115" s="35"/>
      <c r="AW115" s="713"/>
      <c r="AX115" s="713"/>
      <c r="AY115" s="394">
        <f>SUM(M115,AG115,BA115)-SUM(O115,AI115,BC115)-L115</f>
        <v>-7074</v>
      </c>
      <c r="AZ115" s="29">
        <f>AK115</f>
        <v>7839</v>
      </c>
      <c r="BA115" s="298">
        <f>SUM(BA96,BA102,BA106,BA110)</f>
        <v>765</v>
      </c>
      <c r="BB115" s="5">
        <f>BA115-AZ115</f>
        <v>-7074</v>
      </c>
      <c r="BC115" s="256"/>
      <c r="BD115" s="303">
        <f>SUM(BD96,BD102,BD106,BD110)</f>
        <v>765</v>
      </c>
      <c r="BE115" s="231">
        <f>AZ115+BC115-BD115</f>
        <v>7074</v>
      </c>
      <c r="BF115" s="121"/>
      <c r="BG115" s="6"/>
      <c r="BH115" s="35"/>
      <c r="BI115" s="612"/>
      <c r="BJ115" s="121"/>
      <c r="BK115" s="6"/>
      <c r="BL115" s="35"/>
      <c r="BM115" s="612"/>
      <c r="BN115" s="21"/>
      <c r="BO115" s="6"/>
      <c r="BP115" s="35"/>
      <c r="BQ115" s="713"/>
      <c r="BR115" s="713"/>
      <c r="BS115" s="394">
        <f>SUM(M115,AG115,BA115,BU115)-SUM(O115,AI115,BC115,BW115)-L115</f>
        <v>-6518</v>
      </c>
      <c r="BT115" s="29">
        <f>BE115</f>
        <v>7074</v>
      </c>
      <c r="BU115" s="298">
        <f>SUM(BU96,BU102,BU106,BU110)</f>
        <v>556</v>
      </c>
      <c r="BV115" s="5">
        <f>BU115-BT115</f>
        <v>-6518</v>
      </c>
      <c r="BW115" s="256"/>
      <c r="BX115" s="303">
        <f>SUM(BX96,BX102,BX106,BX110)</f>
        <v>213</v>
      </c>
      <c r="BY115" s="231">
        <f>BT115+BW115-BX115</f>
        <v>6861</v>
      </c>
      <c r="BZ115" s="21"/>
      <c r="CA115" s="6"/>
      <c r="CB115" s="35"/>
      <c r="CC115" s="612"/>
      <c r="CD115" s="121"/>
      <c r="CE115" s="6"/>
      <c r="CF115" s="35"/>
      <c r="CG115" s="612"/>
      <c r="CH115" s="21"/>
      <c r="CI115" s="6"/>
      <c r="CJ115" s="35"/>
      <c r="CK115" s="713"/>
      <c r="CL115" s="713"/>
      <c r="CM115" s="394">
        <f>SUM(M115,AG115,BA115,BU115,CO115)-SUM(O115,AI115,BC115,BW115,CQ115)-L115</f>
        <v>-6518</v>
      </c>
      <c r="CN115" s="29">
        <f>BY115</f>
        <v>6861</v>
      </c>
      <c r="CO115" s="298">
        <f>SUM(CO96,CO102,CO106,CO110)</f>
        <v>0</v>
      </c>
      <c r="CP115" s="5">
        <f>CO115-CN115</f>
        <v>-6861</v>
      </c>
      <c r="CQ115" s="256"/>
      <c r="CR115" s="303">
        <f>SUM(CR96,CR102,CR106,CR110)</f>
        <v>0</v>
      </c>
      <c r="CS115" s="231">
        <f>CN115+CQ115-CR115</f>
        <v>6861</v>
      </c>
      <c r="CT115" s="121"/>
      <c r="CU115" s="6"/>
      <c r="CV115" s="35"/>
      <c r="CW115" s="612"/>
      <c r="CX115" s="121"/>
      <c r="CY115" s="6"/>
      <c r="CZ115" s="35"/>
      <c r="DA115" s="612"/>
      <c r="DB115" s="21"/>
      <c r="DC115" s="6"/>
      <c r="DD115" s="35"/>
      <c r="DE115" s="713"/>
      <c r="DF115" s="713"/>
      <c r="DG115" s="394">
        <f>SUM(M115,AG115,BA115,BU115,DI115)-SUM(O115,AI115,BC115,BW115,CQ115)-L115</f>
        <v>-6518</v>
      </c>
      <c r="DH115" s="29">
        <f>BY115</f>
        <v>6861</v>
      </c>
      <c r="DI115" s="298">
        <f>SUM(DI96,DI102,DI106,DI110)</f>
        <v>0</v>
      </c>
      <c r="DJ115" s="5">
        <f>DI115-DH115</f>
        <v>-6861</v>
      </c>
      <c r="DK115" s="240"/>
      <c r="DL115" s="303">
        <f>SUM(DL96,DL102,DL106,DL110)</f>
        <v>0</v>
      </c>
      <c r="DM115" s="231">
        <f>DH115+DK115-DL115</f>
        <v>6861</v>
      </c>
    </row>
    <row r="116" spans="1:117" x14ac:dyDescent="0.25">
      <c r="A116" s="18">
        <v>27288</v>
      </c>
      <c r="B116" s="11" t="s">
        <v>860</v>
      </c>
      <c r="C116" s="18">
        <v>1</v>
      </c>
      <c r="D116" s="11" t="s">
        <v>228</v>
      </c>
      <c r="E116" s="11"/>
      <c r="F116" s="149"/>
      <c r="G116" s="11"/>
      <c r="H116" s="25"/>
      <c r="I116" s="24"/>
      <c r="J116" s="536"/>
      <c r="K116" s="394"/>
      <c r="L116" s="544"/>
      <c r="M116" s="298"/>
      <c r="N116" s="5"/>
      <c r="O116" s="256"/>
      <c r="P116" s="303"/>
      <c r="Q116" s="231"/>
      <c r="R116" s="21"/>
      <c r="S116" s="6"/>
      <c r="T116" s="35"/>
      <c r="U116" s="612"/>
      <c r="V116" s="21"/>
      <c r="W116" s="6"/>
      <c r="X116" s="35"/>
      <c r="Y116" s="612"/>
      <c r="Z116" s="21"/>
      <c r="AA116" s="6"/>
      <c r="AB116" s="35"/>
      <c r="AC116" s="713"/>
      <c r="AD116" s="713"/>
      <c r="AE116" s="394"/>
      <c r="AF116" s="29"/>
      <c r="AG116" s="298"/>
      <c r="AH116" s="5"/>
      <c r="AI116" s="258"/>
      <c r="AJ116" s="303"/>
      <c r="AK116" s="231"/>
      <c r="AL116" s="21"/>
      <c r="AM116" s="6"/>
      <c r="AN116" s="35"/>
      <c r="AO116" s="612"/>
      <c r="AP116" s="21"/>
      <c r="AQ116" s="6"/>
      <c r="AR116" s="35"/>
      <c r="AS116" s="612"/>
      <c r="AT116" s="21"/>
      <c r="AU116" s="6"/>
      <c r="AV116" s="35"/>
      <c r="AW116" s="713"/>
      <c r="AX116" s="713"/>
      <c r="AY116" s="394"/>
      <c r="AZ116" s="29"/>
      <c r="BA116" s="298"/>
      <c r="BB116" s="5"/>
      <c r="BC116" s="256"/>
      <c r="BD116" s="303"/>
      <c r="BE116" s="231"/>
      <c r="BF116" s="21"/>
      <c r="BG116" s="6"/>
      <c r="BH116" s="35"/>
      <c r="BI116" s="612"/>
      <c r="BJ116" s="21"/>
      <c r="BK116" s="6"/>
      <c r="BL116" s="35"/>
      <c r="BM116" s="612"/>
      <c r="BN116" s="21"/>
      <c r="BO116" s="6"/>
      <c r="BP116" s="35"/>
      <c r="BQ116" s="713"/>
      <c r="BR116" s="713"/>
      <c r="BS116" s="394"/>
      <c r="BT116" s="607">
        <v>71</v>
      </c>
      <c r="BU116" s="298">
        <f>SUM(BU102,BU106)</f>
        <v>176</v>
      </c>
      <c r="BV116" s="5">
        <f>BU116-BT116</f>
        <v>105</v>
      </c>
      <c r="BW116" s="621">
        <v>200</v>
      </c>
      <c r="BX116" s="303">
        <f>SUM(BX102,BX106)</f>
        <v>95</v>
      </c>
      <c r="BY116" s="231">
        <f>BT116+BW116-BX116</f>
        <v>176</v>
      </c>
      <c r="BZ116" s="21"/>
      <c r="CA116" s="6"/>
      <c r="CB116" s="34" t="s">
        <v>861</v>
      </c>
      <c r="CC116" s="713"/>
      <c r="CD116" s="21"/>
      <c r="CE116" s="6"/>
      <c r="CF116" s="35"/>
      <c r="CG116" s="612"/>
      <c r="CH116" s="21"/>
      <c r="CI116" s="6"/>
      <c r="CJ116" s="35"/>
      <c r="CK116" s="713"/>
      <c r="CL116" s="713"/>
      <c r="CM116" s="394"/>
      <c r="CN116" s="29"/>
      <c r="CO116" s="298"/>
      <c r="CP116" s="5"/>
      <c r="CQ116" s="256"/>
      <c r="CR116" s="303"/>
      <c r="CS116" s="231"/>
      <c r="CT116" s="21"/>
      <c r="CU116" s="6"/>
      <c r="CV116" s="35"/>
      <c r="CW116" s="612"/>
      <c r="CX116" s="21"/>
      <c r="CY116" s="6"/>
      <c r="CZ116" s="35"/>
      <c r="DA116" s="612"/>
      <c r="DB116" s="21"/>
      <c r="DC116" s="6"/>
      <c r="DD116" s="35"/>
      <c r="DE116" s="713"/>
      <c r="DF116" s="713"/>
      <c r="DG116" s="394"/>
      <c r="DH116" s="29"/>
      <c r="DI116" s="298"/>
      <c r="DJ116" s="5"/>
      <c r="DK116" s="240"/>
      <c r="DL116" s="303"/>
      <c r="DM116" s="231"/>
    </row>
    <row r="117" spans="1:117" x14ac:dyDescent="0.25">
      <c r="A117" s="18"/>
      <c r="B117" s="11" t="s">
        <v>865</v>
      </c>
      <c r="C117" s="18">
        <v>1</v>
      </c>
      <c r="D117" s="11" t="s">
        <v>228</v>
      </c>
      <c r="E117" s="11"/>
      <c r="F117" s="149"/>
      <c r="G117" s="11"/>
      <c r="H117" s="25"/>
      <c r="I117" s="24"/>
      <c r="J117" s="536"/>
      <c r="K117" s="394"/>
      <c r="L117" s="544"/>
      <c r="M117" s="298"/>
      <c r="N117" s="5"/>
      <c r="O117" s="256"/>
      <c r="P117" s="303"/>
      <c r="Q117" s="231"/>
      <c r="R117" s="21"/>
      <c r="S117" s="6"/>
      <c r="T117" s="35"/>
      <c r="U117" s="612"/>
      <c r="V117" s="21"/>
      <c r="W117" s="6"/>
      <c r="X117" s="35"/>
      <c r="Y117" s="612"/>
      <c r="Z117" s="21"/>
      <c r="AA117" s="6"/>
      <c r="AB117" s="35"/>
      <c r="AC117" s="713"/>
      <c r="AD117" s="713"/>
      <c r="AE117" s="394"/>
      <c r="AF117" s="29"/>
      <c r="AG117" s="298"/>
      <c r="AH117" s="5"/>
      <c r="AI117" s="258"/>
      <c r="AJ117" s="303"/>
      <c r="AK117" s="231"/>
      <c r="AL117" s="21"/>
      <c r="AM117" s="6"/>
      <c r="AN117" s="35"/>
      <c r="AO117" s="612"/>
      <c r="AP117" s="21"/>
      <c r="AQ117" s="6"/>
      <c r="AR117" s="35"/>
      <c r="AS117" s="612"/>
      <c r="AT117" s="21"/>
      <c r="AU117" s="6"/>
      <c r="AV117" s="35"/>
      <c r="AW117" s="713"/>
      <c r="AX117" s="713"/>
      <c r="AY117" s="394"/>
      <c r="AZ117" s="29"/>
      <c r="BA117" s="298"/>
      <c r="BB117" s="5"/>
      <c r="BC117" s="256"/>
      <c r="BD117" s="303"/>
      <c r="BE117" s="231"/>
      <c r="BF117" s="21"/>
      <c r="BG117" s="6"/>
      <c r="BH117" s="35"/>
      <c r="BI117" s="612"/>
      <c r="BJ117" s="21"/>
      <c r="BK117" s="6"/>
      <c r="BL117" s="35"/>
      <c r="BM117" s="612"/>
      <c r="BN117" s="21"/>
      <c r="BO117" s="6"/>
      <c r="BP117" s="35"/>
      <c r="BQ117" s="713"/>
      <c r="BR117" s="713"/>
      <c r="BS117" s="394"/>
      <c r="BT117" s="607">
        <v>0</v>
      </c>
      <c r="BU117" s="298">
        <f>SUM(BU103,BU107)</f>
        <v>176</v>
      </c>
      <c r="BV117" s="5">
        <f>BU117-BT117</f>
        <v>176</v>
      </c>
      <c r="BW117" s="621">
        <v>500</v>
      </c>
      <c r="BX117" s="303">
        <f>SUM(BX102,BX106)</f>
        <v>95</v>
      </c>
      <c r="BY117" s="231">
        <f>BT117+BW117-BX117</f>
        <v>405</v>
      </c>
      <c r="BZ117" s="21"/>
      <c r="CA117" s="6"/>
      <c r="CB117" s="34" t="s">
        <v>866</v>
      </c>
      <c r="CC117" s="713"/>
      <c r="CD117" s="21"/>
      <c r="CE117" s="6"/>
      <c r="CF117" s="35"/>
      <c r="CG117" s="612"/>
      <c r="CH117" s="21"/>
      <c r="CI117" s="6"/>
      <c r="CJ117" s="35"/>
      <c r="CK117" s="713"/>
      <c r="CL117" s="713"/>
      <c r="CM117" s="394"/>
      <c r="CN117" s="29"/>
      <c r="CO117" s="298"/>
      <c r="CP117" s="5"/>
      <c r="CQ117" s="256"/>
      <c r="CR117" s="303"/>
      <c r="CS117" s="231"/>
      <c r="CT117" s="21"/>
      <c r="CU117" s="6"/>
      <c r="CV117" s="35"/>
      <c r="CW117" s="612"/>
      <c r="CX117" s="21"/>
      <c r="CY117" s="6"/>
      <c r="CZ117" s="35"/>
      <c r="DA117" s="612"/>
      <c r="DB117" s="21"/>
      <c r="DC117" s="6"/>
      <c r="DD117" s="35"/>
      <c r="DE117" s="713"/>
      <c r="DF117" s="713"/>
      <c r="DG117" s="394"/>
      <c r="DH117" s="29"/>
      <c r="DI117" s="298"/>
      <c r="DJ117" s="5"/>
      <c r="DK117" s="240"/>
      <c r="DL117" s="303"/>
      <c r="DM117" s="231"/>
    </row>
    <row r="118" spans="1:117" ht="15.75" thickBot="1" x14ac:dyDescent="0.3">
      <c r="A118" s="18"/>
      <c r="B118" s="11" t="s">
        <v>58</v>
      </c>
      <c r="C118" s="18">
        <v>1</v>
      </c>
      <c r="D118" s="11" t="s">
        <v>228</v>
      </c>
      <c r="E118" s="11"/>
      <c r="F118" s="568">
        <v>16.329999999999998</v>
      </c>
      <c r="G118" s="11" t="s">
        <v>757</v>
      </c>
      <c r="H118" s="26" t="s">
        <v>34</v>
      </c>
      <c r="I118" s="382"/>
      <c r="J118" s="536">
        <f>SUM(M118,AG118,BA118,BU118)-L118</f>
        <v>147</v>
      </c>
      <c r="K118" s="394">
        <f t="shared" si="193"/>
        <v>-815</v>
      </c>
      <c r="L118" s="544">
        <v>580</v>
      </c>
      <c r="M118" s="298">
        <f>SUM(M102,M106)</f>
        <v>65</v>
      </c>
      <c r="N118" s="5">
        <f>M118-L118</f>
        <v>-515</v>
      </c>
      <c r="O118" s="256">
        <v>300</v>
      </c>
      <c r="P118" s="303">
        <f>SUM(P102,P106)</f>
        <v>65</v>
      </c>
      <c r="Q118" s="231">
        <f>L118+O118-P118</f>
        <v>815</v>
      </c>
      <c r="R118" s="21"/>
      <c r="S118" s="6"/>
      <c r="T118" s="35"/>
      <c r="U118" s="612"/>
      <c r="V118" s="236"/>
      <c r="W118" s="210"/>
      <c r="X118" s="35"/>
      <c r="Y118" s="612"/>
      <c r="Z118" s="573">
        <f>$F$118*100%*300</f>
        <v>4898.9999999999991</v>
      </c>
      <c r="AA118" s="6"/>
      <c r="AB118" s="35" t="s">
        <v>745</v>
      </c>
      <c r="AC118" s="713"/>
      <c r="AD118" s="713"/>
      <c r="AE118" s="394">
        <f>SUM(M118,AG118)-SUM(O118,AI118)-L118</f>
        <v>-702</v>
      </c>
      <c r="AF118" s="29">
        <f>Q118</f>
        <v>815</v>
      </c>
      <c r="AG118" s="298">
        <f>SUM(AG102,AG106)</f>
        <v>113</v>
      </c>
      <c r="AH118" s="5">
        <f>AG118-AF118</f>
        <v>-702</v>
      </c>
      <c r="AI118" s="258"/>
      <c r="AJ118" s="303">
        <f>SUM(AJ102,AJ106)</f>
        <v>113</v>
      </c>
      <c r="AK118" s="231">
        <f>AF118+AI118-AJ118</f>
        <v>702</v>
      </c>
      <c r="AL118" s="21"/>
      <c r="AM118" s="6"/>
      <c r="AN118" s="35"/>
      <c r="AO118" s="612"/>
      <c r="AP118" s="236"/>
      <c r="AQ118" s="210"/>
      <c r="AR118" s="216"/>
      <c r="AS118" s="707"/>
      <c r="AT118" s="21"/>
      <c r="AU118" s="6"/>
      <c r="AV118" s="35"/>
      <c r="AW118" s="713"/>
      <c r="AX118" s="713"/>
      <c r="AY118" s="394">
        <f>SUM(M118,AG118,BA118)-SUM(O118,AI118,BC118)-L118</f>
        <v>-329</v>
      </c>
      <c r="AZ118" s="29">
        <f>AK118</f>
        <v>702</v>
      </c>
      <c r="BA118" s="298">
        <f>SUM(BA102,BA106)</f>
        <v>373</v>
      </c>
      <c r="BB118" s="5">
        <f>BA118-AZ118</f>
        <v>-329</v>
      </c>
      <c r="BC118" s="256"/>
      <c r="BD118" s="303">
        <f>SUM(BD102,BD106)</f>
        <v>373</v>
      </c>
      <c r="BE118" s="231">
        <f>AZ118+BC118-BD118</f>
        <v>329</v>
      </c>
      <c r="BF118" s="21"/>
      <c r="BG118" s="6"/>
      <c r="BH118" s="35"/>
      <c r="BI118" s="612"/>
      <c r="BJ118" s="236"/>
      <c r="BK118" s="210"/>
      <c r="BL118" s="216"/>
      <c r="BM118" s="707"/>
      <c r="BN118" s="21"/>
      <c r="BO118" s="6"/>
      <c r="BP118" s="35"/>
      <c r="BQ118" s="713"/>
      <c r="BR118" s="713"/>
      <c r="BS118" s="394">
        <f>SUM(M118,AG118,BA118,BU118)-SUM(O118,AI118,BC118,BW118)-L118</f>
        <v>-153</v>
      </c>
      <c r="BT118" s="29">
        <f>BE118</f>
        <v>329</v>
      </c>
      <c r="BU118" s="298">
        <f>SUM(BU102,BU106)</f>
        <v>176</v>
      </c>
      <c r="BV118" s="5">
        <f>BU118-BT118</f>
        <v>-153</v>
      </c>
      <c r="BW118" s="256"/>
      <c r="BX118" s="303">
        <f>SUM(BX102,BX106)</f>
        <v>95</v>
      </c>
      <c r="BY118" s="231">
        <f>BT118+BW118-BX118</f>
        <v>234</v>
      </c>
      <c r="BZ118" s="21"/>
      <c r="CA118" s="6"/>
      <c r="CB118" s="35"/>
      <c r="CC118" s="612"/>
      <c r="CD118" s="236"/>
      <c r="CE118" s="210"/>
      <c r="CF118" s="216"/>
      <c r="CG118" s="707"/>
      <c r="CH118" s="21"/>
      <c r="CI118" s="6"/>
      <c r="CJ118" s="35"/>
      <c r="CK118" s="713"/>
      <c r="CL118" s="713"/>
      <c r="CM118" s="394">
        <f>SUM(M118,AG118,BA118,BU118,CO118)-SUM(O118,AI118,BC118,BW118,CQ118)-L118</f>
        <v>-153</v>
      </c>
      <c r="CN118" s="29">
        <f>BY118</f>
        <v>234</v>
      </c>
      <c r="CO118" s="298">
        <f>SUM(CO102,CO106)</f>
        <v>0</v>
      </c>
      <c r="CP118" s="5">
        <f>CO118-CN118</f>
        <v>-234</v>
      </c>
      <c r="CQ118" s="240"/>
      <c r="CR118" s="303">
        <f>SUM(CR102,CR106)</f>
        <v>0</v>
      </c>
      <c r="CS118" s="231">
        <f>CN118+CQ118-CR118</f>
        <v>234</v>
      </c>
      <c r="CT118" s="21"/>
      <c r="CU118" s="6"/>
      <c r="CV118" s="35"/>
      <c r="CW118" s="612"/>
      <c r="CX118" s="236"/>
      <c r="CY118" s="210"/>
      <c r="CZ118" s="216"/>
      <c r="DA118" s="707"/>
      <c r="DB118" s="21"/>
      <c r="DC118" s="6"/>
      <c r="DD118" s="35"/>
      <c r="DE118" s="713"/>
      <c r="DF118" s="713"/>
      <c r="DG118" s="394">
        <f>SUM(M118,AG118,BA118,BU118,DI118)-SUM(O118,AI118,BC118,BW118,CQ118)-L118</f>
        <v>-153</v>
      </c>
      <c r="DH118" s="29">
        <f>BY118</f>
        <v>234</v>
      </c>
      <c r="DI118" s="298">
        <f>SUM(DI102,DI106)</f>
        <v>0</v>
      </c>
      <c r="DJ118" s="5">
        <f>DI118-DH118</f>
        <v>-234</v>
      </c>
      <c r="DK118" s="240"/>
      <c r="DL118" s="303">
        <f>SUM(DL102,DL106)</f>
        <v>0</v>
      </c>
      <c r="DM118" s="231">
        <f>DH118+DK118-DL118</f>
        <v>234</v>
      </c>
    </row>
    <row r="119" spans="1:117" x14ac:dyDescent="0.25">
      <c r="A119" s="53"/>
      <c r="B119" s="52" t="s">
        <v>40</v>
      </c>
      <c r="C119" s="53"/>
      <c r="D119" s="51"/>
      <c r="E119" s="51"/>
      <c r="F119" s="338"/>
      <c r="G119" s="51"/>
      <c r="H119" s="54"/>
      <c r="I119" s="54"/>
      <c r="J119" s="54"/>
      <c r="K119" s="54"/>
      <c r="L119" s="55"/>
      <c r="M119" s="56"/>
      <c r="N119" s="56"/>
      <c r="O119" s="56"/>
      <c r="P119" s="243"/>
      <c r="Q119" s="230"/>
      <c r="R119" s="119">
        <f>SUM(R120:R126)</f>
        <v>131250</v>
      </c>
      <c r="S119" s="120">
        <f>SUM(S120:S126)</f>
        <v>0</v>
      </c>
      <c r="T119" s="57"/>
      <c r="U119" s="219"/>
      <c r="V119" s="119">
        <f>SUM(V120:V126)</f>
        <v>78750</v>
      </c>
      <c r="W119" s="120">
        <f>SUM(W120:W126)</f>
        <v>0</v>
      </c>
      <c r="X119" s="57"/>
      <c r="Y119" s="219"/>
      <c r="Z119" s="119">
        <f>SUM(Z120:Z126)</f>
        <v>220000</v>
      </c>
      <c r="AA119" s="120">
        <f>SUM(AA120:AA126)</f>
        <v>131250</v>
      </c>
      <c r="AB119" s="57"/>
      <c r="AC119" s="219"/>
      <c r="AD119" s="219"/>
      <c r="AE119" s="54"/>
      <c r="AF119" s="55"/>
      <c r="AG119" s="56"/>
      <c r="AH119" s="56"/>
      <c r="AI119" s="56"/>
      <c r="AJ119" s="243"/>
      <c r="AK119" s="230"/>
      <c r="AL119" s="119">
        <f>SUM(AL120:AL126)</f>
        <v>0</v>
      </c>
      <c r="AM119" s="120">
        <f>SUM(AM120:AM126)</f>
        <v>220000</v>
      </c>
      <c r="AN119" s="57"/>
      <c r="AO119" s="219"/>
      <c r="AP119" s="119">
        <f>SUM(AP120:AP126)</f>
        <v>0</v>
      </c>
      <c r="AQ119" s="120">
        <f>SUM(AQ120:AQ126)</f>
        <v>78750</v>
      </c>
      <c r="AR119" s="57"/>
      <c r="AS119" s="219"/>
      <c r="AT119" s="119">
        <f>SUM(AT120:AT126)</f>
        <v>0</v>
      </c>
      <c r="AU119" s="120">
        <f>SUM(AU120:AU126)</f>
        <v>0</v>
      </c>
      <c r="AV119" s="57"/>
      <c r="AW119" s="230"/>
      <c r="AX119" s="230"/>
      <c r="AY119" s="53"/>
      <c r="AZ119" s="55"/>
      <c r="BA119" s="56"/>
      <c r="BB119" s="56"/>
      <c r="BC119" s="56"/>
      <c r="BD119" s="243"/>
      <c r="BE119" s="230"/>
      <c r="BF119" s="119">
        <f>SUM(BF120:BF126)</f>
        <v>92000</v>
      </c>
      <c r="BG119" s="120">
        <f>SUM(BG120:BG126)</f>
        <v>92000</v>
      </c>
      <c r="BH119" s="57"/>
      <c r="BI119" s="219"/>
      <c r="BJ119" s="119">
        <f>SUM(BJ120:BJ126)</f>
        <v>0</v>
      </c>
      <c r="BK119" s="120">
        <f>SUM(BK120:BK126)</f>
        <v>0</v>
      </c>
      <c r="BL119" s="57"/>
      <c r="BM119" s="219"/>
      <c r="BN119" s="119">
        <f>SUM(BN120:BN126)</f>
        <v>0</v>
      </c>
      <c r="BO119" s="120">
        <f>SUM(BO120:BO126)</f>
        <v>0</v>
      </c>
      <c r="BP119" s="57"/>
      <c r="BQ119" s="219"/>
      <c r="BR119" s="219"/>
      <c r="BS119" s="54"/>
      <c r="BT119" s="55"/>
      <c r="BU119" s="56"/>
      <c r="BV119" s="56"/>
      <c r="BW119" s="56"/>
      <c r="BX119" s="243"/>
      <c r="BY119" s="230"/>
      <c r="BZ119" s="119">
        <f>SUM(BZ120:BZ126)</f>
        <v>0</v>
      </c>
      <c r="CA119" s="120">
        <f>SUM(CA120:CA126)</f>
        <v>0</v>
      </c>
      <c r="CB119" s="57"/>
      <c r="CC119" s="219"/>
      <c r="CD119" s="119">
        <f>SUM(CD120:CD126)</f>
        <v>407700</v>
      </c>
      <c r="CE119" s="120">
        <f>SUM(CE120:CE126)</f>
        <v>0</v>
      </c>
      <c r="CF119" s="57"/>
      <c r="CG119" s="219"/>
      <c r="CH119" s="119">
        <f>SUM(CH120:CH126)</f>
        <v>63400</v>
      </c>
      <c r="CI119" s="120">
        <f>SUM(CI120:CI126)</f>
        <v>255900</v>
      </c>
      <c r="CJ119" s="57"/>
      <c r="CK119" s="219"/>
      <c r="CL119" s="219"/>
      <c r="CM119" s="54"/>
      <c r="CN119" s="55"/>
      <c r="CO119" s="56"/>
      <c r="CP119" s="56"/>
      <c r="CQ119" s="56"/>
      <c r="CR119" s="243"/>
      <c r="CS119" s="230"/>
      <c r="CT119" s="119">
        <f>SUM(CT120:CT126)</f>
        <v>0</v>
      </c>
      <c r="CU119" s="120">
        <f>SUM(CU120:CU126)</f>
        <v>215200</v>
      </c>
      <c r="CV119" s="57"/>
      <c r="CW119" s="219"/>
      <c r="CX119" s="119">
        <f>SUM(CX120:CX126)</f>
        <v>0</v>
      </c>
      <c r="CY119" s="120">
        <f>SUM(CY120:CY126)</f>
        <v>0</v>
      </c>
      <c r="CZ119" s="57"/>
      <c r="DA119" s="219"/>
      <c r="DB119" s="119">
        <f>SUM(DB120:DB126)</f>
        <v>0</v>
      </c>
      <c r="DC119" s="120">
        <f>SUM(DC120:DC126)</f>
        <v>0</v>
      </c>
      <c r="DD119" s="57"/>
      <c r="DE119" s="219"/>
      <c r="DF119" s="219"/>
      <c r="DG119" s="54"/>
      <c r="DH119" s="55"/>
      <c r="DI119" s="56"/>
      <c r="DJ119" s="56"/>
      <c r="DK119" s="56"/>
      <c r="DL119" s="243"/>
      <c r="DM119" s="230"/>
    </row>
    <row r="120" spans="1:117" ht="30" x14ac:dyDescent="0.25">
      <c r="A120" s="18">
        <v>19058</v>
      </c>
      <c r="B120" s="15" t="s">
        <v>60</v>
      </c>
      <c r="C120" s="18"/>
      <c r="D120" s="11" t="s">
        <v>61</v>
      </c>
      <c r="E120" s="11"/>
      <c r="F120" s="568">
        <v>440</v>
      </c>
      <c r="G120" s="15" t="s">
        <v>649</v>
      </c>
      <c r="H120" s="25" t="s">
        <v>192</v>
      </c>
      <c r="I120" s="24"/>
      <c r="J120" s="536">
        <f t="shared" ref="J120:J126" si="242">SUM(M120,AG120,BA120,BU120)-L120</f>
        <v>408</v>
      </c>
      <c r="K120" s="394">
        <f t="shared" si="193"/>
        <v>-628</v>
      </c>
      <c r="L120" s="544">
        <v>654</v>
      </c>
      <c r="M120" s="5">
        <f>60+26-60</f>
        <v>26</v>
      </c>
      <c r="N120" s="5">
        <f t="shared" ref="N120:N136" si="243">M120-L120</f>
        <v>-628</v>
      </c>
      <c r="O120" s="242"/>
      <c r="P120" s="240">
        <f>4+3+2+2+15</f>
        <v>26</v>
      </c>
      <c r="Q120" s="231">
        <f>L120+O120-P120</f>
        <v>628</v>
      </c>
      <c r="R120" s="236"/>
      <c r="S120" s="6"/>
      <c r="T120" s="35"/>
      <c r="U120" s="612"/>
      <c r="V120" s="236"/>
      <c r="W120" s="6"/>
      <c r="X120" s="35"/>
      <c r="Y120" s="612"/>
      <c r="Z120" s="581">
        <f>$F$120*50%*1000</f>
        <v>220000</v>
      </c>
      <c r="AA120" s="6"/>
      <c r="AB120" s="35" t="s">
        <v>695</v>
      </c>
      <c r="AC120" s="713"/>
      <c r="AD120" s="713"/>
      <c r="AE120" s="394">
        <f t="shared" ref="AE120:AE126" si="244">SUM(M120,AG120)-SUM(O120,AI120)-L120</f>
        <v>-1530</v>
      </c>
      <c r="AF120" s="29">
        <f t="shared" ref="AF120:AF126" si="245">Q120</f>
        <v>628</v>
      </c>
      <c r="AG120" s="5">
        <f>594-594+150-150+98</f>
        <v>98</v>
      </c>
      <c r="AH120" s="5">
        <f t="shared" ref="AH120:AH136" si="246">AG120-AF120</f>
        <v>-530</v>
      </c>
      <c r="AI120" s="593">
        <v>1000</v>
      </c>
      <c r="AJ120" s="240">
        <f>2+2+6+8+10+12+18+4+12+20+4</f>
        <v>98</v>
      </c>
      <c r="AK120" s="231">
        <f>AF120+AI120-AJ120</f>
        <v>1530</v>
      </c>
      <c r="AL120" s="236"/>
      <c r="AM120" s="6">
        <f>$F$120*50%*1000</f>
        <v>220000</v>
      </c>
      <c r="AN120" s="35" t="s">
        <v>645</v>
      </c>
      <c r="AO120" s="612"/>
      <c r="AP120" s="21"/>
      <c r="AQ120" s="6"/>
      <c r="AR120" s="35"/>
      <c r="AS120" s="612"/>
      <c r="AT120" s="21"/>
      <c r="AU120" s="6"/>
      <c r="AV120" s="35"/>
      <c r="AW120" s="713"/>
      <c r="AX120" s="713"/>
      <c r="AY120" s="394">
        <f t="shared" ref="AY120:AY126" si="247">SUM(M120,AG120,BA120)-SUM(O120,AI120,BC120)-L120</f>
        <v>-982</v>
      </c>
      <c r="AZ120" s="29">
        <f>AK120</f>
        <v>1530</v>
      </c>
      <c r="BA120" s="5">
        <f>250-250+644-644+676-676+548</f>
        <v>548</v>
      </c>
      <c r="BB120" s="5">
        <f t="shared" ref="BB120:BB136" si="248">BA120-AZ120</f>
        <v>-982</v>
      </c>
      <c r="BC120" s="256"/>
      <c r="BD120" s="240">
        <f>5+8+7+8+4+4+48+9+1+40+2+30+6+20+11+340+5</f>
        <v>548</v>
      </c>
      <c r="BE120" s="231">
        <f>AZ120+BC120-BD120</f>
        <v>982</v>
      </c>
      <c r="BF120" s="236"/>
      <c r="BG120" s="6"/>
      <c r="BH120" s="35"/>
      <c r="BI120" s="612"/>
      <c r="BJ120" s="236"/>
      <c r="BK120" s="6"/>
      <c r="BL120" s="35"/>
      <c r="BM120" s="612"/>
      <c r="BN120" s="21"/>
      <c r="BO120" s="6"/>
      <c r="BP120" s="35"/>
      <c r="BQ120" s="713"/>
      <c r="BR120" s="713"/>
      <c r="BS120" s="394">
        <f t="shared" ref="BS120:BS126" si="249">SUM(M120,AG120,BA120,BU120)-SUM(O120,AI120,BC120,BW120)-L120</f>
        <v>-992</v>
      </c>
      <c r="BT120" s="29">
        <f>BE120</f>
        <v>982</v>
      </c>
      <c r="BU120" s="5">
        <f>360-360+390</f>
        <v>390</v>
      </c>
      <c r="BV120" s="5">
        <f t="shared" ref="BV120:BV136" si="250">BU120-BT120</f>
        <v>-592</v>
      </c>
      <c r="BW120" s="621">
        <v>400</v>
      </c>
      <c r="BX120" s="240">
        <f>3+1+7+2+12+18+2+39+5+10+3</f>
        <v>102</v>
      </c>
      <c r="BY120" s="231">
        <f>BT120+BW120-BX120</f>
        <v>1280</v>
      </c>
      <c r="BZ120" s="236"/>
      <c r="CA120" s="6"/>
      <c r="CB120" s="35"/>
      <c r="CC120" s="612"/>
      <c r="CD120" s="666">
        <f>F120*BW120/2</f>
        <v>88000</v>
      </c>
      <c r="CE120" s="663"/>
      <c r="CF120" s="664" t="s">
        <v>803</v>
      </c>
      <c r="CG120" s="773"/>
      <c r="CH120" s="21"/>
      <c r="CI120" s="629">
        <v>88000</v>
      </c>
      <c r="CJ120" s="625" t="s">
        <v>805</v>
      </c>
      <c r="CK120" s="782"/>
      <c r="CL120" s="782"/>
      <c r="CM120" s="394">
        <f t="shared" ref="CM120:CM126" si="251">SUM(M120,AG120,BA120,BU120,CO120)-SUM(O120,AI120,BC120,BW120,CQ120)-L120</f>
        <v>-992</v>
      </c>
      <c r="CN120" s="29">
        <f>BY120</f>
        <v>1280</v>
      </c>
      <c r="CO120" s="240"/>
      <c r="CP120" s="5">
        <f t="shared" ref="CP120:CP136" si="252">CO120-CN120</f>
        <v>-1280</v>
      </c>
      <c r="CQ120" s="240"/>
      <c r="CR120" s="240"/>
      <c r="CS120" s="231">
        <f>CN120+CQ120-CR120</f>
        <v>1280</v>
      </c>
      <c r="CT120" s="236"/>
      <c r="CU120" s="6"/>
      <c r="CV120" s="35"/>
      <c r="CW120" s="612"/>
      <c r="CX120" s="235"/>
      <c r="CY120" s="6"/>
      <c r="CZ120" s="35"/>
      <c r="DA120" s="612"/>
      <c r="DB120" s="21"/>
      <c r="DC120" s="6"/>
      <c r="DD120" s="35"/>
      <c r="DE120" s="713"/>
      <c r="DF120" s="713"/>
      <c r="DG120" s="394">
        <f t="shared" ref="DG120:DG126" si="253">SUM(M120,AG120,BA120,BU120,DI120)-SUM(O120,AI120,BC120,BW120,CQ120)-L120</f>
        <v>-992</v>
      </c>
      <c r="DH120" s="29">
        <f>BY120</f>
        <v>1280</v>
      </c>
      <c r="DI120" s="240"/>
      <c r="DJ120" s="5">
        <f t="shared" ref="DJ120:DJ126" si="254">DI120-DH120</f>
        <v>-1280</v>
      </c>
      <c r="DK120" s="240"/>
      <c r="DL120" s="240"/>
      <c r="DM120" s="231">
        <f>DH120+DK120-DL120</f>
        <v>1280</v>
      </c>
    </row>
    <row r="121" spans="1:117" ht="34.5" x14ac:dyDescent="0.25">
      <c r="A121" s="18">
        <v>19663</v>
      </c>
      <c r="B121" s="11" t="s">
        <v>62</v>
      </c>
      <c r="C121" s="18"/>
      <c r="D121" s="11" t="s">
        <v>61</v>
      </c>
      <c r="E121" s="11"/>
      <c r="F121" s="568">
        <v>83</v>
      </c>
      <c r="G121" s="15" t="s">
        <v>649</v>
      </c>
      <c r="H121" s="25" t="s">
        <v>192</v>
      </c>
      <c r="I121" s="24"/>
      <c r="J121" s="536">
        <f t="shared" si="242"/>
        <v>-277</v>
      </c>
      <c r="K121" s="394">
        <f t="shared" si="193"/>
        <v>-4076</v>
      </c>
      <c r="L121" s="544">
        <v>4101</v>
      </c>
      <c r="M121" s="5">
        <f>250+25-250</f>
        <v>25</v>
      </c>
      <c r="N121" s="5">
        <f t="shared" si="243"/>
        <v>-4076</v>
      </c>
      <c r="O121" s="256"/>
      <c r="P121" s="240">
        <f>4+6+8+2+5</f>
        <v>25</v>
      </c>
      <c r="Q121" s="231">
        <f t="shared" ref="Q121:Q126" si="255">L121+O121-P121</f>
        <v>4076</v>
      </c>
      <c r="R121" s="121"/>
      <c r="S121" s="6"/>
      <c r="T121" s="35"/>
      <c r="U121" s="612"/>
      <c r="V121" s="121"/>
      <c r="W121" s="6"/>
      <c r="X121" s="35"/>
      <c r="Y121" s="612"/>
      <c r="Z121" s="121"/>
      <c r="AA121" s="6"/>
      <c r="AB121" s="35"/>
      <c r="AC121" s="713"/>
      <c r="AD121" s="713"/>
      <c r="AE121" s="394">
        <f t="shared" si="244"/>
        <v>-3910</v>
      </c>
      <c r="AF121" s="29">
        <f t="shared" si="245"/>
        <v>4076</v>
      </c>
      <c r="AG121" s="5">
        <f>2520-2520+450-450+166</f>
        <v>166</v>
      </c>
      <c r="AH121" s="5">
        <f t="shared" si="246"/>
        <v>-3910</v>
      </c>
      <c r="AI121" s="256"/>
      <c r="AJ121" s="240">
        <f>10+4+4+2+48+72+18+8</f>
        <v>166</v>
      </c>
      <c r="AK121" s="231">
        <f t="shared" ref="AK121:AK126" si="256">AF121+AI121-AJ121</f>
        <v>3910</v>
      </c>
      <c r="AL121" s="121"/>
      <c r="AM121" s="6"/>
      <c r="AN121" s="257"/>
      <c r="AO121" s="730"/>
      <c r="AP121" s="121"/>
      <c r="AQ121" s="6"/>
      <c r="AR121" s="35"/>
      <c r="AS121" s="612"/>
      <c r="AT121" s="21"/>
      <c r="AU121" s="6"/>
      <c r="AV121" s="35"/>
      <c r="AW121" s="713"/>
      <c r="AX121" s="713"/>
      <c r="AY121" s="394">
        <f t="shared" si="247"/>
        <v>-1277</v>
      </c>
      <c r="AZ121" s="29">
        <f t="shared" ref="AZ121:AZ126" si="257">AK121</f>
        <v>3910</v>
      </c>
      <c r="BA121" s="5">
        <f>600-600+2620-2620+2996-2996+2633</f>
        <v>2633</v>
      </c>
      <c r="BB121" s="5">
        <f t="shared" si="248"/>
        <v>-1277</v>
      </c>
      <c r="BC121" s="240"/>
      <c r="BD121" s="240">
        <f>20+24+192+6+200+120+20+80+80+184+1700+7</f>
        <v>2633</v>
      </c>
      <c r="BE121" s="231">
        <f t="shared" ref="BE121:BE126" si="258">AZ121+BC121-BD121</f>
        <v>1277</v>
      </c>
      <c r="BF121" s="121"/>
      <c r="BG121" s="6"/>
      <c r="BH121" s="35"/>
      <c r="BI121" s="612"/>
      <c r="BJ121" s="121"/>
      <c r="BK121" s="6"/>
      <c r="BL121" s="35"/>
      <c r="BM121" s="612"/>
      <c r="BN121" s="121"/>
      <c r="BO121" s="6"/>
      <c r="BP121" s="35"/>
      <c r="BQ121" s="713"/>
      <c r="BR121" s="713"/>
      <c r="BS121" s="394">
        <f t="shared" si="249"/>
        <v>-2277</v>
      </c>
      <c r="BT121" s="29">
        <f t="shared" ref="BT121:BT125" si="259">BE121</f>
        <v>1277</v>
      </c>
      <c r="BU121" s="5">
        <f>900-900+1000</f>
        <v>1000</v>
      </c>
      <c r="BV121" s="5">
        <f t="shared" si="250"/>
        <v>-277</v>
      </c>
      <c r="BW121" s="621">
        <f>1000+1000</f>
        <v>2000</v>
      </c>
      <c r="BX121" s="240">
        <f>3+48+72+2+8+4</f>
        <v>137</v>
      </c>
      <c r="BY121" s="231">
        <f t="shared" ref="BY121:BY126" si="260">BT121+BW121-BX121</f>
        <v>3140</v>
      </c>
      <c r="BZ121" s="236"/>
      <c r="CA121" s="6"/>
      <c r="CB121" s="35"/>
      <c r="CC121" s="612"/>
      <c r="CD121" s="668">
        <v>41500</v>
      </c>
      <c r="CE121" s="663"/>
      <c r="CF121" s="700" t="s">
        <v>959</v>
      </c>
      <c r="CG121" s="788"/>
      <c r="CH121" s="628">
        <f>1000*$F$121/2</f>
        <v>41500</v>
      </c>
      <c r="CI121" s="628">
        <f>(1000*$F$121/2)+(1000*$F$121/2)</f>
        <v>83000</v>
      </c>
      <c r="CJ121" s="677" t="s">
        <v>960</v>
      </c>
      <c r="CK121" s="803"/>
      <c r="CL121" s="803"/>
      <c r="CM121" s="394">
        <f t="shared" si="251"/>
        <v>-4277</v>
      </c>
      <c r="CN121" s="29">
        <f t="shared" ref="CN121:CN126" si="261">BY121</f>
        <v>3140</v>
      </c>
      <c r="CO121" s="240"/>
      <c r="CP121" s="5">
        <f t="shared" si="252"/>
        <v>-3140</v>
      </c>
      <c r="CQ121" s="240">
        <v>2000</v>
      </c>
      <c r="CR121" s="240"/>
      <c r="CS121" s="231">
        <f t="shared" ref="CS121:CS126" si="262">CN121+CQ121-CR121</f>
        <v>5140</v>
      </c>
      <c r="CT121" s="121"/>
      <c r="CU121" s="6"/>
      <c r="CV121" s="35"/>
      <c r="CW121" s="612"/>
      <c r="CX121" s="121"/>
      <c r="CY121" s="6"/>
      <c r="CZ121" s="35"/>
      <c r="DA121" s="612"/>
      <c r="DB121" s="21"/>
      <c r="DC121" s="6"/>
      <c r="DD121" s="35"/>
      <c r="DE121" s="713"/>
      <c r="DF121" s="713"/>
      <c r="DG121" s="394">
        <f t="shared" si="253"/>
        <v>-4277</v>
      </c>
      <c r="DH121" s="29">
        <f t="shared" ref="DH121:DH126" si="263">BY121</f>
        <v>3140</v>
      </c>
      <c r="DI121" s="240"/>
      <c r="DJ121" s="5">
        <f t="shared" si="254"/>
        <v>-3140</v>
      </c>
      <c r="DK121" s="240"/>
      <c r="DL121" s="240"/>
      <c r="DM121" s="231">
        <f t="shared" ref="DM121:DM126" si="264">DH121+DK121-DL121</f>
        <v>3140</v>
      </c>
    </row>
    <row r="122" spans="1:117" ht="30" x14ac:dyDescent="0.25">
      <c r="A122" s="18">
        <v>20273</v>
      </c>
      <c r="B122" s="11" t="s">
        <v>63</v>
      </c>
      <c r="C122" s="18"/>
      <c r="D122" s="11" t="s">
        <v>61</v>
      </c>
      <c r="E122" s="11"/>
      <c r="F122" s="568">
        <v>525</v>
      </c>
      <c r="G122" s="15" t="s">
        <v>760</v>
      </c>
      <c r="H122" s="25" t="s">
        <v>192</v>
      </c>
      <c r="I122" s="24"/>
      <c r="J122" s="536">
        <f t="shared" si="242"/>
        <v>271</v>
      </c>
      <c r="K122" s="394">
        <f t="shared" si="193"/>
        <v>-169</v>
      </c>
      <c r="L122" s="544">
        <v>206</v>
      </c>
      <c r="M122" s="5">
        <f>50+37-50</f>
        <v>37</v>
      </c>
      <c r="N122" s="5">
        <f t="shared" si="243"/>
        <v>-169</v>
      </c>
      <c r="O122" s="242"/>
      <c r="P122" s="240">
        <f>6+15+16</f>
        <v>37</v>
      </c>
      <c r="Q122" s="231">
        <f t="shared" si="255"/>
        <v>169</v>
      </c>
      <c r="R122" s="121"/>
      <c r="S122" s="6"/>
      <c r="T122" s="35"/>
      <c r="U122" s="612"/>
      <c r="V122" s="121"/>
      <c r="W122" s="6"/>
      <c r="X122" s="35"/>
      <c r="Y122" s="612"/>
      <c r="Z122" s="121"/>
      <c r="AA122" s="6"/>
      <c r="AB122" s="35"/>
      <c r="AC122" s="713"/>
      <c r="AD122" s="713"/>
      <c r="AE122" s="394">
        <f t="shared" si="244"/>
        <v>74</v>
      </c>
      <c r="AF122" s="29">
        <f t="shared" si="245"/>
        <v>169</v>
      </c>
      <c r="AG122" s="5">
        <f>30-30+243</f>
        <v>243</v>
      </c>
      <c r="AH122" s="5">
        <f t="shared" si="246"/>
        <v>74</v>
      </c>
      <c r="AI122" s="258"/>
      <c r="AJ122" s="240">
        <f>8+3+32+78+8+15+78+21</f>
        <v>243</v>
      </c>
      <c r="AK122" s="231">
        <f t="shared" si="256"/>
        <v>-74</v>
      </c>
      <c r="AL122" s="121"/>
      <c r="AM122" s="6"/>
      <c r="AN122" s="35"/>
      <c r="AO122" s="612"/>
      <c r="AP122" s="121"/>
      <c r="AQ122" s="6"/>
      <c r="AR122" s="35"/>
      <c r="AS122" s="612"/>
      <c r="AT122" s="21"/>
      <c r="AU122" s="6"/>
      <c r="AV122" s="35"/>
      <c r="AW122" s="713"/>
      <c r="AX122" s="713"/>
      <c r="AY122" s="394">
        <f t="shared" si="247"/>
        <v>-199</v>
      </c>
      <c r="AZ122" s="29">
        <f t="shared" si="257"/>
        <v>-74</v>
      </c>
      <c r="BA122" s="5">
        <f>40-40+110-110+127</f>
        <v>127</v>
      </c>
      <c r="BB122" s="5">
        <f t="shared" si="248"/>
        <v>201</v>
      </c>
      <c r="BC122" s="256">
        <v>400</v>
      </c>
      <c r="BD122" s="240">
        <f>20+12+28+4+17+15+1+30</f>
        <v>127</v>
      </c>
      <c r="BE122" s="231">
        <f t="shared" si="258"/>
        <v>199</v>
      </c>
      <c r="BF122" s="121">
        <v>92000</v>
      </c>
      <c r="BG122" s="6">
        <v>92000</v>
      </c>
      <c r="BH122" s="257" t="s">
        <v>786</v>
      </c>
      <c r="BI122" s="730"/>
      <c r="BJ122" s="121"/>
      <c r="BL122" s="35"/>
      <c r="BM122" s="612"/>
      <c r="BN122" s="21"/>
      <c r="BO122" s="6"/>
      <c r="BP122" s="35"/>
      <c r="BQ122" s="713"/>
      <c r="BR122" s="713"/>
      <c r="BS122" s="394">
        <f t="shared" si="249"/>
        <v>-529</v>
      </c>
      <c r="BT122" s="29">
        <f t="shared" si="259"/>
        <v>199</v>
      </c>
      <c r="BU122" s="5">
        <f>90-90+70</f>
        <v>70</v>
      </c>
      <c r="BV122" s="5">
        <f t="shared" si="250"/>
        <v>-129</v>
      </c>
      <c r="BW122" s="621">
        <v>400</v>
      </c>
      <c r="BX122" s="240">
        <f>4+8+5+8+38</f>
        <v>63</v>
      </c>
      <c r="BY122" s="231">
        <f t="shared" si="260"/>
        <v>536</v>
      </c>
      <c r="BZ122" s="236"/>
      <c r="CA122" s="6"/>
      <c r="CB122" s="35"/>
      <c r="CC122" s="612"/>
      <c r="CD122" s="668">
        <f>F122*BW122/2</f>
        <v>105000</v>
      </c>
      <c r="CE122" s="663"/>
      <c r="CF122" s="664" t="s">
        <v>945</v>
      </c>
      <c r="CG122" s="773"/>
      <c r="CH122" s="21"/>
      <c r="CI122" s="199"/>
      <c r="CJ122" s="148"/>
      <c r="CK122" s="797"/>
      <c r="CL122" s="797"/>
      <c r="CM122" s="394">
        <f t="shared" si="251"/>
        <v>-529</v>
      </c>
      <c r="CN122" s="29">
        <f t="shared" si="261"/>
        <v>536</v>
      </c>
      <c r="CO122" s="240"/>
      <c r="CP122" s="5">
        <f t="shared" si="252"/>
        <v>-536</v>
      </c>
      <c r="CQ122" s="240"/>
      <c r="CR122" s="240"/>
      <c r="CS122" s="231">
        <f t="shared" si="262"/>
        <v>536</v>
      </c>
      <c r="CT122" s="121"/>
      <c r="CU122" s="629">
        <v>105000</v>
      </c>
      <c r="CV122" s="625" t="s">
        <v>805</v>
      </c>
      <c r="CW122" s="787"/>
      <c r="CX122" s="121"/>
      <c r="CY122" s="6"/>
      <c r="CZ122" s="35"/>
      <c r="DA122" s="612"/>
      <c r="DB122" s="21"/>
      <c r="DC122" s="6"/>
      <c r="DD122" s="35"/>
      <c r="DE122" s="713"/>
      <c r="DF122" s="713"/>
      <c r="DG122" s="394">
        <f t="shared" si="253"/>
        <v>-529</v>
      </c>
      <c r="DH122" s="29">
        <f t="shared" si="263"/>
        <v>536</v>
      </c>
      <c r="DI122" s="240"/>
      <c r="DJ122" s="5">
        <f t="shared" si="254"/>
        <v>-536</v>
      </c>
      <c r="DK122" s="240"/>
      <c r="DL122" s="240"/>
      <c r="DM122" s="231">
        <f t="shared" si="264"/>
        <v>536</v>
      </c>
    </row>
    <row r="123" spans="1:117" x14ac:dyDescent="0.25">
      <c r="A123" s="18">
        <v>19059</v>
      </c>
      <c r="B123" s="11" t="s">
        <v>64</v>
      </c>
      <c r="C123" s="18"/>
      <c r="D123" s="11" t="s">
        <v>61</v>
      </c>
      <c r="E123" s="11"/>
      <c r="F123" s="568">
        <v>315</v>
      </c>
      <c r="G123" s="15" t="s">
        <v>649</v>
      </c>
      <c r="H123" s="25" t="s">
        <v>192</v>
      </c>
      <c r="I123" s="24"/>
      <c r="J123" s="536">
        <f t="shared" si="242"/>
        <v>321</v>
      </c>
      <c r="K123" s="394">
        <f t="shared" si="193"/>
        <v>-658</v>
      </c>
      <c r="L123" s="544">
        <v>233</v>
      </c>
      <c r="M123" s="5">
        <f>50+75-50</f>
        <v>75</v>
      </c>
      <c r="N123" s="5">
        <f t="shared" si="243"/>
        <v>-158</v>
      </c>
      <c r="O123" s="256">
        <v>500</v>
      </c>
      <c r="P123" s="240">
        <f>22+11+2+40</f>
        <v>75</v>
      </c>
      <c r="Q123" s="231">
        <f t="shared" si="255"/>
        <v>658</v>
      </c>
      <c r="R123" s="121"/>
      <c r="S123" s="6"/>
      <c r="T123" s="35"/>
      <c r="U123" s="612"/>
      <c r="V123" s="570">
        <f>$F$123*50%*500</f>
        <v>78750</v>
      </c>
      <c r="W123" s="6"/>
      <c r="X123" s="35" t="s">
        <v>694</v>
      </c>
      <c r="Y123" s="612"/>
      <c r="Z123" s="21"/>
      <c r="AA123" s="6"/>
      <c r="AB123" s="35"/>
      <c r="AC123" s="713"/>
      <c r="AD123" s="713"/>
      <c r="AE123" s="394">
        <f t="shared" si="244"/>
        <v>-464</v>
      </c>
      <c r="AF123" s="29">
        <f t="shared" si="245"/>
        <v>658</v>
      </c>
      <c r="AG123" s="5">
        <f>140-140+90-90+194</f>
        <v>194</v>
      </c>
      <c r="AH123" s="5">
        <f t="shared" si="246"/>
        <v>-464</v>
      </c>
      <c r="AI123" s="256"/>
      <c r="AJ123" s="240">
        <f>2+3+3+8+4+8+55+2+6+18+55+30</f>
        <v>194</v>
      </c>
      <c r="AK123" s="231">
        <f t="shared" si="256"/>
        <v>464</v>
      </c>
      <c r="AL123" s="121"/>
      <c r="AM123" s="598"/>
      <c r="AN123" s="35"/>
      <c r="AO123" s="612"/>
      <c r="AP123" s="121"/>
      <c r="AQ123" s="598">
        <f>$F$123*50%*500</f>
        <v>78750</v>
      </c>
      <c r="AR123" s="35" t="s">
        <v>775</v>
      </c>
      <c r="AS123" s="612"/>
      <c r="AT123" s="21"/>
      <c r="AU123" s="6"/>
      <c r="AV123" s="35"/>
      <c r="AW123" s="713"/>
      <c r="AX123" s="713"/>
      <c r="AY123" s="394">
        <f t="shared" si="247"/>
        <v>-344</v>
      </c>
      <c r="AZ123" s="29">
        <f t="shared" si="257"/>
        <v>464</v>
      </c>
      <c r="BA123" s="5">
        <f>140-140+120</f>
        <v>120</v>
      </c>
      <c r="BB123" s="5">
        <f t="shared" si="248"/>
        <v>-344</v>
      </c>
      <c r="BC123" s="256"/>
      <c r="BD123" s="240">
        <f>20+8+210+5+48+16+4</f>
        <v>311</v>
      </c>
      <c r="BE123" s="231">
        <f t="shared" si="258"/>
        <v>153</v>
      </c>
      <c r="BF123" s="121"/>
      <c r="BG123" s="6"/>
      <c r="BH123" s="35"/>
      <c r="BI123" s="612"/>
      <c r="BJ123" s="121"/>
      <c r="BK123" s="6"/>
      <c r="BL123" s="35"/>
      <c r="BM123" s="612"/>
      <c r="BN123" s="21"/>
      <c r="BO123" s="6"/>
      <c r="BP123" s="35"/>
      <c r="BQ123" s="713"/>
      <c r="BR123" s="713"/>
      <c r="BS123" s="394">
        <f t="shared" si="249"/>
        <v>-579</v>
      </c>
      <c r="BT123" s="29">
        <f t="shared" si="259"/>
        <v>153</v>
      </c>
      <c r="BU123" s="5">
        <f>190-190+165</f>
        <v>165</v>
      </c>
      <c r="BV123" s="5">
        <f t="shared" si="250"/>
        <v>12</v>
      </c>
      <c r="BW123" s="621">
        <v>400</v>
      </c>
      <c r="BX123" s="240">
        <f>10+14+21+10</f>
        <v>55</v>
      </c>
      <c r="BY123" s="231">
        <f t="shared" si="260"/>
        <v>498</v>
      </c>
      <c r="BZ123" s="236"/>
      <c r="CA123" s="6"/>
      <c r="CB123" s="35"/>
      <c r="CC123" s="612"/>
      <c r="CD123" s="668">
        <f>F123*BW123/2</f>
        <v>63000</v>
      </c>
      <c r="CE123" s="663"/>
      <c r="CF123" s="664" t="s">
        <v>803</v>
      </c>
      <c r="CG123" s="773"/>
      <c r="CH123" s="121"/>
      <c r="CI123" s="629">
        <v>63000</v>
      </c>
      <c r="CJ123" s="625" t="s">
        <v>805</v>
      </c>
      <c r="CK123" s="782"/>
      <c r="CL123" s="782"/>
      <c r="CM123" s="394">
        <f t="shared" si="251"/>
        <v>-579</v>
      </c>
      <c r="CN123" s="29">
        <f t="shared" si="261"/>
        <v>498</v>
      </c>
      <c r="CO123" s="240"/>
      <c r="CP123" s="5">
        <f t="shared" si="252"/>
        <v>-498</v>
      </c>
      <c r="CQ123" s="240"/>
      <c r="CR123" s="240"/>
      <c r="CS123" s="231">
        <f t="shared" si="262"/>
        <v>498</v>
      </c>
      <c r="CT123" s="121"/>
      <c r="CU123" s="6"/>
      <c r="CV123" s="35"/>
      <c r="CW123" s="612"/>
      <c r="CX123" s="121"/>
      <c r="CY123" s="6"/>
      <c r="CZ123" s="35"/>
      <c r="DA123" s="612"/>
      <c r="DB123" s="21"/>
      <c r="DC123" s="6"/>
      <c r="DD123" s="35"/>
      <c r="DE123" s="713"/>
      <c r="DF123" s="713"/>
      <c r="DG123" s="394">
        <f t="shared" si="253"/>
        <v>-579</v>
      </c>
      <c r="DH123" s="29">
        <f t="shared" si="263"/>
        <v>498</v>
      </c>
      <c r="DI123" s="240"/>
      <c r="DJ123" s="5">
        <f t="shared" si="254"/>
        <v>-498</v>
      </c>
      <c r="DK123" s="240"/>
      <c r="DL123" s="240"/>
      <c r="DM123" s="231">
        <f t="shared" si="264"/>
        <v>498</v>
      </c>
    </row>
    <row r="124" spans="1:117" ht="23.25" x14ac:dyDescent="0.25">
      <c r="A124" s="18">
        <v>20208</v>
      </c>
      <c r="B124" s="11" t="s">
        <v>65</v>
      </c>
      <c r="C124" s="18"/>
      <c r="D124" s="11" t="s">
        <v>61</v>
      </c>
      <c r="E124" s="11"/>
      <c r="F124" s="568">
        <v>165</v>
      </c>
      <c r="G124" s="11" t="s">
        <v>649</v>
      </c>
      <c r="H124" s="25" t="s">
        <v>39</v>
      </c>
      <c r="I124" s="24"/>
      <c r="J124" s="536">
        <f t="shared" si="242"/>
        <v>295</v>
      </c>
      <c r="K124" s="394">
        <f t="shared" si="193"/>
        <v>-505</v>
      </c>
      <c r="L124" s="544">
        <v>7</v>
      </c>
      <c r="M124" s="5">
        <f>40+2-40</f>
        <v>2</v>
      </c>
      <c r="N124" s="5">
        <f t="shared" si="243"/>
        <v>-5</v>
      </c>
      <c r="O124" s="256">
        <v>500</v>
      </c>
      <c r="P124" s="240">
        <f>2</f>
        <v>2</v>
      </c>
      <c r="Q124" s="231">
        <f t="shared" si="255"/>
        <v>505</v>
      </c>
      <c r="R124" s="570">
        <f>$F$124*50%*500</f>
        <v>41250</v>
      </c>
      <c r="S124" s="6"/>
      <c r="T124" s="35" t="s">
        <v>694</v>
      </c>
      <c r="U124" s="612"/>
      <c r="V124" s="121"/>
      <c r="W124" s="6"/>
      <c r="X124" s="35"/>
      <c r="Y124" s="612"/>
      <c r="Z124" s="21"/>
      <c r="AA124" s="579">
        <f>$F$124*50%*500</f>
        <v>41250</v>
      </c>
      <c r="AB124" s="35" t="s">
        <v>696</v>
      </c>
      <c r="AC124" s="713"/>
      <c r="AD124" s="713"/>
      <c r="AE124" s="394">
        <f t="shared" si="244"/>
        <v>-469</v>
      </c>
      <c r="AF124" s="29">
        <f t="shared" si="245"/>
        <v>505</v>
      </c>
      <c r="AG124" s="5">
        <f>80-80+36</f>
        <v>36</v>
      </c>
      <c r="AH124" s="5">
        <f t="shared" si="246"/>
        <v>-469</v>
      </c>
      <c r="AI124" s="256"/>
      <c r="AJ124" s="240">
        <f>16+6+14</f>
        <v>36</v>
      </c>
      <c r="AK124" s="231">
        <f t="shared" si="256"/>
        <v>469</v>
      </c>
      <c r="AL124" s="121"/>
      <c r="AM124" s="6"/>
      <c r="AN124" s="35"/>
      <c r="AO124" s="612"/>
      <c r="AP124" s="121"/>
      <c r="AQ124" s="6"/>
      <c r="AR124" s="35"/>
      <c r="AS124" s="612"/>
      <c r="AT124" s="21"/>
      <c r="AU124" s="6"/>
      <c r="AV124" s="35"/>
      <c r="AW124" s="713"/>
      <c r="AX124" s="713"/>
      <c r="AY124" s="394">
        <f t="shared" si="247"/>
        <v>-335</v>
      </c>
      <c r="AZ124" s="29">
        <f t="shared" si="257"/>
        <v>469</v>
      </c>
      <c r="BA124" s="5">
        <f>100-100+134</f>
        <v>134</v>
      </c>
      <c r="BB124" s="5">
        <f t="shared" si="248"/>
        <v>-335</v>
      </c>
      <c r="BC124" s="256"/>
      <c r="BD124" s="240">
        <f>24+11+6</f>
        <v>41</v>
      </c>
      <c r="BE124" s="231">
        <f t="shared" si="258"/>
        <v>428</v>
      </c>
      <c r="BF124" s="121"/>
      <c r="BG124" s="6"/>
      <c r="BH124" s="35"/>
      <c r="BI124" s="612"/>
      <c r="BJ124" s="121"/>
      <c r="BK124" s="6"/>
      <c r="BL124" s="35"/>
      <c r="BM124" s="612"/>
      <c r="BN124" s="21"/>
      <c r="BO124" s="6"/>
      <c r="BP124" s="35"/>
      <c r="BQ124" s="713"/>
      <c r="BR124" s="713"/>
      <c r="BS124" s="394">
        <f t="shared" si="249"/>
        <v>-705</v>
      </c>
      <c r="BT124" s="607">
        <f>400</f>
        <v>400</v>
      </c>
      <c r="BU124" s="5">
        <v>130</v>
      </c>
      <c r="BV124" s="5">
        <f t="shared" si="250"/>
        <v>-270</v>
      </c>
      <c r="BW124" s="621">
        <f>400+100</f>
        <v>500</v>
      </c>
      <c r="BX124" s="240">
        <f>24+30+74</f>
        <v>128</v>
      </c>
      <c r="BY124" s="231">
        <f t="shared" si="260"/>
        <v>772</v>
      </c>
      <c r="BZ124" s="236"/>
      <c r="CA124" s="6"/>
      <c r="CB124" s="35"/>
      <c r="CC124" s="612"/>
      <c r="CD124" s="668">
        <v>33000</v>
      </c>
      <c r="CE124" s="663"/>
      <c r="CF124" s="664" t="s">
        <v>892</v>
      </c>
      <c r="CG124" s="773"/>
      <c r="CH124" s="628">
        <f>43800/2</f>
        <v>21900</v>
      </c>
      <c r="CI124" s="630">
        <f>43800/2</f>
        <v>21900</v>
      </c>
      <c r="CJ124" s="678" t="s">
        <v>961</v>
      </c>
      <c r="CK124" s="804"/>
      <c r="CL124" s="804"/>
      <c r="CM124" s="394">
        <f t="shared" si="251"/>
        <v>-705</v>
      </c>
      <c r="CN124" s="29">
        <f t="shared" si="261"/>
        <v>772</v>
      </c>
      <c r="CO124" s="240"/>
      <c r="CP124" s="5">
        <f t="shared" si="252"/>
        <v>-772</v>
      </c>
      <c r="CQ124" s="240"/>
      <c r="CR124" s="240"/>
      <c r="CS124" s="231">
        <f t="shared" si="262"/>
        <v>772</v>
      </c>
      <c r="CT124" s="121"/>
      <c r="CU124" s="630">
        <f>33000</f>
        <v>33000</v>
      </c>
      <c r="CV124" s="625" t="s">
        <v>805</v>
      </c>
      <c r="CW124" s="787"/>
      <c r="CX124" s="121"/>
      <c r="CY124" s="6"/>
      <c r="CZ124" s="35"/>
      <c r="DA124" s="612"/>
      <c r="DB124" s="21"/>
      <c r="DC124" s="6"/>
      <c r="DD124" s="35"/>
      <c r="DE124" s="713"/>
      <c r="DF124" s="713"/>
      <c r="DG124" s="394">
        <f t="shared" si="253"/>
        <v>-705</v>
      </c>
      <c r="DH124" s="29">
        <f t="shared" si="263"/>
        <v>772</v>
      </c>
      <c r="DI124" s="240"/>
      <c r="DJ124" s="5">
        <f t="shared" si="254"/>
        <v>-772</v>
      </c>
      <c r="DK124" s="240"/>
      <c r="DL124" s="240"/>
      <c r="DM124" s="231">
        <f t="shared" si="264"/>
        <v>772</v>
      </c>
    </row>
    <row r="125" spans="1:117" x14ac:dyDescent="0.25">
      <c r="A125" s="18">
        <v>20207</v>
      </c>
      <c r="B125" s="11" t="s">
        <v>66</v>
      </c>
      <c r="C125" s="18"/>
      <c r="D125" s="11" t="s">
        <v>61</v>
      </c>
      <c r="E125" s="11"/>
      <c r="F125" s="568">
        <v>200</v>
      </c>
      <c r="G125" s="11" t="s">
        <v>649</v>
      </c>
      <c r="H125" s="25" t="s">
        <v>39</v>
      </c>
      <c r="I125" s="24"/>
      <c r="J125" s="536">
        <f t="shared" si="242"/>
        <v>246</v>
      </c>
      <c r="K125" s="394">
        <f t="shared" si="193"/>
        <v>-504</v>
      </c>
      <c r="L125" s="544">
        <v>4</v>
      </c>
      <c r="M125" s="5">
        <f>20+0-20</f>
        <v>0</v>
      </c>
      <c r="N125" s="5">
        <f t="shared" si="243"/>
        <v>-4</v>
      </c>
      <c r="O125" s="256">
        <v>500</v>
      </c>
      <c r="P125" s="240"/>
      <c r="Q125" s="231">
        <f t="shared" si="255"/>
        <v>504</v>
      </c>
      <c r="R125" s="570">
        <f>$F$125*50%*500</f>
        <v>50000</v>
      </c>
      <c r="S125" s="6"/>
      <c r="T125" s="35" t="s">
        <v>694</v>
      </c>
      <c r="U125" s="612"/>
      <c r="V125" s="121"/>
      <c r="W125" s="6"/>
      <c r="X125" s="35"/>
      <c r="Y125" s="612"/>
      <c r="Z125" s="21"/>
      <c r="AA125" s="579">
        <f>$F$125*50%*500</f>
        <v>50000</v>
      </c>
      <c r="AB125" s="35" t="s">
        <v>696</v>
      </c>
      <c r="AC125" s="713"/>
      <c r="AD125" s="713"/>
      <c r="AE125" s="394">
        <f t="shared" si="244"/>
        <v>-458</v>
      </c>
      <c r="AF125" s="29">
        <f t="shared" si="245"/>
        <v>504</v>
      </c>
      <c r="AG125" s="5">
        <f>50-50+46</f>
        <v>46</v>
      </c>
      <c r="AH125" s="5">
        <f t="shared" si="246"/>
        <v>-458</v>
      </c>
      <c r="AI125" s="256"/>
      <c r="AJ125" s="240">
        <f>16+10+20</f>
        <v>46</v>
      </c>
      <c r="AK125" s="231">
        <f t="shared" si="256"/>
        <v>458</v>
      </c>
      <c r="AL125" s="121"/>
      <c r="AM125" s="6"/>
      <c r="AN125" s="35"/>
      <c r="AO125" s="612"/>
      <c r="AP125" s="121"/>
      <c r="AQ125" s="6"/>
      <c r="AR125" s="35"/>
      <c r="AS125" s="612"/>
      <c r="AT125" s="21"/>
      <c r="AU125" s="6"/>
      <c r="AV125" s="35"/>
      <c r="AW125" s="713"/>
      <c r="AX125" s="713"/>
      <c r="AY125" s="394">
        <f t="shared" si="247"/>
        <v>-334</v>
      </c>
      <c r="AZ125" s="29">
        <f t="shared" si="257"/>
        <v>458</v>
      </c>
      <c r="BA125" s="5">
        <f>60-60+124</f>
        <v>124</v>
      </c>
      <c r="BB125" s="5">
        <f t="shared" si="248"/>
        <v>-334</v>
      </c>
      <c r="BC125" s="256"/>
      <c r="BD125" s="240">
        <f>8+80+16+15+8</f>
        <v>127</v>
      </c>
      <c r="BE125" s="231">
        <f t="shared" si="258"/>
        <v>331</v>
      </c>
      <c r="BF125" s="121"/>
      <c r="BG125" s="6"/>
      <c r="BH125" s="35"/>
      <c r="BI125" s="612"/>
      <c r="BJ125" s="121"/>
      <c r="BK125" s="6"/>
      <c r="BL125" s="35"/>
      <c r="BM125" s="612"/>
      <c r="BN125" s="21"/>
      <c r="BO125" s="6"/>
      <c r="BP125" s="35"/>
      <c r="BQ125" s="713"/>
      <c r="BR125" s="713"/>
      <c r="BS125" s="394">
        <f t="shared" si="249"/>
        <v>-654</v>
      </c>
      <c r="BT125" s="29">
        <f t="shared" si="259"/>
        <v>331</v>
      </c>
      <c r="BU125" s="5">
        <v>80</v>
      </c>
      <c r="BV125" s="5">
        <f t="shared" si="250"/>
        <v>-251</v>
      </c>
      <c r="BW125" s="621">
        <v>400</v>
      </c>
      <c r="BX125" s="240">
        <f>24+40+30+40+4</f>
        <v>138</v>
      </c>
      <c r="BY125" s="231">
        <f t="shared" si="260"/>
        <v>593</v>
      </c>
      <c r="BZ125" s="236"/>
      <c r="CA125" s="6"/>
      <c r="CB125" s="35"/>
      <c r="CC125" s="612"/>
      <c r="CD125" s="668">
        <v>40000</v>
      </c>
      <c r="CE125" s="663"/>
      <c r="CF125" s="664" t="s">
        <v>892</v>
      </c>
      <c r="CG125" s="773"/>
      <c r="CH125" s="21"/>
      <c r="CI125" s="215"/>
      <c r="CJ125" s="148"/>
      <c r="CK125" s="797"/>
      <c r="CL125" s="797"/>
      <c r="CM125" s="394">
        <f t="shared" si="251"/>
        <v>-654</v>
      </c>
      <c r="CN125" s="29">
        <f t="shared" si="261"/>
        <v>593</v>
      </c>
      <c r="CO125" s="240"/>
      <c r="CP125" s="5">
        <f t="shared" si="252"/>
        <v>-593</v>
      </c>
      <c r="CQ125" s="240"/>
      <c r="CR125" s="240"/>
      <c r="CS125" s="231">
        <f t="shared" si="262"/>
        <v>593</v>
      </c>
      <c r="CT125" s="121"/>
      <c r="CU125" s="630">
        <v>40000</v>
      </c>
      <c r="CV125" s="625" t="s">
        <v>805</v>
      </c>
      <c r="CW125" s="787"/>
      <c r="CX125" s="121"/>
      <c r="CY125" s="6"/>
      <c r="CZ125" s="35"/>
      <c r="DA125" s="612"/>
      <c r="DB125" s="21"/>
      <c r="DC125" s="6"/>
      <c r="DD125" s="35"/>
      <c r="DE125" s="713"/>
      <c r="DF125" s="713"/>
      <c r="DG125" s="394">
        <f t="shared" si="253"/>
        <v>-654</v>
      </c>
      <c r="DH125" s="29">
        <f t="shared" si="263"/>
        <v>593</v>
      </c>
      <c r="DI125" s="240"/>
      <c r="DJ125" s="5">
        <f t="shared" si="254"/>
        <v>-593</v>
      </c>
      <c r="DK125" s="240"/>
      <c r="DL125" s="240"/>
      <c r="DM125" s="231">
        <f t="shared" si="264"/>
        <v>593</v>
      </c>
    </row>
    <row r="126" spans="1:117" ht="15.75" thickBot="1" x14ac:dyDescent="0.3">
      <c r="A126" s="19">
        <v>20373</v>
      </c>
      <c r="B126" s="12" t="s">
        <v>67</v>
      </c>
      <c r="C126" s="19"/>
      <c r="D126" s="12" t="s">
        <v>61</v>
      </c>
      <c r="E126" s="12"/>
      <c r="F126" s="571">
        <v>80</v>
      </c>
      <c r="G126" s="67" t="s">
        <v>649</v>
      </c>
      <c r="H126" s="28" t="s">
        <v>192</v>
      </c>
      <c r="I126" s="420"/>
      <c r="J126" s="536">
        <f t="shared" si="242"/>
        <v>513</v>
      </c>
      <c r="K126" s="394">
        <f t="shared" si="193"/>
        <v>-1037</v>
      </c>
      <c r="L126" s="544">
        <f>115-6-18-2-10-20-20</f>
        <v>39</v>
      </c>
      <c r="M126" s="301">
        <f>SUM(M124:M125)</f>
        <v>2</v>
      </c>
      <c r="N126" s="31">
        <f t="shared" si="243"/>
        <v>-37</v>
      </c>
      <c r="O126" s="256">
        <v>1000</v>
      </c>
      <c r="P126" s="305">
        <f>SUM(P124:P125)</f>
        <v>2</v>
      </c>
      <c r="Q126" s="231">
        <f t="shared" si="255"/>
        <v>1037</v>
      </c>
      <c r="R126" s="574">
        <f>$F$126*50%*1000</f>
        <v>40000</v>
      </c>
      <c r="S126" s="201"/>
      <c r="T126" s="36" t="s">
        <v>695</v>
      </c>
      <c r="U126" s="220"/>
      <c r="V126" s="200"/>
      <c r="W126" s="6"/>
      <c r="X126" s="36"/>
      <c r="Y126" s="220"/>
      <c r="Z126" s="122"/>
      <c r="AA126" s="579">
        <f>$F$126*50%*1000</f>
        <v>40000</v>
      </c>
      <c r="AB126" s="36" t="s">
        <v>645</v>
      </c>
      <c r="AE126" s="394">
        <f t="shared" si="244"/>
        <v>-955</v>
      </c>
      <c r="AF126" s="29">
        <f t="shared" si="245"/>
        <v>1037</v>
      </c>
      <c r="AG126" s="301">
        <f>SUM(AG124:AG125)</f>
        <v>82</v>
      </c>
      <c r="AH126" s="31">
        <f t="shared" si="246"/>
        <v>-955</v>
      </c>
      <c r="AI126" s="284"/>
      <c r="AJ126" s="305">
        <f>SUM(AJ124:AJ125)</f>
        <v>82</v>
      </c>
      <c r="AK126" s="231">
        <f t="shared" si="256"/>
        <v>955</v>
      </c>
      <c r="AL126" s="200"/>
      <c r="AM126" s="201"/>
      <c r="AN126" s="36"/>
      <c r="AO126" s="220"/>
      <c r="AP126" s="200"/>
      <c r="AQ126" s="201"/>
      <c r="AR126" s="36"/>
      <c r="AS126" s="220"/>
      <c r="AT126" s="122"/>
      <c r="AU126" s="201"/>
      <c r="AV126" s="36"/>
      <c r="AY126" s="394">
        <f t="shared" si="247"/>
        <v>-697</v>
      </c>
      <c r="AZ126" s="29">
        <f t="shared" si="257"/>
        <v>955</v>
      </c>
      <c r="BA126" s="301">
        <f>SUM(BA124:BA125)</f>
        <v>258</v>
      </c>
      <c r="BB126" s="31">
        <f t="shared" si="248"/>
        <v>-697</v>
      </c>
      <c r="BC126" s="284"/>
      <c r="BD126" s="305">
        <f>SUM(BD124:BD125)</f>
        <v>168</v>
      </c>
      <c r="BE126" s="231">
        <f t="shared" si="258"/>
        <v>787</v>
      </c>
      <c r="BF126" s="200"/>
      <c r="BG126" s="201"/>
      <c r="BH126" s="36"/>
      <c r="BI126" s="220"/>
      <c r="BJ126" s="200"/>
      <c r="BK126" s="201"/>
      <c r="BL126" s="36"/>
      <c r="BM126" s="220"/>
      <c r="BN126" s="122"/>
      <c r="BO126" s="201"/>
      <c r="BP126" s="36"/>
      <c r="BS126" s="394">
        <f t="shared" si="249"/>
        <v>-1287</v>
      </c>
      <c r="BT126" s="607">
        <f>BE126-81</f>
        <v>706</v>
      </c>
      <c r="BU126" s="301">
        <f>SUM(BU124:BU125)</f>
        <v>210</v>
      </c>
      <c r="BV126" s="31">
        <f t="shared" si="250"/>
        <v>-496</v>
      </c>
      <c r="BW126" s="622">
        <v>800</v>
      </c>
      <c r="BX126" s="305">
        <f>SUM(BX124:BX125)</f>
        <v>266</v>
      </c>
      <c r="BY126" s="231">
        <f t="shared" si="260"/>
        <v>1240</v>
      </c>
      <c r="BZ126" s="236"/>
      <c r="CA126" s="201"/>
      <c r="CB126" s="35"/>
      <c r="CC126" s="712"/>
      <c r="CD126" s="669">
        <v>37200</v>
      </c>
      <c r="CE126" s="670"/>
      <c r="CF126" s="664" t="s">
        <v>893</v>
      </c>
      <c r="CG126" s="772"/>
      <c r="CH126" s="122"/>
      <c r="CI126" s="679"/>
      <c r="CJ126" s="148"/>
      <c r="CK126" s="797"/>
      <c r="CL126" s="797"/>
      <c r="CM126" s="394">
        <f t="shared" si="251"/>
        <v>-1287</v>
      </c>
      <c r="CN126" s="29">
        <f t="shared" si="261"/>
        <v>1240</v>
      </c>
      <c r="CO126" s="301">
        <f>SUM(CO124:CO125)</f>
        <v>0</v>
      </c>
      <c r="CP126" s="31">
        <f t="shared" si="252"/>
        <v>-1240</v>
      </c>
      <c r="CQ126" s="241"/>
      <c r="CR126" s="305">
        <f>SUM(CR124:CR125)</f>
        <v>0</v>
      </c>
      <c r="CS126" s="231">
        <f t="shared" si="262"/>
        <v>1240</v>
      </c>
      <c r="CT126" s="200"/>
      <c r="CU126" s="634">
        <v>37200</v>
      </c>
      <c r="CV126" s="625" t="s">
        <v>805</v>
      </c>
      <c r="CW126" s="816"/>
      <c r="CX126" s="200"/>
      <c r="CY126" s="201"/>
      <c r="CZ126" s="36"/>
      <c r="DA126" s="220"/>
      <c r="DB126" s="122"/>
      <c r="DC126" s="201"/>
      <c r="DD126" s="36"/>
      <c r="DG126" s="394">
        <f t="shared" si="253"/>
        <v>-1287</v>
      </c>
      <c r="DH126" s="29">
        <f t="shared" si="263"/>
        <v>1240</v>
      </c>
      <c r="DI126" s="301">
        <f>SUM(DI124:DI125)</f>
        <v>0</v>
      </c>
      <c r="DJ126" s="31">
        <f t="shared" si="254"/>
        <v>-1240</v>
      </c>
      <c r="DK126" s="241"/>
      <c r="DL126" s="305">
        <f>SUM(DL124:DL125)</f>
        <v>0</v>
      </c>
      <c r="DM126" s="231">
        <f t="shared" si="264"/>
        <v>1240</v>
      </c>
    </row>
    <row r="127" spans="1:117" x14ac:dyDescent="0.25">
      <c r="A127" s="53">
        <v>20276</v>
      </c>
      <c r="B127" s="52" t="s">
        <v>240</v>
      </c>
      <c r="C127" s="53"/>
      <c r="D127" s="51" t="s">
        <v>241</v>
      </c>
      <c r="E127" s="51"/>
      <c r="F127" s="338"/>
      <c r="G127" s="51"/>
      <c r="H127" s="54"/>
      <c r="I127" s="54"/>
      <c r="J127" s="53">
        <f>SUM(M127,AG127,BA127,BU127)</f>
        <v>17</v>
      </c>
      <c r="K127" s="53"/>
      <c r="L127" s="55"/>
      <c r="M127" s="56">
        <f>2+0-2</f>
        <v>0</v>
      </c>
      <c r="N127" s="56"/>
      <c r="O127" s="56"/>
      <c r="P127" s="243"/>
      <c r="Q127" s="230"/>
      <c r="R127" s="119">
        <f>SUM(R128:R133)</f>
        <v>0</v>
      </c>
      <c r="S127" s="120">
        <f>SUM(S128:S133)</f>
        <v>0</v>
      </c>
      <c r="T127" s="57"/>
      <c r="U127" s="219"/>
      <c r="V127" s="119">
        <f>SUM(V128:V133)</f>
        <v>0</v>
      </c>
      <c r="W127" s="120">
        <f>SUM(W128:W133)</f>
        <v>0</v>
      </c>
      <c r="X127" s="57"/>
      <c r="Y127" s="219"/>
      <c r="Z127" s="119">
        <f>SUM(Z128:Z133)</f>
        <v>0</v>
      </c>
      <c r="AA127" s="120">
        <f>SUM(AA128:AA133)</f>
        <v>0</v>
      </c>
      <c r="AB127" s="57"/>
      <c r="AC127" s="230"/>
      <c r="AD127" s="230"/>
      <c r="AE127" s="53">
        <f>SUM(AG127,BA127,BU127)</f>
        <v>17</v>
      </c>
      <c r="AF127" s="55"/>
      <c r="AG127" s="56">
        <f>3-3</f>
        <v>0</v>
      </c>
      <c r="AH127" s="56"/>
      <c r="AI127" s="56"/>
      <c r="AJ127" s="243"/>
      <c r="AK127" s="230"/>
      <c r="AL127" s="119">
        <f>SUM(AL128:AL133)</f>
        <v>0</v>
      </c>
      <c r="AM127" s="120">
        <f>SUM(AM128:AM133)</f>
        <v>0</v>
      </c>
      <c r="AN127" s="57"/>
      <c r="AO127" s="219"/>
      <c r="AP127" s="119">
        <f>SUM(AP128:AP133)</f>
        <v>0</v>
      </c>
      <c r="AQ127" s="120">
        <f>SUM(AQ128:AQ133)</f>
        <v>0</v>
      </c>
      <c r="AR127" s="57"/>
      <c r="AS127" s="219"/>
      <c r="AT127" s="119">
        <f>SUM(AT128:AT133)</f>
        <v>0</v>
      </c>
      <c r="AU127" s="120">
        <f>SUM(AU128:AU133)</f>
        <v>0</v>
      </c>
      <c r="AV127" s="57"/>
      <c r="AW127" s="230"/>
      <c r="AX127" s="230"/>
      <c r="AY127" s="53">
        <f>SUM(BA127,BU127)</f>
        <v>17</v>
      </c>
      <c r="AZ127" s="55"/>
      <c r="BA127" s="56">
        <f>3-3+12</f>
        <v>12</v>
      </c>
      <c r="BB127" s="56"/>
      <c r="BC127" s="56"/>
      <c r="BD127" s="243">
        <f>5+2+4+1</f>
        <v>12</v>
      </c>
      <c r="BE127" s="230"/>
      <c r="BF127" s="119">
        <f>SUM(BF128:BF133)</f>
        <v>0</v>
      </c>
      <c r="BG127" s="120">
        <f>SUM(BG128:BG133)</f>
        <v>0</v>
      </c>
      <c r="BH127" s="57"/>
      <c r="BI127" s="219"/>
      <c r="BJ127" s="119">
        <f>SUM(BJ128:BJ133)</f>
        <v>0</v>
      </c>
      <c r="BK127" s="120">
        <f>SUM(BK128:BK133)</f>
        <v>0</v>
      </c>
      <c r="BL127" s="57"/>
      <c r="BM127" s="219"/>
      <c r="BN127" s="119">
        <f>SUM(BN128:BN133)</f>
        <v>0</v>
      </c>
      <c r="BO127" s="120">
        <f>SUM(BO128:BO133)</f>
        <v>0</v>
      </c>
      <c r="BP127" s="57"/>
      <c r="BQ127" s="230"/>
      <c r="BR127" s="230"/>
      <c r="BS127" s="53">
        <f>BU127</f>
        <v>5</v>
      </c>
      <c r="BT127" s="55"/>
      <c r="BU127" s="56">
        <f>4-4+5</f>
        <v>5</v>
      </c>
      <c r="BV127" s="56"/>
      <c r="BW127" s="56"/>
      <c r="BX127" s="243"/>
      <c r="BY127" s="230"/>
      <c r="BZ127" s="119">
        <f>SUM(BZ128:BZ133)</f>
        <v>0</v>
      </c>
      <c r="CA127" s="120">
        <f>SUM(CA128:CA133)</f>
        <v>0</v>
      </c>
      <c r="CB127" s="57"/>
      <c r="CC127" s="219"/>
      <c r="CD127" s="119">
        <f>SUM(CD128:CD133)</f>
        <v>0</v>
      </c>
      <c r="CE127" s="120">
        <f>SUM(CE128:CE133)</f>
        <v>10487.4</v>
      </c>
      <c r="CF127" s="57"/>
      <c r="CG127" s="219"/>
      <c r="CH127" s="119">
        <f>SUM(CH128:CH133)</f>
        <v>12500</v>
      </c>
      <c r="CI127" s="120">
        <f>SUM(CI128:CI133)</f>
        <v>0</v>
      </c>
      <c r="CJ127" s="57"/>
      <c r="CK127" s="230"/>
      <c r="CL127" s="230"/>
      <c r="CM127" s="53">
        <f>CO127</f>
        <v>0</v>
      </c>
      <c r="CN127" s="55"/>
      <c r="CO127" s="243"/>
      <c r="CP127" s="56"/>
      <c r="CQ127" s="56"/>
      <c r="CR127" s="243"/>
      <c r="CS127" s="230"/>
      <c r="CT127" s="119">
        <f>SUM(CT128:CT133)</f>
        <v>0</v>
      </c>
      <c r="CU127" s="120">
        <f>SUM(CU128:CU133)</f>
        <v>12500</v>
      </c>
      <c r="CV127" s="57"/>
      <c r="CW127" s="219"/>
      <c r="CX127" s="119">
        <f>SUM(CX128:CX133)</f>
        <v>0</v>
      </c>
      <c r="CY127" s="120">
        <f>SUM(CY128:CY133)</f>
        <v>0</v>
      </c>
      <c r="CZ127" s="57"/>
      <c r="DA127" s="219"/>
      <c r="DB127" s="119">
        <f>SUM(DB128:DB133)</f>
        <v>0</v>
      </c>
      <c r="DC127" s="120">
        <f>SUM(DC128:DC133)</f>
        <v>0</v>
      </c>
      <c r="DD127" s="57"/>
      <c r="DE127" s="230"/>
      <c r="DF127" s="230"/>
      <c r="DG127" s="53">
        <f>DI127</f>
        <v>0</v>
      </c>
      <c r="DH127" s="55"/>
      <c r="DI127" s="243"/>
      <c r="DJ127" s="56"/>
      <c r="DK127" s="56"/>
      <c r="DL127" s="243"/>
      <c r="DM127" s="230"/>
    </row>
    <row r="128" spans="1:117" x14ac:dyDescent="0.25">
      <c r="A128" s="18"/>
      <c r="B128" s="15" t="s">
        <v>215</v>
      </c>
      <c r="C128" s="18"/>
      <c r="D128" s="11" t="s">
        <v>61</v>
      </c>
      <c r="E128" s="11"/>
      <c r="F128" s="149"/>
      <c r="G128" s="15" t="s">
        <v>198</v>
      </c>
      <c r="H128" s="25"/>
      <c r="I128" s="24"/>
      <c r="J128" s="536">
        <f t="shared" ref="J128:J133" si="265">SUM(M128,AG128,BA128,BU128)-L128</f>
        <v>-7</v>
      </c>
      <c r="K128" s="394">
        <f t="shared" si="193"/>
        <v>-24</v>
      </c>
      <c r="L128" s="544">
        <v>24</v>
      </c>
      <c r="M128" s="298">
        <f>M127</f>
        <v>0</v>
      </c>
      <c r="N128" s="5">
        <f t="shared" si="243"/>
        <v>-24</v>
      </c>
      <c r="O128" s="256"/>
      <c r="P128" s="303">
        <f>P127</f>
        <v>0</v>
      </c>
      <c r="Q128" s="231">
        <f>L128+O128-P128</f>
        <v>24</v>
      </c>
      <c r="R128" s="121"/>
      <c r="S128" s="6"/>
      <c r="T128" s="148"/>
      <c r="U128" s="711"/>
      <c r="V128" s="121"/>
      <c r="W128" s="6"/>
      <c r="X128" s="35"/>
      <c r="Y128" s="612"/>
      <c r="Z128" s="21"/>
      <c r="AA128" s="6"/>
      <c r="AB128" s="35"/>
      <c r="AC128" s="713"/>
      <c r="AD128" s="713"/>
      <c r="AE128" s="394">
        <f t="shared" ref="AE128:AE133" si="266">SUM(M128,AG128)-SUM(O128,AI128)-L128</f>
        <v>-24</v>
      </c>
      <c r="AF128" s="29">
        <f t="shared" ref="AF128:AF133" si="267">Q128</f>
        <v>24</v>
      </c>
      <c r="AG128" s="298">
        <f>AG127</f>
        <v>0</v>
      </c>
      <c r="AH128" s="5">
        <f t="shared" si="246"/>
        <v>-24</v>
      </c>
      <c r="AI128" s="256"/>
      <c r="AJ128" s="303">
        <f>AJ127</f>
        <v>0</v>
      </c>
      <c r="AK128" s="231">
        <f>AF128+AI128-AJ128</f>
        <v>24</v>
      </c>
      <c r="AL128" s="121"/>
      <c r="AM128" s="6"/>
      <c r="AN128" s="148"/>
      <c r="AO128" s="711"/>
      <c r="AP128" s="121"/>
      <c r="AQ128" s="6"/>
      <c r="AR128" s="35"/>
      <c r="AS128" s="612"/>
      <c r="AT128" s="21"/>
      <c r="AU128" s="6"/>
      <c r="AV128" s="35"/>
      <c r="AW128" s="713"/>
      <c r="AX128" s="713"/>
      <c r="AY128" s="394">
        <f t="shared" ref="AY128:AY133" si="268">SUM(M128,AG128,BA128)-SUM(O128,AI128,BC128)-L128</f>
        <v>-12</v>
      </c>
      <c r="AZ128" s="29">
        <f>AK128</f>
        <v>24</v>
      </c>
      <c r="BA128" s="298">
        <f>BA127</f>
        <v>12</v>
      </c>
      <c r="BB128" s="5">
        <f t="shared" si="248"/>
        <v>-12</v>
      </c>
      <c r="BC128" s="256"/>
      <c r="BD128" s="303">
        <f>BD127</f>
        <v>12</v>
      </c>
      <c r="BE128" s="231">
        <f>AZ128+BC128-BD128</f>
        <v>12</v>
      </c>
      <c r="BF128" s="121"/>
      <c r="BG128" s="6"/>
      <c r="BH128" s="148"/>
      <c r="BI128" s="711"/>
      <c r="BJ128" s="121"/>
      <c r="BK128" s="6"/>
      <c r="BL128" s="35"/>
      <c r="BM128" s="612"/>
      <c r="BN128" s="21"/>
      <c r="BO128" s="6"/>
      <c r="BP128" s="35"/>
      <c r="BQ128" s="713"/>
      <c r="BR128" s="713"/>
      <c r="BS128" s="394">
        <f t="shared" ref="BS128:BS133" si="269">SUM(M128,AG128,BA128,BU128)-SUM(O128,AI128,BC128,BW128)-L128</f>
        <v>-57</v>
      </c>
      <c r="BT128" s="29">
        <f>BE128</f>
        <v>12</v>
      </c>
      <c r="BU128" s="298">
        <f>BU127</f>
        <v>5</v>
      </c>
      <c r="BV128" s="5">
        <f t="shared" si="250"/>
        <v>-7</v>
      </c>
      <c r="BW128" s="621">
        <v>50</v>
      </c>
      <c r="BX128" s="303">
        <f>BX127</f>
        <v>0</v>
      </c>
      <c r="BY128" s="231">
        <f>BT128+BW128-BX128</f>
        <v>62</v>
      </c>
      <c r="BZ128" s="121"/>
      <c r="CA128" s="6"/>
      <c r="CB128" s="148"/>
      <c r="CC128" s="711"/>
      <c r="CD128" s="121"/>
      <c r="CE128" s="6"/>
      <c r="CF128" s="625" t="s">
        <v>907</v>
      </c>
      <c r="CG128" s="787"/>
      <c r="CH128" s="21"/>
      <c r="CI128" s="6"/>
      <c r="CJ128" s="35"/>
      <c r="CK128" s="713"/>
      <c r="CL128" s="713"/>
      <c r="CM128" s="394">
        <f t="shared" ref="CM128:CM133" si="270">SUM(M128,AG128,BA128,BU128,CO128)-SUM(O128,AI128,BC128,BW128,CQ128)-L128</f>
        <v>-57</v>
      </c>
      <c r="CN128" s="29">
        <f>BY128</f>
        <v>62</v>
      </c>
      <c r="CO128" s="298">
        <f>CO127</f>
        <v>0</v>
      </c>
      <c r="CP128" s="5">
        <f t="shared" si="252"/>
        <v>-62</v>
      </c>
      <c r="CQ128" s="240"/>
      <c r="CR128" s="303">
        <f>CR127</f>
        <v>0</v>
      </c>
      <c r="CS128" s="231">
        <f>CN128+CQ128-CR128</f>
        <v>62</v>
      </c>
      <c r="CT128" s="121"/>
      <c r="CU128" s="6"/>
      <c r="CV128" s="148"/>
      <c r="CW128" s="711"/>
      <c r="CX128" s="121"/>
      <c r="CY128" s="6"/>
      <c r="CZ128" s="35"/>
      <c r="DA128" s="612"/>
      <c r="DB128" s="21"/>
      <c r="DC128" s="6"/>
      <c r="DD128" s="35"/>
      <c r="DE128" s="713"/>
      <c r="DF128" s="713"/>
      <c r="DG128" s="394">
        <f t="shared" ref="DG128:DG133" si="271">SUM(M128,AG128,BA128,BU128,DI128)-SUM(O128,AI128,BC128,BW128,CQ128)-L128</f>
        <v>-57</v>
      </c>
      <c r="DH128" s="29">
        <f>BY128</f>
        <v>62</v>
      </c>
      <c r="DI128" s="298">
        <f>DI127</f>
        <v>0</v>
      </c>
      <c r="DJ128" s="5">
        <f t="shared" ref="DJ128:DJ133" si="272">DI128-DH128</f>
        <v>-62</v>
      </c>
      <c r="DK128" s="240"/>
      <c r="DL128" s="303">
        <f>DL127</f>
        <v>0</v>
      </c>
      <c r="DM128" s="231">
        <f>DH128+DK128-DL128</f>
        <v>62</v>
      </c>
    </row>
    <row r="129" spans="1:117" ht="45" x14ac:dyDescent="0.25">
      <c r="A129" s="18"/>
      <c r="B129" s="11" t="s">
        <v>15</v>
      </c>
      <c r="C129" s="18" t="s">
        <v>51</v>
      </c>
      <c r="D129" s="11" t="s">
        <v>61</v>
      </c>
      <c r="E129" s="11"/>
      <c r="F129" s="149">
        <v>500</v>
      </c>
      <c r="G129" s="15" t="s">
        <v>343</v>
      </c>
      <c r="H129" s="25"/>
      <c r="I129" s="24"/>
      <c r="J129" s="536">
        <f t="shared" si="265"/>
        <v>-7</v>
      </c>
      <c r="K129" s="394">
        <f t="shared" si="193"/>
        <v>-24</v>
      </c>
      <c r="L129" s="544">
        <v>24</v>
      </c>
      <c r="M129" s="298">
        <f>M127</f>
        <v>0</v>
      </c>
      <c r="N129" s="5">
        <f t="shared" si="243"/>
        <v>-24</v>
      </c>
      <c r="O129" s="256"/>
      <c r="P129" s="303">
        <f>P127</f>
        <v>0</v>
      </c>
      <c r="Q129" s="231">
        <f t="shared" ref="Q129:Q133" si="273">L129+O129-P129</f>
        <v>24</v>
      </c>
      <c r="R129" s="21"/>
      <c r="S129" s="6"/>
      <c r="T129" s="35"/>
      <c r="U129" s="612"/>
      <c r="V129" s="121"/>
      <c r="W129" s="6"/>
      <c r="X129" s="35"/>
      <c r="Y129" s="612"/>
      <c r="Z129" s="21"/>
      <c r="AA129" s="6"/>
      <c r="AB129" s="35"/>
      <c r="AC129" s="713"/>
      <c r="AD129" s="713"/>
      <c r="AE129" s="394">
        <f t="shared" si="266"/>
        <v>-24</v>
      </c>
      <c r="AF129" s="29">
        <f t="shared" si="267"/>
        <v>24</v>
      </c>
      <c r="AG129" s="298">
        <f>AG127</f>
        <v>0</v>
      </c>
      <c r="AH129" s="5">
        <f t="shared" si="246"/>
        <v>-24</v>
      </c>
      <c r="AI129" s="256"/>
      <c r="AJ129" s="303">
        <f>AJ127</f>
        <v>0</v>
      </c>
      <c r="AK129" s="231">
        <f t="shared" ref="AK129:AK133" si="274">AF129+AI129-AJ129</f>
        <v>24</v>
      </c>
      <c r="AL129" s="21"/>
      <c r="AM129" s="6"/>
      <c r="AN129" s="35"/>
      <c r="AO129" s="612"/>
      <c r="AP129" s="121"/>
      <c r="AQ129" s="6"/>
      <c r="AR129" s="35"/>
      <c r="AS129" s="612"/>
      <c r="AT129" s="21"/>
      <c r="AU129" s="6"/>
      <c r="AV129" s="35"/>
      <c r="AW129" s="713"/>
      <c r="AX129" s="713"/>
      <c r="AY129" s="394">
        <f t="shared" si="268"/>
        <v>-12</v>
      </c>
      <c r="AZ129" s="29">
        <f t="shared" ref="AZ129:AZ133" si="275">AK129</f>
        <v>24</v>
      </c>
      <c r="BA129" s="298">
        <f>BA127</f>
        <v>12</v>
      </c>
      <c r="BB129" s="5">
        <f t="shared" si="248"/>
        <v>-12</v>
      </c>
      <c r="BC129" s="256"/>
      <c r="BD129" s="303">
        <f>BD127</f>
        <v>12</v>
      </c>
      <c r="BE129" s="231">
        <f t="shared" ref="BE129:BE133" si="276">AZ129+BC129-BD129</f>
        <v>12</v>
      </c>
      <c r="BF129" s="21"/>
      <c r="BG129" s="6"/>
      <c r="BH129" s="35"/>
      <c r="BI129" s="612"/>
      <c r="BJ129" s="121"/>
      <c r="BK129" s="6"/>
      <c r="BL129" s="35"/>
      <c r="BM129" s="612"/>
      <c r="BN129" s="21"/>
      <c r="BO129" s="6"/>
      <c r="BP129" s="35"/>
      <c r="BQ129" s="713"/>
      <c r="BR129" s="713"/>
      <c r="BS129" s="394">
        <f t="shared" si="269"/>
        <v>-57</v>
      </c>
      <c r="BT129" s="29">
        <f t="shared" ref="BT129:BT133" si="277">BE129</f>
        <v>12</v>
      </c>
      <c r="BU129" s="298">
        <f>BU127</f>
        <v>5</v>
      </c>
      <c r="BV129" s="5">
        <f t="shared" si="250"/>
        <v>-7</v>
      </c>
      <c r="BW129" s="240">
        <v>50</v>
      </c>
      <c r="BX129" s="303">
        <f>BX127</f>
        <v>0</v>
      </c>
      <c r="BY129" s="231">
        <f t="shared" ref="BY129:BY133" si="278">BT129+BW129-BX129</f>
        <v>62</v>
      </c>
      <c r="BZ129" s="21"/>
      <c r="CA129" s="6"/>
      <c r="CB129" s="35"/>
      <c r="CC129" s="612"/>
      <c r="CD129" s="215"/>
      <c r="CE129" s="199"/>
      <c r="CF129" s="240"/>
      <c r="CG129" s="789"/>
      <c r="CH129" s="215">
        <v>12500</v>
      </c>
      <c r="CI129" s="199"/>
      <c r="CJ129" s="240" t="s">
        <v>804</v>
      </c>
      <c r="CK129" s="797"/>
      <c r="CL129" s="797"/>
      <c r="CM129" s="394">
        <f t="shared" si="270"/>
        <v>-57</v>
      </c>
      <c r="CN129" s="29">
        <f t="shared" ref="CN129:CN133" si="279">BY129</f>
        <v>62</v>
      </c>
      <c r="CO129" s="298">
        <f>CO127</f>
        <v>0</v>
      </c>
      <c r="CP129" s="5">
        <f t="shared" si="252"/>
        <v>-62</v>
      </c>
      <c r="CQ129" s="240"/>
      <c r="CR129" s="303">
        <f>CR127</f>
        <v>0</v>
      </c>
      <c r="CS129" s="231">
        <f t="shared" ref="CS129:CS133" si="280">CN129+CQ129-CR129</f>
        <v>62</v>
      </c>
      <c r="CT129" s="21"/>
      <c r="CU129" s="199">
        <v>12500</v>
      </c>
      <c r="CV129" s="148" t="s">
        <v>806</v>
      </c>
      <c r="CW129" s="711"/>
      <c r="CX129" s="121"/>
      <c r="CY129" s="6"/>
      <c r="CZ129" s="35"/>
      <c r="DA129" s="612"/>
      <c r="DB129" s="21"/>
      <c r="DC129" s="6"/>
      <c r="DD129" s="35"/>
      <c r="DE129" s="713"/>
      <c r="DF129" s="713"/>
      <c r="DG129" s="394">
        <f t="shared" si="271"/>
        <v>-57</v>
      </c>
      <c r="DH129" s="29">
        <f t="shared" ref="DH129:DH133" si="281">BY129</f>
        <v>62</v>
      </c>
      <c r="DI129" s="298">
        <f>DI127</f>
        <v>0</v>
      </c>
      <c r="DJ129" s="5">
        <f t="shared" si="272"/>
        <v>-62</v>
      </c>
      <c r="DK129" s="240"/>
      <c r="DL129" s="303">
        <f>DL127</f>
        <v>0</v>
      </c>
      <c r="DM129" s="231">
        <f t="shared" ref="DM129:DM133" si="282">DH129+DK129-DL129</f>
        <v>62</v>
      </c>
    </row>
    <row r="130" spans="1:117" ht="49.5" x14ac:dyDescent="0.25">
      <c r="A130" s="18"/>
      <c r="B130" s="15" t="s">
        <v>969</v>
      </c>
      <c r="C130" s="18">
        <v>1</v>
      </c>
      <c r="D130" s="11" t="s">
        <v>61</v>
      </c>
      <c r="E130" s="11"/>
      <c r="F130" s="568">
        <v>46</v>
      </c>
      <c r="G130" s="23" t="s">
        <v>757</v>
      </c>
      <c r="H130" s="25" t="s">
        <v>22</v>
      </c>
      <c r="I130" s="24"/>
      <c r="J130" s="536">
        <f t="shared" si="265"/>
        <v>-21</v>
      </c>
      <c r="K130" s="394">
        <f t="shared" si="193"/>
        <v>-38</v>
      </c>
      <c r="L130" s="544">
        <v>38</v>
      </c>
      <c r="M130" s="298">
        <f>M127</f>
        <v>0</v>
      </c>
      <c r="N130" s="5">
        <f t="shared" si="243"/>
        <v>-38</v>
      </c>
      <c r="O130" s="256"/>
      <c r="P130" s="303">
        <f>P127</f>
        <v>0</v>
      </c>
      <c r="Q130" s="231">
        <f t="shared" si="273"/>
        <v>38</v>
      </c>
      <c r="R130" s="21"/>
      <c r="S130" s="6"/>
      <c r="T130" s="35"/>
      <c r="U130" s="612"/>
      <c r="V130" s="121"/>
      <c r="W130" s="6"/>
      <c r="X130" s="35"/>
      <c r="Y130" s="612"/>
      <c r="Z130" s="21"/>
      <c r="AA130" s="6"/>
      <c r="AB130" s="35"/>
      <c r="AC130" s="713"/>
      <c r="AD130" s="713"/>
      <c r="AE130" s="394">
        <f t="shared" si="266"/>
        <v>-38</v>
      </c>
      <c r="AF130" s="29">
        <f t="shared" si="267"/>
        <v>38</v>
      </c>
      <c r="AG130" s="298">
        <f>AG127</f>
        <v>0</v>
      </c>
      <c r="AH130" s="5">
        <f t="shared" si="246"/>
        <v>-38</v>
      </c>
      <c r="AI130" s="256"/>
      <c r="AJ130" s="303">
        <f>AJ127</f>
        <v>0</v>
      </c>
      <c r="AK130" s="231">
        <f t="shared" si="274"/>
        <v>38</v>
      </c>
      <c r="AL130" s="21"/>
      <c r="AM130" s="6"/>
      <c r="AN130" s="35"/>
      <c r="AO130" s="612"/>
      <c r="AP130" s="121"/>
      <c r="AQ130" s="6"/>
      <c r="AR130" s="35"/>
      <c r="AS130" s="612"/>
      <c r="AT130" s="21"/>
      <c r="AU130" s="6"/>
      <c r="AV130" s="35"/>
      <c r="AW130" s="713"/>
      <c r="AX130" s="713"/>
      <c r="AY130" s="394">
        <f t="shared" si="268"/>
        <v>-26</v>
      </c>
      <c r="AZ130" s="607">
        <f t="shared" si="275"/>
        <v>38</v>
      </c>
      <c r="BA130" s="298">
        <f>BA127</f>
        <v>12</v>
      </c>
      <c r="BB130" s="5">
        <f t="shared" si="248"/>
        <v>-26</v>
      </c>
      <c r="BC130" s="256"/>
      <c r="BD130" s="303">
        <f>BD127</f>
        <v>12</v>
      </c>
      <c r="BE130" s="231">
        <f t="shared" si="276"/>
        <v>26</v>
      </c>
      <c r="BF130" s="21"/>
      <c r="BG130" s="6"/>
      <c r="BH130" s="35"/>
      <c r="BI130" s="612"/>
      <c r="BJ130" s="121"/>
      <c r="BK130" s="6"/>
      <c r="BL130" s="35"/>
      <c r="BM130" s="612"/>
      <c r="BN130" s="21"/>
      <c r="BO130" s="6"/>
      <c r="BP130" s="35"/>
      <c r="BQ130" s="713"/>
      <c r="BR130" s="713"/>
      <c r="BS130" s="394">
        <f t="shared" si="269"/>
        <v>-71</v>
      </c>
      <c r="BT130" s="29">
        <f t="shared" si="277"/>
        <v>26</v>
      </c>
      <c r="BU130" s="298">
        <f>BU127</f>
        <v>5</v>
      </c>
      <c r="BV130" s="5">
        <f t="shared" si="250"/>
        <v>-21</v>
      </c>
      <c r="BW130" s="621">
        <v>50</v>
      </c>
      <c r="BX130" s="303">
        <f>BX127</f>
        <v>0</v>
      </c>
      <c r="BY130" s="231">
        <f t="shared" si="278"/>
        <v>76</v>
      </c>
      <c r="BZ130" s="21"/>
      <c r="CA130" s="6"/>
      <c r="CB130" s="35"/>
      <c r="CC130" s="612"/>
      <c r="CD130" s="215"/>
      <c r="CE130" s="663">
        <v>2300</v>
      </c>
      <c r="CF130" s="667" t="s">
        <v>928</v>
      </c>
      <c r="CG130" s="790"/>
      <c r="CH130" s="21"/>
      <c r="CI130" s="199"/>
      <c r="CJ130" s="148"/>
      <c r="CK130" s="797"/>
      <c r="CL130" s="797"/>
      <c r="CM130" s="394">
        <f t="shared" si="270"/>
        <v>-71</v>
      </c>
      <c r="CN130" s="29">
        <f t="shared" si="279"/>
        <v>76</v>
      </c>
      <c r="CO130" s="298">
        <f>CO127</f>
        <v>0</v>
      </c>
      <c r="CP130" s="5">
        <f t="shared" si="252"/>
        <v>-76</v>
      </c>
      <c r="CQ130" s="240"/>
      <c r="CR130" s="303">
        <f>CR127</f>
        <v>0</v>
      </c>
      <c r="CS130" s="231">
        <f t="shared" si="280"/>
        <v>76</v>
      </c>
      <c r="CT130" s="21"/>
      <c r="CU130" s="6"/>
      <c r="CV130" s="35"/>
      <c r="CW130" s="612"/>
      <c r="CX130" s="121"/>
      <c r="CY130" s="6"/>
      <c r="CZ130" s="35"/>
      <c r="DA130" s="612"/>
      <c r="DB130" s="21"/>
      <c r="DC130" s="6"/>
      <c r="DD130" s="35"/>
      <c r="DE130" s="713"/>
      <c r="DF130" s="713"/>
      <c r="DG130" s="394">
        <f t="shared" si="271"/>
        <v>-71</v>
      </c>
      <c r="DH130" s="29">
        <f t="shared" si="281"/>
        <v>76</v>
      </c>
      <c r="DI130" s="298">
        <f>DI127</f>
        <v>0</v>
      </c>
      <c r="DJ130" s="5">
        <f t="shared" si="272"/>
        <v>-76</v>
      </c>
      <c r="DK130" s="240"/>
      <c r="DL130" s="303">
        <f>DL127</f>
        <v>0</v>
      </c>
      <c r="DM130" s="231">
        <f t="shared" si="282"/>
        <v>76</v>
      </c>
    </row>
    <row r="131" spans="1:117" x14ac:dyDescent="0.25">
      <c r="A131" s="18"/>
      <c r="B131" s="11" t="s">
        <v>249</v>
      </c>
      <c r="C131" s="18">
        <v>1</v>
      </c>
      <c r="D131" s="11" t="s">
        <v>61</v>
      </c>
      <c r="E131" s="11"/>
      <c r="F131" s="149">
        <v>7</v>
      </c>
      <c r="G131" s="23" t="s">
        <v>757</v>
      </c>
      <c r="H131" s="25" t="s">
        <v>174</v>
      </c>
      <c r="I131" s="24"/>
      <c r="J131" s="536">
        <f t="shared" si="265"/>
        <v>-72</v>
      </c>
      <c r="K131" s="394">
        <f t="shared" si="193"/>
        <v>-89</v>
      </c>
      <c r="L131" s="544">
        <v>89</v>
      </c>
      <c r="M131" s="298">
        <f>M127</f>
        <v>0</v>
      </c>
      <c r="N131" s="5">
        <f t="shared" si="243"/>
        <v>-89</v>
      </c>
      <c r="O131" s="256"/>
      <c r="P131" s="303">
        <f>P127</f>
        <v>0</v>
      </c>
      <c r="Q131" s="231">
        <f t="shared" si="273"/>
        <v>89</v>
      </c>
      <c r="R131" s="21"/>
      <c r="S131" s="6"/>
      <c r="T131" s="35"/>
      <c r="U131" s="612"/>
      <c r="V131" s="121"/>
      <c r="W131" s="6"/>
      <c r="X131" s="35"/>
      <c r="Y131" s="612"/>
      <c r="Z131" s="21"/>
      <c r="AA131" s="6"/>
      <c r="AB131" s="35"/>
      <c r="AC131" s="713"/>
      <c r="AD131" s="713"/>
      <c r="AE131" s="394">
        <f t="shared" si="266"/>
        <v>-89</v>
      </c>
      <c r="AF131" s="29">
        <f t="shared" si="267"/>
        <v>89</v>
      </c>
      <c r="AG131" s="298">
        <f>AG127</f>
        <v>0</v>
      </c>
      <c r="AH131" s="5">
        <f t="shared" si="246"/>
        <v>-89</v>
      </c>
      <c r="AI131" s="256"/>
      <c r="AJ131" s="303">
        <f>AJ127</f>
        <v>0</v>
      </c>
      <c r="AK131" s="231">
        <f t="shared" si="274"/>
        <v>89</v>
      </c>
      <c r="AL131" s="21"/>
      <c r="AM131" s="6"/>
      <c r="AN131" s="35"/>
      <c r="AO131" s="612"/>
      <c r="AP131" s="121"/>
      <c r="AQ131" s="6"/>
      <c r="AR131" s="35"/>
      <c r="AS131" s="612"/>
      <c r="AT131" s="21"/>
      <c r="AU131" s="6"/>
      <c r="AV131" s="35"/>
      <c r="AW131" s="713"/>
      <c r="AX131" s="713"/>
      <c r="AY131" s="394">
        <f t="shared" si="268"/>
        <v>-77</v>
      </c>
      <c r="AZ131" s="29">
        <f t="shared" si="275"/>
        <v>89</v>
      </c>
      <c r="BA131" s="298">
        <f>BA127</f>
        <v>12</v>
      </c>
      <c r="BB131" s="5">
        <f t="shared" si="248"/>
        <v>-77</v>
      </c>
      <c r="BC131" s="256"/>
      <c r="BD131" s="303">
        <f>BD127</f>
        <v>12</v>
      </c>
      <c r="BE131" s="231">
        <f t="shared" si="276"/>
        <v>77</v>
      </c>
      <c r="BF131" s="21"/>
      <c r="BG131" s="6"/>
      <c r="BH131" s="35"/>
      <c r="BI131" s="612"/>
      <c r="BJ131" s="121"/>
      <c r="BK131" s="6"/>
      <c r="BL131" s="35"/>
      <c r="BM131" s="612"/>
      <c r="BN131" s="21"/>
      <c r="BO131" s="6"/>
      <c r="BP131" s="35"/>
      <c r="BQ131" s="713"/>
      <c r="BR131" s="713"/>
      <c r="BS131" s="394">
        <f t="shared" si="269"/>
        <v>-72</v>
      </c>
      <c r="BT131" s="29">
        <f t="shared" si="277"/>
        <v>77</v>
      </c>
      <c r="BU131" s="298">
        <f>BU127</f>
        <v>5</v>
      </c>
      <c r="BV131" s="5">
        <f t="shared" si="250"/>
        <v>-72</v>
      </c>
      <c r="BW131" s="240"/>
      <c r="BX131" s="303">
        <f>BX127</f>
        <v>0</v>
      </c>
      <c r="BY131" s="231">
        <f t="shared" si="278"/>
        <v>77</v>
      </c>
      <c r="BZ131" s="21"/>
      <c r="CA131" s="6"/>
      <c r="CB131" s="35"/>
      <c r="CC131" s="612"/>
      <c r="CD131" s="215"/>
      <c r="CE131" s="199"/>
      <c r="CF131" s="240"/>
      <c r="CG131" s="789"/>
      <c r="CH131" s="21"/>
      <c r="CI131" s="199"/>
      <c r="CJ131" s="148"/>
      <c r="CK131" s="797"/>
      <c r="CL131" s="797"/>
      <c r="CM131" s="394">
        <f t="shared" si="270"/>
        <v>-72</v>
      </c>
      <c r="CN131" s="29">
        <f t="shared" si="279"/>
        <v>77</v>
      </c>
      <c r="CO131" s="298">
        <f>CO127</f>
        <v>0</v>
      </c>
      <c r="CP131" s="5">
        <f t="shared" si="252"/>
        <v>-77</v>
      </c>
      <c r="CQ131" s="240"/>
      <c r="CR131" s="303">
        <f>CR127</f>
        <v>0</v>
      </c>
      <c r="CS131" s="231">
        <f t="shared" si="280"/>
        <v>77</v>
      </c>
      <c r="CT131" s="21"/>
      <c r="CU131" s="6"/>
      <c r="CV131" s="35"/>
      <c r="CW131" s="612"/>
      <c r="CX131" s="121"/>
      <c r="CY131" s="6"/>
      <c r="CZ131" s="35"/>
      <c r="DA131" s="612"/>
      <c r="DB131" s="21"/>
      <c r="DC131" s="6"/>
      <c r="DD131" s="35"/>
      <c r="DE131" s="713"/>
      <c r="DF131" s="713"/>
      <c r="DG131" s="394">
        <f t="shared" si="271"/>
        <v>-72</v>
      </c>
      <c r="DH131" s="29">
        <f t="shared" si="281"/>
        <v>77</v>
      </c>
      <c r="DI131" s="298">
        <f>DI127</f>
        <v>0</v>
      </c>
      <c r="DJ131" s="5">
        <f t="shared" si="272"/>
        <v>-77</v>
      </c>
      <c r="DK131" s="240"/>
      <c r="DL131" s="303">
        <f>DL127</f>
        <v>0</v>
      </c>
      <c r="DM131" s="231">
        <f t="shared" si="282"/>
        <v>77</v>
      </c>
    </row>
    <row r="132" spans="1:117" ht="49.5" x14ac:dyDescent="0.25">
      <c r="A132" s="18"/>
      <c r="B132" s="15" t="s">
        <v>967</v>
      </c>
      <c r="C132" s="18">
        <v>1</v>
      </c>
      <c r="D132" s="318" t="s">
        <v>968</v>
      </c>
      <c r="E132" s="318"/>
      <c r="F132" s="568">
        <v>38</v>
      </c>
      <c r="G132" s="23" t="s">
        <v>757</v>
      </c>
      <c r="H132" s="25" t="s">
        <v>174</v>
      </c>
      <c r="I132" s="24"/>
      <c r="J132" s="536">
        <f t="shared" si="265"/>
        <v>-6</v>
      </c>
      <c r="K132" s="394">
        <f t="shared" si="193"/>
        <v>-23</v>
      </c>
      <c r="L132" s="544">
        <v>23</v>
      </c>
      <c r="M132" s="298">
        <f>M127</f>
        <v>0</v>
      </c>
      <c r="N132" s="5">
        <f t="shared" si="243"/>
        <v>-23</v>
      </c>
      <c r="O132" s="256"/>
      <c r="P132" s="303">
        <f>P127</f>
        <v>0</v>
      </c>
      <c r="Q132" s="231">
        <f t="shared" si="273"/>
        <v>23</v>
      </c>
      <c r="R132" s="21"/>
      <c r="S132" s="6"/>
      <c r="T132" s="35"/>
      <c r="U132" s="612"/>
      <c r="V132" s="121"/>
      <c r="W132" s="6"/>
      <c r="X132" s="35"/>
      <c r="Y132" s="612"/>
      <c r="Z132" s="21"/>
      <c r="AA132" s="6"/>
      <c r="AB132" s="35"/>
      <c r="AC132" s="713"/>
      <c r="AD132" s="713"/>
      <c r="AE132" s="394">
        <f t="shared" si="266"/>
        <v>-23</v>
      </c>
      <c r="AF132" s="29">
        <f t="shared" si="267"/>
        <v>23</v>
      </c>
      <c r="AG132" s="298">
        <f>AG127</f>
        <v>0</v>
      </c>
      <c r="AH132" s="5">
        <f t="shared" si="246"/>
        <v>-23</v>
      </c>
      <c r="AI132" s="256"/>
      <c r="AJ132" s="303">
        <f>AJ127</f>
        <v>0</v>
      </c>
      <c r="AK132" s="231">
        <f t="shared" si="274"/>
        <v>23</v>
      </c>
      <c r="AL132" s="21"/>
      <c r="AM132" s="6"/>
      <c r="AN132" s="35"/>
      <c r="AO132" s="612"/>
      <c r="AP132" s="121"/>
      <c r="AQ132" s="6"/>
      <c r="AR132" s="35"/>
      <c r="AS132" s="612"/>
      <c r="AT132" s="21"/>
      <c r="AU132" s="6"/>
      <c r="AV132" s="35"/>
      <c r="AW132" s="713"/>
      <c r="AX132" s="713"/>
      <c r="AY132" s="394">
        <f t="shared" si="268"/>
        <v>-11</v>
      </c>
      <c r="AZ132" s="607">
        <f t="shared" si="275"/>
        <v>23</v>
      </c>
      <c r="BA132" s="298">
        <f>BA127</f>
        <v>12</v>
      </c>
      <c r="BB132" s="5">
        <f t="shared" si="248"/>
        <v>-11</v>
      </c>
      <c r="BC132" s="256"/>
      <c r="BD132" s="303">
        <f>BD127</f>
        <v>12</v>
      </c>
      <c r="BE132" s="231">
        <f t="shared" si="276"/>
        <v>11</v>
      </c>
      <c r="BF132" s="21"/>
      <c r="BG132" s="6"/>
      <c r="BH132" s="35"/>
      <c r="BI132" s="612"/>
      <c r="BJ132" s="121"/>
      <c r="BK132" s="6"/>
      <c r="BL132" s="35"/>
      <c r="BM132" s="612"/>
      <c r="BN132" s="21"/>
      <c r="BO132" s="6"/>
      <c r="BP132" s="35"/>
      <c r="BQ132" s="713"/>
      <c r="BR132" s="713"/>
      <c r="BS132" s="394">
        <f t="shared" si="269"/>
        <v>-56</v>
      </c>
      <c r="BT132" s="29">
        <f t="shared" si="277"/>
        <v>11</v>
      </c>
      <c r="BU132" s="298">
        <f>BU127</f>
        <v>5</v>
      </c>
      <c r="BV132" s="5">
        <f t="shared" si="250"/>
        <v>-6</v>
      </c>
      <c r="BW132" s="621">
        <v>50</v>
      </c>
      <c r="BX132" s="303">
        <f>BX127</f>
        <v>0</v>
      </c>
      <c r="BY132" s="231">
        <f t="shared" si="278"/>
        <v>61</v>
      </c>
      <c r="BZ132" s="21"/>
      <c r="CA132" s="6"/>
      <c r="CB132" s="35"/>
      <c r="CC132" s="612"/>
      <c r="CD132" s="215"/>
      <c r="CE132" s="663">
        <v>1900</v>
      </c>
      <c r="CF132" s="667" t="s">
        <v>928</v>
      </c>
      <c r="CG132" s="790"/>
      <c r="CH132" s="21"/>
      <c r="CI132" s="199"/>
      <c r="CJ132" s="148"/>
      <c r="CK132" s="797"/>
      <c r="CL132" s="797"/>
      <c r="CM132" s="394">
        <f t="shared" si="270"/>
        <v>-56</v>
      </c>
      <c r="CN132" s="29">
        <f t="shared" si="279"/>
        <v>61</v>
      </c>
      <c r="CO132" s="298">
        <f>CO127</f>
        <v>0</v>
      </c>
      <c r="CP132" s="5">
        <f t="shared" si="252"/>
        <v>-61</v>
      </c>
      <c r="CQ132" s="240"/>
      <c r="CR132" s="303">
        <f>CR127</f>
        <v>0</v>
      </c>
      <c r="CS132" s="231">
        <f t="shared" si="280"/>
        <v>61</v>
      </c>
      <c r="CT132" s="21"/>
      <c r="CU132" s="6"/>
      <c r="CV132" s="35"/>
      <c r="CW132" s="612"/>
      <c r="CX132" s="121"/>
      <c r="CY132" s="6"/>
      <c r="CZ132" s="35"/>
      <c r="DA132" s="612"/>
      <c r="DB132" s="21"/>
      <c r="DC132" s="6"/>
      <c r="DD132" s="35"/>
      <c r="DE132" s="713"/>
      <c r="DF132" s="713"/>
      <c r="DG132" s="394">
        <f t="shared" si="271"/>
        <v>-56</v>
      </c>
      <c r="DH132" s="29">
        <f t="shared" si="281"/>
        <v>61</v>
      </c>
      <c r="DI132" s="298">
        <f>DI127</f>
        <v>0</v>
      </c>
      <c r="DJ132" s="5">
        <f t="shared" si="272"/>
        <v>-61</v>
      </c>
      <c r="DK132" s="240"/>
      <c r="DL132" s="303">
        <f>DL127</f>
        <v>0</v>
      </c>
      <c r="DM132" s="231">
        <f t="shared" si="282"/>
        <v>61</v>
      </c>
    </row>
    <row r="133" spans="1:117" ht="15.75" thickBot="1" x14ac:dyDescent="0.3">
      <c r="A133" s="18"/>
      <c r="B133" s="11" t="s">
        <v>558</v>
      </c>
      <c r="C133" s="18">
        <v>1</v>
      </c>
      <c r="D133" s="11" t="s">
        <v>61</v>
      </c>
      <c r="E133" s="11"/>
      <c r="F133" s="568">
        <v>104.79</v>
      </c>
      <c r="G133" s="11" t="s">
        <v>28</v>
      </c>
      <c r="H133" s="25" t="s">
        <v>77</v>
      </c>
      <c r="I133" s="24"/>
      <c r="J133" s="536">
        <f t="shared" si="265"/>
        <v>-13</v>
      </c>
      <c r="K133" s="394">
        <f t="shared" si="193"/>
        <v>-30</v>
      </c>
      <c r="L133" s="544">
        <v>30</v>
      </c>
      <c r="M133" s="298">
        <f>M127</f>
        <v>0</v>
      </c>
      <c r="N133" s="5">
        <f t="shared" si="243"/>
        <v>-30</v>
      </c>
      <c r="O133" s="256"/>
      <c r="P133" s="303">
        <f>P127</f>
        <v>0</v>
      </c>
      <c r="Q133" s="231">
        <f t="shared" si="273"/>
        <v>30</v>
      </c>
      <c r="R133" s="21"/>
      <c r="S133" s="6"/>
      <c r="T133" s="35"/>
      <c r="U133" s="612"/>
      <c r="V133" s="121"/>
      <c r="W133" s="6"/>
      <c r="X133" s="35"/>
      <c r="Y133" s="612"/>
      <c r="Z133" s="21"/>
      <c r="AA133" s="6"/>
      <c r="AB133" s="35"/>
      <c r="AC133" s="713"/>
      <c r="AD133" s="713"/>
      <c r="AE133" s="394">
        <f t="shared" si="266"/>
        <v>-30</v>
      </c>
      <c r="AF133" s="29">
        <f t="shared" si="267"/>
        <v>30</v>
      </c>
      <c r="AG133" s="298">
        <f>AG127</f>
        <v>0</v>
      </c>
      <c r="AH133" s="5">
        <f t="shared" si="246"/>
        <v>-30</v>
      </c>
      <c r="AI133" s="256"/>
      <c r="AJ133" s="303">
        <f>AJ127</f>
        <v>0</v>
      </c>
      <c r="AK133" s="231">
        <f t="shared" si="274"/>
        <v>30</v>
      </c>
      <c r="AL133" s="21"/>
      <c r="AM133" s="6"/>
      <c r="AN133" s="35"/>
      <c r="AO133" s="612"/>
      <c r="AP133" s="121"/>
      <c r="AQ133" s="6"/>
      <c r="AR133" s="35"/>
      <c r="AS133" s="612"/>
      <c r="AT133" s="21"/>
      <c r="AU133" s="6"/>
      <c r="AV133" s="35"/>
      <c r="AW133" s="713"/>
      <c r="AX133" s="713"/>
      <c r="AY133" s="394">
        <f t="shared" si="268"/>
        <v>-18</v>
      </c>
      <c r="AZ133" s="29">
        <f t="shared" si="275"/>
        <v>30</v>
      </c>
      <c r="BA133" s="298">
        <f>BA127</f>
        <v>12</v>
      </c>
      <c r="BB133" s="5">
        <f t="shared" si="248"/>
        <v>-18</v>
      </c>
      <c r="BC133" s="256"/>
      <c r="BD133" s="303">
        <f>BD127</f>
        <v>12</v>
      </c>
      <c r="BE133" s="231">
        <f t="shared" si="276"/>
        <v>18</v>
      </c>
      <c r="BF133" s="21"/>
      <c r="BG133" s="6"/>
      <c r="BH133" s="35"/>
      <c r="BI133" s="612"/>
      <c r="BJ133" s="121"/>
      <c r="BK133" s="6"/>
      <c r="BL133" s="35"/>
      <c r="BM133" s="612"/>
      <c r="BN133" s="21"/>
      <c r="BO133" s="6"/>
      <c r="BP133" s="35"/>
      <c r="BQ133" s="713"/>
      <c r="BR133" s="713"/>
      <c r="BS133" s="394">
        <f t="shared" si="269"/>
        <v>-63</v>
      </c>
      <c r="BT133" s="29">
        <f t="shared" si="277"/>
        <v>18</v>
      </c>
      <c r="BU133" s="298">
        <f>BU127</f>
        <v>5</v>
      </c>
      <c r="BV133" s="5">
        <f t="shared" si="250"/>
        <v>-13</v>
      </c>
      <c r="BW133" s="621">
        <v>50</v>
      </c>
      <c r="BX133" s="303">
        <f>BX127</f>
        <v>0</v>
      </c>
      <c r="BY133" s="231">
        <f t="shared" si="278"/>
        <v>68</v>
      </c>
      <c r="BZ133" s="21"/>
      <c r="CA133" s="6"/>
      <c r="CB133" s="35"/>
      <c r="CC133" s="612"/>
      <c r="CD133" s="215"/>
      <c r="CE133" s="688">
        <v>6287.4</v>
      </c>
      <c r="CF133" s="689" t="s">
        <v>938</v>
      </c>
      <c r="CG133" s="689"/>
      <c r="CH133" s="21"/>
      <c r="CI133" s="199"/>
      <c r="CJ133" s="148"/>
      <c r="CK133" s="797"/>
      <c r="CL133" s="797"/>
      <c r="CM133" s="394">
        <f t="shared" si="270"/>
        <v>-63</v>
      </c>
      <c r="CN133" s="29">
        <f t="shared" si="279"/>
        <v>68</v>
      </c>
      <c r="CO133" s="298">
        <f>CO127</f>
        <v>0</v>
      </c>
      <c r="CP133" s="5">
        <f t="shared" si="252"/>
        <v>-68</v>
      </c>
      <c r="CQ133" s="240"/>
      <c r="CR133" s="303">
        <f>CR127</f>
        <v>0</v>
      </c>
      <c r="CS133" s="231">
        <f t="shared" si="280"/>
        <v>68</v>
      </c>
      <c r="CT133" s="21"/>
      <c r="CU133" s="6"/>
      <c r="CV133" s="35"/>
      <c r="CW133" s="612"/>
      <c r="CX133" s="121"/>
      <c r="CY133" s="6"/>
      <c r="CZ133" s="35"/>
      <c r="DA133" s="612"/>
      <c r="DB133" s="21"/>
      <c r="DC133" s="6"/>
      <c r="DD133" s="35"/>
      <c r="DE133" s="713"/>
      <c r="DF133" s="713"/>
      <c r="DG133" s="394">
        <f t="shared" si="271"/>
        <v>-63</v>
      </c>
      <c r="DH133" s="29">
        <f t="shared" si="281"/>
        <v>68</v>
      </c>
      <c r="DI133" s="298">
        <f>DI127</f>
        <v>0</v>
      </c>
      <c r="DJ133" s="5">
        <f t="shared" si="272"/>
        <v>-68</v>
      </c>
      <c r="DK133" s="240"/>
      <c r="DL133" s="303">
        <f>DL127</f>
        <v>0</v>
      </c>
      <c r="DM133" s="231">
        <f t="shared" si="282"/>
        <v>68</v>
      </c>
    </row>
    <row r="134" spans="1:117" x14ac:dyDescent="0.25">
      <c r="A134" s="53"/>
      <c r="B134" s="52" t="s">
        <v>242</v>
      </c>
      <c r="C134" s="53"/>
      <c r="D134" s="51" t="s">
        <v>241</v>
      </c>
      <c r="E134" s="51"/>
      <c r="F134" s="338"/>
      <c r="G134" s="51"/>
      <c r="H134" s="54"/>
      <c r="I134" s="54"/>
      <c r="J134" s="53">
        <f>SUM(M134,AG134,BA134,BU134)</f>
        <v>286</v>
      </c>
      <c r="K134" s="53"/>
      <c r="L134" s="55"/>
      <c r="M134" s="56">
        <f>10+2-10</f>
        <v>2</v>
      </c>
      <c r="N134" s="56"/>
      <c r="O134" s="56"/>
      <c r="P134" s="243">
        <f>1+1</f>
        <v>2</v>
      </c>
      <c r="Q134" s="230"/>
      <c r="R134" s="119">
        <f>SUM(R135:R137)</f>
        <v>23800</v>
      </c>
      <c r="S134" s="120">
        <f>SUM(S135:S137)</f>
        <v>0</v>
      </c>
      <c r="T134" s="57"/>
      <c r="U134" s="219"/>
      <c r="V134" s="119">
        <f>SUM(V135:V137)</f>
        <v>47600</v>
      </c>
      <c r="W134" s="120">
        <f>SUM(W135:W137)</f>
        <v>23800</v>
      </c>
      <c r="X134" s="57"/>
      <c r="Y134" s="219"/>
      <c r="Z134" s="119">
        <f>SUM(Z135:Z137)</f>
        <v>2400</v>
      </c>
      <c r="AA134" s="120">
        <f>SUM(AA135:AA137)</f>
        <v>47600</v>
      </c>
      <c r="AB134" s="57"/>
      <c r="AC134" s="230"/>
      <c r="AD134" s="230"/>
      <c r="AE134" s="53">
        <f>SUM(AG134,BA134,BU134)</f>
        <v>284</v>
      </c>
      <c r="AF134" s="55"/>
      <c r="AG134" s="56">
        <f>232-232+25-25+14</f>
        <v>14</v>
      </c>
      <c r="AH134" s="56"/>
      <c r="AI134" s="56"/>
      <c r="AJ134" s="243">
        <f>4+3+2+3+2</f>
        <v>14</v>
      </c>
      <c r="AK134" s="230"/>
      <c r="AL134" s="119">
        <f>SUM(AL135:AL137)</f>
        <v>0</v>
      </c>
      <c r="AM134" s="120">
        <f>SUM(AM135:AM137)</f>
        <v>0</v>
      </c>
      <c r="AN134" s="57"/>
      <c r="AO134" s="219"/>
      <c r="AP134" s="119">
        <f>SUM(AP135:AP137)</f>
        <v>0</v>
      </c>
      <c r="AQ134" s="120">
        <f>SUM(AQ135:AQ137)</f>
        <v>0</v>
      </c>
      <c r="AR134" s="57"/>
      <c r="AS134" s="219"/>
      <c r="AT134" s="119">
        <f>SUM(AT135:AT137)</f>
        <v>0</v>
      </c>
      <c r="AU134" s="120">
        <f>SUM(AU135:AU137)</f>
        <v>0</v>
      </c>
      <c r="AV134" s="57"/>
      <c r="AW134" s="230"/>
      <c r="AX134" s="230"/>
      <c r="AY134" s="53">
        <f>SUM(BA134,BU134)</f>
        <v>270</v>
      </c>
      <c r="AZ134" s="55"/>
      <c r="BA134" s="56">
        <f>30-30+237-237+213-213+225</f>
        <v>225</v>
      </c>
      <c r="BB134" s="56"/>
      <c r="BC134" s="56"/>
      <c r="BD134" s="243">
        <f>5+1+4+1+8+2+20+5+4+5+170</f>
        <v>225</v>
      </c>
      <c r="BE134" s="230"/>
      <c r="BF134" s="119">
        <f>SUM(BF135:BF137)</f>
        <v>0</v>
      </c>
      <c r="BG134" s="120">
        <f>SUM(BG135:BG137)</f>
        <v>0</v>
      </c>
      <c r="BH134" s="57"/>
      <c r="BI134" s="219"/>
      <c r="BJ134" s="119">
        <f>SUM(BJ135:BJ137)</f>
        <v>0</v>
      </c>
      <c r="BK134" s="120">
        <f>SUM(BK135:BK137)</f>
        <v>0</v>
      </c>
      <c r="BL134" s="57"/>
      <c r="BM134" s="219"/>
      <c r="BN134" s="119">
        <f>SUM(BN135:BN137)</f>
        <v>0</v>
      </c>
      <c r="BO134" s="120">
        <f>SUM(BO135:BO137)</f>
        <v>0</v>
      </c>
      <c r="BP134" s="57"/>
      <c r="BQ134" s="230"/>
      <c r="BR134" s="230"/>
      <c r="BS134" s="53">
        <f>BU134</f>
        <v>45</v>
      </c>
      <c r="BT134" s="55"/>
      <c r="BU134" s="56">
        <v>45</v>
      </c>
      <c r="BV134" s="56"/>
      <c r="BW134" s="56"/>
      <c r="BX134" s="243">
        <f>1+1+3</f>
        <v>5</v>
      </c>
      <c r="BY134" s="230"/>
      <c r="BZ134" s="119">
        <f>SUM(BZ135:BZ137)</f>
        <v>0</v>
      </c>
      <c r="CA134" s="120">
        <f>SUM(CA135:CA137)</f>
        <v>0</v>
      </c>
      <c r="CB134" s="57"/>
      <c r="CC134" s="219"/>
      <c r="CD134" s="119">
        <f>SUM(CD135:CD137)</f>
        <v>47600</v>
      </c>
      <c r="CE134" s="120">
        <f>SUM(CE135:CE137)</f>
        <v>50000</v>
      </c>
      <c r="CF134" s="57"/>
      <c r="CG134" s="219"/>
      <c r="CH134" s="119">
        <f>SUM(CH135:CH137)</f>
        <v>0</v>
      </c>
      <c r="CI134" s="120">
        <f>SUM(CI135:CI137)</f>
        <v>0</v>
      </c>
      <c r="CJ134" s="57"/>
      <c r="CK134" s="230"/>
      <c r="CL134" s="230"/>
      <c r="CM134" s="53">
        <f>CO134</f>
        <v>0</v>
      </c>
      <c r="CN134" s="55"/>
      <c r="CO134" s="243"/>
      <c r="CP134" s="56"/>
      <c r="CQ134" s="56"/>
      <c r="CR134" s="243"/>
      <c r="CS134" s="230"/>
      <c r="CT134" s="119">
        <f>SUM(CT135:CT137)</f>
        <v>0</v>
      </c>
      <c r="CU134" s="120">
        <f>SUM(CU135:CU137)</f>
        <v>0</v>
      </c>
      <c r="CV134" s="57"/>
      <c r="CW134" s="219"/>
      <c r="CX134" s="119">
        <f>SUM(CX135:CX137)</f>
        <v>0</v>
      </c>
      <c r="CY134" s="120">
        <f>SUM(CY135:CY137)</f>
        <v>0</v>
      </c>
      <c r="CZ134" s="57"/>
      <c r="DA134" s="219"/>
      <c r="DB134" s="119">
        <f>SUM(DB135:DB137)</f>
        <v>0</v>
      </c>
      <c r="DC134" s="120">
        <f>SUM(DC135:DC137)</f>
        <v>0</v>
      </c>
      <c r="DD134" s="57"/>
      <c r="DE134" s="230"/>
      <c r="DF134" s="230"/>
      <c r="DG134" s="53">
        <f>DI134</f>
        <v>0</v>
      </c>
      <c r="DH134" s="55"/>
      <c r="DI134" s="243"/>
      <c r="DJ134" s="56"/>
      <c r="DK134" s="56"/>
      <c r="DL134" s="243"/>
      <c r="DM134" s="230"/>
    </row>
    <row r="135" spans="1:117" ht="30" x14ac:dyDescent="0.25">
      <c r="A135" s="18"/>
      <c r="B135" s="15" t="s">
        <v>246</v>
      </c>
      <c r="C135" s="18" t="s">
        <v>51</v>
      </c>
      <c r="D135" s="11" t="s">
        <v>61</v>
      </c>
      <c r="E135" s="11"/>
      <c r="F135" s="568">
        <v>476</v>
      </c>
      <c r="G135" s="15" t="s">
        <v>247</v>
      </c>
      <c r="H135" s="25" t="s">
        <v>170</v>
      </c>
      <c r="I135" s="24"/>
      <c r="J135" s="536">
        <f>SUM(M135,AG135,BA135,BU135)-L135</f>
        <v>207</v>
      </c>
      <c r="K135" s="394">
        <f t="shared" si="193"/>
        <v>-377</v>
      </c>
      <c r="L135" s="544">
        <v>79</v>
      </c>
      <c r="M135" s="298">
        <f>M134</f>
        <v>2</v>
      </c>
      <c r="N135" s="5">
        <f t="shared" si="243"/>
        <v>-77</v>
      </c>
      <c r="O135" s="256">
        <f>100+200</f>
        <v>300</v>
      </c>
      <c r="P135" s="303">
        <f>P134</f>
        <v>2</v>
      </c>
      <c r="Q135" s="231">
        <f>L135+O135-P135</f>
        <v>377</v>
      </c>
      <c r="R135" s="570">
        <f>$F$135*50%*100</f>
        <v>23800</v>
      </c>
      <c r="S135" s="6"/>
      <c r="T135" s="35" t="s">
        <v>697</v>
      </c>
      <c r="U135" s="612"/>
      <c r="V135" s="570">
        <f>$F$135*50%*200</f>
        <v>47600</v>
      </c>
      <c r="W135" s="579">
        <f>$F$135*50%*100</f>
        <v>23800</v>
      </c>
      <c r="X135" s="257" t="s">
        <v>710</v>
      </c>
      <c r="Y135" s="730"/>
      <c r="Z135" s="527"/>
      <c r="AA135" s="579">
        <f>$F$135*50%*200</f>
        <v>47600</v>
      </c>
      <c r="AB135" s="35" t="s">
        <v>707</v>
      </c>
      <c r="AC135" s="713"/>
      <c r="AD135" s="713"/>
      <c r="AE135" s="394">
        <f>SUM(M135,AG135)-SUM(O135,AI135)-L135</f>
        <v>-363</v>
      </c>
      <c r="AF135" s="29">
        <f>Q135</f>
        <v>377</v>
      </c>
      <c r="AG135" s="298">
        <f>AG134</f>
        <v>14</v>
      </c>
      <c r="AH135" s="5">
        <f t="shared" si="246"/>
        <v>-363</v>
      </c>
      <c r="AI135" s="256"/>
      <c r="AJ135" s="303">
        <f>AJ134</f>
        <v>14</v>
      </c>
      <c r="AK135" s="231">
        <f>AF135+AI135-AJ135</f>
        <v>363</v>
      </c>
      <c r="AL135" s="121"/>
      <c r="AM135" s="6"/>
      <c r="AN135" s="35"/>
      <c r="AO135" s="612"/>
      <c r="AP135" s="121"/>
      <c r="AQ135" s="6"/>
      <c r="AR135" s="35"/>
      <c r="AS135" s="612"/>
      <c r="AT135" s="21"/>
      <c r="AU135" s="6"/>
      <c r="AV135" s="35"/>
      <c r="AW135" s="713"/>
      <c r="AX135" s="713"/>
      <c r="AY135" s="394">
        <f>SUM(M135,AG135,BA135)-SUM(O135,AI135,BC135)-L135</f>
        <v>-138</v>
      </c>
      <c r="AZ135" s="607">
        <f t="shared" ref="AZ135:AZ137" si="283">AK135</f>
        <v>363</v>
      </c>
      <c r="BA135" s="298">
        <f>BA134</f>
        <v>225</v>
      </c>
      <c r="BB135" s="5">
        <f t="shared" si="248"/>
        <v>-138</v>
      </c>
      <c r="BC135" s="256"/>
      <c r="BD135" s="303">
        <f>BD134</f>
        <v>225</v>
      </c>
      <c r="BE135" s="231">
        <f>AZ135+BC135-BD135</f>
        <v>138</v>
      </c>
      <c r="BF135" s="121"/>
      <c r="BG135" s="6"/>
      <c r="BH135" s="35"/>
      <c r="BI135" s="612"/>
      <c r="BJ135" s="121"/>
      <c r="BK135" s="6"/>
      <c r="BL135" s="35"/>
      <c r="BM135" s="612"/>
      <c r="BN135" s="21"/>
      <c r="BO135" s="6"/>
      <c r="BP135" s="35"/>
      <c r="BQ135" s="713"/>
      <c r="BR135" s="713"/>
      <c r="BS135" s="394">
        <f>SUM(M135,AG135,BA135,BU135)-SUM(O135,AI135,BC135,BW135)-L135</f>
        <v>-293</v>
      </c>
      <c r="BT135" s="29">
        <f t="shared" ref="BT135:BT137" si="284">BE135</f>
        <v>138</v>
      </c>
      <c r="BU135" s="298">
        <f>BU134</f>
        <v>45</v>
      </c>
      <c r="BV135" s="5">
        <f t="shared" si="250"/>
        <v>-93</v>
      </c>
      <c r="BW135" s="621">
        <v>200</v>
      </c>
      <c r="BX135" s="303">
        <f>BX134</f>
        <v>5</v>
      </c>
      <c r="BY135" s="231">
        <f>BT135+BW135-BX135</f>
        <v>333</v>
      </c>
      <c r="BZ135" s="21"/>
      <c r="CA135" s="6"/>
      <c r="CD135" s="668">
        <v>47600</v>
      </c>
      <c r="CE135" s="663">
        <v>47600</v>
      </c>
      <c r="CF135" s="701" t="s">
        <v>918</v>
      </c>
      <c r="CG135" s="791"/>
      <c r="CH135" s="21"/>
      <c r="CI135" s="199"/>
      <c r="CJ135" s="1" t="s">
        <v>983</v>
      </c>
      <c r="CM135" s="394">
        <f>SUM(M135,AG135,BA135,BU135,CO135)-SUM(O135,AI135,BC135,BW135,CQ135)-L135</f>
        <v>-293</v>
      </c>
      <c r="CN135" s="29">
        <f t="shared" ref="CN135:CN137" si="285">BY135</f>
        <v>333</v>
      </c>
      <c r="CO135" s="298">
        <f>CO134</f>
        <v>0</v>
      </c>
      <c r="CP135" s="5">
        <f t="shared" si="252"/>
        <v>-333</v>
      </c>
      <c r="CQ135" s="240"/>
      <c r="CR135" s="303">
        <f>CR134</f>
        <v>0</v>
      </c>
      <c r="CS135" s="231">
        <f>CN135+CQ135-CR135</f>
        <v>333</v>
      </c>
      <c r="CT135" s="121"/>
      <c r="CU135" s="6"/>
      <c r="CV135" s="35"/>
      <c r="CW135" s="612"/>
      <c r="CX135" s="121"/>
      <c r="CY135" s="6"/>
      <c r="CZ135" s="35"/>
      <c r="DA135" s="612"/>
      <c r="DB135" s="21"/>
      <c r="DC135" s="6"/>
      <c r="DD135" s="35"/>
      <c r="DE135" s="713"/>
      <c r="DF135" s="713"/>
      <c r="DG135" s="394">
        <f>SUM(M135,AG135,BA135,BU135,DI135)-SUM(O135,AI135,BC135,BW135,CQ135)-L135</f>
        <v>-293</v>
      </c>
      <c r="DH135" s="29">
        <f>BY135</f>
        <v>333</v>
      </c>
      <c r="DI135" s="298">
        <f>DI134</f>
        <v>0</v>
      </c>
      <c r="DJ135" s="5">
        <f t="shared" ref="DJ135:DJ136" si="286">DI135-DH135</f>
        <v>-333</v>
      </c>
      <c r="DK135" s="240"/>
      <c r="DL135" s="303">
        <f>DL134</f>
        <v>0</v>
      </c>
      <c r="DM135" s="231">
        <f>DH135+DK135-DL135</f>
        <v>333</v>
      </c>
    </row>
    <row r="136" spans="1:117" x14ac:dyDescent="0.25">
      <c r="A136" s="18"/>
      <c r="B136" s="11" t="s">
        <v>599</v>
      </c>
      <c r="C136" s="18"/>
      <c r="D136" s="11" t="s">
        <v>61</v>
      </c>
      <c r="E136" s="11"/>
      <c r="F136" s="568">
        <v>8</v>
      </c>
      <c r="G136" s="23" t="s">
        <v>757</v>
      </c>
      <c r="H136" s="25"/>
      <c r="I136" s="24"/>
      <c r="J136" s="536">
        <f>SUM(M136,AG136,BA136,BU136)-L136</f>
        <v>203</v>
      </c>
      <c r="K136" s="394">
        <f t="shared" si="193"/>
        <v>-381</v>
      </c>
      <c r="L136" s="544">
        <v>83</v>
      </c>
      <c r="M136" s="298">
        <f>M135</f>
        <v>2</v>
      </c>
      <c r="N136" s="5">
        <f t="shared" si="243"/>
        <v>-81</v>
      </c>
      <c r="O136" s="256">
        <f>100+200</f>
        <v>300</v>
      </c>
      <c r="P136" s="303">
        <f>P134</f>
        <v>2</v>
      </c>
      <c r="Q136" s="231">
        <f>L136+O136-P136</f>
        <v>381</v>
      </c>
      <c r="R136" s="121"/>
      <c r="S136" s="6"/>
      <c r="T136" s="35"/>
      <c r="U136" s="612"/>
      <c r="V136" s="121"/>
      <c r="W136" s="6"/>
      <c r="X136" s="35"/>
      <c r="Y136" s="612"/>
      <c r="Z136" s="573">
        <f>$F$136*100%*300</f>
        <v>2400</v>
      </c>
      <c r="AA136" s="6"/>
      <c r="AB136" s="35" t="s">
        <v>745</v>
      </c>
      <c r="AC136" s="713"/>
      <c r="AD136" s="713"/>
      <c r="AE136" s="394">
        <f>SUM(M136,AG136)-SUM(O136,AI136)-L136</f>
        <v>-367</v>
      </c>
      <c r="AF136" s="29">
        <f>Q136</f>
        <v>381</v>
      </c>
      <c r="AG136" s="298">
        <f>AG135</f>
        <v>14</v>
      </c>
      <c r="AH136" s="5">
        <f t="shared" si="246"/>
        <v>-367</v>
      </c>
      <c r="AI136" s="258"/>
      <c r="AJ136" s="303">
        <f>AJ134</f>
        <v>14</v>
      </c>
      <c r="AK136" s="231">
        <f>AF136+AI136-AJ136</f>
        <v>367</v>
      </c>
      <c r="AL136" s="121"/>
      <c r="AM136" s="6"/>
      <c r="AN136" s="35"/>
      <c r="AO136" s="612"/>
      <c r="AP136" s="121"/>
      <c r="AQ136" s="6"/>
      <c r="AR136" s="35"/>
      <c r="AS136" s="612"/>
      <c r="AT136" s="21"/>
      <c r="AU136" s="6"/>
      <c r="AV136" s="35"/>
      <c r="AW136" s="713"/>
      <c r="AX136" s="713"/>
      <c r="AY136" s="394">
        <f>SUM(M136,AG136,BA136)-SUM(O136,AI136,BC136)-L136</f>
        <v>-142</v>
      </c>
      <c r="AZ136" s="607">
        <f t="shared" si="283"/>
        <v>367</v>
      </c>
      <c r="BA136" s="298">
        <f>BA135</f>
        <v>225</v>
      </c>
      <c r="BB136" s="5">
        <f t="shared" si="248"/>
        <v>-142</v>
      </c>
      <c r="BC136" s="256"/>
      <c r="BD136" s="303">
        <f>BD134</f>
        <v>225</v>
      </c>
      <c r="BE136" s="231">
        <f>AZ136+BC136-BD136</f>
        <v>142</v>
      </c>
      <c r="BF136" s="121"/>
      <c r="BG136" s="6"/>
      <c r="BH136" s="35"/>
      <c r="BI136" s="612"/>
      <c r="BJ136" s="121"/>
      <c r="BK136" s="6"/>
      <c r="BL136" s="35"/>
      <c r="BM136" s="612"/>
      <c r="BN136" s="21"/>
      <c r="BO136" s="6"/>
      <c r="BP136" s="35"/>
      <c r="BQ136" s="713"/>
      <c r="BR136" s="713"/>
      <c r="BS136" s="394">
        <f>SUM(M136,AG136,BA136,BU136)-SUM(O136,AI136,BC136,BW136)-L136</f>
        <v>-297</v>
      </c>
      <c r="BT136" s="29">
        <f t="shared" si="284"/>
        <v>142</v>
      </c>
      <c r="BU136" s="298">
        <f>BU135</f>
        <v>45</v>
      </c>
      <c r="BV136" s="5">
        <f t="shared" si="250"/>
        <v>-97</v>
      </c>
      <c r="BW136" s="623">
        <v>200</v>
      </c>
      <c r="BX136" s="303">
        <f>BX134</f>
        <v>5</v>
      </c>
      <c r="BY136" s="231">
        <f>BT136+BW136-BX136</f>
        <v>337</v>
      </c>
      <c r="BZ136" s="21"/>
      <c r="CA136" s="6"/>
      <c r="CB136" s="5"/>
      <c r="CC136" s="409"/>
      <c r="CD136" s="21"/>
      <c r="CE136" s="663">
        <v>2400</v>
      </c>
      <c r="CF136" s="667" t="s">
        <v>894</v>
      </c>
      <c r="CG136" s="790"/>
      <c r="CH136" s="21"/>
      <c r="CI136" s="6"/>
      <c r="CJ136" s="5" t="s">
        <v>916</v>
      </c>
      <c r="CK136" s="713"/>
      <c r="CL136" s="713"/>
      <c r="CM136" s="706">
        <f>SUM(M136,AG136,BA136,BU136,CO136)-SUM(O136,AI136,BC136,BW136,CQ136)-L136</f>
        <v>-297</v>
      </c>
      <c r="CN136" s="29">
        <f t="shared" si="285"/>
        <v>337</v>
      </c>
      <c r="CO136" s="298">
        <f>CO135</f>
        <v>0</v>
      </c>
      <c r="CP136" s="5">
        <f t="shared" si="252"/>
        <v>-337</v>
      </c>
      <c r="CQ136" s="240"/>
      <c r="CR136" s="303">
        <f>CR134</f>
        <v>0</v>
      </c>
      <c r="CS136" s="231">
        <f>CN136+CQ136-CR136</f>
        <v>337</v>
      </c>
      <c r="CT136" s="121"/>
      <c r="CU136" s="6"/>
      <c r="CV136" s="35"/>
      <c r="CW136" s="612"/>
      <c r="CX136" s="121"/>
      <c r="CY136" s="6"/>
      <c r="CZ136" s="35"/>
      <c r="DA136" s="612"/>
      <c r="DB136" s="21"/>
      <c r="DC136" s="6"/>
      <c r="DD136" s="35"/>
      <c r="DE136" s="713"/>
      <c r="DF136" s="713"/>
      <c r="DG136" s="394">
        <f>SUM(M136,AG136,BA136,BU136,DI136)-SUM(O136,AI136,BC136,BW136,CQ136)-L136</f>
        <v>-297</v>
      </c>
      <c r="DH136" s="29">
        <f t="shared" ref="DH136:DH137" si="287">BY136</f>
        <v>337</v>
      </c>
      <c r="DI136" s="298">
        <f>DI135</f>
        <v>0</v>
      </c>
      <c r="DJ136" s="5">
        <f t="shared" si="286"/>
        <v>-337</v>
      </c>
      <c r="DK136" s="240"/>
      <c r="DL136" s="303">
        <f>DL134</f>
        <v>0</v>
      </c>
      <c r="DM136" s="231">
        <f>DH136+DK136-DL136</f>
        <v>337</v>
      </c>
    </row>
    <row r="137" spans="1:117" ht="15.75" thickBot="1" x14ac:dyDescent="0.3">
      <c r="A137" s="19"/>
      <c r="B137" s="12"/>
      <c r="C137" s="19"/>
      <c r="D137" s="12"/>
      <c r="E137" s="12"/>
      <c r="F137" s="146"/>
      <c r="G137" s="67"/>
      <c r="H137" s="28"/>
      <c r="I137" s="311"/>
      <c r="J137" s="541"/>
      <c r="K137" s="311"/>
      <c r="L137" s="296">
        <v>0</v>
      </c>
      <c r="M137" s="31"/>
      <c r="N137" s="31"/>
      <c r="O137" s="284"/>
      <c r="P137" s="241"/>
      <c r="Q137" s="232">
        <f>L137+O137-P137</f>
        <v>0</v>
      </c>
      <c r="R137" s="200"/>
      <c r="S137" s="201"/>
      <c r="T137" s="36"/>
      <c r="U137" s="220"/>
      <c r="V137" s="200"/>
      <c r="W137" s="201"/>
      <c r="X137" s="36"/>
      <c r="Y137" s="220"/>
      <c r="Z137" s="122"/>
      <c r="AA137" s="201"/>
      <c r="AB137" s="36"/>
      <c r="AC137" s="715"/>
      <c r="AD137" s="715"/>
      <c r="AE137" s="311"/>
      <c r="AF137" s="296">
        <f>Q137</f>
        <v>0</v>
      </c>
      <c r="AG137" s="31"/>
      <c r="AH137" s="31"/>
      <c r="AI137" s="284"/>
      <c r="AJ137" s="241"/>
      <c r="AK137" s="232">
        <f>AF137+AI137-AJ137</f>
        <v>0</v>
      </c>
      <c r="AL137" s="200"/>
      <c r="AM137" s="201"/>
      <c r="AN137" s="36"/>
      <c r="AO137" s="220"/>
      <c r="AP137" s="200"/>
      <c r="AQ137" s="201"/>
      <c r="AR137" s="36"/>
      <c r="AS137" s="220"/>
      <c r="AT137" s="122"/>
      <c r="AU137" s="201"/>
      <c r="AV137" s="36"/>
      <c r="AW137" s="715"/>
      <c r="AX137" s="715"/>
      <c r="AY137" s="311"/>
      <c r="AZ137" s="296">
        <f t="shared" si="283"/>
        <v>0</v>
      </c>
      <c r="BA137" s="31"/>
      <c r="BB137" s="31"/>
      <c r="BC137" s="284"/>
      <c r="BD137" s="241"/>
      <c r="BE137" s="232">
        <f>AZ137+BC137-BD137</f>
        <v>0</v>
      </c>
      <c r="BF137" s="200"/>
      <c r="BG137" s="201"/>
      <c r="BH137" s="36"/>
      <c r="BI137" s="220"/>
      <c r="BJ137" s="200"/>
      <c r="BK137" s="201"/>
      <c r="BL137" s="36"/>
      <c r="BM137" s="220"/>
      <c r="BN137" s="122"/>
      <c r="BO137" s="201"/>
      <c r="BP137" s="36"/>
      <c r="BQ137" s="715"/>
      <c r="BR137" s="715"/>
      <c r="BS137" s="311"/>
      <c r="BT137" s="296">
        <f t="shared" si="284"/>
        <v>0</v>
      </c>
      <c r="BU137" s="31"/>
      <c r="BV137" s="31"/>
      <c r="BW137" s="284"/>
      <c r="BX137" s="241"/>
      <c r="BY137" s="232">
        <f>BT137+BW137-BX137</f>
        <v>0</v>
      </c>
      <c r="BZ137" s="200"/>
      <c r="CA137" s="201"/>
      <c r="CB137" s="36"/>
      <c r="CC137" s="220"/>
      <c r="CD137" s="200"/>
      <c r="CE137" s="201"/>
      <c r="CF137" s="36"/>
      <c r="CG137" s="220"/>
      <c r="CH137" s="122"/>
      <c r="CI137" s="201"/>
      <c r="CJ137" s="36"/>
      <c r="CK137" s="715"/>
      <c r="CL137" s="715"/>
      <c r="CM137" s="311"/>
      <c r="CN137" s="296">
        <f t="shared" si="285"/>
        <v>0</v>
      </c>
      <c r="CO137" s="31"/>
      <c r="CP137" s="31"/>
      <c r="CQ137" s="284"/>
      <c r="CR137" s="241"/>
      <c r="CS137" s="232">
        <f>CN137+CQ137-CR137</f>
        <v>0</v>
      </c>
      <c r="CT137" s="200"/>
      <c r="CU137" s="201"/>
      <c r="CV137" s="36"/>
      <c r="CW137" s="220"/>
      <c r="CX137" s="200"/>
      <c r="CY137" s="201"/>
      <c r="CZ137" s="36"/>
      <c r="DA137" s="220"/>
      <c r="DB137" s="122"/>
      <c r="DC137" s="201"/>
      <c r="DD137" s="36"/>
      <c r="DG137" s="394">
        <f>SUM(M137,AG137,BA137,BU137,DI137)-SUM(O137,AI137,BC137,BW137,CQ137)-L137</f>
        <v>0</v>
      </c>
      <c r="DH137" s="29">
        <f t="shared" si="287"/>
        <v>0</v>
      </c>
      <c r="DI137" s="31"/>
      <c r="DJ137" s="31"/>
      <c r="DK137" s="284"/>
      <c r="DL137" s="241"/>
      <c r="DM137" s="232">
        <f>DH137+DK137-DL137</f>
        <v>0</v>
      </c>
    </row>
    <row r="138" spans="1:117" x14ac:dyDescent="0.25">
      <c r="A138" s="53"/>
      <c r="B138" s="52" t="s">
        <v>472</v>
      </c>
      <c r="C138" s="53"/>
      <c r="D138" s="51" t="s">
        <v>241</v>
      </c>
      <c r="E138" s="51"/>
      <c r="F138" s="338"/>
      <c r="G138" s="51"/>
      <c r="H138" s="54"/>
      <c r="I138" s="54"/>
      <c r="J138" s="53">
        <f>SUM(M138,AG138,BA138,BU138)</f>
        <v>1097</v>
      </c>
      <c r="K138" s="53"/>
      <c r="L138" s="55"/>
      <c r="M138" s="56">
        <f>35+37-35</f>
        <v>37</v>
      </c>
      <c r="N138" s="56"/>
      <c r="O138" s="56"/>
      <c r="P138" s="243">
        <f>30+2+1+1+3</f>
        <v>37</v>
      </c>
      <c r="Q138" s="230"/>
      <c r="R138" s="119">
        <f>SUM(R139:R145)</f>
        <v>0</v>
      </c>
      <c r="S138" s="120">
        <f>SUM(S139:S145)</f>
        <v>0</v>
      </c>
      <c r="T138" s="57"/>
      <c r="U138" s="219"/>
      <c r="V138" s="119">
        <f>SUM(V139:V145)</f>
        <v>538801.19999999995</v>
      </c>
      <c r="W138" s="120">
        <f>SUM(W139:W145)</f>
        <v>713786.99999999988</v>
      </c>
      <c r="X138" s="57"/>
      <c r="Y138" s="219"/>
      <c r="Z138" s="119">
        <f>SUM(Z139:Z145)</f>
        <v>8099</v>
      </c>
      <c r="AA138" s="120">
        <f>SUM(AA139:AA145)</f>
        <v>0</v>
      </c>
      <c r="AB138" s="57"/>
      <c r="AC138" s="230"/>
      <c r="AD138" s="230"/>
      <c r="AE138" s="53">
        <f>SUM(AG138,BA138,BU138)</f>
        <v>1060</v>
      </c>
      <c r="AF138" s="55"/>
      <c r="AG138" s="56">
        <f>893-893+65-65+40</f>
        <v>40</v>
      </c>
      <c r="AH138" s="56"/>
      <c r="AI138" s="56"/>
      <c r="AJ138" s="243">
        <f>2+1+2+3+8+12+3+2+6+1</f>
        <v>40</v>
      </c>
      <c r="AK138" s="230"/>
      <c r="AL138" s="119">
        <f>SUM(AL139:AL145)</f>
        <v>191100</v>
      </c>
      <c r="AM138" s="120">
        <f>SUM(AM139:AM145)</f>
        <v>0</v>
      </c>
      <c r="AN138" s="57"/>
      <c r="AO138" s="219"/>
      <c r="AP138" s="119">
        <f>SUM(AP139:AP145)</f>
        <v>0</v>
      </c>
      <c r="AQ138" s="120">
        <f>SUM(AQ139:AQ145)</f>
        <v>191100</v>
      </c>
      <c r="AR138" s="57"/>
      <c r="AS138" s="219"/>
      <c r="AT138" s="119">
        <f>SUM(AT139:AT145)</f>
        <v>0</v>
      </c>
      <c r="AU138" s="120">
        <f>SUM(AU139:AU145)</f>
        <v>808201.79999999993</v>
      </c>
      <c r="AV138" s="57"/>
      <c r="AW138" s="230"/>
      <c r="AX138" s="230"/>
      <c r="AY138" s="53">
        <f>SUM(BA138,BU138)</f>
        <v>1020</v>
      </c>
      <c r="AZ138" s="55"/>
      <c r="BA138" s="56">
        <f>110-110+923-923+865</f>
        <v>865</v>
      </c>
      <c r="BB138" s="56"/>
      <c r="BC138" s="56"/>
      <c r="BD138" s="243">
        <f>10+4+1+1+2+32+3+2+80+2+20+12+10+1+680+5+2+2</f>
        <v>869</v>
      </c>
      <c r="BE138" s="230"/>
      <c r="BF138" s="119">
        <f>SUM(BF139:BF145)</f>
        <v>0</v>
      </c>
      <c r="BG138" s="120">
        <f>SUM(BG139:BG145)</f>
        <v>0</v>
      </c>
      <c r="BH138" s="57"/>
      <c r="BI138" s="219"/>
      <c r="BJ138" s="119">
        <f>SUM(BJ139:BJ145)</f>
        <v>0</v>
      </c>
      <c r="BK138" s="120">
        <f>SUM(BK139:BK145)</f>
        <v>0</v>
      </c>
      <c r="BL138" s="57"/>
      <c r="BM138" s="219"/>
      <c r="BN138" s="119">
        <f>SUM(BN139:BN145)</f>
        <v>0</v>
      </c>
      <c r="BO138" s="120">
        <f>SUM(BO139:BO145)</f>
        <v>0</v>
      </c>
      <c r="BP138" s="57"/>
      <c r="BQ138" s="230"/>
      <c r="BR138" s="230"/>
      <c r="BS138" s="53">
        <f>BU138</f>
        <v>155</v>
      </c>
      <c r="BT138" s="55"/>
      <c r="BU138" s="56">
        <f>145-145+155</f>
        <v>155</v>
      </c>
      <c r="BV138" s="56"/>
      <c r="BW138" s="56"/>
      <c r="BX138" s="243">
        <f>2+1+6+3+2+10+5+12+1+12</f>
        <v>54</v>
      </c>
      <c r="BY138" s="230"/>
      <c r="BZ138" s="119">
        <f>SUM(BZ139:BZ145)</f>
        <v>0</v>
      </c>
      <c r="CA138" s="120">
        <f>SUM(CA139:CA145)</f>
        <v>0</v>
      </c>
      <c r="CB138" s="57"/>
      <c r="CC138" s="219"/>
      <c r="CD138" s="119">
        <f>SUM(CD139:CD145)</f>
        <v>673470</v>
      </c>
      <c r="CE138" s="120">
        <f>SUM(CE139:CE145)</f>
        <v>0</v>
      </c>
      <c r="CF138" s="57"/>
      <c r="CG138" s="219"/>
      <c r="CH138" s="119">
        <f>SUM(CH139:CH145)</f>
        <v>191100</v>
      </c>
      <c r="CI138" s="120">
        <f>SUM(CI139:CI145)</f>
        <v>8099</v>
      </c>
      <c r="CJ138" s="57"/>
      <c r="CK138" s="230"/>
      <c r="CL138" s="230"/>
      <c r="CM138" s="53">
        <f>CO138</f>
        <v>0</v>
      </c>
      <c r="CN138" s="55"/>
      <c r="CO138" s="243"/>
      <c r="CP138" s="56"/>
      <c r="CQ138" s="56"/>
      <c r="CR138" s="243"/>
      <c r="CS138" s="230"/>
      <c r="CT138" s="119">
        <f>SUM(CT139:CT145)</f>
        <v>0</v>
      </c>
      <c r="CU138" s="120">
        <f>SUM(CU139:CU145)</f>
        <v>864601.5</v>
      </c>
      <c r="CV138" s="57"/>
      <c r="CW138" s="219"/>
      <c r="CX138" s="119">
        <f>SUM(CX139:CX145)</f>
        <v>0</v>
      </c>
      <c r="CY138" s="120">
        <f>SUM(CY139:CY145)</f>
        <v>0</v>
      </c>
      <c r="CZ138" s="57"/>
      <c r="DA138" s="219"/>
      <c r="DB138" s="119">
        <f>SUM(DB139:DB145)</f>
        <v>0</v>
      </c>
      <c r="DC138" s="120">
        <f>SUM(DC139:DC145)</f>
        <v>0</v>
      </c>
      <c r="DD138" s="57"/>
      <c r="DE138" s="230"/>
      <c r="DF138" s="230"/>
      <c r="DG138" s="53">
        <f>DI138</f>
        <v>0</v>
      </c>
      <c r="DH138" s="55"/>
      <c r="DI138" s="243"/>
      <c r="DJ138" s="56"/>
      <c r="DK138" s="56"/>
      <c r="DL138" s="243"/>
      <c r="DM138" s="230"/>
    </row>
    <row r="139" spans="1:117" x14ac:dyDescent="0.25">
      <c r="A139" s="18"/>
      <c r="B139" s="15" t="s">
        <v>215</v>
      </c>
      <c r="C139" s="18"/>
      <c r="D139" s="11"/>
      <c r="E139" s="11"/>
      <c r="F139" s="149"/>
      <c r="G139" s="15"/>
      <c r="H139" s="25"/>
      <c r="I139" s="24"/>
      <c r="J139" s="536">
        <f>SUM(M139,AG139,BA139,BU139)-L139</f>
        <v>947</v>
      </c>
      <c r="K139" s="394">
        <f t="shared" ref="K139:K144" si="288">M139-O139-L139</f>
        <v>-613</v>
      </c>
      <c r="L139" s="544">
        <v>150</v>
      </c>
      <c r="M139" s="298">
        <f>M138</f>
        <v>37</v>
      </c>
      <c r="N139" s="5">
        <f t="shared" ref="N139:N141" si="289">M139-L139</f>
        <v>-113</v>
      </c>
      <c r="O139" s="256">
        <v>500</v>
      </c>
      <c r="P139" s="303">
        <f>P138</f>
        <v>37</v>
      </c>
      <c r="Q139" s="231">
        <f>L139+O139-P139</f>
        <v>613</v>
      </c>
      <c r="R139" s="121"/>
      <c r="S139" s="6"/>
      <c r="T139" s="35"/>
      <c r="U139" s="612"/>
      <c r="V139" s="121"/>
      <c r="W139" s="6"/>
      <c r="X139" s="35"/>
      <c r="Y139" s="612"/>
      <c r="Z139" s="21"/>
      <c r="AA139" s="6"/>
      <c r="AB139" s="35"/>
      <c r="AC139" s="713"/>
      <c r="AD139" s="713"/>
      <c r="AE139" s="394">
        <f>SUM(M139,AG139)-SUM(O139,AI139)-L139</f>
        <v>-1273</v>
      </c>
      <c r="AF139" s="29">
        <f>Q139</f>
        <v>613</v>
      </c>
      <c r="AG139" s="298">
        <f>AG138</f>
        <v>40</v>
      </c>
      <c r="AH139" s="5">
        <f t="shared" ref="AH139:AH141" si="290">AG139-AF139</f>
        <v>-573</v>
      </c>
      <c r="AI139" s="256">
        <v>700</v>
      </c>
      <c r="AJ139" s="303">
        <f>AJ138</f>
        <v>40</v>
      </c>
      <c r="AK139" s="231">
        <f>AF139+AI139-AJ139</f>
        <v>1273</v>
      </c>
      <c r="AL139" s="121"/>
      <c r="AM139" s="6"/>
      <c r="AN139" s="35"/>
      <c r="AO139" s="612"/>
      <c r="AP139" s="121"/>
      <c r="AQ139" s="6"/>
      <c r="AR139" s="35"/>
      <c r="AS139" s="612"/>
      <c r="AT139" s="21"/>
      <c r="AU139" s="6"/>
      <c r="AV139" s="35"/>
      <c r="AW139" s="713"/>
      <c r="AX139" s="713"/>
      <c r="AY139" s="394">
        <f>SUM(M139,AG139,BA139)-SUM(O139,AI139,BC139)-L139</f>
        <v>-408</v>
      </c>
      <c r="AZ139" s="29">
        <f t="shared" ref="AZ139:AZ145" si="291">AK139</f>
        <v>1273</v>
      </c>
      <c r="BA139" s="298">
        <f>BA138</f>
        <v>865</v>
      </c>
      <c r="BB139" s="5">
        <f t="shared" ref="BB139:BB141" si="292">BA139-AZ139</f>
        <v>-408</v>
      </c>
      <c r="BC139" s="256"/>
      <c r="BD139" s="303">
        <f>BD138</f>
        <v>869</v>
      </c>
      <c r="BE139" s="231">
        <f>AZ139+BC139-BD139</f>
        <v>404</v>
      </c>
      <c r="BF139" s="121"/>
      <c r="BG139" s="6"/>
      <c r="BH139" s="35"/>
      <c r="BI139" s="612"/>
      <c r="BJ139" s="121"/>
      <c r="BK139" s="6"/>
      <c r="BL139" s="35"/>
      <c r="BM139" s="612"/>
      <c r="BN139" s="21"/>
      <c r="BO139" s="6"/>
      <c r="BP139" s="35"/>
      <c r="BQ139" s="713"/>
      <c r="BR139" s="713"/>
      <c r="BS139" s="394">
        <f>SUM(M139,AG139,BA139,BU139)-SUM(O139,AI139,BC139,BW139)-L139</f>
        <v>-953</v>
      </c>
      <c r="BT139" s="29">
        <f t="shared" ref="BT139:BT145" si="293">BE139</f>
        <v>404</v>
      </c>
      <c r="BU139" s="298">
        <f>BU138</f>
        <v>155</v>
      </c>
      <c r="BV139" s="5">
        <f t="shared" ref="BV139:BV141" si="294">BU139-BT139</f>
        <v>-249</v>
      </c>
      <c r="BW139" s="621">
        <v>700</v>
      </c>
      <c r="BX139" s="303">
        <f>BX138</f>
        <v>54</v>
      </c>
      <c r="BY139" s="231">
        <f>BT139+BW139-BX139</f>
        <v>1050</v>
      </c>
      <c r="BZ139" s="121"/>
      <c r="CA139" s="6"/>
      <c r="CB139" s="35"/>
      <c r="CC139" s="612"/>
      <c r="CD139" s="121"/>
      <c r="CE139" s="6"/>
      <c r="CF139" s="625" t="s">
        <v>927</v>
      </c>
      <c r="CG139" s="787"/>
      <c r="CH139" s="21"/>
      <c r="CI139" s="6"/>
      <c r="CJ139" s="35"/>
      <c r="CK139" s="713"/>
      <c r="CL139" s="713"/>
      <c r="CM139" s="394">
        <f>SUM(M139,AG139,BA139,BU139,CO139)-SUM(O139,AI139,BC139,BW139,CQ139)-L139</f>
        <v>-953</v>
      </c>
      <c r="CN139" s="29">
        <f t="shared" ref="CN139:CN145" si="295">BY139</f>
        <v>1050</v>
      </c>
      <c r="CO139" s="298">
        <f>CO138</f>
        <v>0</v>
      </c>
      <c r="CP139" s="5">
        <f t="shared" ref="CP139:CP141" si="296">CO139-CN139</f>
        <v>-1050</v>
      </c>
      <c r="CQ139" s="256"/>
      <c r="CR139" s="303">
        <f>CR138</f>
        <v>0</v>
      </c>
      <c r="CS139" s="231">
        <f>CN139+CQ139-CR139</f>
        <v>1050</v>
      </c>
      <c r="CT139" s="121"/>
      <c r="CU139" s="6"/>
      <c r="CV139" s="35"/>
      <c r="CW139" s="612"/>
      <c r="CX139" s="121"/>
      <c r="CY139" s="6"/>
      <c r="CZ139" s="35"/>
      <c r="DA139" s="612"/>
      <c r="DB139" s="21"/>
      <c r="DC139" s="6"/>
      <c r="DD139" s="35"/>
      <c r="DE139" s="713"/>
      <c r="DF139" s="713"/>
      <c r="DG139" s="394">
        <f>SUM(M139,AG139,BA139,BU139,DI139)-SUM(O139,AI139,BC139,BW139,CQ139)-L139</f>
        <v>-953</v>
      </c>
      <c r="DH139" s="29">
        <f>BY139</f>
        <v>1050</v>
      </c>
      <c r="DI139" s="298">
        <f>DI138</f>
        <v>0</v>
      </c>
      <c r="DJ139" s="5">
        <f t="shared" ref="DJ139:DJ141" si="297">DI139-DH139</f>
        <v>-1050</v>
      </c>
      <c r="DK139" s="240"/>
      <c r="DL139" s="303">
        <f>DL138</f>
        <v>0</v>
      </c>
      <c r="DM139" s="231">
        <f>DH139+DK139-DL139</f>
        <v>1050</v>
      </c>
    </row>
    <row r="140" spans="1:117" ht="30" x14ac:dyDescent="0.25">
      <c r="A140" s="18"/>
      <c r="B140" s="11" t="s">
        <v>275</v>
      </c>
      <c r="C140" s="18">
        <v>1</v>
      </c>
      <c r="D140" s="11"/>
      <c r="E140" s="11"/>
      <c r="F140" s="568">
        <v>1924.29</v>
      </c>
      <c r="G140" s="74" t="s">
        <v>211</v>
      </c>
      <c r="H140" s="25" t="s">
        <v>92</v>
      </c>
      <c r="I140" s="24"/>
      <c r="J140" s="536">
        <f>SUM(M140,AG140,BA140,BU140)-L140</f>
        <v>943</v>
      </c>
      <c r="K140" s="394">
        <f t="shared" si="288"/>
        <v>-617</v>
      </c>
      <c r="L140" s="544">
        <f>149+5</f>
        <v>154</v>
      </c>
      <c r="M140" s="298">
        <f>M138</f>
        <v>37</v>
      </c>
      <c r="N140" s="5">
        <f t="shared" si="289"/>
        <v>-117</v>
      </c>
      <c r="O140" s="256">
        <v>500</v>
      </c>
      <c r="P140" s="303">
        <f>P138</f>
        <v>37</v>
      </c>
      <c r="Q140" s="231">
        <f t="shared" ref="Q140:Q145" si="298">L140+O140-P140</f>
        <v>617</v>
      </c>
      <c r="R140" s="121"/>
      <c r="S140" s="6"/>
      <c r="T140" s="35"/>
      <c r="U140" s="612"/>
      <c r="V140" s="570">
        <f>$F$140*40%*700</f>
        <v>538801.19999999995</v>
      </c>
      <c r="W140" s="579">
        <f>$F$140*60%*500</f>
        <v>577286.99999999988</v>
      </c>
      <c r="X140" s="257" t="s">
        <v>713</v>
      </c>
      <c r="Y140" s="730"/>
      <c r="Z140" s="21"/>
      <c r="AA140" s="6"/>
      <c r="AB140" s="35"/>
      <c r="AC140" s="713"/>
      <c r="AD140" s="713"/>
      <c r="AE140" s="394">
        <f>SUM(M140,AG140)-SUM(O140,AI140)-L140</f>
        <v>-1277</v>
      </c>
      <c r="AF140" s="29">
        <f>Q140</f>
        <v>617</v>
      </c>
      <c r="AG140" s="298">
        <f>AG138</f>
        <v>40</v>
      </c>
      <c r="AH140" s="5">
        <f t="shared" si="290"/>
        <v>-577</v>
      </c>
      <c r="AI140" s="256">
        <v>700</v>
      </c>
      <c r="AJ140" s="303">
        <f>AJ138</f>
        <v>40</v>
      </c>
      <c r="AK140" s="231">
        <f t="shared" ref="AK140:AK145" si="299">AF140+AI140-AJ140</f>
        <v>1277</v>
      </c>
      <c r="AL140" s="121"/>
      <c r="AM140" s="6"/>
      <c r="AN140" s="35"/>
      <c r="AO140" s="612"/>
      <c r="AP140" s="121"/>
      <c r="AQ140" s="6"/>
      <c r="AR140" s="35"/>
      <c r="AS140" s="612"/>
      <c r="AT140" s="21"/>
      <c r="AU140" s="6">
        <f>$F$140*60%*700</f>
        <v>808201.79999999993</v>
      </c>
      <c r="AV140" s="35" t="s">
        <v>714</v>
      </c>
      <c r="AW140" s="713"/>
      <c r="AX140" s="713"/>
      <c r="AY140" s="394">
        <f>SUM(M140,AG140,BA140)-SUM(O140,AI140,BC140)-L140</f>
        <v>-412</v>
      </c>
      <c r="AZ140" s="29">
        <f t="shared" si="291"/>
        <v>1277</v>
      </c>
      <c r="BA140" s="298">
        <f>BA138</f>
        <v>865</v>
      </c>
      <c r="BB140" s="5">
        <f t="shared" si="292"/>
        <v>-412</v>
      </c>
      <c r="BC140" s="256"/>
      <c r="BD140" s="303">
        <f>BD138</f>
        <v>869</v>
      </c>
      <c r="BE140" s="231">
        <f t="shared" ref="BE140:BE145" si="300">AZ140+BC140-BD140</f>
        <v>408</v>
      </c>
      <c r="BF140" s="121"/>
      <c r="BG140" s="6"/>
      <c r="BH140" s="35"/>
      <c r="BI140" s="612"/>
      <c r="BJ140" s="121"/>
      <c r="BK140" s="6"/>
      <c r="BL140" s="35"/>
      <c r="BM140" s="612"/>
      <c r="BN140" s="121"/>
      <c r="BO140" s="6"/>
      <c r="BP140" s="35"/>
      <c r="BQ140" s="713"/>
      <c r="BR140" s="713"/>
      <c r="BS140" s="394">
        <f>SUM(M140,AG140,BA140,BU140)-SUM(O140,AI140,BC140,BW140)-L140</f>
        <v>-957</v>
      </c>
      <c r="BT140" s="29">
        <f t="shared" si="293"/>
        <v>408</v>
      </c>
      <c r="BU140" s="298">
        <f>BU138</f>
        <v>155</v>
      </c>
      <c r="BV140" s="5">
        <f t="shared" si="294"/>
        <v>-253</v>
      </c>
      <c r="BW140" s="621">
        <v>700</v>
      </c>
      <c r="BX140" s="303">
        <f>BX138</f>
        <v>54</v>
      </c>
      <c r="BY140" s="231">
        <f t="shared" ref="BY140:BY145" si="301">BT140+BW140-BX140</f>
        <v>1054</v>
      </c>
      <c r="BZ140" s="121"/>
      <c r="CA140" s="6"/>
      <c r="CB140" s="35"/>
      <c r="CC140" s="612"/>
      <c r="CD140" s="666">
        <v>673470</v>
      </c>
      <c r="CE140" s="663"/>
      <c r="CF140" s="667" t="s">
        <v>895</v>
      </c>
      <c r="CG140" s="790"/>
      <c r="CH140" s="21"/>
      <c r="CI140" s="199"/>
      <c r="CJ140" s="35"/>
      <c r="CK140" s="713"/>
      <c r="CL140" s="713"/>
      <c r="CM140" s="394">
        <f>SUM(M140,AG140,BA140,BU140,CO140)-SUM(O140,AI140,BC140,BW140,CQ140)-L140</f>
        <v>-957</v>
      </c>
      <c r="CN140" s="29">
        <f t="shared" si="295"/>
        <v>1054</v>
      </c>
      <c r="CO140" s="298">
        <f>CO138</f>
        <v>0</v>
      </c>
      <c r="CP140" s="5">
        <f t="shared" si="296"/>
        <v>-1054</v>
      </c>
      <c r="CQ140" s="256"/>
      <c r="CR140" s="303">
        <f>CR138</f>
        <v>0</v>
      </c>
      <c r="CS140" s="231">
        <f t="shared" ref="CS140:CS145" si="302">CN140+CQ140-CR140</f>
        <v>1054</v>
      </c>
      <c r="CT140" s="121"/>
      <c r="CU140" s="629">
        <v>673501.5</v>
      </c>
      <c r="CV140" s="635" t="s">
        <v>808</v>
      </c>
      <c r="CW140" s="635"/>
      <c r="CX140" s="121"/>
      <c r="CY140" s="6"/>
      <c r="CZ140" s="35"/>
      <c r="DA140" s="612"/>
      <c r="DB140" s="21"/>
      <c r="DC140" s="6"/>
      <c r="DD140" s="35"/>
      <c r="DE140" s="713"/>
      <c r="DF140" s="713"/>
      <c r="DG140" s="394">
        <f>SUM(M140,AG140,BA140,BU140,DI140)-SUM(O140,AI140,BC140,BW140,CQ140)-L140</f>
        <v>-957</v>
      </c>
      <c r="DH140" s="29">
        <f t="shared" ref="DH140:DH141" si="303">BY140</f>
        <v>1054</v>
      </c>
      <c r="DI140" s="298">
        <f>DI138</f>
        <v>0</v>
      </c>
      <c r="DJ140" s="5">
        <f t="shared" si="297"/>
        <v>-1054</v>
      </c>
      <c r="DK140" s="240"/>
      <c r="DL140" s="303">
        <f>DL138</f>
        <v>0</v>
      </c>
      <c r="DM140" s="231">
        <f t="shared" ref="DM140:DM141" si="304">DH140+DK140-DL140</f>
        <v>1054</v>
      </c>
    </row>
    <row r="141" spans="1:117" ht="30" x14ac:dyDescent="0.25">
      <c r="A141" s="18"/>
      <c r="B141" s="11" t="s">
        <v>600</v>
      </c>
      <c r="C141" s="18">
        <v>1</v>
      </c>
      <c r="D141" s="345" t="s">
        <v>749</v>
      </c>
      <c r="E141" s="345"/>
      <c r="F141" s="580">
        <v>11.57</v>
      </c>
      <c r="G141" s="23" t="s">
        <v>757</v>
      </c>
      <c r="H141" s="25"/>
      <c r="I141" s="24"/>
      <c r="J141" s="536">
        <f>SUM(M141,AG141,BA141,BU141)-L141</f>
        <v>441</v>
      </c>
      <c r="K141" s="394">
        <f t="shared" si="288"/>
        <v>-1319</v>
      </c>
      <c r="L141" s="544">
        <v>656</v>
      </c>
      <c r="M141" s="298">
        <f>M138</f>
        <v>37</v>
      </c>
      <c r="N141" s="5">
        <f t="shared" si="289"/>
        <v>-619</v>
      </c>
      <c r="O141" s="256">
        <v>700</v>
      </c>
      <c r="P141" s="303">
        <f>P138</f>
        <v>37</v>
      </c>
      <c r="Q141" s="231">
        <f t="shared" si="298"/>
        <v>1319</v>
      </c>
      <c r="R141" s="21"/>
      <c r="S141" s="6"/>
      <c r="T141" s="35"/>
      <c r="U141" s="612"/>
      <c r="V141" s="121"/>
      <c r="W141" s="6"/>
      <c r="X141" s="35"/>
      <c r="Y141" s="612"/>
      <c r="Z141" s="573">
        <f>$F$141*100%*700</f>
        <v>8099</v>
      </c>
      <c r="AA141" s="6"/>
      <c r="AB141" s="35" t="s">
        <v>744</v>
      </c>
      <c r="AC141" s="713"/>
      <c r="AD141" s="713"/>
      <c r="AE141" s="394">
        <f>SUM(M141,AG141)-SUM(O141,AI141)-L141</f>
        <v>-1279</v>
      </c>
      <c r="AF141" s="29">
        <f>Q141</f>
        <v>1319</v>
      </c>
      <c r="AG141" s="298">
        <f>AG138</f>
        <v>40</v>
      </c>
      <c r="AH141" s="5">
        <f t="shared" si="290"/>
        <v>-1279</v>
      </c>
      <c r="AI141" s="258"/>
      <c r="AJ141" s="303">
        <f>AJ138</f>
        <v>40</v>
      </c>
      <c r="AK141" s="231">
        <f t="shared" si="299"/>
        <v>1279</v>
      </c>
      <c r="AL141" s="21"/>
      <c r="AM141" s="6"/>
      <c r="AN141" s="35"/>
      <c r="AO141" s="612"/>
      <c r="AP141" s="21"/>
      <c r="AQ141" s="6"/>
      <c r="AR141" s="35"/>
      <c r="AS141" s="612"/>
      <c r="AT141" s="21"/>
      <c r="AU141" s="6"/>
      <c r="AV141" s="35"/>
      <c r="AW141" s="713"/>
      <c r="AX141" s="713"/>
      <c r="AY141" s="394">
        <f>SUM(M141,AG141,BA141)-SUM(O141,AI141,BC141)-L141</f>
        <v>-414</v>
      </c>
      <c r="AZ141" s="607">
        <v>1270</v>
      </c>
      <c r="BA141" s="298">
        <f>BA138</f>
        <v>865</v>
      </c>
      <c r="BB141" s="5">
        <f t="shared" si="292"/>
        <v>-405</v>
      </c>
      <c r="BC141" s="256"/>
      <c r="BD141" s="303">
        <f>BD138</f>
        <v>869</v>
      </c>
      <c r="BE141" s="231">
        <f t="shared" si="300"/>
        <v>401</v>
      </c>
      <c r="BF141" s="21"/>
      <c r="BG141" s="6"/>
      <c r="BH141" s="35"/>
      <c r="BI141" s="612"/>
      <c r="BJ141" s="21"/>
      <c r="BK141" s="6"/>
      <c r="BL141" s="35"/>
      <c r="BM141" s="612"/>
      <c r="BN141" s="21"/>
      <c r="BO141" s="6"/>
      <c r="BP141" s="35"/>
      <c r="BQ141" s="713"/>
      <c r="BR141" s="713"/>
      <c r="BS141" s="394">
        <f>SUM(M141,AG141,BA141,BU141)-SUM(O141,AI141,BC141,BW141)-L141</f>
        <v>-959</v>
      </c>
      <c r="BT141" s="29">
        <f t="shared" si="293"/>
        <v>401</v>
      </c>
      <c r="BU141" s="298">
        <f>BU138</f>
        <v>155</v>
      </c>
      <c r="BV141" s="5">
        <f t="shared" si="294"/>
        <v>-246</v>
      </c>
      <c r="BW141" s="240">
        <v>700</v>
      </c>
      <c r="BX141" s="303">
        <f>BX138</f>
        <v>54</v>
      </c>
      <c r="BY141" s="231">
        <f t="shared" si="301"/>
        <v>1047</v>
      </c>
      <c r="BZ141" s="121"/>
      <c r="CA141" s="6"/>
      <c r="CD141" s="215"/>
      <c r="CE141" s="199"/>
      <c r="CF141" s="240"/>
      <c r="CG141" s="789"/>
      <c r="CH141" s="21"/>
      <c r="CI141" s="199">
        <f>F141*BW141</f>
        <v>8099</v>
      </c>
      <c r="CJ141" s="248" t="s">
        <v>808</v>
      </c>
      <c r="CK141" s="248"/>
      <c r="CL141" s="248"/>
      <c r="CM141" s="394">
        <f>SUM(M141,AG141,BA141,BU141,CO141)-SUM(O141,AI141,BC141,BW141,CQ141)-L141</f>
        <v>-959</v>
      </c>
      <c r="CN141" s="29">
        <f t="shared" si="295"/>
        <v>1047</v>
      </c>
      <c r="CO141" s="298">
        <f>CO138</f>
        <v>0</v>
      </c>
      <c r="CP141" s="5">
        <f t="shared" si="296"/>
        <v>-1047</v>
      </c>
      <c r="CQ141" s="240"/>
      <c r="CR141" s="303">
        <f>CR138</f>
        <v>0</v>
      </c>
      <c r="CS141" s="231">
        <f t="shared" si="302"/>
        <v>1047</v>
      </c>
      <c r="CT141" s="21"/>
      <c r="CU141" s="6"/>
      <c r="CV141" s="35"/>
      <c r="CW141" s="612"/>
      <c r="CX141" s="121"/>
      <c r="CY141" s="6"/>
      <c r="CZ141" s="35"/>
      <c r="DA141" s="612"/>
      <c r="DB141" s="21"/>
      <c r="DC141" s="6"/>
      <c r="DD141" s="35"/>
      <c r="DE141" s="713"/>
      <c r="DF141" s="713"/>
      <c r="DG141" s="394">
        <f>SUM(M141,AG141,BA141,BU141,DI141)-SUM(O141,AI141,BC141,BW141,CQ141)-L141</f>
        <v>-959</v>
      </c>
      <c r="DH141" s="29">
        <f t="shared" si="303"/>
        <v>1047</v>
      </c>
      <c r="DI141" s="298">
        <f>DI138</f>
        <v>0</v>
      </c>
      <c r="DJ141" s="5">
        <f t="shared" si="297"/>
        <v>-1047</v>
      </c>
      <c r="DK141" s="240"/>
      <c r="DL141" s="303">
        <f>DL138</f>
        <v>0</v>
      </c>
      <c r="DM141" s="231">
        <f t="shared" si="304"/>
        <v>1047</v>
      </c>
    </row>
    <row r="142" spans="1:117" x14ac:dyDescent="0.25">
      <c r="A142" s="360"/>
      <c r="B142" s="503" t="s">
        <v>250</v>
      </c>
      <c r="C142" s="360"/>
      <c r="D142" s="361"/>
      <c r="E142" s="361"/>
      <c r="F142" s="362"/>
      <c r="G142" s="509"/>
      <c r="H142" s="363"/>
      <c r="I142" s="351"/>
      <c r="J142" s="351"/>
      <c r="K142" s="351"/>
      <c r="L142" s="364"/>
      <c r="M142" s="374"/>
      <c r="N142" s="374"/>
      <c r="O142" s="374"/>
      <c r="P142" s="375"/>
      <c r="Q142" s="365"/>
      <c r="R142" s="369"/>
      <c r="S142" s="367"/>
      <c r="T142" s="368"/>
      <c r="U142" s="718"/>
      <c r="V142" s="366"/>
      <c r="W142" s="367"/>
      <c r="X142" s="368"/>
      <c r="Y142" s="718"/>
      <c r="Z142" s="369"/>
      <c r="AA142" s="367"/>
      <c r="AB142" s="368"/>
      <c r="AC142" s="726"/>
      <c r="AD142" s="726"/>
      <c r="AE142" s="351"/>
      <c r="AF142" s="364"/>
      <c r="AG142" s="374"/>
      <c r="AH142" s="374"/>
      <c r="AI142" s="441"/>
      <c r="AJ142" s="375"/>
      <c r="AK142" s="365"/>
      <c r="AL142" s="369"/>
      <c r="AM142" s="367"/>
      <c r="AN142" s="368"/>
      <c r="AO142" s="718"/>
      <c r="AP142" s="366"/>
      <c r="AQ142" s="367"/>
      <c r="AR142" s="368"/>
      <c r="AS142" s="718"/>
      <c r="AT142" s="369"/>
      <c r="AU142" s="367"/>
      <c r="AV142" s="368"/>
      <c r="AW142" s="726"/>
      <c r="AX142" s="726"/>
      <c r="AY142" s="351"/>
      <c r="AZ142" s="364"/>
      <c r="BA142" s="374"/>
      <c r="BB142" s="374"/>
      <c r="BC142" s="441"/>
      <c r="BD142" s="375"/>
      <c r="BE142" s="365"/>
      <c r="BF142" s="369"/>
      <c r="BG142" s="367"/>
      <c r="BH142" s="368"/>
      <c r="BI142" s="718"/>
      <c r="BJ142" s="366"/>
      <c r="BK142" s="367"/>
      <c r="BL142" s="368"/>
      <c r="BM142" s="718"/>
      <c r="BN142" s="369"/>
      <c r="BO142" s="367"/>
      <c r="BP142" s="368"/>
      <c r="BQ142" s="726"/>
      <c r="BR142" s="726"/>
      <c r="BS142" s="351"/>
      <c r="BT142" s="364"/>
      <c r="BU142" s="374"/>
      <c r="BV142" s="374"/>
      <c r="BW142" s="375"/>
      <c r="BX142" s="375"/>
      <c r="BY142" s="365"/>
      <c r="BZ142" s="369"/>
      <c r="CA142" s="367"/>
      <c r="CB142" s="368"/>
      <c r="CC142" s="718"/>
      <c r="CD142" s="366"/>
      <c r="CE142" s="367"/>
      <c r="CF142" s="368"/>
      <c r="CG142" s="718"/>
      <c r="CH142" s="369"/>
      <c r="CI142" s="369"/>
      <c r="CJ142" s="369"/>
      <c r="CK142" s="805"/>
      <c r="CL142" s="805"/>
      <c r="CM142" s="351"/>
      <c r="CN142" s="364"/>
      <c r="CO142" s="374"/>
      <c r="CP142" s="374"/>
      <c r="CQ142" s="375"/>
      <c r="CR142" s="375"/>
      <c r="CS142" s="365"/>
      <c r="CT142" s="369"/>
      <c r="CU142" s="367"/>
      <c r="CV142" s="368"/>
      <c r="CW142" s="718"/>
      <c r="CX142" s="366"/>
      <c r="CY142" s="367"/>
      <c r="CZ142" s="368"/>
      <c r="DA142" s="718"/>
      <c r="DB142" s="369"/>
      <c r="DC142" s="367"/>
      <c r="DD142" s="368"/>
      <c r="DE142" s="726"/>
      <c r="DF142" s="726"/>
      <c r="DG142" s="351"/>
      <c r="DH142" s="364"/>
      <c r="DI142" s="374"/>
      <c r="DJ142" s="374"/>
      <c r="DK142" s="375"/>
      <c r="DL142" s="375"/>
      <c r="DM142" s="365"/>
    </row>
    <row r="143" spans="1:117" x14ac:dyDescent="0.25">
      <c r="A143" s="18"/>
      <c r="B143" s="11" t="s">
        <v>769</v>
      </c>
      <c r="C143" s="18">
        <v>1</v>
      </c>
      <c r="D143" s="11"/>
      <c r="E143" s="11"/>
      <c r="F143" s="580">
        <v>273</v>
      </c>
      <c r="G143" s="74" t="s">
        <v>649</v>
      </c>
      <c r="H143" s="25"/>
      <c r="I143" s="24"/>
      <c r="J143" s="536">
        <f>SUM(M143,AG143,BA143,BU143)-L143</f>
        <v>948</v>
      </c>
      <c r="K143" s="394">
        <f t="shared" si="288"/>
        <v>-612</v>
      </c>
      <c r="L143" s="544">
        <v>149</v>
      </c>
      <c r="M143" s="298">
        <f>M138</f>
        <v>37</v>
      </c>
      <c r="N143" s="5">
        <f>M143-L143</f>
        <v>-112</v>
      </c>
      <c r="O143" s="256">
        <v>500</v>
      </c>
      <c r="P143" s="303">
        <f>P138</f>
        <v>37</v>
      </c>
      <c r="Q143" s="231">
        <f>L143+O143-P143</f>
        <v>612</v>
      </c>
      <c r="R143" s="21"/>
      <c r="S143" s="21"/>
      <c r="T143" s="35"/>
      <c r="U143" s="612"/>
      <c r="V143" s="121"/>
      <c r="W143" s="573">
        <f>$F$143*50%*500</f>
        <v>68250</v>
      </c>
      <c r="X143" s="35" t="s">
        <v>687</v>
      </c>
      <c r="Y143" s="612"/>
      <c r="Z143" s="121"/>
      <c r="AA143" s="6"/>
      <c r="AB143" s="35"/>
      <c r="AC143" s="713"/>
      <c r="AD143" s="713"/>
      <c r="AE143" s="394">
        <f>SUM(M143,AG143)-SUM(O143,AI143)-L143</f>
        <v>-1272</v>
      </c>
      <c r="AF143" s="29">
        <f>Q143</f>
        <v>612</v>
      </c>
      <c r="AG143" s="298">
        <f>AG138</f>
        <v>40</v>
      </c>
      <c r="AH143" s="5">
        <f>AG143-AF143</f>
        <v>-572</v>
      </c>
      <c r="AI143" s="599">
        <v>700</v>
      </c>
      <c r="AJ143" s="303">
        <f>AJ138</f>
        <v>40</v>
      </c>
      <c r="AK143" s="231">
        <f>AF143+AI143-AJ143</f>
        <v>1272</v>
      </c>
      <c r="AL143" s="604">
        <f>$F$143*50%*700</f>
        <v>95550</v>
      </c>
      <c r="AM143" s="6"/>
      <c r="AN143" s="35" t="s">
        <v>770</v>
      </c>
      <c r="AO143" s="612"/>
      <c r="AP143" s="121"/>
      <c r="AQ143" s="6">
        <f>$F$143*50%*700</f>
        <v>95550</v>
      </c>
      <c r="AR143" s="35" t="s">
        <v>771</v>
      </c>
      <c r="AS143" s="612"/>
      <c r="AT143" s="21"/>
      <c r="AU143" s="6"/>
      <c r="AV143" s="35"/>
      <c r="AW143" s="713"/>
      <c r="AX143" s="713"/>
      <c r="AY143" s="394">
        <f>SUM(M143,AG143,BA143)-SUM(O143,AI143,BC143)-L143</f>
        <v>-407</v>
      </c>
      <c r="AZ143" s="29">
        <f>AK143</f>
        <v>1272</v>
      </c>
      <c r="BA143" s="298">
        <f>BA138</f>
        <v>865</v>
      </c>
      <c r="BB143" s="5">
        <f>BA143-AZ143</f>
        <v>-407</v>
      </c>
      <c r="BC143" s="256"/>
      <c r="BD143" s="303">
        <f>BD138</f>
        <v>869</v>
      </c>
      <c r="BE143" s="231">
        <f>AZ143+BC143-BD143</f>
        <v>403</v>
      </c>
      <c r="BF143" s="21"/>
      <c r="BG143" s="6"/>
      <c r="BH143" s="35"/>
      <c r="BI143" s="612"/>
      <c r="BJ143" s="21"/>
      <c r="BK143" s="6"/>
      <c r="BL143" s="35"/>
      <c r="BM143" s="612"/>
      <c r="BN143" s="121"/>
      <c r="BO143" s="6"/>
      <c r="BP143" s="35"/>
      <c r="BQ143" s="713"/>
      <c r="BR143" s="713"/>
      <c r="BS143" s="394">
        <f>SUM(M143,AG143,BA143,BU143)-SUM(O143,AI143,BC143,BW143)-L143</f>
        <v>-952</v>
      </c>
      <c r="BT143" s="29">
        <f>BE143</f>
        <v>403</v>
      </c>
      <c r="BU143" s="298">
        <f>BU138</f>
        <v>155</v>
      </c>
      <c r="BV143" s="5">
        <f>BU143-BT143</f>
        <v>-248</v>
      </c>
      <c r="BW143" s="649">
        <v>700</v>
      </c>
      <c r="BX143" s="303">
        <f>BX138</f>
        <v>54</v>
      </c>
      <c r="BY143" s="231">
        <f>BT143+BW143-BX143</f>
        <v>1049</v>
      </c>
      <c r="BZ143" s="121"/>
      <c r="CA143" s="6"/>
      <c r="CB143" s="1" t="s">
        <v>648</v>
      </c>
      <c r="CD143" s="215"/>
      <c r="CE143" s="6"/>
      <c r="CF143" s="248"/>
      <c r="CG143" s="248"/>
      <c r="CH143" s="215">
        <v>95550</v>
      </c>
      <c r="CI143" s="6"/>
      <c r="CJ143" s="248" t="s">
        <v>807</v>
      </c>
      <c r="CK143" s="248"/>
      <c r="CL143" s="248"/>
      <c r="CM143" s="394">
        <f>SUM(M143,AG143,BA143,BU143,CO143)-SUM(O143,AI143,BC143,BW143,CQ143)-L143</f>
        <v>-952</v>
      </c>
      <c r="CN143" s="29">
        <f>BY143</f>
        <v>1049</v>
      </c>
      <c r="CO143" s="298">
        <f>CO138</f>
        <v>0</v>
      </c>
      <c r="CP143" s="5">
        <f>CO143-CN143</f>
        <v>-1049</v>
      </c>
      <c r="CQ143" s="256"/>
      <c r="CR143" s="303">
        <f>CR138</f>
        <v>0</v>
      </c>
      <c r="CS143" s="231">
        <f>CN143+CQ143-CR143</f>
        <v>1049</v>
      </c>
      <c r="CT143" s="21"/>
      <c r="CU143" s="235">
        <v>95550</v>
      </c>
      <c r="CV143" s="248" t="s">
        <v>808</v>
      </c>
      <c r="CW143" s="248"/>
      <c r="CX143" s="121"/>
      <c r="CY143" s="6"/>
      <c r="CZ143" s="35"/>
      <c r="DA143" s="612"/>
      <c r="DB143" s="21"/>
      <c r="DC143" s="6"/>
      <c r="DD143" s="35"/>
      <c r="DE143" s="713"/>
      <c r="DF143" s="713"/>
      <c r="DG143" s="394">
        <f>SUM(M143,AG143,BA143,BU143,DI143)-SUM(O143,AI143,BC143,BW143,CQ143)-L143</f>
        <v>-952</v>
      </c>
      <c r="DH143" s="29">
        <f>BY143</f>
        <v>1049</v>
      </c>
      <c r="DI143" s="298">
        <f>DI138</f>
        <v>0</v>
      </c>
      <c r="DJ143" s="5">
        <f>DI143-DH143</f>
        <v>-1049</v>
      </c>
      <c r="DK143" s="5"/>
      <c r="DL143" s="303">
        <f>DL138</f>
        <v>0</v>
      </c>
      <c r="DM143" s="231">
        <f>DH143+DK143-DL143</f>
        <v>1049</v>
      </c>
    </row>
    <row r="144" spans="1:117" x14ac:dyDescent="0.25">
      <c r="A144" s="18"/>
      <c r="B144" s="11" t="s">
        <v>530</v>
      </c>
      <c r="C144" s="18">
        <v>1</v>
      </c>
      <c r="D144" s="11"/>
      <c r="E144" s="11"/>
      <c r="F144" s="580">
        <v>273</v>
      </c>
      <c r="G144" s="74" t="s">
        <v>649</v>
      </c>
      <c r="H144" s="25"/>
      <c r="I144" s="24"/>
      <c r="J144" s="536">
        <f>SUM(M144,AG144,BA144,BU144)-L144</f>
        <v>948</v>
      </c>
      <c r="K144" s="394">
        <f t="shared" si="288"/>
        <v>-612</v>
      </c>
      <c r="L144" s="544">
        <v>149</v>
      </c>
      <c r="M144" s="298">
        <f>M138</f>
        <v>37</v>
      </c>
      <c r="N144" s="5">
        <f>M144-L144</f>
        <v>-112</v>
      </c>
      <c r="O144" s="256">
        <v>500</v>
      </c>
      <c r="P144" s="303">
        <f>P138</f>
        <v>37</v>
      </c>
      <c r="Q144" s="231">
        <f>L144+O144-P144</f>
        <v>612</v>
      </c>
      <c r="R144" s="21"/>
      <c r="S144" s="21"/>
      <c r="T144" s="35"/>
      <c r="U144" s="612"/>
      <c r="V144" s="121"/>
      <c r="W144" s="573">
        <f>$F$144*50%*500</f>
        <v>68250</v>
      </c>
      <c r="X144" s="35" t="s">
        <v>687</v>
      </c>
      <c r="Y144" s="612"/>
      <c r="Z144" s="21"/>
      <c r="AA144" s="6"/>
      <c r="AB144" s="35"/>
      <c r="AC144" s="713"/>
      <c r="AD144" s="713"/>
      <c r="AE144" s="394">
        <f>SUM(M144,AG144)-SUM(O144,AI144)-L144</f>
        <v>-1272</v>
      </c>
      <c r="AF144" s="29">
        <f>Q144</f>
        <v>612</v>
      </c>
      <c r="AG144" s="298">
        <f>AG138</f>
        <v>40</v>
      </c>
      <c r="AH144" s="5">
        <f>AG144-AF144</f>
        <v>-572</v>
      </c>
      <c r="AI144" s="599">
        <v>700</v>
      </c>
      <c r="AJ144" s="303">
        <f>AJ138</f>
        <v>40</v>
      </c>
      <c r="AK144" s="231">
        <f>AF144+AI144-AJ144</f>
        <v>1272</v>
      </c>
      <c r="AL144" s="605">
        <f>$F$144*50%*700</f>
        <v>95550</v>
      </c>
      <c r="AM144" s="6"/>
      <c r="AN144" s="35" t="s">
        <v>770</v>
      </c>
      <c r="AO144" s="612"/>
      <c r="AP144" s="121"/>
      <c r="AQ144" s="6">
        <f>$F$144*50%*700</f>
        <v>95550</v>
      </c>
      <c r="AR144" s="35" t="s">
        <v>771</v>
      </c>
      <c r="AS144" s="612"/>
      <c r="AT144" s="21"/>
      <c r="AU144" s="6"/>
      <c r="AV144" s="35"/>
      <c r="AW144" s="713"/>
      <c r="AX144" s="713"/>
      <c r="AY144" s="394">
        <f>SUM(M144,AG144,BA144)-SUM(O144,AI144,BC144)-L144</f>
        <v>-407</v>
      </c>
      <c r="AZ144" s="29">
        <f>AK144</f>
        <v>1272</v>
      </c>
      <c r="BA144" s="298">
        <f>BA138</f>
        <v>865</v>
      </c>
      <c r="BB144" s="5">
        <f>BA144-AZ144</f>
        <v>-407</v>
      </c>
      <c r="BC144" s="256"/>
      <c r="BD144" s="303">
        <f>BD138</f>
        <v>869</v>
      </c>
      <c r="BE144" s="231">
        <f>AZ144+BC144-BD144</f>
        <v>403</v>
      </c>
      <c r="BF144" s="21"/>
      <c r="BG144" s="6"/>
      <c r="BH144" s="35"/>
      <c r="BI144" s="612"/>
      <c r="BJ144" s="21"/>
      <c r="BK144" s="6"/>
      <c r="BL144" s="35"/>
      <c r="BM144" s="612"/>
      <c r="BN144" s="121"/>
      <c r="BO144" s="6"/>
      <c r="BP144" s="35"/>
      <c r="BQ144" s="713"/>
      <c r="BR144" s="713"/>
      <c r="BS144" s="394">
        <f>SUM(M144,AG144,BA144,BU144)-SUM(O144,AI144,BC144,BW144)-L144</f>
        <v>-952</v>
      </c>
      <c r="BT144" s="29">
        <f>BE144</f>
        <v>403</v>
      </c>
      <c r="BU144" s="298">
        <f>BU138</f>
        <v>155</v>
      </c>
      <c r="BV144" s="5">
        <f>BU144-BT144</f>
        <v>-248</v>
      </c>
      <c r="BW144" s="649">
        <v>700</v>
      </c>
      <c r="BX144" s="303">
        <f>BX138</f>
        <v>54</v>
      </c>
      <c r="BY144" s="231">
        <f>BT144+BW144-BX144</f>
        <v>1049</v>
      </c>
      <c r="BZ144" s="121"/>
      <c r="CA144" s="6"/>
      <c r="CB144" s="5" t="s">
        <v>648</v>
      </c>
      <c r="CC144" s="409"/>
      <c r="CD144" s="235"/>
      <c r="CE144" s="6"/>
      <c r="CF144" s="240"/>
      <c r="CG144" s="789"/>
      <c r="CH144" s="215">
        <v>95550</v>
      </c>
      <c r="CI144" s="6"/>
      <c r="CJ144" s="240" t="s">
        <v>807</v>
      </c>
      <c r="CK144" s="797"/>
      <c r="CL144" s="797"/>
      <c r="CM144" s="394">
        <f>SUM(M144,AG144,BA144,BU144,CO144)-SUM(O144,AI144,BC144,BW144,CQ144)-L144</f>
        <v>-952</v>
      </c>
      <c r="CN144" s="29">
        <f>BY144</f>
        <v>1049</v>
      </c>
      <c r="CO144" s="298">
        <f>CO138</f>
        <v>0</v>
      </c>
      <c r="CP144" s="5">
        <f>CO144-CN144</f>
        <v>-1049</v>
      </c>
      <c r="CQ144" s="256"/>
      <c r="CR144" s="303">
        <f>CR138</f>
        <v>0</v>
      </c>
      <c r="CS144" s="231">
        <f>CN144+CQ144-CR144</f>
        <v>1049</v>
      </c>
      <c r="CT144" s="21"/>
      <c r="CU144" s="235">
        <v>95550</v>
      </c>
      <c r="CV144" s="248" t="s">
        <v>808</v>
      </c>
      <c r="CW144" s="248"/>
      <c r="CX144" s="121"/>
      <c r="CY144" s="6"/>
      <c r="CZ144" s="35"/>
      <c r="DA144" s="612"/>
      <c r="DB144" s="21"/>
      <c r="DC144" s="6"/>
      <c r="DD144" s="35"/>
      <c r="DE144" s="713"/>
      <c r="DF144" s="713"/>
      <c r="DG144" s="394">
        <f>SUM(M144,AG144,BA144,BU144,DI144)-SUM(O144,AI144,BC144,BW144,CQ144)-L144</f>
        <v>-952</v>
      </c>
      <c r="DH144" s="29">
        <f t="shared" ref="DH144:DH145" si="305">BY144</f>
        <v>1049</v>
      </c>
      <c r="DI144" s="298">
        <f>DI138</f>
        <v>0</v>
      </c>
      <c r="DJ144" s="5">
        <f>DI144-DH144</f>
        <v>-1049</v>
      </c>
      <c r="DK144" s="5"/>
      <c r="DL144" s="303">
        <f>DL138</f>
        <v>0</v>
      </c>
      <c r="DM144" s="231">
        <f>DH144+DK144-DL144</f>
        <v>1049</v>
      </c>
    </row>
    <row r="145" spans="1:117" ht="15.75" thickBot="1" x14ac:dyDescent="0.3">
      <c r="A145" s="19"/>
      <c r="B145" s="12"/>
      <c r="C145" s="19"/>
      <c r="D145" s="12"/>
      <c r="E145" s="12"/>
      <c r="F145" s="146"/>
      <c r="G145" s="67"/>
      <c r="H145" s="28"/>
      <c r="I145" s="77"/>
      <c r="J145" s="540"/>
      <c r="K145" s="77"/>
      <c r="L145" s="29">
        <v>0</v>
      </c>
      <c r="M145" s="31"/>
      <c r="N145" s="31"/>
      <c r="O145" s="284"/>
      <c r="P145" s="241"/>
      <c r="Q145" s="232">
        <f t="shared" si="298"/>
        <v>0</v>
      </c>
      <c r="R145" s="200"/>
      <c r="S145" s="201"/>
      <c r="T145" s="36"/>
      <c r="U145" s="220"/>
      <c r="V145" s="200"/>
      <c r="W145" s="201"/>
      <c r="X145" s="36"/>
      <c r="Y145" s="220"/>
      <c r="Z145" s="122"/>
      <c r="AA145" s="201"/>
      <c r="AB145" s="36"/>
      <c r="AC145" s="712"/>
      <c r="AD145" s="712"/>
      <c r="AE145" s="77"/>
      <c r="AF145" s="29">
        <f>Q145</f>
        <v>0</v>
      </c>
      <c r="AG145" s="31"/>
      <c r="AH145" s="31"/>
      <c r="AI145" s="284"/>
      <c r="AJ145" s="241"/>
      <c r="AK145" s="232">
        <f t="shared" si="299"/>
        <v>0</v>
      </c>
      <c r="AL145" s="200"/>
      <c r="AM145" s="201"/>
      <c r="AN145" s="36"/>
      <c r="AO145" s="220"/>
      <c r="AP145" s="200"/>
      <c r="AQ145" s="201"/>
      <c r="AR145" s="36"/>
      <c r="AS145" s="220"/>
      <c r="AT145" s="122"/>
      <c r="AU145" s="201"/>
      <c r="AV145" s="36"/>
      <c r="AW145" s="712"/>
      <c r="AX145" s="712"/>
      <c r="AY145" s="77"/>
      <c r="AZ145" s="29">
        <f t="shared" si="291"/>
        <v>0</v>
      </c>
      <c r="BA145" s="31"/>
      <c r="BB145" s="31"/>
      <c r="BC145" s="284"/>
      <c r="BD145" s="241"/>
      <c r="BE145" s="232">
        <f t="shared" si="300"/>
        <v>0</v>
      </c>
      <c r="BF145" s="200"/>
      <c r="BG145" s="201"/>
      <c r="BH145" s="36"/>
      <c r="BI145" s="220"/>
      <c r="BJ145" s="200"/>
      <c r="BK145" s="201"/>
      <c r="BL145" s="36"/>
      <c r="BM145" s="220"/>
      <c r="BN145" s="122"/>
      <c r="BO145" s="201"/>
      <c r="BP145" s="36"/>
      <c r="BQ145" s="712"/>
      <c r="BR145" s="712"/>
      <c r="BS145" s="77"/>
      <c r="BT145" s="29">
        <f t="shared" si="293"/>
        <v>0</v>
      </c>
      <c r="BU145" s="31"/>
      <c r="BV145" s="31"/>
      <c r="BW145" s="284"/>
      <c r="BX145" s="241"/>
      <c r="BY145" s="232">
        <f t="shared" si="301"/>
        <v>0</v>
      </c>
      <c r="BZ145" s="200"/>
      <c r="CA145" s="201"/>
      <c r="CB145" s="36"/>
      <c r="CC145" s="220"/>
      <c r="CD145" s="200"/>
      <c r="CE145" s="201"/>
      <c r="CF145" s="36"/>
      <c r="CG145" s="220"/>
      <c r="CH145" s="122"/>
      <c r="CI145" s="201"/>
      <c r="CJ145" s="36"/>
      <c r="CK145" s="712"/>
      <c r="CL145" s="712"/>
      <c r="CM145" s="77"/>
      <c r="CN145" s="29">
        <f t="shared" si="295"/>
        <v>0</v>
      </c>
      <c r="CO145" s="31"/>
      <c r="CP145" s="31"/>
      <c r="CQ145" s="284"/>
      <c r="CR145" s="241"/>
      <c r="CS145" s="232">
        <f t="shared" si="302"/>
        <v>0</v>
      </c>
      <c r="CT145" s="200"/>
      <c r="CU145" s="201"/>
      <c r="CV145" s="36"/>
      <c r="CW145" s="220"/>
      <c r="CX145" s="200"/>
      <c r="CY145" s="201"/>
      <c r="CZ145" s="36"/>
      <c r="DA145" s="220"/>
      <c r="DB145" s="122"/>
      <c r="DC145" s="201"/>
      <c r="DD145" s="36"/>
      <c r="DE145" s="712"/>
      <c r="DF145" s="712"/>
      <c r="DG145" s="77"/>
      <c r="DH145" s="29">
        <f t="shared" si="305"/>
        <v>0</v>
      </c>
      <c r="DI145" s="31"/>
      <c r="DJ145" s="31"/>
      <c r="DK145" s="284"/>
      <c r="DL145" s="241"/>
      <c r="DM145" s="232">
        <f t="shared" ref="DM145" si="306">DH145+DK145-DL145</f>
        <v>0</v>
      </c>
    </row>
    <row r="146" spans="1:117" x14ac:dyDescent="0.25">
      <c r="A146" s="53"/>
      <c r="B146" s="52" t="s">
        <v>266</v>
      </c>
      <c r="C146" s="53"/>
      <c r="D146" s="51" t="s">
        <v>241</v>
      </c>
      <c r="E146" s="51"/>
      <c r="F146" s="338"/>
      <c r="G146" s="51"/>
      <c r="H146" s="54"/>
      <c r="I146" s="54"/>
      <c r="J146" s="53">
        <f>SUM(M146,AG146,BA146,BU146)</f>
        <v>129</v>
      </c>
      <c r="K146" s="53"/>
      <c r="L146" s="55"/>
      <c r="M146" s="56">
        <f>10+2-10</f>
        <v>2</v>
      </c>
      <c r="N146" s="56"/>
      <c r="O146" s="56"/>
      <c r="P146" s="243">
        <f>2</f>
        <v>2</v>
      </c>
      <c r="Q146" s="230"/>
      <c r="R146" s="119">
        <f>SUM(R147:R153)</f>
        <v>0</v>
      </c>
      <c r="S146" s="120">
        <f>SUM(S147:S153)</f>
        <v>0</v>
      </c>
      <c r="T146" s="57"/>
      <c r="U146" s="219"/>
      <c r="V146" s="119">
        <f>SUM(V147:V153)</f>
        <v>0</v>
      </c>
      <c r="W146" s="120">
        <f>SUM(W147:W153)</f>
        <v>123087.99999999999</v>
      </c>
      <c r="X146" s="57"/>
      <c r="Y146" s="219"/>
      <c r="Z146" s="119">
        <f>SUM(Z147:Z153)</f>
        <v>0</v>
      </c>
      <c r="AA146" s="120">
        <f>SUM(AA147:AA153)</f>
        <v>0</v>
      </c>
      <c r="AB146" s="57"/>
      <c r="AC146" s="230"/>
      <c r="AD146" s="230"/>
      <c r="AE146" s="53">
        <f>SUM(AG146,BA146,BU146)</f>
        <v>127</v>
      </c>
      <c r="AF146" s="55"/>
      <c r="AG146" s="56">
        <f>25-25+26</f>
        <v>26</v>
      </c>
      <c r="AH146" s="56"/>
      <c r="AI146" s="56"/>
      <c r="AJ146" s="243">
        <f>1+5+4+12+2+1+1</f>
        <v>26</v>
      </c>
      <c r="AK146" s="230"/>
      <c r="AL146" s="119">
        <f>SUM(AL147:AL153)</f>
        <v>0</v>
      </c>
      <c r="AM146" s="120">
        <f>SUM(AM147:AM153)</f>
        <v>0</v>
      </c>
      <c r="AN146" s="57"/>
      <c r="AO146" s="219"/>
      <c r="AP146" s="119">
        <f>SUM(AP147:AP153)</f>
        <v>0</v>
      </c>
      <c r="AQ146" s="120">
        <f>SUM(AQ147:AQ153)</f>
        <v>0</v>
      </c>
      <c r="AR146" s="57"/>
      <c r="AS146" s="219"/>
      <c r="AT146" s="119">
        <f>SUM(AT147:AT153)</f>
        <v>0</v>
      </c>
      <c r="AU146" s="120">
        <f>SUM(AU147:AU153)</f>
        <v>0</v>
      </c>
      <c r="AV146" s="57"/>
      <c r="AW146" s="230"/>
      <c r="AX146" s="230"/>
      <c r="AY146" s="53">
        <f>SUM(BA146,BU146)</f>
        <v>101</v>
      </c>
      <c r="AZ146" s="55"/>
      <c r="BA146" s="56">
        <f>23-23+93-93+51</f>
        <v>51</v>
      </c>
      <c r="BB146" s="56"/>
      <c r="BC146" s="56"/>
      <c r="BD146" s="243">
        <f>2+32+2+10+5</f>
        <v>51</v>
      </c>
      <c r="BE146" s="230"/>
      <c r="BF146" s="119">
        <f>SUM(BF147:BF153)</f>
        <v>0</v>
      </c>
      <c r="BG146" s="120">
        <f>SUM(BG147:BG153)</f>
        <v>0</v>
      </c>
      <c r="BH146" s="57"/>
      <c r="BI146" s="219"/>
      <c r="BJ146" s="119">
        <f>SUM(BJ147:BJ153)</f>
        <v>0</v>
      </c>
      <c r="BK146" s="120">
        <f>SUM(BK147:BK153)</f>
        <v>0</v>
      </c>
      <c r="BL146" s="57"/>
      <c r="BM146" s="219"/>
      <c r="BN146" s="119">
        <f>SUM(BN147:BN153)</f>
        <v>0</v>
      </c>
      <c r="BO146" s="120">
        <f>SUM(BO147:BO153)</f>
        <v>0</v>
      </c>
      <c r="BP146" s="57"/>
      <c r="BQ146" s="230"/>
      <c r="BR146" s="230"/>
      <c r="BS146" s="53">
        <f>BU146</f>
        <v>50</v>
      </c>
      <c r="BT146" s="55"/>
      <c r="BU146" s="56">
        <f>42-42+50</f>
        <v>50</v>
      </c>
      <c r="BV146" s="56"/>
      <c r="BW146" s="56"/>
      <c r="BX146" s="243">
        <f>1+1+3+2+5+6+6+2</f>
        <v>26</v>
      </c>
      <c r="BY146" s="230"/>
      <c r="BZ146" s="119">
        <f>SUM(BZ147:BZ153)</f>
        <v>0</v>
      </c>
      <c r="CA146" s="120">
        <f>SUM(CA147:CA153)</f>
        <v>0</v>
      </c>
      <c r="CB146" s="57"/>
      <c r="CC146" s="219"/>
      <c r="CD146" s="119">
        <f>SUM(CD147:CD153)</f>
        <v>0</v>
      </c>
      <c r="CE146" s="120">
        <f>SUM(CE147:CE153)</f>
        <v>0</v>
      </c>
      <c r="CF146" s="57"/>
      <c r="CG146" s="219"/>
      <c r="CH146" s="119">
        <f>SUM(CH147:CH153)</f>
        <v>0</v>
      </c>
      <c r="CI146" s="120">
        <f>SUM(CI147:CI153)</f>
        <v>0</v>
      </c>
      <c r="CJ146" s="57"/>
      <c r="CK146" s="230"/>
      <c r="CL146" s="230"/>
      <c r="CM146" s="53">
        <f>CO146</f>
        <v>0</v>
      </c>
      <c r="CN146" s="55"/>
      <c r="CO146" s="243"/>
      <c r="CP146" s="56"/>
      <c r="CQ146" s="56"/>
      <c r="CR146" s="243"/>
      <c r="CS146" s="230"/>
      <c r="CT146" s="119">
        <f>SUM(CT147:CT153)</f>
        <v>0</v>
      </c>
      <c r="CU146" s="120">
        <f>SUM(CU147:CU153)</f>
        <v>0</v>
      </c>
      <c r="CV146" s="57"/>
      <c r="CW146" s="219"/>
      <c r="CX146" s="119">
        <f>SUM(CX147:CX153)</f>
        <v>0</v>
      </c>
      <c r="CY146" s="120">
        <f>SUM(CY147:CY153)</f>
        <v>0</v>
      </c>
      <c r="CZ146" s="57"/>
      <c r="DA146" s="219"/>
      <c r="DB146" s="119">
        <f>SUM(DB147:DB153)</f>
        <v>0</v>
      </c>
      <c r="DC146" s="120">
        <f>SUM(DC147:DC153)</f>
        <v>0</v>
      </c>
      <c r="DD146" s="57"/>
      <c r="DE146" s="230"/>
      <c r="DF146" s="230"/>
      <c r="DG146" s="53">
        <f>DI146</f>
        <v>0</v>
      </c>
      <c r="DH146" s="55"/>
      <c r="DI146" s="243"/>
      <c r="DJ146" s="56"/>
      <c r="DK146" s="56"/>
      <c r="DL146" s="243"/>
      <c r="DM146" s="230"/>
    </row>
    <row r="147" spans="1:117" x14ac:dyDescent="0.25">
      <c r="A147" s="18"/>
      <c r="B147" s="15" t="s">
        <v>215</v>
      </c>
      <c r="C147" s="18"/>
      <c r="D147" s="11"/>
      <c r="E147" s="11"/>
      <c r="F147" s="149"/>
      <c r="G147" s="15"/>
      <c r="H147" s="25"/>
      <c r="I147" s="24"/>
      <c r="J147" s="536">
        <f>SUM(M147,AG147,BA147,BU147)-L147</f>
        <v>16</v>
      </c>
      <c r="K147" s="394">
        <f t="shared" ref="K147:K152" si="307">M147-O147-L147</f>
        <v>-211</v>
      </c>
      <c r="L147" s="544">
        <v>113</v>
      </c>
      <c r="M147" s="298">
        <f>M146</f>
        <v>2</v>
      </c>
      <c r="N147" s="5">
        <f t="shared" ref="N147:N149" si="308">M147-L147</f>
        <v>-111</v>
      </c>
      <c r="O147" s="256">
        <v>100</v>
      </c>
      <c r="P147" s="303">
        <f>P146</f>
        <v>2</v>
      </c>
      <c r="Q147" s="231">
        <f>L147+O147-P147</f>
        <v>211</v>
      </c>
      <c r="R147" s="121"/>
      <c r="S147" s="6"/>
      <c r="T147" s="35"/>
      <c r="U147" s="612"/>
      <c r="V147" s="121"/>
      <c r="W147" s="6"/>
      <c r="X147" s="35"/>
      <c r="Y147" s="612"/>
      <c r="Z147" s="21"/>
      <c r="AA147" s="6"/>
      <c r="AB147" s="35"/>
      <c r="AC147" s="713"/>
      <c r="AD147" s="713"/>
      <c r="AE147" s="394">
        <f>SUM(M147,AG147)-SUM(O147,AI147)-L147</f>
        <v>-185</v>
      </c>
      <c r="AF147" s="29">
        <f>Q147</f>
        <v>211</v>
      </c>
      <c r="AG147" s="298">
        <f>AG146</f>
        <v>26</v>
      </c>
      <c r="AH147" s="5">
        <f t="shared" ref="AH147:AH149" si="309">AG147-AF147</f>
        <v>-185</v>
      </c>
      <c r="AI147" s="240"/>
      <c r="AJ147" s="303">
        <f>AJ146</f>
        <v>26</v>
      </c>
      <c r="AK147" s="231">
        <f>AF147+AI147-AJ147</f>
        <v>185</v>
      </c>
      <c r="AL147" s="121"/>
      <c r="AM147" s="6"/>
      <c r="AN147" s="35"/>
      <c r="AO147" s="612"/>
      <c r="AP147" s="121"/>
      <c r="AQ147" s="6"/>
      <c r="AR147" s="35"/>
      <c r="AS147" s="612"/>
      <c r="AT147" s="21"/>
      <c r="AU147" s="6"/>
      <c r="AV147" s="35"/>
      <c r="AW147" s="713"/>
      <c r="AX147" s="713"/>
      <c r="AY147" s="394">
        <f>SUM(M147,AG147,BA147)-SUM(O147,AI147,BC147)-L147</f>
        <v>-134</v>
      </c>
      <c r="AZ147" s="29">
        <f>AK147</f>
        <v>185</v>
      </c>
      <c r="BA147" s="298">
        <f>BA146</f>
        <v>51</v>
      </c>
      <c r="BB147" s="5">
        <f t="shared" ref="BB147:BB149" si="310">BA147-AZ147</f>
        <v>-134</v>
      </c>
      <c r="BC147" s="258"/>
      <c r="BD147" s="303">
        <f>BD146</f>
        <v>51</v>
      </c>
      <c r="BE147" s="231">
        <f>AZ147+BC147-BD147</f>
        <v>134</v>
      </c>
      <c r="BF147" s="121"/>
      <c r="BG147" s="6"/>
      <c r="BH147" s="35"/>
      <c r="BI147" s="612"/>
      <c r="BJ147" s="121"/>
      <c r="BK147" s="6"/>
      <c r="BL147" s="35"/>
      <c r="BM147" s="612"/>
      <c r="BN147" s="21"/>
      <c r="BO147" s="6"/>
      <c r="BP147" s="35"/>
      <c r="BQ147" s="713"/>
      <c r="BR147" s="713"/>
      <c r="BS147" s="394">
        <f>SUM(M147,AG147,BA147,BU147)-SUM(O147,AI147,BC147,BW147)-L147</f>
        <v>-84</v>
      </c>
      <c r="BT147" s="29">
        <f>BE147</f>
        <v>134</v>
      </c>
      <c r="BU147" s="298">
        <f>BU146</f>
        <v>50</v>
      </c>
      <c r="BV147" s="5">
        <f t="shared" ref="BV147:BV149" si="311">BU147-BT147</f>
        <v>-84</v>
      </c>
      <c r="BW147" s="256"/>
      <c r="BX147" s="303">
        <f>BX146</f>
        <v>26</v>
      </c>
      <c r="BY147" s="231">
        <f>BT147+BW147-BX147</f>
        <v>108</v>
      </c>
      <c r="BZ147" s="121"/>
      <c r="CA147" s="6"/>
      <c r="CB147" s="35"/>
      <c r="CC147" s="612"/>
      <c r="CD147" s="121"/>
      <c r="CE147" s="6"/>
      <c r="CF147" s="35"/>
      <c r="CG147" s="612"/>
      <c r="CH147" s="21"/>
      <c r="CI147" s="6"/>
      <c r="CJ147" s="35"/>
      <c r="CK147" s="713"/>
      <c r="CL147" s="713"/>
      <c r="CM147" s="394">
        <f>SUM(M147,AG147,BA147,BU147,CO147)-SUM(O147,AI147,BC147,BW147,CQ147)-L147</f>
        <v>-184</v>
      </c>
      <c r="CN147" s="29">
        <f>BY147</f>
        <v>108</v>
      </c>
      <c r="CO147" s="298">
        <f>CO146</f>
        <v>0</v>
      </c>
      <c r="CP147" s="5">
        <f t="shared" ref="CP147:CP149" si="312">CO147-CN147</f>
        <v>-108</v>
      </c>
      <c r="CQ147" s="240">
        <v>100</v>
      </c>
      <c r="CR147" s="303">
        <f>CR146</f>
        <v>0</v>
      </c>
      <c r="CS147" s="231">
        <f>CN147+CQ147-CR147</f>
        <v>208</v>
      </c>
      <c r="CT147" s="121"/>
      <c r="CU147" s="6"/>
      <c r="CV147" s="35"/>
      <c r="CW147" s="612"/>
      <c r="CX147" s="121"/>
      <c r="CY147" s="6"/>
      <c r="CZ147" s="35"/>
      <c r="DA147" s="612"/>
      <c r="DB147" s="21"/>
      <c r="DC147" s="6"/>
      <c r="DD147" s="35"/>
      <c r="DE147" s="713"/>
      <c r="DF147" s="713"/>
      <c r="DG147" s="394">
        <f>SUM(M147,AG147,BA147,BU147,DI147)-SUM(O147,AI147,BC147,BW147,CQ147)-L147</f>
        <v>-184</v>
      </c>
      <c r="DH147" s="29">
        <f>BY147</f>
        <v>108</v>
      </c>
      <c r="DI147" s="298">
        <f>DI146</f>
        <v>0</v>
      </c>
      <c r="DJ147" s="5">
        <f t="shared" ref="DJ147:DJ149" si="313">DI147-DH147</f>
        <v>-108</v>
      </c>
      <c r="DK147" s="240"/>
      <c r="DL147" s="303">
        <f>DL146</f>
        <v>0</v>
      </c>
      <c r="DM147" s="231">
        <f>DH147+DK147-DL147</f>
        <v>108</v>
      </c>
    </row>
    <row r="148" spans="1:117" x14ac:dyDescent="0.25">
      <c r="A148" s="18"/>
      <c r="B148" s="11" t="s">
        <v>276</v>
      </c>
      <c r="C148" s="18">
        <v>1</v>
      </c>
      <c r="D148" s="11"/>
      <c r="E148" s="11"/>
      <c r="F148" s="149">
        <v>1628.55</v>
      </c>
      <c r="G148" s="74" t="s">
        <v>211</v>
      </c>
      <c r="H148" s="25" t="s">
        <v>92</v>
      </c>
      <c r="I148" s="24"/>
      <c r="J148" s="536">
        <f>SUM(M148,AG148,BA148,BU148)-L148</f>
        <v>14</v>
      </c>
      <c r="K148" s="394">
        <f t="shared" si="307"/>
        <v>-213</v>
      </c>
      <c r="L148" s="544">
        <f>112+3</f>
        <v>115</v>
      </c>
      <c r="M148" s="298">
        <f>M146</f>
        <v>2</v>
      </c>
      <c r="N148" s="5">
        <f t="shared" si="308"/>
        <v>-113</v>
      </c>
      <c r="O148" s="256">
        <v>100</v>
      </c>
      <c r="P148" s="303">
        <f>P146</f>
        <v>2</v>
      </c>
      <c r="Q148" s="231">
        <f t="shared" ref="Q148:Q153" si="314">L148+O148-P148</f>
        <v>213</v>
      </c>
      <c r="R148" s="121"/>
      <c r="S148" s="6"/>
      <c r="T148" s="35"/>
      <c r="U148" s="612"/>
      <c r="V148" s="121"/>
      <c r="W148" s="579">
        <f>$F$148*60%*100</f>
        <v>97712.999999999985</v>
      </c>
      <c r="X148" s="35" t="s">
        <v>686</v>
      </c>
      <c r="Y148" s="612"/>
      <c r="Z148" s="21"/>
      <c r="AA148" s="6"/>
      <c r="AB148" s="35"/>
      <c r="AC148" s="713"/>
      <c r="AD148" s="713"/>
      <c r="AE148" s="394">
        <f>SUM(M148,AG148)-SUM(O148,AI148)-L148</f>
        <v>-187</v>
      </c>
      <c r="AF148" s="29">
        <f>Q148</f>
        <v>213</v>
      </c>
      <c r="AG148" s="298">
        <f>AG146</f>
        <v>26</v>
      </c>
      <c r="AH148" s="5">
        <f t="shared" si="309"/>
        <v>-187</v>
      </c>
      <c r="AI148" s="256"/>
      <c r="AJ148" s="303">
        <f>AJ146</f>
        <v>26</v>
      </c>
      <c r="AK148" s="231">
        <f t="shared" ref="AK148:AK153" si="315">AF148+AI148-AJ148</f>
        <v>187</v>
      </c>
      <c r="AL148" s="121"/>
      <c r="AM148" s="6"/>
      <c r="AN148" s="35"/>
      <c r="AO148" s="612"/>
      <c r="AP148" s="121"/>
      <c r="AQ148" s="6"/>
      <c r="AR148" s="35"/>
      <c r="AS148" s="612"/>
      <c r="AT148" s="21"/>
      <c r="AU148" s="6"/>
      <c r="AV148" s="35"/>
      <c r="AW148" s="713"/>
      <c r="AX148" s="713"/>
      <c r="AY148" s="394">
        <f>SUM(M148,AG148,BA148)-SUM(O148,AI148,BC148)-L148</f>
        <v>-136</v>
      </c>
      <c r="AZ148" s="29">
        <f t="shared" ref="AZ148:AZ153" si="316">AK148</f>
        <v>187</v>
      </c>
      <c r="BA148" s="298">
        <f>BA146</f>
        <v>51</v>
      </c>
      <c r="BB148" s="5">
        <f t="shared" si="310"/>
        <v>-136</v>
      </c>
      <c r="BC148" s="258"/>
      <c r="BD148" s="303">
        <f>BD146</f>
        <v>51</v>
      </c>
      <c r="BE148" s="231">
        <f t="shared" ref="BE148:BE153" si="317">AZ148+BC148-BD148</f>
        <v>136</v>
      </c>
      <c r="BF148" s="121"/>
      <c r="BG148" s="6"/>
      <c r="BH148" s="35"/>
      <c r="BI148" s="612"/>
      <c r="BJ148" s="121"/>
      <c r="BK148" s="6"/>
      <c r="BL148" s="35"/>
      <c r="BM148" s="612"/>
      <c r="BN148" s="21"/>
      <c r="BO148" s="6"/>
      <c r="BP148" s="35"/>
      <c r="BQ148" s="713"/>
      <c r="BR148" s="713"/>
      <c r="BS148" s="394">
        <f>SUM(M148,AG148,BA148,BU148)-SUM(O148,AI148,BC148,BW148)-L148</f>
        <v>-86</v>
      </c>
      <c r="BT148" s="607">
        <f>BE148-46</f>
        <v>90</v>
      </c>
      <c r="BU148" s="298">
        <f>BU146</f>
        <v>50</v>
      </c>
      <c r="BV148" s="5">
        <f t="shared" si="311"/>
        <v>-40</v>
      </c>
      <c r="BW148" s="256"/>
      <c r="BX148" s="303">
        <f>BX146</f>
        <v>26</v>
      </c>
      <c r="BY148" s="231">
        <f t="shared" ref="BY148:BY153" si="318">BT148+BW148-BX148</f>
        <v>64</v>
      </c>
      <c r="BZ148" s="121"/>
      <c r="CA148" s="6"/>
      <c r="CB148" s="35"/>
      <c r="CC148" s="612"/>
      <c r="CD148" s="121"/>
      <c r="CE148" s="6"/>
      <c r="CF148" s="35"/>
      <c r="CG148" s="612"/>
      <c r="CH148" s="21"/>
      <c r="CI148" s="6"/>
      <c r="CJ148" s="35"/>
      <c r="CK148" s="713"/>
      <c r="CL148" s="713"/>
      <c r="CM148" s="394">
        <f>SUM(M148,AG148,BA148,BU148,CO148)-SUM(O148,AI148,BC148,BW148,CQ148)-L148</f>
        <v>-186</v>
      </c>
      <c r="CN148" s="29">
        <f t="shared" ref="CN148:CN153" si="319">BY148</f>
        <v>64</v>
      </c>
      <c r="CO148" s="298">
        <f>CO146</f>
        <v>0</v>
      </c>
      <c r="CP148" s="5">
        <f t="shared" si="312"/>
        <v>-64</v>
      </c>
      <c r="CQ148" s="240">
        <v>100</v>
      </c>
      <c r="CR148" s="303">
        <f>CR146</f>
        <v>0</v>
      </c>
      <c r="CS148" s="231">
        <f t="shared" ref="CS148:CS153" si="320">CN148+CQ148-CR148</f>
        <v>164</v>
      </c>
      <c r="CT148" s="121"/>
      <c r="CU148" s="6"/>
      <c r="CV148" s="35"/>
      <c r="CW148" s="612"/>
      <c r="CX148" s="121"/>
      <c r="CY148" s="6"/>
      <c r="CZ148" s="35"/>
      <c r="DA148" s="612"/>
      <c r="DB148" s="21"/>
      <c r="DC148" s="6"/>
      <c r="DD148" s="35"/>
      <c r="DE148" s="713"/>
      <c r="DF148" s="713"/>
      <c r="DG148" s="394">
        <f>SUM(M148,AG148,BA148,BU148,DI148)-SUM(O148,AI148,BC148,BW148,CQ148)-L148</f>
        <v>-186</v>
      </c>
      <c r="DH148" s="29">
        <f t="shared" ref="DH148:DH149" si="321">BY148</f>
        <v>64</v>
      </c>
      <c r="DI148" s="298">
        <f>DI146</f>
        <v>0</v>
      </c>
      <c r="DJ148" s="5">
        <f t="shared" si="313"/>
        <v>-64</v>
      </c>
      <c r="DK148" s="240"/>
      <c r="DL148" s="303">
        <f>DL146</f>
        <v>0</v>
      </c>
      <c r="DM148" s="231">
        <f t="shared" ref="DM148:DM149" si="322">DH148+DK148-DL148</f>
        <v>64</v>
      </c>
    </row>
    <row r="149" spans="1:117" ht="34.15" customHeight="1" x14ac:dyDescent="0.25">
      <c r="A149" s="18"/>
      <c r="B149" s="11" t="s">
        <v>601</v>
      </c>
      <c r="C149" s="18">
        <v>1</v>
      </c>
      <c r="D149" s="345" t="s">
        <v>685</v>
      </c>
      <c r="E149" s="345"/>
      <c r="F149" s="550">
        <v>10.5</v>
      </c>
      <c r="G149" s="23" t="s">
        <v>757</v>
      </c>
      <c r="H149" s="25"/>
      <c r="I149" s="24"/>
      <c r="J149" s="536">
        <f>SUM(M149,AG149,BA149,BU149)-L149</f>
        <v>-91</v>
      </c>
      <c r="K149" s="394">
        <f t="shared" si="307"/>
        <v>-218</v>
      </c>
      <c r="L149" s="544">
        <v>220</v>
      </c>
      <c r="M149" s="298">
        <f>M146</f>
        <v>2</v>
      </c>
      <c r="N149" s="5">
        <f t="shared" si="308"/>
        <v>-218</v>
      </c>
      <c r="O149" s="256"/>
      <c r="P149" s="303">
        <f>P146</f>
        <v>2</v>
      </c>
      <c r="Q149" s="231">
        <f t="shared" si="314"/>
        <v>218</v>
      </c>
      <c r="R149" s="21"/>
      <c r="S149" s="6"/>
      <c r="T149" s="35"/>
      <c r="U149" s="612"/>
      <c r="V149" s="121"/>
      <c r="W149" s="6"/>
      <c r="X149" s="35"/>
      <c r="Y149" s="612"/>
      <c r="Z149" s="21"/>
      <c r="AA149" s="6"/>
      <c r="AB149" s="35"/>
      <c r="AC149" s="713"/>
      <c r="AD149" s="713"/>
      <c r="AE149" s="394">
        <f>SUM(M149,AG149)-SUM(O149,AI149)-L149</f>
        <v>-192</v>
      </c>
      <c r="AF149" s="29">
        <f>Q149</f>
        <v>218</v>
      </c>
      <c r="AG149" s="298">
        <f>AG146</f>
        <v>26</v>
      </c>
      <c r="AH149" s="5">
        <f t="shared" si="309"/>
        <v>-192</v>
      </c>
      <c r="AI149" s="256"/>
      <c r="AJ149" s="303">
        <f>AJ146</f>
        <v>26</v>
      </c>
      <c r="AK149" s="231">
        <f t="shared" si="315"/>
        <v>192</v>
      </c>
      <c r="AL149" s="21"/>
      <c r="AM149" s="6"/>
      <c r="AN149" s="35"/>
      <c r="AO149" s="612"/>
      <c r="AP149" s="21"/>
      <c r="AQ149" s="6"/>
      <c r="AR149" s="35"/>
      <c r="AS149" s="612"/>
      <c r="AT149" s="21"/>
      <c r="AU149" s="6"/>
      <c r="AV149" s="35"/>
      <c r="AW149" s="713"/>
      <c r="AX149" s="713"/>
      <c r="AY149" s="394">
        <f>SUM(M149,AG149,BA149)-SUM(O149,AI149,BC149)-L149</f>
        <v>-141</v>
      </c>
      <c r="AZ149" s="607">
        <f t="shared" si="316"/>
        <v>192</v>
      </c>
      <c r="BA149" s="298">
        <f>BA146</f>
        <v>51</v>
      </c>
      <c r="BB149" s="5">
        <f t="shared" si="310"/>
        <v>-141</v>
      </c>
      <c r="BC149" s="258"/>
      <c r="BD149" s="303">
        <f>BD146</f>
        <v>51</v>
      </c>
      <c r="BE149" s="231">
        <f t="shared" si="317"/>
        <v>141</v>
      </c>
      <c r="BF149" s="21"/>
      <c r="BG149" s="6"/>
      <c r="BH149" s="35"/>
      <c r="BI149" s="612"/>
      <c r="BJ149" s="21"/>
      <c r="BK149" s="6"/>
      <c r="BL149" s="35"/>
      <c r="BM149" s="612"/>
      <c r="BN149" s="21"/>
      <c r="BO149" s="6"/>
      <c r="BP149" s="35"/>
      <c r="BQ149" s="713"/>
      <c r="BR149" s="713"/>
      <c r="BS149" s="394">
        <f>SUM(M149,AG149,BA149,BU149)-SUM(O149,AI149,BC149,BW149)-L149</f>
        <v>-91</v>
      </c>
      <c r="BT149" s="29">
        <f t="shared" ref="BT149:BT153" si="323">BE149</f>
        <v>141</v>
      </c>
      <c r="BU149" s="298">
        <f>BU146</f>
        <v>50</v>
      </c>
      <c r="BV149" s="5">
        <f t="shared" si="311"/>
        <v>-91</v>
      </c>
      <c r="BW149" s="256"/>
      <c r="BX149" s="303">
        <f>BX146</f>
        <v>26</v>
      </c>
      <c r="BY149" s="231">
        <f t="shared" si="318"/>
        <v>115</v>
      </c>
      <c r="BZ149" s="21"/>
      <c r="CA149" s="6"/>
      <c r="CB149" s="35"/>
      <c r="CC149" s="612"/>
      <c r="CD149" s="121"/>
      <c r="CE149" s="6"/>
      <c r="CF149" s="35"/>
      <c r="CG149" s="612"/>
      <c r="CH149" s="21"/>
      <c r="CI149" s="6"/>
      <c r="CJ149" s="35"/>
      <c r="CK149" s="713"/>
      <c r="CL149" s="713"/>
      <c r="CM149" s="394">
        <f>SUM(M149,AG149,BA149,BU149,CO149)-SUM(O149,AI149,BC149,BW149,CQ149)-L149</f>
        <v>-191</v>
      </c>
      <c r="CN149" s="29">
        <f t="shared" si="319"/>
        <v>115</v>
      </c>
      <c r="CO149" s="298">
        <f>CO146</f>
        <v>0</v>
      </c>
      <c r="CP149" s="5">
        <f t="shared" si="312"/>
        <v>-115</v>
      </c>
      <c r="CQ149" s="240">
        <v>100</v>
      </c>
      <c r="CR149" s="303">
        <f>CR146</f>
        <v>0</v>
      </c>
      <c r="CS149" s="231">
        <f t="shared" si="320"/>
        <v>215</v>
      </c>
      <c r="CT149" s="21"/>
      <c r="CU149" s="6"/>
      <c r="CV149" s="35"/>
      <c r="CW149" s="612"/>
      <c r="CX149" s="121"/>
      <c r="CY149" s="6"/>
      <c r="CZ149" s="35"/>
      <c r="DA149" s="612"/>
      <c r="DB149" s="21"/>
      <c r="DC149" s="6"/>
      <c r="DD149" s="35"/>
      <c r="DE149" s="713"/>
      <c r="DF149" s="713"/>
      <c r="DG149" s="394">
        <f>SUM(M149,AG149,BA149,BU149,DI149)-SUM(O149,AI149,BC149,BW149,CQ149)-L149</f>
        <v>-191</v>
      </c>
      <c r="DH149" s="29">
        <f t="shared" si="321"/>
        <v>115</v>
      </c>
      <c r="DI149" s="298">
        <f>DI146</f>
        <v>0</v>
      </c>
      <c r="DJ149" s="5">
        <f t="shared" si="313"/>
        <v>-115</v>
      </c>
      <c r="DK149" s="240"/>
      <c r="DL149" s="303">
        <f>DL146</f>
        <v>0</v>
      </c>
      <c r="DM149" s="231">
        <f t="shared" si="322"/>
        <v>115</v>
      </c>
    </row>
    <row r="150" spans="1:117" x14ac:dyDescent="0.25">
      <c r="A150" s="360"/>
      <c r="B150" s="503" t="s">
        <v>250</v>
      </c>
      <c r="C150" s="360"/>
      <c r="D150" s="361"/>
      <c r="E150" s="361"/>
      <c r="F150" s="362"/>
      <c r="G150" s="509"/>
      <c r="H150" s="363"/>
      <c r="I150" s="351"/>
      <c r="J150" s="351"/>
      <c r="K150" s="351"/>
      <c r="L150" s="364"/>
      <c r="M150" s="374"/>
      <c r="N150" s="374"/>
      <c r="O150" s="374"/>
      <c r="P150" s="375"/>
      <c r="Q150" s="365"/>
      <c r="R150" s="369"/>
      <c r="S150" s="367"/>
      <c r="T150" s="368"/>
      <c r="U150" s="718"/>
      <c r="V150" s="366"/>
      <c r="W150" s="367"/>
      <c r="X150" s="368"/>
      <c r="Y150" s="718"/>
      <c r="Z150" s="369"/>
      <c r="AA150" s="367"/>
      <c r="AB150" s="368"/>
      <c r="AC150" s="726"/>
      <c r="AD150" s="726"/>
      <c r="AE150" s="351"/>
      <c r="AF150" s="364"/>
      <c r="AG150" s="374"/>
      <c r="AH150" s="374"/>
      <c r="AI150" s="375"/>
      <c r="AJ150" s="375"/>
      <c r="AK150" s="365"/>
      <c r="AL150" s="369"/>
      <c r="AM150" s="367"/>
      <c r="AN150" s="368"/>
      <c r="AO150" s="718"/>
      <c r="AP150" s="366"/>
      <c r="AQ150" s="367"/>
      <c r="AR150" s="368"/>
      <c r="AS150" s="718"/>
      <c r="AT150" s="369"/>
      <c r="AU150" s="367"/>
      <c r="AV150" s="368"/>
      <c r="AW150" s="726"/>
      <c r="AX150" s="726"/>
      <c r="AY150" s="351"/>
      <c r="AZ150" s="364"/>
      <c r="BA150" s="374"/>
      <c r="BB150" s="374"/>
      <c r="BC150" s="441"/>
      <c r="BD150" s="375"/>
      <c r="BE150" s="365"/>
      <c r="BF150" s="369"/>
      <c r="BG150" s="367"/>
      <c r="BH150" s="368"/>
      <c r="BI150" s="718"/>
      <c r="BJ150" s="366"/>
      <c r="BK150" s="367"/>
      <c r="BL150" s="368"/>
      <c r="BM150" s="718"/>
      <c r="BN150" s="369"/>
      <c r="BO150" s="367"/>
      <c r="BP150" s="368"/>
      <c r="BQ150" s="726"/>
      <c r="BR150" s="726"/>
      <c r="BS150" s="351"/>
      <c r="BT150" s="364"/>
      <c r="BU150" s="374"/>
      <c r="BV150" s="374"/>
      <c r="BW150" s="375"/>
      <c r="BX150" s="375"/>
      <c r="BY150" s="365"/>
      <c r="BZ150" s="369"/>
      <c r="CA150" s="367"/>
      <c r="CB150" s="368"/>
      <c r="CC150" s="718"/>
      <c r="CD150" s="366"/>
      <c r="CE150" s="367"/>
      <c r="CF150" s="368"/>
      <c r="CG150" s="718"/>
      <c r="CH150" s="369"/>
      <c r="CI150" s="367"/>
      <c r="CJ150" s="368"/>
      <c r="CK150" s="726"/>
      <c r="CL150" s="726"/>
      <c r="CM150" s="351"/>
      <c r="CN150" s="364"/>
      <c r="CO150" s="374"/>
      <c r="CP150" s="374"/>
      <c r="CQ150" s="375"/>
      <c r="CR150" s="375"/>
      <c r="CS150" s="365"/>
      <c r="CT150" s="369"/>
      <c r="CU150" s="367"/>
      <c r="CV150" s="368"/>
      <c r="CW150" s="718"/>
      <c r="CX150" s="366"/>
      <c r="CY150" s="367"/>
      <c r="CZ150" s="368"/>
      <c r="DA150" s="718"/>
      <c r="DB150" s="369"/>
      <c r="DC150" s="367"/>
      <c r="DD150" s="368"/>
      <c r="DE150" s="726"/>
      <c r="DF150" s="726"/>
      <c r="DG150" s="351"/>
      <c r="DH150" s="364"/>
      <c r="DI150" s="374"/>
      <c r="DJ150" s="374"/>
      <c r="DK150" s="375"/>
      <c r="DL150" s="375"/>
      <c r="DM150" s="365"/>
    </row>
    <row r="151" spans="1:117" x14ac:dyDescent="0.25">
      <c r="A151" s="18"/>
      <c r="B151" s="11" t="s">
        <v>529</v>
      </c>
      <c r="C151" s="18">
        <v>1</v>
      </c>
      <c r="D151" s="11"/>
      <c r="E151" s="11"/>
      <c r="F151" s="550">
        <v>253.75</v>
      </c>
      <c r="G151" s="74" t="s">
        <v>649</v>
      </c>
      <c r="H151" s="25"/>
      <c r="I151" s="24"/>
      <c r="J151" s="536">
        <f>SUM(M151,AG151,BA151,BU151)-L151</f>
        <v>16</v>
      </c>
      <c r="K151" s="394">
        <f t="shared" si="307"/>
        <v>-211</v>
      </c>
      <c r="L151" s="544">
        <v>113</v>
      </c>
      <c r="M151" s="298">
        <f>M146</f>
        <v>2</v>
      </c>
      <c r="N151" s="5">
        <f>M151-L151</f>
        <v>-111</v>
      </c>
      <c r="O151" s="256">
        <v>100</v>
      </c>
      <c r="P151" s="303">
        <f>P146</f>
        <v>2</v>
      </c>
      <c r="Q151" s="231">
        <f>L151+O151-P151</f>
        <v>211</v>
      </c>
      <c r="R151" s="21"/>
      <c r="S151" s="21"/>
      <c r="T151" s="35"/>
      <c r="U151" s="612"/>
      <c r="V151" s="121"/>
      <c r="W151" s="573">
        <f>$F$151*50%*100</f>
        <v>12687.5</v>
      </c>
      <c r="X151" s="35" t="s">
        <v>688</v>
      </c>
      <c r="Y151" s="612"/>
      <c r="Z151" s="121"/>
      <c r="AA151" s="6"/>
      <c r="AB151" s="257"/>
      <c r="AC151" s="728"/>
      <c r="AD151" s="728"/>
      <c r="AE151" s="394">
        <f>SUM(M151,AG151)-SUM(O151,AI151)-L151</f>
        <v>-185</v>
      </c>
      <c r="AF151" s="29">
        <f>Q151</f>
        <v>211</v>
      </c>
      <c r="AG151" s="298">
        <f>AG146</f>
        <v>26</v>
      </c>
      <c r="AH151" s="5">
        <f>AG151-AF151</f>
        <v>-185</v>
      </c>
      <c r="AI151" s="5"/>
      <c r="AJ151" s="303">
        <f>AJ146</f>
        <v>26</v>
      </c>
      <c r="AK151" s="231">
        <f>AF151+AI151-AJ151</f>
        <v>185</v>
      </c>
      <c r="AL151" s="21"/>
      <c r="AM151" s="6"/>
      <c r="AN151" s="35"/>
      <c r="AO151" s="612"/>
      <c r="AP151" s="121"/>
      <c r="AQ151" s="6"/>
      <c r="AR151" s="35"/>
      <c r="AS151" s="612"/>
      <c r="AT151" s="21"/>
      <c r="AU151" s="6"/>
      <c r="AV151" s="35"/>
      <c r="AW151" s="713"/>
      <c r="AX151" s="713"/>
      <c r="AY151" s="394">
        <f>SUM(M151,AG151,BA151)-SUM(O151,AI151,BC151)-L151</f>
        <v>-134</v>
      </c>
      <c r="AZ151" s="29">
        <f>AK151</f>
        <v>185</v>
      </c>
      <c r="BA151" s="298">
        <f>BA146</f>
        <v>51</v>
      </c>
      <c r="BB151" s="5">
        <f>BA151-AZ151</f>
        <v>-134</v>
      </c>
      <c r="BC151" s="256"/>
      <c r="BD151" s="303">
        <f>BD146</f>
        <v>51</v>
      </c>
      <c r="BE151" s="231">
        <f>AZ151+BC151-BD151</f>
        <v>134</v>
      </c>
      <c r="BF151" s="21"/>
      <c r="BG151" s="6"/>
      <c r="BH151" s="35"/>
      <c r="BI151" s="612"/>
      <c r="BJ151" s="21"/>
      <c r="BK151" s="6"/>
      <c r="BL151" s="35"/>
      <c r="BM151" s="612"/>
      <c r="BN151" s="21"/>
      <c r="BO151" s="6"/>
      <c r="BP151" s="35"/>
      <c r="BQ151" s="713"/>
      <c r="BR151" s="713"/>
      <c r="BS151" s="394">
        <f>SUM(M151,AG151,BA151,BU151)-SUM(O151,AI151,BC151,BW151)-L151</f>
        <v>-84</v>
      </c>
      <c r="BT151" s="29">
        <f>BE151</f>
        <v>134</v>
      </c>
      <c r="BU151" s="298">
        <f>BU146</f>
        <v>50</v>
      </c>
      <c r="BV151" s="5">
        <f>BU151-BT151</f>
        <v>-84</v>
      </c>
      <c r="BW151" s="256"/>
      <c r="BX151" s="303">
        <f>BX146</f>
        <v>26</v>
      </c>
      <c r="BY151" s="231">
        <f>BT151+BW151-BX151</f>
        <v>108</v>
      </c>
      <c r="BZ151" s="21"/>
      <c r="CA151" s="6"/>
      <c r="CB151" s="35"/>
      <c r="CC151" s="612"/>
      <c r="CD151" s="121"/>
      <c r="CE151" s="6"/>
      <c r="CF151" s="35"/>
      <c r="CG151" s="612"/>
      <c r="CH151" s="21"/>
      <c r="CI151" s="21"/>
      <c r="CJ151" s="35"/>
      <c r="CK151" s="713"/>
      <c r="CL151" s="713"/>
      <c r="CM151" s="394">
        <f>SUM(M151,AG151,BA151,BU151,CO151)-SUM(O151,AI151,BC151,BW151,CQ151)-L151</f>
        <v>-184</v>
      </c>
      <c r="CN151" s="29">
        <f>BY151</f>
        <v>108</v>
      </c>
      <c r="CO151" s="298">
        <f>CO146</f>
        <v>0</v>
      </c>
      <c r="CP151" s="5">
        <f>CO151-CN151</f>
        <v>-108</v>
      </c>
      <c r="CQ151" s="240">
        <v>100</v>
      </c>
      <c r="CR151" s="303">
        <f>CR146</f>
        <v>0</v>
      </c>
      <c r="CS151" s="231">
        <f>CN151+CQ151-CR151</f>
        <v>208</v>
      </c>
      <c r="CT151" s="21"/>
      <c r="CU151" s="21"/>
      <c r="CV151" s="35"/>
      <c r="CW151" s="612"/>
      <c r="CX151" s="121"/>
      <c r="CY151" s="6"/>
      <c r="CZ151" s="35"/>
      <c r="DA151" s="612"/>
      <c r="DB151" s="21"/>
      <c r="DC151" s="6"/>
      <c r="DD151" s="35"/>
      <c r="DE151" s="713"/>
      <c r="DF151" s="713"/>
      <c r="DG151" s="394">
        <f>SUM(M151,AG151,BA151,BU151,DI151)-SUM(O151,AI151,BC151,BW151,CQ151)-L151</f>
        <v>-184</v>
      </c>
      <c r="DH151" s="29">
        <f>BY151</f>
        <v>108</v>
      </c>
      <c r="DI151" s="298">
        <f>DI146</f>
        <v>0</v>
      </c>
      <c r="DJ151" s="5">
        <f>DI151-DH151</f>
        <v>-108</v>
      </c>
      <c r="DK151" s="5"/>
      <c r="DL151" s="303">
        <f>DL146</f>
        <v>0</v>
      </c>
      <c r="DM151" s="231">
        <f>DH151+DK151-DL151</f>
        <v>108</v>
      </c>
    </row>
    <row r="152" spans="1:117" x14ac:dyDescent="0.25">
      <c r="A152" s="18"/>
      <c r="B152" s="11" t="s">
        <v>530</v>
      </c>
      <c r="C152" s="18">
        <v>1</v>
      </c>
      <c r="D152" s="11"/>
      <c r="E152" s="11"/>
      <c r="F152" s="550">
        <v>253.75</v>
      </c>
      <c r="G152" s="74" t="s">
        <v>649</v>
      </c>
      <c r="H152" s="25"/>
      <c r="I152" s="24"/>
      <c r="J152" s="536">
        <f>SUM(M152,AG152,BA152,BU152)-L152</f>
        <v>16</v>
      </c>
      <c r="K152" s="394">
        <f t="shared" si="307"/>
        <v>-211</v>
      </c>
      <c r="L152" s="544">
        <v>113</v>
      </c>
      <c r="M152" s="298">
        <f>M146</f>
        <v>2</v>
      </c>
      <c r="N152" s="5">
        <f>M152-L152</f>
        <v>-111</v>
      </c>
      <c r="O152" s="256">
        <v>100</v>
      </c>
      <c r="P152" s="303">
        <f>P146</f>
        <v>2</v>
      </c>
      <c r="Q152" s="231">
        <f>L152+O152-P152</f>
        <v>211</v>
      </c>
      <c r="R152" s="21"/>
      <c r="S152" s="21"/>
      <c r="T152" s="35"/>
      <c r="U152" s="612"/>
      <c r="V152" s="121"/>
      <c r="W152" s="573">
        <f>$F$152*50%*100</f>
        <v>12687.5</v>
      </c>
      <c r="X152" s="35" t="s">
        <v>688</v>
      </c>
      <c r="Y152" s="612"/>
      <c r="Z152" s="21"/>
      <c r="AA152" s="6"/>
      <c r="AB152" s="257"/>
      <c r="AC152" s="728"/>
      <c r="AD152" s="728"/>
      <c r="AE152" s="394">
        <f>SUM(M152,AG152)-SUM(O152,AI152)-L152</f>
        <v>-185</v>
      </c>
      <c r="AF152" s="29">
        <f>Q152</f>
        <v>211</v>
      </c>
      <c r="AG152" s="298">
        <f>AG146</f>
        <v>26</v>
      </c>
      <c r="AH152" s="5">
        <f>AG152-AF152</f>
        <v>-185</v>
      </c>
      <c r="AI152" s="5"/>
      <c r="AJ152" s="303">
        <f>AJ146</f>
        <v>26</v>
      </c>
      <c r="AK152" s="231">
        <f>AF152+AI152-AJ152</f>
        <v>185</v>
      </c>
      <c r="AL152" s="21"/>
      <c r="AM152" s="6"/>
      <c r="AN152" s="35"/>
      <c r="AO152" s="612"/>
      <c r="AP152" s="121"/>
      <c r="AQ152" s="6"/>
      <c r="AR152" s="35"/>
      <c r="AS152" s="612"/>
      <c r="AT152" s="21"/>
      <c r="AU152" s="6"/>
      <c r="AV152" s="35"/>
      <c r="AW152" s="713"/>
      <c r="AX152" s="713"/>
      <c r="AY152" s="394">
        <f>SUM(M152,AG152,BA152)-SUM(O152,AI152,BC152)-L152</f>
        <v>-134</v>
      </c>
      <c r="AZ152" s="29">
        <f>AK152</f>
        <v>185</v>
      </c>
      <c r="BA152" s="298">
        <f>BA146</f>
        <v>51</v>
      </c>
      <c r="BB152" s="5">
        <f>BA152-AZ152</f>
        <v>-134</v>
      </c>
      <c r="BC152" s="256"/>
      <c r="BD152" s="303">
        <f>BD146</f>
        <v>51</v>
      </c>
      <c r="BE152" s="231">
        <f>AZ152+BC152-BD152</f>
        <v>134</v>
      </c>
      <c r="BF152" s="21"/>
      <c r="BG152" s="6"/>
      <c r="BH152" s="35"/>
      <c r="BI152" s="612"/>
      <c r="BJ152" s="21"/>
      <c r="BK152" s="6"/>
      <c r="BL152" s="35"/>
      <c r="BM152" s="612"/>
      <c r="BN152" s="21"/>
      <c r="BO152" s="6"/>
      <c r="BP152" s="35"/>
      <c r="BQ152" s="713"/>
      <c r="BR152" s="713"/>
      <c r="BS152" s="394">
        <f>SUM(M152,AG152,BA152,BU152)-SUM(O152,AI152,BC152,BW152)-L152</f>
        <v>-84</v>
      </c>
      <c r="BT152" s="29">
        <f>BE152</f>
        <v>134</v>
      </c>
      <c r="BU152" s="298">
        <f>BU146</f>
        <v>50</v>
      </c>
      <c r="BV152" s="5">
        <f>BU152-BT152</f>
        <v>-84</v>
      </c>
      <c r="BW152" s="256"/>
      <c r="BX152" s="303">
        <f>BX146</f>
        <v>26</v>
      </c>
      <c r="BY152" s="231">
        <f>BT152+BW152-BX152</f>
        <v>108</v>
      </c>
      <c r="BZ152" s="21"/>
      <c r="CA152" s="6"/>
      <c r="CB152" s="35"/>
      <c r="CC152" s="612"/>
      <c r="CD152" s="121"/>
      <c r="CE152" s="6"/>
      <c r="CF152" s="35"/>
      <c r="CG152" s="612"/>
      <c r="CH152" s="21"/>
      <c r="CI152" s="21"/>
      <c r="CJ152" s="35"/>
      <c r="CK152" s="713"/>
      <c r="CL152" s="713"/>
      <c r="CM152" s="394">
        <f>SUM(M152,AG152,BA152,BU152,CO152)-SUM(O152,AI152,BC152,BW152,CQ152)-L152</f>
        <v>-184</v>
      </c>
      <c r="CN152" s="29">
        <f>BY152</f>
        <v>108</v>
      </c>
      <c r="CO152" s="298">
        <f>CO146</f>
        <v>0</v>
      </c>
      <c r="CP152" s="5">
        <f>CO152-CN152</f>
        <v>-108</v>
      </c>
      <c r="CQ152" s="240">
        <v>100</v>
      </c>
      <c r="CR152" s="303">
        <f>CR146</f>
        <v>0</v>
      </c>
      <c r="CS152" s="231">
        <f>CN152+CQ152-CR152</f>
        <v>208</v>
      </c>
      <c r="CT152" s="21"/>
      <c r="CU152" s="21"/>
      <c r="CV152" s="35"/>
      <c r="CW152" s="612"/>
      <c r="CX152" s="121"/>
      <c r="CY152" s="6"/>
      <c r="CZ152" s="35"/>
      <c r="DA152" s="612"/>
      <c r="DB152" s="21"/>
      <c r="DC152" s="6"/>
      <c r="DD152" s="35"/>
      <c r="DE152" s="713"/>
      <c r="DF152" s="713"/>
      <c r="DG152" s="394">
        <f>SUM(M152,AG152,BA152,BU152,DI152)-SUM(O152,AI152,BC152,BW152,CQ152)-L152</f>
        <v>-184</v>
      </c>
      <c r="DH152" s="29">
        <f t="shared" ref="DH152:DH153" si="324">BY152</f>
        <v>108</v>
      </c>
      <c r="DI152" s="298">
        <f>DI146</f>
        <v>0</v>
      </c>
      <c r="DJ152" s="5">
        <f>DI152-DH152</f>
        <v>-108</v>
      </c>
      <c r="DK152" s="5"/>
      <c r="DL152" s="303">
        <f>DL146</f>
        <v>0</v>
      </c>
      <c r="DM152" s="231">
        <f>DH152+DK152-DL152</f>
        <v>108</v>
      </c>
    </row>
    <row r="153" spans="1:117" ht="15.75" thickBot="1" x14ac:dyDescent="0.3">
      <c r="A153" s="19"/>
      <c r="B153" s="12"/>
      <c r="C153" s="19"/>
      <c r="D153" s="12"/>
      <c r="E153" s="12"/>
      <c r="F153" s="146"/>
      <c r="G153" s="67"/>
      <c r="H153" s="28"/>
      <c r="I153" s="77"/>
      <c r="J153" s="540"/>
      <c r="K153" s="77"/>
      <c r="L153" s="29">
        <v>0</v>
      </c>
      <c r="M153" s="31"/>
      <c r="N153" s="31"/>
      <c r="O153" s="284"/>
      <c r="P153" s="241"/>
      <c r="Q153" s="232">
        <f t="shared" si="314"/>
        <v>0</v>
      </c>
      <c r="R153" s="200"/>
      <c r="S153" s="201"/>
      <c r="T153" s="36"/>
      <c r="U153" s="220"/>
      <c r="V153" s="200"/>
      <c r="W153" s="201"/>
      <c r="X153" s="36"/>
      <c r="Y153" s="220"/>
      <c r="Z153" s="122"/>
      <c r="AA153" s="201"/>
      <c r="AB153" s="36"/>
      <c r="AC153" s="712"/>
      <c r="AD153" s="712"/>
      <c r="AE153" s="77"/>
      <c r="AF153" s="29">
        <f>Q153</f>
        <v>0</v>
      </c>
      <c r="AG153" s="31"/>
      <c r="AH153" s="31"/>
      <c r="AI153" s="284"/>
      <c r="AJ153" s="241"/>
      <c r="AK153" s="232">
        <f t="shared" si="315"/>
        <v>0</v>
      </c>
      <c r="AL153" s="200"/>
      <c r="AM153" s="201"/>
      <c r="AN153" s="36"/>
      <c r="AO153" s="220"/>
      <c r="AP153" s="200"/>
      <c r="AQ153" s="201"/>
      <c r="AR153" s="36"/>
      <c r="AS153" s="220"/>
      <c r="AT153" s="122"/>
      <c r="AU153" s="201"/>
      <c r="AV153" s="36"/>
      <c r="AW153" s="712"/>
      <c r="AX153" s="712"/>
      <c r="AY153" s="77"/>
      <c r="AZ153" s="29">
        <f t="shared" si="316"/>
        <v>0</v>
      </c>
      <c r="BA153" s="31"/>
      <c r="BB153" s="31"/>
      <c r="BC153" s="284"/>
      <c r="BD153" s="241"/>
      <c r="BE153" s="232">
        <f t="shared" si="317"/>
        <v>0</v>
      </c>
      <c r="BF153" s="200"/>
      <c r="BG153" s="201"/>
      <c r="BH153" s="36"/>
      <c r="BI153" s="220"/>
      <c r="BJ153" s="200"/>
      <c r="BK153" s="201"/>
      <c r="BL153" s="36"/>
      <c r="BM153" s="220"/>
      <c r="BN153" s="122"/>
      <c r="BO153" s="201"/>
      <c r="BP153" s="36"/>
      <c r="BQ153" s="712"/>
      <c r="BR153" s="712"/>
      <c r="BS153" s="77"/>
      <c r="BT153" s="29">
        <f t="shared" si="323"/>
        <v>0</v>
      </c>
      <c r="BU153" s="31"/>
      <c r="BV153" s="31"/>
      <c r="BW153" s="284"/>
      <c r="BX153" s="241"/>
      <c r="BY153" s="232">
        <f t="shared" si="318"/>
        <v>0</v>
      </c>
      <c r="BZ153" s="200"/>
      <c r="CA153" s="201"/>
      <c r="CB153" s="36"/>
      <c r="CC153" s="220"/>
      <c r="CD153" s="200"/>
      <c r="CE153" s="201"/>
      <c r="CF153" s="36"/>
      <c r="CG153" s="220"/>
      <c r="CH153" s="122"/>
      <c r="CI153" s="201"/>
      <c r="CJ153" s="36"/>
      <c r="CK153" s="712"/>
      <c r="CL153" s="712"/>
      <c r="CM153" s="77"/>
      <c r="CN153" s="29">
        <f t="shared" si="319"/>
        <v>0</v>
      </c>
      <c r="CO153" s="31"/>
      <c r="CP153" s="31"/>
      <c r="CQ153" s="284"/>
      <c r="CR153" s="241"/>
      <c r="CS153" s="232">
        <f t="shared" si="320"/>
        <v>0</v>
      </c>
      <c r="CT153" s="200"/>
      <c r="CU153" s="201"/>
      <c r="CV153" s="36"/>
      <c r="CW153" s="220"/>
      <c r="CX153" s="200"/>
      <c r="CY153" s="201"/>
      <c r="CZ153" s="36"/>
      <c r="DA153" s="220"/>
      <c r="DB153" s="122"/>
      <c r="DC153" s="201"/>
      <c r="DD153" s="36"/>
      <c r="DE153" s="712"/>
      <c r="DF153" s="712"/>
      <c r="DG153" s="77"/>
      <c r="DH153" s="29">
        <f t="shared" si="324"/>
        <v>0</v>
      </c>
      <c r="DI153" s="31"/>
      <c r="DJ153" s="31"/>
      <c r="DK153" s="284"/>
      <c r="DL153" s="241"/>
      <c r="DM153" s="232">
        <f t="shared" ref="DM153" si="325">DH153+DK153-DL153</f>
        <v>0</v>
      </c>
    </row>
    <row r="154" spans="1:117" x14ac:dyDescent="0.25">
      <c r="A154" s="53"/>
      <c r="B154" s="52" t="s">
        <v>325</v>
      </c>
      <c r="C154" s="53"/>
      <c r="D154" s="51" t="s">
        <v>241</v>
      </c>
      <c r="E154" s="51"/>
      <c r="F154" s="338"/>
      <c r="G154" s="51"/>
      <c r="H154" s="54"/>
      <c r="I154" s="54"/>
      <c r="J154" s="53">
        <f>SUM(M154,AG154,BA154,BU154)</f>
        <v>7</v>
      </c>
      <c r="K154" s="53"/>
      <c r="L154" s="55"/>
      <c r="M154" s="56">
        <f>3+0-3</f>
        <v>0</v>
      </c>
      <c r="N154" s="56"/>
      <c r="O154" s="56"/>
      <c r="P154" s="243"/>
      <c r="Q154" s="230"/>
      <c r="R154" s="119">
        <f>SUM(R155:R162)</f>
        <v>0</v>
      </c>
      <c r="S154" s="120">
        <f>SUM(S155:S162)</f>
        <v>0</v>
      </c>
      <c r="T154" s="57"/>
      <c r="U154" s="219"/>
      <c r="V154" s="119">
        <f>SUM(V155:V162)</f>
        <v>0</v>
      </c>
      <c r="W154" s="120">
        <f>SUM(W155:W162)</f>
        <v>0</v>
      </c>
      <c r="X154" s="57"/>
      <c r="Y154" s="219"/>
      <c r="Z154" s="119">
        <f>SUM(Z155:Z162)</f>
        <v>0</v>
      </c>
      <c r="AA154" s="120">
        <f>SUM(AA155:AA162)</f>
        <v>0</v>
      </c>
      <c r="AB154" s="57"/>
      <c r="AC154" s="230"/>
      <c r="AD154" s="230"/>
      <c r="AE154" s="53">
        <f>SUM(AG154,BA154,BU154)</f>
        <v>7</v>
      </c>
      <c r="AF154" s="55"/>
      <c r="AG154" s="56">
        <f>4-4+3</f>
        <v>3</v>
      </c>
      <c r="AH154" s="56"/>
      <c r="AI154" s="56"/>
      <c r="AJ154" s="243">
        <f>1+2</f>
        <v>3</v>
      </c>
      <c r="AK154" s="230"/>
      <c r="AL154" s="119">
        <f>SUM(AL155:AL162)</f>
        <v>0</v>
      </c>
      <c r="AM154" s="120">
        <f>SUM(AM155:AM162)</f>
        <v>0</v>
      </c>
      <c r="AN154" s="57"/>
      <c r="AO154" s="219"/>
      <c r="AP154" s="119">
        <f>SUM(AP155:AP162)</f>
        <v>0</v>
      </c>
      <c r="AQ154" s="120">
        <f>SUM(AQ155:AQ162)</f>
        <v>0</v>
      </c>
      <c r="AR154" s="57"/>
      <c r="AS154" s="219"/>
      <c r="AT154" s="119">
        <f>SUM(AT155:AT162)</f>
        <v>0</v>
      </c>
      <c r="AU154" s="120">
        <f>SUM(AU155:AU162)</f>
        <v>0</v>
      </c>
      <c r="AV154" s="57"/>
      <c r="AW154" s="230"/>
      <c r="AX154" s="230"/>
      <c r="AY154" s="53">
        <f>SUM(BA154,BU154)</f>
        <v>4</v>
      </c>
      <c r="AZ154" s="55"/>
      <c r="BA154" s="56">
        <f>4-4</f>
        <v>0</v>
      </c>
      <c r="BB154" s="56"/>
      <c r="BC154" s="56"/>
      <c r="BD154" s="243">
        <f>2+1+8</f>
        <v>11</v>
      </c>
      <c r="BE154" s="230"/>
      <c r="BF154" s="119">
        <f>SUM(BF155:BF162)</f>
        <v>0</v>
      </c>
      <c r="BG154" s="120">
        <f>SUM(BG155:BG162)</f>
        <v>0</v>
      </c>
      <c r="BH154" s="57"/>
      <c r="BI154" s="219"/>
      <c r="BJ154" s="119">
        <f>SUM(BJ155:BJ162)</f>
        <v>0</v>
      </c>
      <c r="BK154" s="120">
        <f>SUM(BK155:BK162)</f>
        <v>0</v>
      </c>
      <c r="BL154" s="57"/>
      <c r="BM154" s="219"/>
      <c r="BN154" s="119">
        <f>SUM(BN155:BN162)</f>
        <v>0</v>
      </c>
      <c r="BO154" s="120">
        <f>SUM(BO155:BO162)</f>
        <v>0</v>
      </c>
      <c r="BP154" s="57"/>
      <c r="BQ154" s="230"/>
      <c r="BR154" s="230"/>
      <c r="BS154" s="53">
        <f>BU154</f>
        <v>4</v>
      </c>
      <c r="BT154" s="55"/>
      <c r="BU154" s="56">
        <v>4</v>
      </c>
      <c r="BV154" s="56"/>
      <c r="BW154" s="56"/>
      <c r="BX154" s="243">
        <f>1</f>
        <v>1</v>
      </c>
      <c r="BY154" s="230"/>
      <c r="BZ154" s="119">
        <f>SUM(BZ155:BZ162)</f>
        <v>0</v>
      </c>
      <c r="CA154" s="120">
        <f>SUM(CA155:CA162)</f>
        <v>0</v>
      </c>
      <c r="CB154" s="57"/>
      <c r="CC154" s="219"/>
      <c r="CD154" s="119">
        <f>SUM(CD155:CD162)</f>
        <v>0</v>
      </c>
      <c r="CE154" s="120">
        <f>SUM(CE155:CE162)</f>
        <v>0</v>
      </c>
      <c r="CF154" s="57"/>
      <c r="CG154" s="219"/>
      <c r="CH154" s="119">
        <f>SUM(CH155:CH162)</f>
        <v>0</v>
      </c>
      <c r="CI154" s="120">
        <f>SUM(CI155:CI162)</f>
        <v>0</v>
      </c>
      <c r="CJ154" s="57"/>
      <c r="CK154" s="230"/>
      <c r="CL154" s="230"/>
      <c r="CM154" s="53">
        <f>CO154</f>
        <v>0</v>
      </c>
      <c r="CN154" s="55"/>
      <c r="CO154" s="243"/>
      <c r="CP154" s="56"/>
      <c r="CQ154" s="56"/>
      <c r="CR154" s="243"/>
      <c r="CS154" s="230"/>
      <c r="CT154" s="119">
        <f>SUM(CT155:CT162)</f>
        <v>0</v>
      </c>
      <c r="CU154" s="120">
        <f>SUM(CU155:CU162)</f>
        <v>0</v>
      </c>
      <c r="CV154" s="57"/>
      <c r="CW154" s="219"/>
      <c r="CX154" s="119">
        <f>SUM(CX155:CX162)</f>
        <v>0</v>
      </c>
      <c r="CY154" s="120">
        <f>SUM(CY155:CY162)</f>
        <v>0</v>
      </c>
      <c r="CZ154" s="57"/>
      <c r="DA154" s="219"/>
      <c r="DB154" s="119">
        <f>SUM(DB155:DB162)</f>
        <v>0</v>
      </c>
      <c r="DC154" s="120">
        <f>SUM(DC155:DC162)</f>
        <v>0</v>
      </c>
      <c r="DD154" s="57"/>
      <c r="DE154" s="230"/>
      <c r="DF154" s="230"/>
      <c r="DG154" s="53">
        <f>DI154</f>
        <v>0</v>
      </c>
      <c r="DH154" s="55"/>
      <c r="DI154" s="243"/>
      <c r="DJ154" s="56"/>
      <c r="DK154" s="56"/>
      <c r="DL154" s="243"/>
      <c r="DM154" s="230"/>
    </row>
    <row r="155" spans="1:117" x14ac:dyDescent="0.25">
      <c r="A155" s="18"/>
      <c r="B155" s="15" t="s">
        <v>215</v>
      </c>
      <c r="C155" s="18"/>
      <c r="D155" s="11"/>
      <c r="E155" s="11"/>
      <c r="F155" s="149"/>
      <c r="G155" s="15"/>
      <c r="H155" s="25"/>
      <c r="I155" s="24"/>
      <c r="J155" s="536">
        <f>SUM(M155,AG155,BA155,BU155)-L155</f>
        <v>-43</v>
      </c>
      <c r="K155" s="394">
        <f t="shared" ref="K155:K158" si="326">M155-O155-L155</f>
        <v>-50</v>
      </c>
      <c r="L155" s="544">
        <v>50</v>
      </c>
      <c r="M155" s="298">
        <f>M154</f>
        <v>0</v>
      </c>
      <c r="N155" s="5">
        <f t="shared" ref="N155:N158" si="327">M155-L155</f>
        <v>-50</v>
      </c>
      <c r="O155" s="256"/>
      <c r="P155" s="303">
        <f>P154</f>
        <v>0</v>
      </c>
      <c r="Q155" s="231">
        <f>L155+O155-P155</f>
        <v>50</v>
      </c>
      <c r="R155" s="121"/>
      <c r="S155" s="6"/>
      <c r="T155" s="35"/>
      <c r="U155" s="612"/>
      <c r="V155" s="121"/>
      <c r="W155" s="6"/>
      <c r="X155" s="35"/>
      <c r="Y155" s="612"/>
      <c r="Z155" s="21"/>
      <c r="AA155" s="6"/>
      <c r="AB155" s="35"/>
      <c r="AC155" s="713"/>
      <c r="AD155" s="713"/>
      <c r="AE155" s="394">
        <f>SUM(M155,AG155)-SUM(O155,AI155)-L155</f>
        <v>-47</v>
      </c>
      <c r="AF155" s="29">
        <f>Q155</f>
        <v>50</v>
      </c>
      <c r="AG155" s="298">
        <f>AG154</f>
        <v>3</v>
      </c>
      <c r="AH155" s="5">
        <f t="shared" ref="AH155:AH162" si="328">AG155-AF155</f>
        <v>-47</v>
      </c>
      <c r="AI155" s="256"/>
      <c r="AJ155" s="303">
        <f>AJ154</f>
        <v>3</v>
      </c>
      <c r="AK155" s="231">
        <f>AF155+AI155-AJ155</f>
        <v>47</v>
      </c>
      <c r="AL155" s="121"/>
      <c r="AM155" s="6"/>
      <c r="AN155" s="35"/>
      <c r="AO155" s="612"/>
      <c r="AP155" s="121"/>
      <c r="AQ155" s="6"/>
      <c r="AR155" s="35"/>
      <c r="AS155" s="612"/>
      <c r="AT155" s="21"/>
      <c r="AU155" s="6"/>
      <c r="AV155" s="35"/>
      <c r="AW155" s="713"/>
      <c r="AX155" s="713"/>
      <c r="AY155" s="394">
        <f>SUM(M155,AG155,BA155)-SUM(O155,AI155,BC155)-L155</f>
        <v>-47</v>
      </c>
      <c r="AZ155" s="29">
        <f>AK155</f>
        <v>47</v>
      </c>
      <c r="BA155" s="298">
        <f>BA154</f>
        <v>0</v>
      </c>
      <c r="BB155" s="5">
        <f t="shared" ref="BB155:BB162" si="329">BA155-AZ155</f>
        <v>-47</v>
      </c>
      <c r="BC155" s="256"/>
      <c r="BD155" s="303">
        <f>BD154</f>
        <v>11</v>
      </c>
      <c r="BE155" s="231">
        <f>AZ155+BC155-BD155</f>
        <v>36</v>
      </c>
      <c r="BF155" s="121"/>
      <c r="BG155" s="6"/>
      <c r="BH155" s="35"/>
      <c r="BI155" s="612"/>
      <c r="BJ155" s="121"/>
      <c r="BK155" s="6"/>
      <c r="BL155" s="35"/>
      <c r="BM155" s="612"/>
      <c r="BN155" s="21"/>
      <c r="BO155" s="6"/>
      <c r="BP155" s="35"/>
      <c r="BQ155" s="713"/>
      <c r="BR155" s="713"/>
      <c r="BS155" s="394">
        <f>SUM(M155,AG155,BA155,BU155)-SUM(O155,AI155,BC155,BW155)-L155</f>
        <v>-43</v>
      </c>
      <c r="BT155" s="29">
        <f>BE155</f>
        <v>36</v>
      </c>
      <c r="BU155" s="298">
        <f>BU154</f>
        <v>4</v>
      </c>
      <c r="BV155" s="5">
        <f t="shared" ref="BV155:BV162" si="330">BU155-BT155</f>
        <v>-32</v>
      </c>
      <c r="BW155" s="256"/>
      <c r="BX155" s="303">
        <f>BX154</f>
        <v>1</v>
      </c>
      <c r="BY155" s="231">
        <f>BT155+BW155-BX155</f>
        <v>35</v>
      </c>
      <c r="BZ155" s="121"/>
      <c r="CA155" s="6"/>
      <c r="CB155" s="35"/>
      <c r="CC155" s="612"/>
      <c r="CD155" s="121"/>
      <c r="CE155" s="6"/>
      <c r="CF155" s="35"/>
      <c r="CG155" s="612"/>
      <c r="CH155" s="21"/>
      <c r="CI155" s="6"/>
      <c r="CJ155" s="35"/>
      <c r="CK155" s="713"/>
      <c r="CL155" s="713"/>
      <c r="CM155" s="394">
        <f>SUM(M155,AG155,BA155,BU155,CO155)-SUM(O155,AI155,BC155,BW155,CQ155)-L155</f>
        <v>-43</v>
      </c>
      <c r="CN155" s="29">
        <f>BY155</f>
        <v>35</v>
      </c>
      <c r="CO155" s="298">
        <f>CO154</f>
        <v>0</v>
      </c>
      <c r="CP155" s="5">
        <f t="shared" ref="CP155:CP162" si="331">CO155-CN155</f>
        <v>-35</v>
      </c>
      <c r="CQ155" s="240"/>
      <c r="CR155" s="303">
        <f>CR154</f>
        <v>0</v>
      </c>
      <c r="CS155" s="231">
        <f>CN155+CQ155-CR155</f>
        <v>35</v>
      </c>
      <c r="CT155" s="121"/>
      <c r="CU155" s="6"/>
      <c r="CV155" s="35"/>
      <c r="CW155" s="612"/>
      <c r="CX155" s="121"/>
      <c r="CY155" s="6"/>
      <c r="CZ155" s="35"/>
      <c r="DA155" s="612"/>
      <c r="DB155" s="21"/>
      <c r="DC155" s="6"/>
      <c r="DD155" s="35"/>
      <c r="DE155" s="713"/>
      <c r="DF155" s="713"/>
      <c r="DG155" s="394">
        <f>SUM(M155,AG155,BA155,BU155,DI155)-SUM(O155,AI155,BC155,BW155,CQ155)-L155</f>
        <v>-43</v>
      </c>
      <c r="DH155" s="29">
        <f>BY155</f>
        <v>35</v>
      </c>
      <c r="DI155" s="298">
        <f>DI154</f>
        <v>0</v>
      </c>
      <c r="DJ155" s="5">
        <f t="shared" ref="DJ155:DJ158" si="332">DI155-DH155</f>
        <v>-35</v>
      </c>
      <c r="DK155" s="240"/>
      <c r="DL155" s="303">
        <f>DL154</f>
        <v>0</v>
      </c>
      <c r="DM155" s="231">
        <f>DH155+DK155-DL155</f>
        <v>35</v>
      </c>
    </row>
    <row r="156" spans="1:117" x14ac:dyDescent="0.25">
      <c r="A156" s="18"/>
      <c r="B156" s="11" t="s">
        <v>341</v>
      </c>
      <c r="C156" s="18">
        <v>1</v>
      </c>
      <c r="D156" s="11"/>
      <c r="E156" s="11"/>
      <c r="F156" s="550">
        <v>1355.7</v>
      </c>
      <c r="G156" s="74" t="s">
        <v>211</v>
      </c>
      <c r="H156" s="25" t="s">
        <v>92</v>
      </c>
      <c r="I156" s="24"/>
      <c r="J156" s="536">
        <f>SUM(M156,AG156,BA156,BU156)-L156</f>
        <v>-43</v>
      </c>
      <c r="K156" s="394">
        <f t="shared" si="326"/>
        <v>-50</v>
      </c>
      <c r="L156" s="544">
        <v>50</v>
      </c>
      <c r="M156" s="298">
        <f>M154</f>
        <v>0</v>
      </c>
      <c r="N156" s="5">
        <f t="shared" si="327"/>
        <v>-50</v>
      </c>
      <c r="O156" s="256"/>
      <c r="P156" s="303">
        <f>P154</f>
        <v>0</v>
      </c>
      <c r="Q156" s="231">
        <f t="shared" ref="Q156:Q162" si="333">L156+O156-P156</f>
        <v>50</v>
      </c>
      <c r="R156" s="121"/>
      <c r="S156" s="6"/>
      <c r="T156" s="35"/>
      <c r="U156" s="612"/>
      <c r="V156" s="121"/>
      <c r="W156" s="6"/>
      <c r="X156" s="35"/>
      <c r="Y156" s="612"/>
      <c r="Z156" s="21"/>
      <c r="AA156" s="6"/>
      <c r="AB156" s="35"/>
      <c r="AC156" s="713"/>
      <c r="AD156" s="713"/>
      <c r="AE156" s="394">
        <f>SUM(M156,AG156)-SUM(O156,AI156)-L156</f>
        <v>-47</v>
      </c>
      <c r="AF156" s="29">
        <f>Q156</f>
        <v>50</v>
      </c>
      <c r="AG156" s="298">
        <f>AG154</f>
        <v>3</v>
      </c>
      <c r="AH156" s="5">
        <f t="shared" si="328"/>
        <v>-47</v>
      </c>
      <c r="AI156" s="256"/>
      <c r="AJ156" s="303">
        <f>AJ154</f>
        <v>3</v>
      </c>
      <c r="AK156" s="231">
        <f t="shared" ref="AK156:AK162" si="334">AF156+AI156-AJ156</f>
        <v>47</v>
      </c>
      <c r="AL156" s="121"/>
      <c r="AM156" s="6"/>
      <c r="AN156" s="35"/>
      <c r="AO156" s="612"/>
      <c r="AP156" s="121"/>
      <c r="AQ156" s="6"/>
      <c r="AR156" s="35"/>
      <c r="AS156" s="612"/>
      <c r="AT156" s="21"/>
      <c r="AU156" s="6"/>
      <c r="AV156" s="35"/>
      <c r="AW156" s="713"/>
      <c r="AX156" s="713"/>
      <c r="AY156" s="394">
        <f>SUM(M156,AG156,BA156)-SUM(O156,AI156,BC156)-L156</f>
        <v>-47</v>
      </c>
      <c r="AZ156" s="607">
        <v>41</v>
      </c>
      <c r="BA156" s="298">
        <f>BA154</f>
        <v>0</v>
      </c>
      <c r="BB156" s="5">
        <f t="shared" si="329"/>
        <v>-41</v>
      </c>
      <c r="BC156" s="256"/>
      <c r="BD156" s="303">
        <f>BD154</f>
        <v>11</v>
      </c>
      <c r="BE156" s="231">
        <f t="shared" ref="BE156:BE162" si="335">AZ156+BC156-BD156</f>
        <v>30</v>
      </c>
      <c r="BF156" s="121"/>
      <c r="BG156" s="6"/>
      <c r="BH156" s="35"/>
      <c r="BI156" s="612"/>
      <c r="BJ156" s="121"/>
      <c r="BK156" s="6"/>
      <c r="BL156" s="35"/>
      <c r="BM156" s="612"/>
      <c r="BN156" s="21"/>
      <c r="BO156" s="6"/>
      <c r="BP156" s="35"/>
      <c r="BQ156" s="713"/>
      <c r="BR156" s="713"/>
      <c r="BS156" s="394">
        <f>SUM(M156,AG156,BA156,BU156)-SUM(O156,AI156,BC156,BW156)-L156</f>
        <v>-43</v>
      </c>
      <c r="BT156" s="29">
        <f>BE156</f>
        <v>30</v>
      </c>
      <c r="BU156" s="298">
        <f>BU154</f>
        <v>4</v>
      </c>
      <c r="BV156" s="5">
        <f t="shared" si="330"/>
        <v>-26</v>
      </c>
      <c r="BW156" s="256"/>
      <c r="BX156" s="303">
        <f>BX154</f>
        <v>1</v>
      </c>
      <c r="BY156" s="231">
        <f t="shared" ref="BY156:BY162" si="336">BT156+BW156-BX156</f>
        <v>29</v>
      </c>
      <c r="BZ156" s="121"/>
      <c r="CA156" s="6"/>
      <c r="CB156" s="35"/>
      <c r="CC156" s="612"/>
      <c r="CD156" s="121"/>
      <c r="CE156" s="6"/>
      <c r="CF156" s="35"/>
      <c r="CG156" s="612"/>
      <c r="CH156" s="21"/>
      <c r="CI156" s="6"/>
      <c r="CJ156" s="35"/>
      <c r="CK156" s="713"/>
      <c r="CL156" s="713"/>
      <c r="CM156" s="394">
        <f>SUM(M156,AG156,BA156,BU156,CO156)-SUM(O156,AI156,BC156,BW156,CQ156)-L156</f>
        <v>-43</v>
      </c>
      <c r="CN156" s="29">
        <f t="shared" ref="CN156:CN162" si="337">BY156</f>
        <v>29</v>
      </c>
      <c r="CO156" s="298">
        <f>CO154</f>
        <v>0</v>
      </c>
      <c r="CP156" s="5">
        <f t="shared" si="331"/>
        <v>-29</v>
      </c>
      <c r="CQ156" s="240"/>
      <c r="CR156" s="303">
        <f>CR154</f>
        <v>0</v>
      </c>
      <c r="CS156" s="231">
        <f t="shared" ref="CS156:CS162" si="338">CN156+CQ156-CR156</f>
        <v>29</v>
      </c>
      <c r="CT156" s="121"/>
      <c r="CU156" s="6"/>
      <c r="CV156" s="35"/>
      <c r="CW156" s="612"/>
      <c r="CX156" s="121"/>
      <c r="CY156" s="6"/>
      <c r="CZ156" s="35"/>
      <c r="DA156" s="612"/>
      <c r="DB156" s="21"/>
      <c r="DC156" s="6"/>
      <c r="DD156" s="35"/>
      <c r="DE156" s="713"/>
      <c r="DF156" s="713"/>
      <c r="DG156" s="394">
        <f>SUM(M156,AG156,BA156,BU156,DI156)-SUM(O156,AI156,BC156,BW156,CQ156)-L156</f>
        <v>-43</v>
      </c>
      <c r="DH156" s="29">
        <f t="shared" ref="DH156:DH158" si="339">BY156</f>
        <v>29</v>
      </c>
      <c r="DI156" s="298">
        <f>DI154</f>
        <v>0</v>
      </c>
      <c r="DJ156" s="5">
        <f t="shared" si="332"/>
        <v>-29</v>
      </c>
      <c r="DK156" s="240"/>
      <c r="DL156" s="303">
        <f>DL154</f>
        <v>0</v>
      </c>
      <c r="DM156" s="231">
        <f t="shared" ref="DM156:DM158" si="340">DH156+DK156-DL156</f>
        <v>29</v>
      </c>
    </row>
    <row r="157" spans="1:117" x14ac:dyDescent="0.25">
      <c r="A157" s="18"/>
      <c r="B157" s="11" t="s">
        <v>602</v>
      </c>
      <c r="C157" s="18">
        <v>1</v>
      </c>
      <c r="D157" s="319" t="s">
        <v>352</v>
      </c>
      <c r="E157" s="319"/>
      <c r="F157" s="550">
        <v>25</v>
      </c>
      <c r="G157" s="23" t="s">
        <v>757</v>
      </c>
      <c r="H157" s="25"/>
      <c r="I157" s="24"/>
      <c r="J157" s="536">
        <f>SUM(M157,AG157,BA157,BU157)-L157</f>
        <v>-43</v>
      </c>
      <c r="K157" s="394">
        <f t="shared" si="326"/>
        <v>-50</v>
      </c>
      <c r="L157" s="544">
        <v>50</v>
      </c>
      <c r="M157" s="298">
        <f>M154</f>
        <v>0</v>
      </c>
      <c r="N157" s="5">
        <f t="shared" si="327"/>
        <v>-50</v>
      </c>
      <c r="O157" s="256"/>
      <c r="P157" s="303">
        <f>P154</f>
        <v>0</v>
      </c>
      <c r="Q157" s="231">
        <f t="shared" si="333"/>
        <v>50</v>
      </c>
      <c r="R157" s="121"/>
      <c r="S157" s="6"/>
      <c r="T157" s="35"/>
      <c r="U157" s="612"/>
      <c r="V157" s="121"/>
      <c r="W157" s="6"/>
      <c r="X157" s="35"/>
      <c r="Y157" s="612"/>
      <c r="Z157" s="21"/>
      <c r="AA157" s="6"/>
      <c r="AB157" s="35"/>
      <c r="AC157" s="713"/>
      <c r="AD157" s="713"/>
      <c r="AE157" s="394">
        <f>SUM(M157,AG157)-SUM(O157,AI157)-L157</f>
        <v>-47</v>
      </c>
      <c r="AF157" s="29">
        <f>Q157</f>
        <v>50</v>
      </c>
      <c r="AG157" s="298">
        <f>AG154</f>
        <v>3</v>
      </c>
      <c r="AH157" s="5">
        <f t="shared" si="328"/>
        <v>-47</v>
      </c>
      <c r="AI157" s="256"/>
      <c r="AJ157" s="303">
        <f>AJ154</f>
        <v>3</v>
      </c>
      <c r="AK157" s="231">
        <f t="shared" si="334"/>
        <v>47</v>
      </c>
      <c r="AL157" s="121"/>
      <c r="AM157" s="6"/>
      <c r="AN157" s="35"/>
      <c r="AO157" s="612"/>
      <c r="AP157" s="121"/>
      <c r="AQ157" s="6"/>
      <c r="AR157" s="35"/>
      <c r="AS157" s="612"/>
      <c r="AT157" s="21"/>
      <c r="AU157" s="6"/>
      <c r="AV157" s="35"/>
      <c r="AW157" s="713"/>
      <c r="AX157" s="713"/>
      <c r="AY157" s="394">
        <f>SUM(M157,AG157,BA157)-SUM(O157,AI157,BC157)-L157</f>
        <v>-47</v>
      </c>
      <c r="AZ157" s="29">
        <f t="shared" ref="AZ157:AZ162" si="341">AK157</f>
        <v>47</v>
      </c>
      <c r="BA157" s="298">
        <f>BA154</f>
        <v>0</v>
      </c>
      <c r="BB157" s="5">
        <f t="shared" si="329"/>
        <v>-47</v>
      </c>
      <c r="BC157" s="256"/>
      <c r="BD157" s="303">
        <f>BD154</f>
        <v>11</v>
      </c>
      <c r="BE157" s="231">
        <f t="shared" si="335"/>
        <v>36</v>
      </c>
      <c r="BF157" s="121"/>
      <c r="BG157" s="6"/>
      <c r="BH157" s="35"/>
      <c r="BI157" s="612"/>
      <c r="BJ157" s="121"/>
      <c r="BK157" s="6"/>
      <c r="BL157" s="35"/>
      <c r="BM157" s="612"/>
      <c r="BN157" s="21"/>
      <c r="BO157" s="6"/>
      <c r="BP157" s="35"/>
      <c r="BQ157" s="713"/>
      <c r="BR157" s="713"/>
      <c r="BS157" s="394">
        <f>SUM(M157,AG157,BA157,BU157)-SUM(O157,AI157,BC157,BW157)-L157</f>
        <v>-43</v>
      </c>
      <c r="BT157" s="29">
        <f t="shared" ref="BT157:BT162" si="342">BE157</f>
        <v>36</v>
      </c>
      <c r="BU157" s="298">
        <f>BU154</f>
        <v>4</v>
      </c>
      <c r="BV157" s="5">
        <f t="shared" si="330"/>
        <v>-32</v>
      </c>
      <c r="BW157" s="256"/>
      <c r="BX157" s="303">
        <f>BX154</f>
        <v>1</v>
      </c>
      <c r="BY157" s="231">
        <f t="shared" si="336"/>
        <v>35</v>
      </c>
      <c r="BZ157" s="121"/>
      <c r="CA157" s="6"/>
      <c r="CB157" s="35"/>
      <c r="CC157" s="612"/>
      <c r="CD157" s="121"/>
      <c r="CE157" s="6"/>
      <c r="CF157" s="35"/>
      <c r="CG157" s="612"/>
      <c r="CH157" s="21"/>
      <c r="CI157" s="6"/>
      <c r="CJ157" s="35"/>
      <c r="CK157" s="713"/>
      <c r="CL157" s="713"/>
      <c r="CM157" s="394">
        <f>SUM(M157,AG157,BA157,BU157,CO157)-SUM(O157,AI157,BC157,BW157,CQ157)-L157</f>
        <v>-43</v>
      </c>
      <c r="CN157" s="29">
        <f t="shared" si="337"/>
        <v>35</v>
      </c>
      <c r="CO157" s="298">
        <f>CO154</f>
        <v>0</v>
      </c>
      <c r="CP157" s="5">
        <f t="shared" si="331"/>
        <v>-35</v>
      </c>
      <c r="CQ157" s="240"/>
      <c r="CR157" s="303">
        <f>CR154</f>
        <v>0</v>
      </c>
      <c r="CS157" s="231">
        <f t="shared" si="338"/>
        <v>35</v>
      </c>
      <c r="CT157" s="121"/>
      <c r="CU157" s="6"/>
      <c r="CV157" s="35"/>
      <c r="CW157" s="612"/>
      <c r="CX157" s="121"/>
      <c r="CY157" s="6"/>
      <c r="CZ157" s="35"/>
      <c r="DA157" s="612"/>
      <c r="DB157" s="21"/>
      <c r="DC157" s="6"/>
      <c r="DD157" s="35"/>
      <c r="DE157" s="713"/>
      <c r="DF157" s="713"/>
      <c r="DG157" s="394">
        <f>SUM(M157,AG157,BA157,BU157,DI157)-SUM(O157,AI157,BC157,BW157,CQ157)-L157</f>
        <v>-43</v>
      </c>
      <c r="DH157" s="29">
        <f t="shared" si="339"/>
        <v>35</v>
      </c>
      <c r="DI157" s="298">
        <f>DI154</f>
        <v>0</v>
      </c>
      <c r="DJ157" s="5">
        <f t="shared" si="332"/>
        <v>-35</v>
      </c>
      <c r="DK157" s="240"/>
      <c r="DL157" s="303">
        <f>DL154</f>
        <v>0</v>
      </c>
      <c r="DM157" s="231">
        <f t="shared" si="340"/>
        <v>35</v>
      </c>
    </row>
    <row r="158" spans="1:117" x14ac:dyDescent="0.25">
      <c r="A158" s="18"/>
      <c r="B158" s="11" t="s">
        <v>603</v>
      </c>
      <c r="C158" s="18">
        <v>1</v>
      </c>
      <c r="D158" s="381"/>
      <c r="E158" s="381"/>
      <c r="F158" s="149">
        <v>34</v>
      </c>
      <c r="G158" s="23" t="s">
        <v>757</v>
      </c>
      <c r="H158" s="25"/>
      <c r="I158" s="24"/>
      <c r="J158" s="536">
        <f>SUM(M158,AG158,BA158,BU158)-L158</f>
        <v>-46</v>
      </c>
      <c r="K158" s="394">
        <f t="shared" si="326"/>
        <v>-53</v>
      </c>
      <c r="L158" s="544">
        <v>53</v>
      </c>
      <c r="M158" s="298">
        <f>M154</f>
        <v>0</v>
      </c>
      <c r="N158" s="5">
        <f t="shared" si="327"/>
        <v>-53</v>
      </c>
      <c r="O158" s="256"/>
      <c r="P158" s="303">
        <f>P154</f>
        <v>0</v>
      </c>
      <c r="Q158" s="231">
        <f t="shared" si="333"/>
        <v>53</v>
      </c>
      <c r="R158" s="121"/>
      <c r="S158" s="6"/>
      <c r="T158" s="35"/>
      <c r="U158" s="612"/>
      <c r="V158" s="121"/>
      <c r="W158" s="6"/>
      <c r="X158" s="35"/>
      <c r="Y158" s="612"/>
      <c r="Z158" s="21"/>
      <c r="AA158" s="6"/>
      <c r="AB158" s="35"/>
      <c r="AC158" s="713"/>
      <c r="AD158" s="713"/>
      <c r="AE158" s="394">
        <f>SUM(M158,AG158)-SUM(O158,AI158)-L158</f>
        <v>-50</v>
      </c>
      <c r="AF158" s="29">
        <f>Q158</f>
        <v>53</v>
      </c>
      <c r="AG158" s="298">
        <f>AG154</f>
        <v>3</v>
      </c>
      <c r="AH158" s="5">
        <f t="shared" si="328"/>
        <v>-50</v>
      </c>
      <c r="AI158" s="256"/>
      <c r="AJ158" s="303">
        <f>AJ154</f>
        <v>3</v>
      </c>
      <c r="AK158" s="231">
        <f t="shared" si="334"/>
        <v>50</v>
      </c>
      <c r="AL158" s="121"/>
      <c r="AM158" s="6"/>
      <c r="AN158" s="35"/>
      <c r="AO158" s="612"/>
      <c r="AP158" s="121"/>
      <c r="AQ158" s="6"/>
      <c r="AR158" s="35"/>
      <c r="AS158" s="612"/>
      <c r="AT158" s="21"/>
      <c r="AU158" s="6"/>
      <c r="AV158" s="35"/>
      <c r="AW158" s="713"/>
      <c r="AX158" s="713"/>
      <c r="AY158" s="394">
        <f>SUM(M158,AG158,BA158)-SUM(O158,AI158,BC158)-L158</f>
        <v>-50</v>
      </c>
      <c r="AZ158" s="29">
        <f t="shared" si="341"/>
        <v>50</v>
      </c>
      <c r="BA158" s="298">
        <f>BA154</f>
        <v>0</v>
      </c>
      <c r="BB158" s="5">
        <f t="shared" si="329"/>
        <v>-50</v>
      </c>
      <c r="BC158" s="256"/>
      <c r="BD158" s="303">
        <f>BD154</f>
        <v>11</v>
      </c>
      <c r="BE158" s="231">
        <f t="shared" si="335"/>
        <v>39</v>
      </c>
      <c r="BF158" s="121"/>
      <c r="BG158" s="6"/>
      <c r="BH158" s="35"/>
      <c r="BI158" s="612"/>
      <c r="BJ158" s="121"/>
      <c r="BK158" s="6"/>
      <c r="BL158" s="35"/>
      <c r="BM158" s="612"/>
      <c r="BN158" s="21"/>
      <c r="BO158" s="6"/>
      <c r="BP158" s="35"/>
      <c r="BQ158" s="713"/>
      <c r="BR158" s="713"/>
      <c r="BS158" s="394">
        <f>SUM(M158,AG158,BA158,BU158)-SUM(O158,AI158,BC158,BW158)-L158</f>
        <v>-46</v>
      </c>
      <c r="BT158" s="29">
        <f t="shared" si="342"/>
        <v>39</v>
      </c>
      <c r="BU158" s="298">
        <f>BU154</f>
        <v>4</v>
      </c>
      <c r="BV158" s="5">
        <f t="shared" si="330"/>
        <v>-35</v>
      </c>
      <c r="BW158" s="256"/>
      <c r="BX158" s="303">
        <f>BX154</f>
        <v>1</v>
      </c>
      <c r="BY158" s="231">
        <f t="shared" si="336"/>
        <v>38</v>
      </c>
      <c r="BZ158" s="121"/>
      <c r="CA158" s="6"/>
      <c r="CB158" s="35"/>
      <c r="CC158" s="612"/>
      <c r="CD158" s="121"/>
      <c r="CE158" s="6"/>
      <c r="CF158" s="35"/>
      <c r="CG158" s="612"/>
      <c r="CH158" s="21"/>
      <c r="CI158" s="6"/>
      <c r="CJ158" s="35"/>
      <c r="CK158" s="713"/>
      <c r="CL158" s="713"/>
      <c r="CM158" s="394">
        <f>SUM(M158,AG158,BA158,BU158,CO158)-SUM(O158,AI158,BC158,BW158,CQ158)-L158</f>
        <v>-46</v>
      </c>
      <c r="CN158" s="29">
        <f t="shared" si="337"/>
        <v>38</v>
      </c>
      <c r="CO158" s="298">
        <f>CO154</f>
        <v>0</v>
      </c>
      <c r="CP158" s="5">
        <f t="shared" si="331"/>
        <v>-38</v>
      </c>
      <c r="CQ158" s="240"/>
      <c r="CR158" s="303">
        <f>CR154</f>
        <v>0</v>
      </c>
      <c r="CS158" s="231">
        <f t="shared" si="338"/>
        <v>38</v>
      </c>
      <c r="CT158" s="121"/>
      <c r="CU158" s="6"/>
      <c r="CV158" s="35"/>
      <c r="CW158" s="612"/>
      <c r="CX158" s="121"/>
      <c r="CY158" s="6"/>
      <c r="CZ158" s="35"/>
      <c r="DA158" s="612"/>
      <c r="DB158" s="21"/>
      <c r="DC158" s="6"/>
      <c r="DD158" s="35"/>
      <c r="DE158" s="713"/>
      <c r="DF158" s="713"/>
      <c r="DG158" s="394">
        <f>SUM(M158,AG158,BA158,BU158,DI158)-SUM(O158,AI158,BC158,BW158,CQ158)-L158</f>
        <v>-46</v>
      </c>
      <c r="DH158" s="29">
        <f t="shared" si="339"/>
        <v>38</v>
      </c>
      <c r="DI158" s="298">
        <f>DI154</f>
        <v>0</v>
      </c>
      <c r="DJ158" s="5">
        <f t="shared" si="332"/>
        <v>-38</v>
      </c>
      <c r="DK158" s="240"/>
      <c r="DL158" s="303">
        <f>DL154</f>
        <v>0</v>
      </c>
      <c r="DM158" s="231">
        <f t="shared" si="340"/>
        <v>38</v>
      </c>
    </row>
    <row r="159" spans="1:117" x14ac:dyDescent="0.25">
      <c r="A159" s="360"/>
      <c r="B159" s="503" t="s">
        <v>250</v>
      </c>
      <c r="C159" s="360"/>
      <c r="D159" s="361"/>
      <c r="E159" s="361"/>
      <c r="F159" s="362"/>
      <c r="G159" s="509"/>
      <c r="H159" s="363"/>
      <c r="I159" s="351"/>
      <c r="J159" s="351"/>
      <c r="K159" s="351"/>
      <c r="L159" s="364"/>
      <c r="M159" s="374"/>
      <c r="N159" s="374"/>
      <c r="O159" s="441"/>
      <c r="P159" s="375"/>
      <c r="Q159" s="365"/>
      <c r="R159" s="366"/>
      <c r="S159" s="367"/>
      <c r="T159" s="368"/>
      <c r="U159" s="718"/>
      <c r="V159" s="366"/>
      <c r="W159" s="367"/>
      <c r="X159" s="368"/>
      <c r="Y159" s="718"/>
      <c r="Z159" s="369"/>
      <c r="AA159" s="367"/>
      <c r="AB159" s="368"/>
      <c r="AC159" s="726"/>
      <c r="AD159" s="726"/>
      <c r="AE159" s="351"/>
      <c r="AF159" s="364"/>
      <c r="AG159" s="374"/>
      <c r="AH159" s="374"/>
      <c r="AI159" s="441"/>
      <c r="AJ159" s="375"/>
      <c r="AK159" s="365"/>
      <c r="AL159" s="366"/>
      <c r="AM159" s="367"/>
      <c r="AN159" s="368"/>
      <c r="AO159" s="718"/>
      <c r="AP159" s="366"/>
      <c r="AQ159" s="367"/>
      <c r="AR159" s="368"/>
      <c r="AS159" s="718"/>
      <c r="AT159" s="369"/>
      <c r="AU159" s="367"/>
      <c r="AV159" s="368"/>
      <c r="AW159" s="726"/>
      <c r="AX159" s="726"/>
      <c r="AY159" s="351"/>
      <c r="AZ159" s="364"/>
      <c r="BA159" s="374"/>
      <c r="BB159" s="374"/>
      <c r="BC159" s="441"/>
      <c r="BD159" s="375"/>
      <c r="BE159" s="365"/>
      <c r="BF159" s="366"/>
      <c r="BG159" s="367"/>
      <c r="BH159" s="368"/>
      <c r="BI159" s="718"/>
      <c r="BJ159" s="366"/>
      <c r="BK159" s="367"/>
      <c r="BL159" s="368"/>
      <c r="BM159" s="718"/>
      <c r="BN159" s="369"/>
      <c r="BO159" s="367"/>
      <c r="BP159" s="368"/>
      <c r="BQ159" s="726"/>
      <c r="BR159" s="726"/>
      <c r="BS159" s="351"/>
      <c r="BT159" s="364"/>
      <c r="BU159" s="374"/>
      <c r="BV159" s="374"/>
      <c r="BW159" s="441"/>
      <c r="BX159" s="375"/>
      <c r="BY159" s="365"/>
      <c r="BZ159" s="366"/>
      <c r="CA159" s="367"/>
      <c r="CB159" s="368"/>
      <c r="CC159" s="718"/>
      <c r="CD159" s="366"/>
      <c r="CE159" s="367"/>
      <c r="CF159" s="368"/>
      <c r="CG159" s="718"/>
      <c r="CH159" s="369"/>
      <c r="CI159" s="367"/>
      <c r="CJ159" s="368"/>
      <c r="CK159" s="726"/>
      <c r="CL159" s="726"/>
      <c r="CM159" s="351"/>
      <c r="CN159" s="364"/>
      <c r="CO159" s="374"/>
      <c r="CP159" s="374"/>
      <c r="CQ159" s="375"/>
      <c r="CR159" s="375"/>
      <c r="CS159" s="365"/>
      <c r="CT159" s="366"/>
      <c r="CU159" s="367"/>
      <c r="CV159" s="368"/>
      <c r="CW159" s="718"/>
      <c r="CX159" s="366"/>
      <c r="CY159" s="367"/>
      <c r="CZ159" s="368"/>
      <c r="DA159" s="718"/>
      <c r="DB159" s="369"/>
      <c r="DC159" s="367"/>
      <c r="DD159" s="368"/>
      <c r="DE159" s="726"/>
      <c r="DF159" s="726"/>
      <c r="DG159" s="351"/>
      <c r="DH159" s="364"/>
      <c r="DI159" s="374"/>
      <c r="DJ159" s="374"/>
      <c r="DK159" s="375"/>
      <c r="DL159" s="375"/>
      <c r="DM159" s="365"/>
    </row>
    <row r="160" spans="1:117" x14ac:dyDescent="0.25">
      <c r="A160" s="18"/>
      <c r="B160" s="11" t="s">
        <v>531</v>
      </c>
      <c r="C160" s="18">
        <v>1</v>
      </c>
      <c r="D160" s="11"/>
      <c r="E160" s="11"/>
      <c r="F160" s="550">
        <v>168</v>
      </c>
      <c r="G160" s="74" t="s">
        <v>10</v>
      </c>
      <c r="H160" s="25"/>
      <c r="I160" s="24"/>
      <c r="J160" s="536">
        <f>SUM(M160,AG160,BA160,BU160)-L160</f>
        <v>-43</v>
      </c>
      <c r="K160" s="394">
        <f t="shared" ref="K160:K161" si="343">M160-O160-L160</f>
        <v>-50</v>
      </c>
      <c r="L160" s="544">
        <v>50</v>
      </c>
      <c r="M160" s="298">
        <f>M154</f>
        <v>0</v>
      </c>
      <c r="N160" s="5">
        <f>M160-L160</f>
        <v>-50</v>
      </c>
      <c r="O160" s="258"/>
      <c r="P160" s="303">
        <f>P154</f>
        <v>0</v>
      </c>
      <c r="Q160" s="231">
        <f>L160+O160-P160</f>
        <v>50</v>
      </c>
      <c r="R160" s="121"/>
      <c r="S160" s="6"/>
      <c r="T160" s="35"/>
      <c r="U160" s="612"/>
      <c r="V160" s="121"/>
      <c r="W160" s="6"/>
      <c r="X160" s="35"/>
      <c r="Y160" s="612"/>
      <c r="Z160" s="21"/>
      <c r="AA160" s="6"/>
      <c r="AB160" s="35"/>
      <c r="AC160" s="713"/>
      <c r="AD160" s="713"/>
      <c r="AE160" s="394">
        <f>SUM(M160,AG160)-SUM(O160,AI160)-L160</f>
        <v>-47</v>
      </c>
      <c r="AF160" s="29">
        <f>Q160</f>
        <v>50</v>
      </c>
      <c r="AG160" s="298">
        <f>AG154</f>
        <v>3</v>
      </c>
      <c r="AH160" s="5">
        <f>AG160-AF160</f>
        <v>-47</v>
      </c>
      <c r="AI160" s="258"/>
      <c r="AJ160" s="303">
        <f>AJ154</f>
        <v>3</v>
      </c>
      <c r="AK160" s="231">
        <f>AF160+AI160-AJ160</f>
        <v>47</v>
      </c>
      <c r="AL160" s="121"/>
      <c r="AM160" s="6"/>
      <c r="AN160" s="35"/>
      <c r="AO160" s="612"/>
      <c r="AP160" s="121"/>
      <c r="AQ160" s="6"/>
      <c r="AR160" s="35"/>
      <c r="AS160" s="612"/>
      <c r="AT160" s="21"/>
      <c r="AU160" s="6"/>
      <c r="AV160" s="35"/>
      <c r="AW160" s="713"/>
      <c r="AX160" s="713"/>
      <c r="AY160" s="394">
        <f>SUM(M160,AG160,BA160)-SUM(O160,AI160,BC160)-L160</f>
        <v>-47</v>
      </c>
      <c r="AZ160" s="29">
        <f>AK160</f>
        <v>47</v>
      </c>
      <c r="BA160" s="298">
        <f>BA154</f>
        <v>0</v>
      </c>
      <c r="BB160" s="5">
        <f>BA160-AZ160</f>
        <v>-47</v>
      </c>
      <c r="BC160" s="256"/>
      <c r="BD160" s="303">
        <f>BD154</f>
        <v>11</v>
      </c>
      <c r="BE160" s="231">
        <f>AZ160+BC160-BD160</f>
        <v>36</v>
      </c>
      <c r="BF160" s="121"/>
      <c r="BG160" s="6"/>
      <c r="BH160" s="35"/>
      <c r="BI160" s="612"/>
      <c r="BJ160" s="121"/>
      <c r="BK160" s="6"/>
      <c r="BL160" s="35"/>
      <c r="BM160" s="612"/>
      <c r="BN160" s="21"/>
      <c r="BO160" s="6"/>
      <c r="BP160" s="35"/>
      <c r="BQ160" s="713"/>
      <c r="BR160" s="713"/>
      <c r="BS160" s="394">
        <f>SUM(M160,AG160,BA160,BU160)-SUM(O160,AI160,BC160,BW160)-L160</f>
        <v>-43</v>
      </c>
      <c r="BT160" s="29">
        <f>BE160</f>
        <v>36</v>
      </c>
      <c r="BU160" s="298">
        <f>BU154</f>
        <v>4</v>
      </c>
      <c r="BV160" s="5">
        <f>BU160-BT160</f>
        <v>-32</v>
      </c>
      <c r="BW160" s="240"/>
      <c r="BX160" s="303">
        <f>BX154</f>
        <v>1</v>
      </c>
      <c r="BY160" s="231">
        <f>BT160+BW160-BX160</f>
        <v>35</v>
      </c>
      <c r="BZ160" s="121"/>
      <c r="CA160" s="6"/>
      <c r="CB160" s="35"/>
      <c r="CC160" s="612"/>
      <c r="CD160" s="121"/>
      <c r="CE160" s="6"/>
      <c r="CF160" s="35"/>
      <c r="CG160" s="612"/>
      <c r="CH160" s="121"/>
      <c r="CI160" s="6"/>
      <c r="CJ160" s="35"/>
      <c r="CK160" s="713"/>
      <c r="CL160" s="713"/>
      <c r="CM160" s="394">
        <f>SUM(M160,AG160,BA160,BU160,CO160)-SUM(O160,AI160,BC160,BW160,CQ160)-L160</f>
        <v>-43</v>
      </c>
      <c r="CN160" s="29">
        <f>BY160</f>
        <v>35</v>
      </c>
      <c r="CO160" s="298">
        <f>CO154</f>
        <v>0</v>
      </c>
      <c r="CP160" s="5">
        <f>CO160-CN160</f>
        <v>-35</v>
      </c>
      <c r="CQ160" s="258"/>
      <c r="CR160" s="303">
        <f>CR154</f>
        <v>0</v>
      </c>
      <c r="CS160" s="231">
        <f>CN160+CQ160-CR160</f>
        <v>35</v>
      </c>
      <c r="CT160" s="121"/>
      <c r="CU160" s="6"/>
      <c r="CV160" s="35"/>
      <c r="CW160" s="612"/>
      <c r="CX160" s="121"/>
      <c r="CY160" s="6"/>
      <c r="CZ160" s="35"/>
      <c r="DA160" s="612"/>
      <c r="DB160" s="21"/>
      <c r="DC160" s="6"/>
      <c r="DD160" s="35"/>
      <c r="DE160" s="713"/>
      <c r="DF160" s="713"/>
      <c r="DG160" s="394">
        <f>SUM(M160,AG160,BA160,BU160,DI160)-SUM(O160,AI160,BC160,BW160,CQ160)-L160</f>
        <v>-43</v>
      </c>
      <c r="DH160" s="29">
        <f>BY160</f>
        <v>35</v>
      </c>
      <c r="DI160" s="298">
        <f>DI154</f>
        <v>0</v>
      </c>
      <c r="DJ160" s="5">
        <f>DI160-DH160</f>
        <v>-35</v>
      </c>
      <c r="DK160" s="256"/>
      <c r="DL160" s="303">
        <f>DL154</f>
        <v>0</v>
      </c>
      <c r="DM160" s="231">
        <f>DH160+DK160-DL160</f>
        <v>35</v>
      </c>
    </row>
    <row r="161" spans="1:117" x14ac:dyDescent="0.25">
      <c r="A161" s="18"/>
      <c r="B161" s="11" t="s">
        <v>532</v>
      </c>
      <c r="C161" s="18">
        <v>1</v>
      </c>
      <c r="D161" s="11"/>
      <c r="E161" s="11"/>
      <c r="F161" s="550">
        <v>147</v>
      </c>
      <c r="G161" s="74" t="s">
        <v>10</v>
      </c>
      <c r="H161" s="25"/>
      <c r="I161" s="24"/>
      <c r="J161" s="536">
        <f>SUM(M161,AG161,BA161,BU161)-L161</f>
        <v>-43</v>
      </c>
      <c r="K161" s="394">
        <f t="shared" si="343"/>
        <v>-50</v>
      </c>
      <c r="L161" s="544">
        <v>50</v>
      </c>
      <c r="M161" s="298">
        <f>M154</f>
        <v>0</v>
      </c>
      <c r="N161" s="5">
        <f>M161-L161</f>
        <v>-50</v>
      </c>
      <c r="O161" s="258"/>
      <c r="P161" s="303">
        <f>P154</f>
        <v>0</v>
      </c>
      <c r="Q161" s="231">
        <f>L161+O161-P161</f>
        <v>50</v>
      </c>
      <c r="R161" s="121"/>
      <c r="S161" s="6"/>
      <c r="T161" s="35"/>
      <c r="U161" s="612"/>
      <c r="V161" s="121"/>
      <c r="W161" s="6"/>
      <c r="X161" s="35"/>
      <c r="Y161" s="612"/>
      <c r="Z161" s="21"/>
      <c r="AA161" s="6"/>
      <c r="AB161" s="35"/>
      <c r="AC161" s="713"/>
      <c r="AD161" s="713"/>
      <c r="AE161" s="394">
        <f>SUM(M161,AG161)-SUM(O161,AI161)-L161</f>
        <v>-47</v>
      </c>
      <c r="AF161" s="29">
        <f>Q161</f>
        <v>50</v>
      </c>
      <c r="AG161" s="298">
        <f>AG154</f>
        <v>3</v>
      </c>
      <c r="AH161" s="5">
        <f>AG161-AF161</f>
        <v>-47</v>
      </c>
      <c r="AI161" s="258"/>
      <c r="AJ161" s="303">
        <f>AJ154</f>
        <v>3</v>
      </c>
      <c r="AK161" s="231">
        <f>AF161+AI161-AJ161</f>
        <v>47</v>
      </c>
      <c r="AL161" s="121"/>
      <c r="AM161" s="6"/>
      <c r="AN161" s="35"/>
      <c r="AO161" s="612"/>
      <c r="AP161" s="121"/>
      <c r="AQ161" s="6"/>
      <c r="AR161" s="35"/>
      <c r="AS161" s="612"/>
      <c r="AT161" s="21"/>
      <c r="AU161" s="6"/>
      <c r="AV161" s="35"/>
      <c r="AW161" s="713"/>
      <c r="AX161" s="713"/>
      <c r="AY161" s="394">
        <f>SUM(M161,AG161,BA161)-SUM(O161,AI161,BC161)-L161</f>
        <v>-47</v>
      </c>
      <c r="AZ161" s="29">
        <f>AK161</f>
        <v>47</v>
      </c>
      <c r="BA161" s="298">
        <f>BA154</f>
        <v>0</v>
      </c>
      <c r="BB161" s="5">
        <f>BA161-AZ161</f>
        <v>-47</v>
      </c>
      <c r="BC161" s="256"/>
      <c r="BD161" s="303">
        <f>BD154</f>
        <v>11</v>
      </c>
      <c r="BE161" s="231">
        <f>AZ161+BC161-BD161</f>
        <v>36</v>
      </c>
      <c r="BF161" s="121"/>
      <c r="BG161" s="6"/>
      <c r="BH161" s="35"/>
      <c r="BI161" s="612"/>
      <c r="BJ161" s="121"/>
      <c r="BK161" s="6"/>
      <c r="BL161" s="35"/>
      <c r="BM161" s="612"/>
      <c r="BN161" s="21"/>
      <c r="BO161" s="6"/>
      <c r="BP161" s="35"/>
      <c r="BQ161" s="713"/>
      <c r="BR161" s="713"/>
      <c r="BS161" s="394">
        <f>SUM(M161,AG161,BA161,BU161)-SUM(O161,AI161,BC161,BW161)-L161</f>
        <v>-43</v>
      </c>
      <c r="BT161" s="29">
        <f>BE161</f>
        <v>36</v>
      </c>
      <c r="BU161" s="298">
        <f>BU154</f>
        <v>4</v>
      </c>
      <c r="BV161" s="5">
        <f>BU161-BT161</f>
        <v>-32</v>
      </c>
      <c r="BW161" s="240"/>
      <c r="BX161" s="303">
        <f>BX154</f>
        <v>1</v>
      </c>
      <c r="BY161" s="231">
        <f>BT161+BW161-BX161</f>
        <v>35</v>
      </c>
      <c r="BZ161" s="121"/>
      <c r="CA161" s="6"/>
      <c r="CB161" s="35"/>
      <c r="CC161" s="612"/>
      <c r="CD161" s="121"/>
      <c r="CE161" s="6"/>
      <c r="CF161" s="35"/>
      <c r="CG161" s="612"/>
      <c r="CH161" s="121"/>
      <c r="CI161" s="6"/>
      <c r="CJ161" s="35"/>
      <c r="CK161" s="713"/>
      <c r="CL161" s="713"/>
      <c r="CM161" s="394">
        <f>SUM(M161,AG161,BA161,BU161,CO161)-SUM(O161,AI161,BC161,BW161,CQ161)-L161</f>
        <v>-43</v>
      </c>
      <c r="CN161" s="29">
        <f>BY161</f>
        <v>35</v>
      </c>
      <c r="CO161" s="298">
        <f>CO154</f>
        <v>0</v>
      </c>
      <c r="CP161" s="5">
        <f>CO161-CN161</f>
        <v>-35</v>
      </c>
      <c r="CQ161" s="258"/>
      <c r="CR161" s="303">
        <f>CR154</f>
        <v>0</v>
      </c>
      <c r="CS161" s="231">
        <f>CN161+CQ161-CR161</f>
        <v>35</v>
      </c>
      <c r="CT161" s="121"/>
      <c r="CU161" s="6"/>
      <c r="CV161" s="35"/>
      <c r="CW161" s="612"/>
      <c r="CX161" s="121"/>
      <c r="CY161" s="6"/>
      <c r="CZ161" s="35"/>
      <c r="DA161" s="612"/>
      <c r="DB161" s="21"/>
      <c r="DC161" s="6"/>
      <c r="DD161" s="35"/>
      <c r="DE161" s="713"/>
      <c r="DF161" s="713"/>
      <c r="DG161" s="394">
        <f>SUM(M161,AG161,BA161,BU161,DI161)-SUM(O161,AI161,BC161,BW161,CQ161)-L161</f>
        <v>-43</v>
      </c>
      <c r="DH161" s="29">
        <f t="shared" ref="DH161:DH162" si="344">BY161</f>
        <v>35</v>
      </c>
      <c r="DI161" s="298">
        <f>DI154</f>
        <v>0</v>
      </c>
      <c r="DJ161" s="5">
        <f>DI161-DH161</f>
        <v>-35</v>
      </c>
      <c r="DK161" s="256"/>
      <c r="DL161" s="303">
        <f>DL154</f>
        <v>0</v>
      </c>
      <c r="DM161" s="231">
        <f>DH161+DK161-DL161</f>
        <v>35</v>
      </c>
    </row>
    <row r="162" spans="1:117" ht="15.75" thickBot="1" x14ac:dyDescent="0.3">
      <c r="A162" s="19"/>
      <c r="B162" s="12"/>
      <c r="C162" s="19"/>
      <c r="D162" s="12"/>
      <c r="E162" s="12"/>
      <c r="F162" s="146"/>
      <c r="G162" s="67"/>
      <c r="H162" s="28"/>
      <c r="I162" s="77"/>
      <c r="J162" s="77"/>
      <c r="K162" s="77"/>
      <c r="L162" s="29">
        <v>0</v>
      </c>
      <c r="M162" s="31"/>
      <c r="N162" s="31"/>
      <c r="O162" s="284"/>
      <c r="P162" s="241"/>
      <c r="Q162" s="232">
        <f t="shared" si="333"/>
        <v>0</v>
      </c>
      <c r="R162" s="200"/>
      <c r="S162" s="201"/>
      <c r="T162" s="36"/>
      <c r="U162" s="220"/>
      <c r="V162" s="200"/>
      <c r="W162" s="201"/>
      <c r="X162" s="36"/>
      <c r="Y162" s="220"/>
      <c r="Z162" s="122"/>
      <c r="AA162" s="201"/>
      <c r="AB162" s="36"/>
      <c r="AC162" s="712"/>
      <c r="AD162" s="712"/>
      <c r="AE162" s="77"/>
      <c r="AF162" s="29">
        <f>Q162</f>
        <v>0</v>
      </c>
      <c r="AG162" s="31">
        <f>SUM(AG158:AG158)</f>
        <v>3</v>
      </c>
      <c r="AH162" s="31">
        <f t="shared" si="328"/>
        <v>3</v>
      </c>
      <c r="AI162" s="284"/>
      <c r="AJ162" s="241"/>
      <c r="AK162" s="232">
        <f t="shared" si="334"/>
        <v>0</v>
      </c>
      <c r="AL162" s="200"/>
      <c r="AM162" s="201"/>
      <c r="AN162" s="36"/>
      <c r="AO162" s="220"/>
      <c r="AP162" s="200"/>
      <c r="AQ162" s="201"/>
      <c r="AR162" s="36"/>
      <c r="AS162" s="220"/>
      <c r="AT162" s="122"/>
      <c r="AU162" s="201"/>
      <c r="AV162" s="36"/>
      <c r="AW162" s="712"/>
      <c r="AX162" s="712"/>
      <c r="AY162" s="77"/>
      <c r="AZ162" s="29">
        <f t="shared" si="341"/>
        <v>0</v>
      </c>
      <c r="BA162" s="31"/>
      <c r="BB162" s="31">
        <f t="shared" si="329"/>
        <v>0</v>
      </c>
      <c r="BC162" s="284"/>
      <c r="BD162" s="241"/>
      <c r="BE162" s="232">
        <f t="shared" si="335"/>
        <v>0</v>
      </c>
      <c r="BF162" s="200"/>
      <c r="BG162" s="201"/>
      <c r="BH162" s="36"/>
      <c r="BI162" s="220"/>
      <c r="BJ162" s="200"/>
      <c r="BK162" s="201"/>
      <c r="BL162" s="36"/>
      <c r="BM162" s="220"/>
      <c r="BN162" s="122"/>
      <c r="BO162" s="201"/>
      <c r="BP162" s="36"/>
      <c r="BQ162" s="712"/>
      <c r="BR162" s="712"/>
      <c r="BS162" s="77"/>
      <c r="BT162" s="29">
        <f t="shared" si="342"/>
        <v>0</v>
      </c>
      <c r="BU162" s="31"/>
      <c r="BV162" s="31">
        <f t="shared" si="330"/>
        <v>0</v>
      </c>
      <c r="BW162" s="284"/>
      <c r="BX162" s="241"/>
      <c r="BY162" s="232">
        <f t="shared" si="336"/>
        <v>0</v>
      </c>
      <c r="BZ162" s="200"/>
      <c r="CA162" s="201"/>
      <c r="CB162" s="36"/>
      <c r="CC162" s="220"/>
      <c r="CD162" s="200"/>
      <c r="CE162" s="201"/>
      <c r="CF162" s="36"/>
      <c r="CG162" s="220"/>
      <c r="CH162" s="122"/>
      <c r="CI162" s="201"/>
      <c r="CJ162" s="36"/>
      <c r="CK162" s="712"/>
      <c r="CL162" s="712"/>
      <c r="CM162" s="77"/>
      <c r="CN162" s="29">
        <f t="shared" si="337"/>
        <v>0</v>
      </c>
      <c r="CO162" s="31"/>
      <c r="CP162" s="31">
        <f t="shared" si="331"/>
        <v>0</v>
      </c>
      <c r="CQ162" s="284"/>
      <c r="CR162" s="241"/>
      <c r="CS162" s="232">
        <f t="shared" si="338"/>
        <v>0</v>
      </c>
      <c r="CT162" s="200"/>
      <c r="CU162" s="201"/>
      <c r="CV162" s="36"/>
      <c r="CW162" s="220"/>
      <c r="CX162" s="200"/>
      <c r="CY162" s="201"/>
      <c r="CZ162" s="36"/>
      <c r="DA162" s="220"/>
      <c r="DB162" s="122"/>
      <c r="DC162" s="201"/>
      <c r="DD162" s="36"/>
      <c r="DE162" s="712"/>
      <c r="DF162" s="712"/>
      <c r="DG162" s="77"/>
      <c r="DH162" s="29">
        <f t="shared" si="344"/>
        <v>0</v>
      </c>
      <c r="DI162" s="31"/>
      <c r="DJ162" s="31">
        <f t="shared" ref="DJ162" si="345">DI162-DH162</f>
        <v>0</v>
      </c>
      <c r="DK162" s="284"/>
      <c r="DL162" s="241"/>
      <c r="DM162" s="232">
        <f t="shared" ref="DM162" si="346">DH162+DK162-DL162</f>
        <v>0</v>
      </c>
    </row>
    <row r="163" spans="1:117" x14ac:dyDescent="0.25">
      <c r="A163" s="84"/>
      <c r="B163" s="89" t="s">
        <v>85</v>
      </c>
      <c r="C163" s="84"/>
      <c r="D163" s="83"/>
      <c r="E163" s="83"/>
      <c r="F163" s="339"/>
      <c r="G163" s="83"/>
      <c r="H163" s="85"/>
      <c r="I163" s="85"/>
      <c r="J163" s="84"/>
      <c r="K163" s="84"/>
      <c r="L163" s="86"/>
      <c r="M163" s="87"/>
      <c r="N163" s="87"/>
      <c r="O163" s="87"/>
      <c r="P163" s="252"/>
      <c r="Q163" s="238"/>
      <c r="R163" s="135">
        <f>SUM(R167:R184)</f>
        <v>0</v>
      </c>
      <c r="S163" s="136">
        <f>SUM(S167:S184)</f>
        <v>0</v>
      </c>
      <c r="T163" s="88"/>
      <c r="U163" s="223"/>
      <c r="V163" s="135">
        <f>SUM(V167:V184)</f>
        <v>125580</v>
      </c>
      <c r="W163" s="136">
        <f>SUM(W167:W184)</f>
        <v>0</v>
      </c>
      <c r="X163" s="88"/>
      <c r="Y163" s="223"/>
      <c r="Z163" s="135">
        <f>SUM(Z167:Z184)</f>
        <v>70018.8</v>
      </c>
      <c r="AA163" s="136">
        <f>SUM(AA167:AA184)</f>
        <v>0</v>
      </c>
      <c r="AB163" s="88"/>
      <c r="AC163" s="238"/>
      <c r="AD163" s="238"/>
      <c r="AE163" s="84"/>
      <c r="AF163" s="86"/>
      <c r="AG163" s="87"/>
      <c r="AH163" s="87"/>
      <c r="AI163" s="87"/>
      <c r="AJ163" s="252"/>
      <c r="AK163" s="238"/>
      <c r="AL163" s="135">
        <f>SUM(AL167:AL184)</f>
        <v>0</v>
      </c>
      <c r="AM163" s="136">
        <f>SUM(AM167:AM184)</f>
        <v>65937.600000000006</v>
      </c>
      <c r="AN163" s="88"/>
      <c r="AO163" s="223"/>
      <c r="AP163" s="135">
        <f>SUM(AP167:AP184)</f>
        <v>97215</v>
      </c>
      <c r="AQ163" s="136">
        <f>SUM(AQ167:AQ184)</f>
        <v>0</v>
      </c>
      <c r="AR163" s="88"/>
      <c r="AS163" s="223"/>
      <c r="AT163" s="135">
        <f>SUM(AT167:AT184)</f>
        <v>175000</v>
      </c>
      <c r="AU163" s="136">
        <f>SUM(AU167:AU184)</f>
        <v>97215</v>
      </c>
      <c r="AV163" s="88"/>
      <c r="AW163" s="238"/>
      <c r="AX163" s="238"/>
      <c r="AY163" s="84"/>
      <c r="AZ163" s="86"/>
      <c r="BA163" s="87"/>
      <c r="BB163" s="87"/>
      <c r="BC163" s="87"/>
      <c r="BD163" s="252"/>
      <c r="BE163" s="238"/>
      <c r="BF163" s="135">
        <f>SUM(BF167:BF184)</f>
        <v>0</v>
      </c>
      <c r="BG163" s="136">
        <f>SUM(BG167:BG184)</f>
        <v>175000</v>
      </c>
      <c r="BH163" s="88"/>
      <c r="BI163" s="223"/>
      <c r="BJ163" s="135">
        <f>SUM(BJ167:BJ184)</f>
        <v>0</v>
      </c>
      <c r="BK163" s="136">
        <f>SUM(BK167:BK184)</f>
        <v>0</v>
      </c>
      <c r="BL163" s="88"/>
      <c r="BM163" s="223"/>
      <c r="BN163" s="135">
        <f>SUM(BN167:BN184)</f>
        <v>0</v>
      </c>
      <c r="BO163" s="136">
        <f>SUM(BO167:BO184)</f>
        <v>0</v>
      </c>
      <c r="BP163" s="88"/>
      <c r="BQ163" s="238"/>
      <c r="BR163" s="238"/>
      <c r="BS163" s="84"/>
      <c r="BT163" s="86"/>
      <c r="BU163" s="87"/>
      <c r="BV163" s="87"/>
      <c r="BW163" s="87"/>
      <c r="BX163" s="252"/>
      <c r="BY163" s="238"/>
      <c r="BZ163" s="135">
        <f>SUM(BZ164:BZ184)</f>
        <v>180000</v>
      </c>
      <c r="CA163" s="136">
        <f>SUM(CA164:CA184)</f>
        <v>0</v>
      </c>
      <c r="CB163" s="88"/>
      <c r="CC163" s="223"/>
      <c r="CD163" s="135">
        <f>SUM(CD167:CD184)</f>
        <v>207431.16</v>
      </c>
      <c r="CE163" s="136">
        <f>SUM(CE167:CE184)</f>
        <v>13200</v>
      </c>
      <c r="CF163" s="88"/>
      <c r="CG163" s="223"/>
      <c r="CH163" s="135">
        <f>SUM(CH167:CH184)</f>
        <v>257245</v>
      </c>
      <c r="CI163" s="136">
        <f>SUM(CI167:CI184)</f>
        <v>0</v>
      </c>
      <c r="CJ163" s="88"/>
      <c r="CK163" s="238"/>
      <c r="CL163" s="238"/>
      <c r="CM163" s="84"/>
      <c r="CN163" s="86"/>
      <c r="CO163" s="87"/>
      <c r="CP163" s="87"/>
      <c r="CQ163" s="87"/>
      <c r="CR163" s="252"/>
      <c r="CS163" s="238"/>
      <c r="CT163" s="135">
        <f>SUM(CT167:CT184)</f>
        <v>0</v>
      </c>
      <c r="CU163" s="136">
        <f>SUM(CU167:CU184)</f>
        <v>383020</v>
      </c>
      <c r="CV163" s="88"/>
      <c r="CW163" s="223"/>
      <c r="CX163" s="135">
        <f>SUM(CX167:CX184)</f>
        <v>0</v>
      </c>
      <c r="CY163" s="136">
        <f>SUM(CY167:CY184)</f>
        <v>0</v>
      </c>
      <c r="CZ163" s="88"/>
      <c r="DA163" s="223"/>
      <c r="DB163" s="135">
        <f>SUM(DB167:DB184)</f>
        <v>0</v>
      </c>
      <c r="DC163" s="136">
        <f>SUM(DC167:DC184)</f>
        <v>0</v>
      </c>
      <c r="DD163" s="88"/>
      <c r="DE163" s="238"/>
      <c r="DF163" s="238"/>
      <c r="DG163" s="84"/>
      <c r="DH163" s="86"/>
      <c r="DI163" s="87"/>
      <c r="DJ163" s="87"/>
      <c r="DK163" s="87"/>
      <c r="DL163" s="252"/>
      <c r="DM163" s="238"/>
    </row>
    <row r="164" spans="1:117" x14ac:dyDescent="0.25">
      <c r="A164" s="18"/>
      <c r="B164" s="15" t="s">
        <v>858</v>
      </c>
      <c r="C164" s="18"/>
      <c r="D164" s="15"/>
      <c r="E164" s="15"/>
      <c r="F164" s="568"/>
      <c r="G164" s="22"/>
      <c r="H164" s="25"/>
      <c r="I164" s="24"/>
      <c r="J164" s="534"/>
      <c r="K164" s="395"/>
      <c r="L164" s="544"/>
      <c r="M164" s="298"/>
      <c r="N164" s="5"/>
      <c r="O164" s="256"/>
      <c r="P164" s="303"/>
      <c r="Q164" s="231"/>
      <c r="R164" s="121"/>
      <c r="S164" s="6"/>
      <c r="T164" s="216"/>
      <c r="U164" s="707"/>
      <c r="V164" s="570"/>
      <c r="W164" s="6"/>
      <c r="X164" s="216"/>
      <c r="Y164" s="707"/>
      <c r="Z164" s="121"/>
      <c r="AA164" s="6"/>
      <c r="AB164" s="211"/>
      <c r="AC164" s="735"/>
      <c r="AD164" s="735"/>
      <c r="AE164" s="395"/>
      <c r="AF164" s="29"/>
      <c r="AG164" s="298"/>
      <c r="AH164" s="5"/>
      <c r="AI164" s="256"/>
      <c r="AJ164" s="303"/>
      <c r="AK164" s="231"/>
      <c r="AL164" s="121"/>
      <c r="AM164" s="6"/>
      <c r="AN164" s="216"/>
      <c r="AO164" s="707"/>
      <c r="AP164" s="121"/>
      <c r="AQ164" s="6"/>
      <c r="AR164" s="216"/>
      <c r="AS164" s="707"/>
      <c r="AT164" s="121"/>
      <c r="AU164" s="6"/>
      <c r="AV164" s="216"/>
      <c r="AW164" s="739"/>
      <c r="AX164" s="739"/>
      <c r="AY164" s="395"/>
      <c r="AZ164" s="29"/>
      <c r="BA164" s="298"/>
      <c r="BB164" s="5"/>
      <c r="BC164" s="256"/>
      <c r="BD164" s="303"/>
      <c r="BE164" s="231"/>
      <c r="BF164" s="121"/>
      <c r="BG164" s="6"/>
      <c r="BH164" s="216"/>
      <c r="BI164" s="707"/>
      <c r="BJ164" s="121"/>
      <c r="BK164" s="6"/>
      <c r="BL164" s="211"/>
      <c r="BM164" s="708"/>
      <c r="BN164" s="21"/>
      <c r="BO164" s="6"/>
      <c r="BP164" s="35"/>
      <c r="BQ164" s="234"/>
      <c r="BR164" s="234"/>
      <c r="BS164" s="395"/>
      <c r="BT164" s="29"/>
      <c r="BU164" s="298"/>
      <c r="BV164" s="5"/>
      <c r="BW164" s="621">
        <v>5000</v>
      </c>
      <c r="BX164" s="303"/>
      <c r="BY164" s="231"/>
      <c r="BZ164" s="310"/>
      <c r="CA164" s="210"/>
      <c r="CB164" s="216"/>
      <c r="CC164" s="707"/>
      <c r="CD164" s="121"/>
      <c r="CE164" s="6"/>
      <c r="CF164" s="625" t="s">
        <v>876</v>
      </c>
      <c r="CG164" s="787"/>
      <c r="CH164" s="121"/>
      <c r="CI164" s="6"/>
      <c r="CJ164" s="216"/>
      <c r="CK164" s="739"/>
      <c r="CL164" s="739"/>
      <c r="CM164" s="395"/>
      <c r="CN164" s="29"/>
      <c r="CO164" s="298"/>
      <c r="CP164" s="5"/>
      <c r="CQ164" s="240"/>
      <c r="CR164" s="303"/>
      <c r="CS164" s="231"/>
      <c r="CT164" s="121"/>
      <c r="CU164" s="6"/>
      <c r="CV164" s="216"/>
      <c r="CW164" s="707"/>
      <c r="CX164" s="121"/>
      <c r="CY164" s="6"/>
      <c r="CZ164" s="216"/>
      <c r="DA164" s="707"/>
      <c r="DB164" s="21"/>
      <c r="DC164" s="6"/>
      <c r="DD164" s="35"/>
      <c r="DE164" s="234"/>
      <c r="DF164" s="234"/>
      <c r="DG164" s="395"/>
      <c r="DH164" s="29"/>
      <c r="DI164" s="298"/>
      <c r="DJ164" s="5"/>
      <c r="DK164" s="240"/>
      <c r="DL164" s="303"/>
      <c r="DM164" s="231"/>
    </row>
    <row r="165" spans="1:117" ht="14.45" customHeight="1" x14ac:dyDescent="0.25">
      <c r="A165" s="18"/>
      <c r="B165" s="15" t="s">
        <v>878</v>
      </c>
      <c r="C165" s="18"/>
      <c r="D165" s="15"/>
      <c r="E165" s="15"/>
      <c r="F165" s="568"/>
      <c r="G165" s="22"/>
      <c r="H165" s="25"/>
      <c r="I165" s="24"/>
      <c r="J165" s="534"/>
      <c r="K165" s="395"/>
      <c r="L165" s="544"/>
      <c r="M165" s="298"/>
      <c r="N165" s="5"/>
      <c r="O165" s="256"/>
      <c r="P165" s="303"/>
      <c r="Q165" s="231"/>
      <c r="R165" s="121"/>
      <c r="S165" s="6"/>
      <c r="T165" s="216"/>
      <c r="U165" s="707"/>
      <c r="V165" s="570"/>
      <c r="W165" s="6"/>
      <c r="X165" s="216"/>
      <c r="Y165" s="707"/>
      <c r="Z165" s="121"/>
      <c r="AA165" s="6"/>
      <c r="AB165" s="211"/>
      <c r="AC165" s="735"/>
      <c r="AD165" s="735"/>
      <c r="AE165" s="395"/>
      <c r="AF165" s="29"/>
      <c r="AG165" s="298"/>
      <c r="AH165" s="5"/>
      <c r="AI165" s="256"/>
      <c r="AJ165" s="303"/>
      <c r="AK165" s="231"/>
      <c r="AL165" s="121"/>
      <c r="AM165" s="6"/>
      <c r="AN165" s="216"/>
      <c r="AO165" s="707"/>
      <c r="AP165" s="121"/>
      <c r="AQ165" s="6"/>
      <c r="AR165" s="216"/>
      <c r="AS165" s="707"/>
      <c r="AT165" s="121"/>
      <c r="AU165" s="6"/>
      <c r="AV165" s="216"/>
      <c r="AW165" s="739"/>
      <c r="AX165" s="739"/>
      <c r="AY165" s="395"/>
      <c r="AZ165" s="29"/>
      <c r="BA165" s="298"/>
      <c r="BB165" s="5"/>
      <c r="BC165" s="256"/>
      <c r="BD165" s="303"/>
      <c r="BE165" s="231"/>
      <c r="BF165" s="121"/>
      <c r="BG165" s="6"/>
      <c r="BH165" s="216"/>
      <c r="BI165" s="707"/>
      <c r="BJ165" s="121"/>
      <c r="BK165" s="6"/>
      <c r="BL165" s="211"/>
      <c r="BM165" s="708"/>
      <c r="BN165" s="21"/>
      <c r="BO165" s="6"/>
      <c r="BP165" s="35"/>
      <c r="BQ165" s="234"/>
      <c r="BR165" s="234"/>
      <c r="BS165" s="395"/>
      <c r="BT165" s="29"/>
      <c r="BU165" s="298"/>
      <c r="BV165" s="5"/>
      <c r="BW165" s="240"/>
      <c r="BX165" s="303"/>
      <c r="BY165" s="231"/>
      <c r="BZ165" s="310"/>
      <c r="CA165" s="210"/>
      <c r="CB165" s="216"/>
      <c r="CC165" s="707"/>
      <c r="CD165" s="121"/>
      <c r="CE165" s="6"/>
      <c r="CF165" s="625" t="s">
        <v>876</v>
      </c>
      <c r="CG165" s="787"/>
      <c r="CH165" s="121"/>
      <c r="CI165" s="6"/>
      <c r="CJ165" s="216"/>
      <c r="CK165" s="739"/>
      <c r="CL165" s="739"/>
      <c r="CM165" s="395"/>
      <c r="CN165" s="29"/>
      <c r="CO165" s="298"/>
      <c r="CP165" s="5"/>
      <c r="CQ165" s="240"/>
      <c r="CR165" s="303"/>
      <c r="CS165" s="231"/>
      <c r="CT165" s="121"/>
      <c r="CU165" s="6"/>
      <c r="CV165" s="216"/>
      <c r="CW165" s="707"/>
      <c r="CX165" s="121"/>
      <c r="CY165" s="6"/>
      <c r="CZ165" s="216"/>
      <c r="DA165" s="707"/>
      <c r="DB165" s="21"/>
      <c r="DC165" s="6"/>
      <c r="DD165" s="35"/>
      <c r="DE165" s="234"/>
      <c r="DF165" s="234"/>
      <c r="DG165" s="395"/>
      <c r="DH165" s="29"/>
      <c r="DI165" s="298"/>
      <c r="DJ165" s="5"/>
      <c r="DK165" s="240"/>
      <c r="DL165" s="303"/>
      <c r="DM165" s="231"/>
    </row>
    <row r="166" spans="1:117" ht="28.9" customHeight="1" x14ac:dyDescent="0.25">
      <c r="A166" s="18"/>
      <c r="B166" s="15" t="s">
        <v>859</v>
      </c>
      <c r="C166" s="18">
        <v>1</v>
      </c>
      <c r="D166" s="15"/>
      <c r="E166" s="15"/>
      <c r="F166" s="568"/>
      <c r="G166" s="22"/>
      <c r="H166" s="25"/>
      <c r="I166" s="24"/>
      <c r="J166" s="534"/>
      <c r="K166" s="395"/>
      <c r="L166" s="544"/>
      <c r="M166" s="298"/>
      <c r="N166" s="5"/>
      <c r="O166" s="256"/>
      <c r="P166" s="303"/>
      <c r="Q166" s="231"/>
      <c r="R166" s="121"/>
      <c r="S166" s="6"/>
      <c r="T166" s="216"/>
      <c r="U166" s="707"/>
      <c r="V166" s="570"/>
      <c r="W166" s="6"/>
      <c r="X166" s="216"/>
      <c r="Y166" s="707"/>
      <c r="Z166" s="121"/>
      <c r="AA166" s="6"/>
      <c r="AB166" s="211"/>
      <c r="AC166" s="735"/>
      <c r="AD166" s="735"/>
      <c r="AE166" s="395"/>
      <c r="AF166" s="29"/>
      <c r="AG166" s="298"/>
      <c r="AH166" s="5"/>
      <c r="AI166" s="256"/>
      <c r="AJ166" s="303"/>
      <c r="AK166" s="231"/>
      <c r="AL166" s="121"/>
      <c r="AM166" s="6"/>
      <c r="AN166" s="216"/>
      <c r="AO166" s="707"/>
      <c r="AP166" s="121"/>
      <c r="AQ166" s="6"/>
      <c r="AR166" s="216"/>
      <c r="AS166" s="707"/>
      <c r="AT166" s="121"/>
      <c r="AU166" s="6"/>
      <c r="AV166" s="216"/>
      <c r="AW166" s="739"/>
      <c r="AX166" s="739"/>
      <c r="AY166" s="395"/>
      <c r="AZ166" s="29"/>
      <c r="BA166" s="298"/>
      <c r="BB166" s="5"/>
      <c r="BC166" s="256"/>
      <c r="BD166" s="303"/>
      <c r="BE166" s="231"/>
      <c r="BF166" s="121"/>
      <c r="BG166" s="6"/>
      <c r="BH166" s="216"/>
      <c r="BI166" s="707"/>
      <c r="BJ166" s="121"/>
      <c r="BK166" s="6"/>
      <c r="BL166" s="211"/>
      <c r="BM166" s="708"/>
      <c r="BN166" s="21"/>
      <c r="BO166" s="6"/>
      <c r="BP166" s="35"/>
      <c r="BQ166" s="234"/>
      <c r="BR166" s="234"/>
      <c r="BS166" s="395"/>
      <c r="BT166" s="29">
        <f>BE166</f>
        <v>0</v>
      </c>
      <c r="BU166" s="298">
        <v>0</v>
      </c>
      <c r="BV166" s="5">
        <f t="shared" ref="BV166" si="347">BU166-BT166</f>
        <v>0</v>
      </c>
      <c r="BW166" s="5">
        <v>5000</v>
      </c>
      <c r="BX166" s="303">
        <f>BX167</f>
        <v>844</v>
      </c>
      <c r="BY166" s="231">
        <f t="shared" ref="BY166" si="348">BT166+BW166-BX166</f>
        <v>4156</v>
      </c>
      <c r="BZ166" s="310">
        <v>180000</v>
      </c>
      <c r="CA166" s="210"/>
      <c r="CB166" s="211" t="s">
        <v>884</v>
      </c>
      <c r="CC166" s="708"/>
      <c r="CD166" s="121"/>
      <c r="CE166" s="210">
        <v>180000</v>
      </c>
      <c r="CF166" s="35" t="s">
        <v>896</v>
      </c>
      <c r="CG166" s="612"/>
      <c r="CH166" s="121"/>
      <c r="CI166" s="6"/>
      <c r="CJ166" s="216"/>
      <c r="CK166" s="739"/>
      <c r="CL166" s="739"/>
      <c r="CM166" s="395"/>
      <c r="CN166" s="29"/>
      <c r="CO166" s="298"/>
      <c r="CP166" s="5"/>
      <c r="CQ166" s="240"/>
      <c r="CR166" s="303"/>
      <c r="CS166" s="231"/>
      <c r="CT166" s="121"/>
      <c r="CU166" s="6"/>
      <c r="CV166" s="216"/>
      <c r="CW166" s="707"/>
      <c r="CX166" s="121"/>
      <c r="CY166" s="6"/>
      <c r="CZ166" s="216"/>
      <c r="DA166" s="707"/>
      <c r="DB166" s="21"/>
      <c r="DC166" s="6"/>
      <c r="DD166" s="35"/>
      <c r="DE166" s="234"/>
      <c r="DF166" s="234"/>
      <c r="DG166" s="395"/>
      <c r="DH166" s="29"/>
      <c r="DI166" s="298"/>
      <c r="DJ166" s="5"/>
      <c r="DK166" s="240"/>
      <c r="DL166" s="303"/>
      <c r="DM166" s="231"/>
    </row>
    <row r="167" spans="1:117" ht="30" x14ac:dyDescent="0.25">
      <c r="A167" s="18"/>
      <c r="B167" s="15" t="s">
        <v>559</v>
      </c>
      <c r="C167" s="18">
        <v>1</v>
      </c>
      <c r="D167" s="15" t="s">
        <v>514</v>
      </c>
      <c r="E167" s="15"/>
      <c r="F167" s="568">
        <f>20.93*1.2</f>
        <v>25.116</v>
      </c>
      <c r="G167" s="22" t="s">
        <v>528</v>
      </c>
      <c r="H167" s="25" t="s">
        <v>55</v>
      </c>
      <c r="I167" s="24"/>
      <c r="J167" s="534">
        <f>SUM(M167,AG167,BA167,BU167)-L167</f>
        <v>4067</v>
      </c>
      <c r="K167" s="395">
        <f t="shared" ref="K167:K169" si="349">M167-O167-L167</f>
        <v>-8727</v>
      </c>
      <c r="L167" s="544">
        <v>4449</v>
      </c>
      <c r="M167" s="298">
        <f>SUM(M92,M102,M106,M110,M96)</f>
        <v>722</v>
      </c>
      <c r="N167" s="5">
        <f t="shared" ref="N167:N184" si="350">M167-L167</f>
        <v>-3727</v>
      </c>
      <c r="O167" s="256">
        <v>5000</v>
      </c>
      <c r="P167" s="303">
        <f>SUM(P92,P102,P106,P110,P96)</f>
        <v>722</v>
      </c>
      <c r="Q167" s="231">
        <f t="shared" ref="Q167:Q184" si="351">L167+O167-P167</f>
        <v>8727</v>
      </c>
      <c r="R167" s="121"/>
      <c r="S167" s="6"/>
      <c r="T167" s="216"/>
      <c r="U167" s="707"/>
      <c r="V167" s="570">
        <f>F167*100%*5000</f>
        <v>125580</v>
      </c>
      <c r="W167" s="6"/>
      <c r="X167" s="216" t="s">
        <v>708</v>
      </c>
      <c r="Y167" s="707"/>
      <c r="Z167" s="121"/>
      <c r="AA167" s="6"/>
      <c r="AB167" s="211"/>
      <c r="AC167" s="735"/>
      <c r="AD167" s="735"/>
      <c r="AE167" s="395">
        <f>SUM(M167,AG167)-SUM(O167,AI167)-L167</f>
        <v>-7652</v>
      </c>
      <c r="AF167" s="29">
        <f>Q167</f>
        <v>8727</v>
      </c>
      <c r="AG167" s="298">
        <f>SUM(AG92,AG102,AG106,AG110,AG96)</f>
        <v>1075</v>
      </c>
      <c r="AH167" s="5">
        <f t="shared" ref="AH167:AH184" si="352">AG167-AF167</f>
        <v>-7652</v>
      </c>
      <c r="AI167" s="256"/>
      <c r="AJ167" s="303">
        <f>SUM(AJ92,AJ102,AJ106,AJ110,AJ96)</f>
        <v>1075</v>
      </c>
      <c r="AK167" s="231">
        <f t="shared" ref="AK167:AK184" si="353">AF167+AI167-AJ167</f>
        <v>7652</v>
      </c>
      <c r="AL167" s="121"/>
      <c r="AM167" s="6"/>
      <c r="AN167" s="216"/>
      <c r="AO167" s="707"/>
      <c r="AP167" s="121"/>
      <c r="AQ167" s="6"/>
      <c r="AR167" s="216"/>
      <c r="AS167" s="707"/>
      <c r="AT167" s="121"/>
      <c r="AU167" s="6"/>
      <c r="AV167" s="216"/>
      <c r="AW167" s="739"/>
      <c r="AX167" s="739"/>
      <c r="AY167" s="395">
        <f>SUM(M167,AG167,BA167)-SUM(O167,AI167,BC167)-L167</f>
        <v>-3389</v>
      </c>
      <c r="AZ167" s="29">
        <f>AK167</f>
        <v>7652</v>
      </c>
      <c r="BA167" s="298">
        <f>SUM(BA92,BA102,BA106,BA110,BA96)</f>
        <v>4263</v>
      </c>
      <c r="BB167" s="5">
        <f t="shared" ref="BB167:BB184" si="354">BA167-AZ167</f>
        <v>-3389</v>
      </c>
      <c r="BC167" s="256"/>
      <c r="BD167" s="303">
        <f>SUM(BD92,BD102,BD106,BD110,BD96)</f>
        <v>4263</v>
      </c>
      <c r="BE167" s="231">
        <f t="shared" ref="BE167:BE184" si="355">AZ167+BC167-BD167</f>
        <v>3389</v>
      </c>
      <c r="BF167" s="121"/>
      <c r="BG167" s="6"/>
      <c r="BH167" s="216"/>
      <c r="BI167" s="707"/>
      <c r="BJ167" s="121"/>
      <c r="BK167" s="6"/>
      <c r="BL167" s="211"/>
      <c r="BM167" s="708"/>
      <c r="BN167" s="21"/>
      <c r="BO167" s="6"/>
      <c r="BP167" s="35"/>
      <c r="BQ167" s="234"/>
      <c r="BR167" s="234"/>
      <c r="BS167" s="395">
        <f>SUM(M167,AG167,BA167,BU167)-SUM(O167,AI167,BC167,BW167)-L167</f>
        <v>-5943</v>
      </c>
      <c r="BT167" s="29">
        <f>BE167</f>
        <v>3389</v>
      </c>
      <c r="BU167" s="298">
        <f>SUM(BU92,BU102,BU106,BU110,BU96)</f>
        <v>2456</v>
      </c>
      <c r="BV167" s="5">
        <f t="shared" ref="BV167:BV184" si="356">BU167-BT167</f>
        <v>-933</v>
      </c>
      <c r="BW167" s="621">
        <v>5010</v>
      </c>
      <c r="BX167" s="303">
        <f>SUM(BX92,BX102,BX106,BX110,BX96)</f>
        <v>844</v>
      </c>
      <c r="BY167" s="231">
        <f t="shared" ref="BY167:BY184" si="357">BT167+BW167-BX167</f>
        <v>7555</v>
      </c>
      <c r="BZ167" s="310"/>
      <c r="CA167" s="210"/>
      <c r="CB167" s="216"/>
      <c r="CC167" s="707"/>
      <c r="CD167" s="668">
        <f>F167*BW167</f>
        <v>125831.16</v>
      </c>
      <c r="CE167" s="663"/>
      <c r="CF167" s="664" t="s">
        <v>964</v>
      </c>
      <c r="CG167" s="773"/>
      <c r="CH167" s="121"/>
      <c r="CI167" s="6"/>
      <c r="CJ167" s="216"/>
      <c r="CK167" s="739"/>
      <c r="CL167" s="739"/>
      <c r="CM167" s="395">
        <f>SUM(M167,AG167,BA167,BU167,CO167)-SUM(O167,AI167,BC167,BW167,CQ167)-L167</f>
        <v>-5943</v>
      </c>
      <c r="CN167" s="29">
        <f>BY167</f>
        <v>7555</v>
      </c>
      <c r="CO167" s="298">
        <f>SUM(CO92,CO102,CO106,CO110,CO96)</f>
        <v>0</v>
      </c>
      <c r="CP167" s="5">
        <f t="shared" ref="CP167:CP184" si="358">CO167-CN167</f>
        <v>-7555</v>
      </c>
      <c r="CQ167" s="240"/>
      <c r="CR167" s="303">
        <f>SUM(CR92,CR102,CR106,CR110,CR96)</f>
        <v>0</v>
      </c>
      <c r="CS167" s="231">
        <f t="shared" ref="CS167:CS184" si="359">CN167+CQ167-CR167</f>
        <v>7555</v>
      </c>
      <c r="CT167" s="121"/>
      <c r="CU167" s="199"/>
      <c r="CV167" s="148"/>
      <c r="CW167" s="711"/>
      <c r="CX167" s="121"/>
      <c r="CY167" s="6"/>
      <c r="CZ167" s="216"/>
      <c r="DA167" s="707"/>
      <c r="DB167" s="21"/>
      <c r="DC167" s="6"/>
      <c r="DD167" s="35"/>
      <c r="DE167" s="234"/>
      <c r="DF167" s="234"/>
      <c r="DG167" s="395">
        <f>SUM(M167,AG167,BA167,BU167,DI167)-SUM(O167,AI167,BC167,BW167,CQ167)-L167</f>
        <v>-5943</v>
      </c>
      <c r="DH167" s="29">
        <f>BY167</f>
        <v>7555</v>
      </c>
      <c r="DI167" s="298">
        <f>SUM(DI92,DI102,DI106,DI110,DI96)</f>
        <v>0</v>
      </c>
      <c r="DJ167" s="5">
        <f t="shared" ref="DJ167:DJ169" si="360">DI167-DH167</f>
        <v>-7555</v>
      </c>
      <c r="DK167" s="240"/>
      <c r="DL167" s="303">
        <f>SUM(DL92,DL102,DL106,DL110,DL96)</f>
        <v>0</v>
      </c>
      <c r="DM167" s="231">
        <f t="shared" ref="DM167:DM169" si="361">DH167+DK167-DL167</f>
        <v>7555</v>
      </c>
    </row>
    <row r="168" spans="1:117" ht="30" x14ac:dyDescent="0.25">
      <c r="A168" s="18"/>
      <c r="B168" s="15" t="s">
        <v>560</v>
      </c>
      <c r="C168" s="18">
        <v>1</v>
      </c>
      <c r="D168" s="15" t="s">
        <v>514</v>
      </c>
      <c r="E168" s="15"/>
      <c r="F168" s="568">
        <v>70</v>
      </c>
      <c r="G168" s="22" t="s">
        <v>547</v>
      </c>
      <c r="H168" s="25" t="s">
        <v>82</v>
      </c>
      <c r="I168" s="24"/>
      <c r="J168" s="534">
        <f>SUM(M168,AG168,BA168,BU168)-L168</f>
        <v>4067</v>
      </c>
      <c r="K168" s="395">
        <f t="shared" si="349"/>
        <v>-3727</v>
      </c>
      <c r="L168" s="544">
        <v>4449</v>
      </c>
      <c r="M168" s="298">
        <f>SUM(M92,M102,M106,M110,M96)</f>
        <v>722</v>
      </c>
      <c r="N168" s="5">
        <f t="shared" si="350"/>
        <v>-3727</v>
      </c>
      <c r="O168" s="256"/>
      <c r="P168" s="303">
        <f>SUM(P92,P102,P106,P110,P96)</f>
        <v>722</v>
      </c>
      <c r="Q168" s="231">
        <f t="shared" si="351"/>
        <v>3727</v>
      </c>
      <c r="R168" s="121"/>
      <c r="S168" s="6"/>
      <c r="T168" s="216"/>
      <c r="U168" s="707"/>
      <c r="V168" s="21"/>
      <c r="W168" s="6"/>
      <c r="X168" s="216"/>
      <c r="Y168" s="707"/>
      <c r="Z168" s="21"/>
      <c r="AA168" s="6"/>
      <c r="AB168" s="35"/>
      <c r="AC168" s="234"/>
      <c r="AD168" s="234"/>
      <c r="AE168" s="395">
        <f>SUM(M168,AG168)-SUM(O168,AI168)-L168</f>
        <v>-2652</v>
      </c>
      <c r="AF168" s="29">
        <f>Q168</f>
        <v>3727</v>
      </c>
      <c r="AG168" s="298">
        <f>SUM(AG92,AG102,AG106,AG110,AG96)</f>
        <v>1075</v>
      </c>
      <c r="AH168" s="5">
        <f t="shared" si="352"/>
        <v>-2652</v>
      </c>
      <c r="AI168" s="240"/>
      <c r="AJ168" s="303">
        <f>SUM(AJ92,AJ102,AJ106,AJ110,AJ96)</f>
        <v>1075</v>
      </c>
      <c r="AK168" s="231">
        <f t="shared" si="353"/>
        <v>2652</v>
      </c>
      <c r="AL168" s="21"/>
      <c r="AM168" s="6"/>
      <c r="AN168" s="35"/>
      <c r="AO168" s="612"/>
      <c r="AP168" s="21"/>
      <c r="AQ168" s="6"/>
      <c r="AR168" s="211"/>
      <c r="AS168" s="708"/>
      <c r="AT168" s="21">
        <f>$F$168*50%*5000</f>
        <v>175000</v>
      </c>
      <c r="AU168" s="6"/>
      <c r="AV168" s="35" t="s">
        <v>780</v>
      </c>
      <c r="AW168" s="234"/>
      <c r="AX168" s="234"/>
      <c r="AY168" s="395">
        <f>SUM(M168,AG168,BA168)-SUM(O168,AI168,BC168)-L168</f>
        <v>-3389</v>
      </c>
      <c r="AZ168" s="29">
        <f t="shared" ref="AZ168:AZ179" si="362">AK168</f>
        <v>2652</v>
      </c>
      <c r="BA168" s="298">
        <f>SUM(BA92,BA102,BA106,BA110,BA96)</f>
        <v>4263</v>
      </c>
      <c r="BB168" s="5">
        <f t="shared" si="354"/>
        <v>1611</v>
      </c>
      <c r="BC168" s="256">
        <v>5000</v>
      </c>
      <c r="BD168" s="303">
        <f>SUM(BD92,BD102,BD106,BD110,BD96)</f>
        <v>4263</v>
      </c>
      <c r="BE168" s="231">
        <f t="shared" si="355"/>
        <v>3389</v>
      </c>
      <c r="BF168" s="121"/>
      <c r="BG168" s="6">
        <f>$F$168*50%*5000</f>
        <v>175000</v>
      </c>
      <c r="BH168" s="211" t="s">
        <v>683</v>
      </c>
      <c r="BI168" s="708"/>
      <c r="BJ168" s="21"/>
      <c r="BK168" s="6"/>
      <c r="BL168" s="211"/>
      <c r="BM168" s="708"/>
      <c r="BN168" s="21"/>
      <c r="BO168" s="6"/>
      <c r="BP168" s="211"/>
      <c r="BQ168" s="735"/>
      <c r="BR168" s="735"/>
      <c r="BS168" s="395">
        <f>SUM(M168,AG168,BA168,BU168)-SUM(O168,AI168,BC168,BW168)-L168</f>
        <v>-5933</v>
      </c>
      <c r="BT168" s="29">
        <f t="shared" ref="BT168:BT179" si="363">BE168</f>
        <v>3389</v>
      </c>
      <c r="BU168" s="298">
        <f>SUM(BU92,BU102,BU106,BU110,BU96)</f>
        <v>2456</v>
      </c>
      <c r="BV168" s="5">
        <f t="shared" si="356"/>
        <v>-933</v>
      </c>
      <c r="BW168" s="621">
        <v>5000</v>
      </c>
      <c r="BX168" s="303">
        <f>SUM(BX92,BX102,BX106,BX110,BX96)</f>
        <v>844</v>
      </c>
      <c r="BY168" s="231">
        <f t="shared" si="357"/>
        <v>7545</v>
      </c>
      <c r="BZ168" s="310"/>
      <c r="CA168" s="6"/>
      <c r="CB168" s="216"/>
      <c r="CC168" s="707"/>
      <c r="CD168" s="215"/>
      <c r="CE168" s="199"/>
      <c r="CF168" s="148"/>
      <c r="CG168" s="711"/>
      <c r="CH168" s="630">
        <f>$F$168*$BW168/2</f>
        <v>175000</v>
      </c>
      <c r="CI168" s="629"/>
      <c r="CJ168" s="625" t="s">
        <v>809</v>
      </c>
      <c r="CK168" s="806"/>
      <c r="CL168" s="806"/>
      <c r="CM168" s="395">
        <f>SUM(M168,AG168,BA168,BU168,CO168)-SUM(O168,AI168,BC168,BW168,CQ168)-L168</f>
        <v>-5933</v>
      </c>
      <c r="CN168" s="29">
        <f t="shared" ref="CN168:CN179" si="364">BY168</f>
        <v>7545</v>
      </c>
      <c r="CO168" s="298">
        <f>SUM(CO92,CO102,CO106,CO110,CO96)</f>
        <v>0</v>
      </c>
      <c r="CP168" s="5">
        <f t="shared" si="358"/>
        <v>-7545</v>
      </c>
      <c r="CQ168" s="240"/>
      <c r="CR168" s="303">
        <f>SUM(CR92,CR102,CR106,CR110,CR96)</f>
        <v>0</v>
      </c>
      <c r="CS168" s="231">
        <f t="shared" si="359"/>
        <v>7545</v>
      </c>
      <c r="CT168" s="121"/>
      <c r="CU168" s="629">
        <v>175000</v>
      </c>
      <c r="CV168" s="625" t="s">
        <v>810</v>
      </c>
      <c r="CW168" s="787"/>
      <c r="CX168" s="21"/>
      <c r="CY168" s="6"/>
      <c r="CZ168" s="216"/>
      <c r="DA168" s="707"/>
      <c r="DB168" s="21"/>
      <c r="DC168" s="6"/>
      <c r="DD168" s="35"/>
      <c r="DE168" s="234"/>
      <c r="DF168" s="234"/>
      <c r="DG168" s="395">
        <f>SUM(M168,AG168,BA168,BU168,DI168)-SUM(O168,AI168,BC168,BW168,CQ168)-L168</f>
        <v>-5933</v>
      </c>
      <c r="DH168" s="29">
        <f t="shared" ref="DH168:DH169" si="365">BY168</f>
        <v>7545</v>
      </c>
      <c r="DI168" s="298">
        <f>SUM(DI92,DI102,DI106,DI110,DI96)</f>
        <v>0</v>
      </c>
      <c r="DJ168" s="5">
        <f t="shared" si="360"/>
        <v>-7545</v>
      </c>
      <c r="DK168" s="240"/>
      <c r="DL168" s="303">
        <f>SUM(DL92,DL102,DL106,DL110,DL96)</f>
        <v>0</v>
      </c>
      <c r="DM168" s="231">
        <f t="shared" si="361"/>
        <v>7545</v>
      </c>
    </row>
    <row r="169" spans="1:117" x14ac:dyDescent="0.25">
      <c r="A169" s="18"/>
      <c r="B169" s="11" t="s">
        <v>56</v>
      </c>
      <c r="C169" s="18">
        <v>1</v>
      </c>
      <c r="D169" s="15" t="s">
        <v>514</v>
      </c>
      <c r="E169" s="15"/>
      <c r="F169" s="568">
        <v>22.8</v>
      </c>
      <c r="G169" s="15" t="s">
        <v>649</v>
      </c>
      <c r="H169" s="147" t="s">
        <v>553</v>
      </c>
      <c r="I169" s="294"/>
      <c r="J169" s="534">
        <f>SUM(M169,AG169,BA169,BU169)-L169</f>
        <v>5119</v>
      </c>
      <c r="K169" s="395">
        <f t="shared" si="349"/>
        <v>-3869</v>
      </c>
      <c r="L169" s="544">
        <f>4638-8</f>
        <v>4630</v>
      </c>
      <c r="M169" s="298">
        <f>SUM(M92,M102,M106,M110,M96,M138,M146,M154)</f>
        <v>761</v>
      </c>
      <c r="N169" s="5">
        <f t="shared" si="350"/>
        <v>-3869</v>
      </c>
      <c r="O169" s="242"/>
      <c r="P169" s="303">
        <f>SUM(P92,P102,P106,P110,P96,P138,P146,P154)</f>
        <v>761</v>
      </c>
      <c r="Q169" s="231">
        <f t="shared" si="351"/>
        <v>3869</v>
      </c>
      <c r="R169" s="21"/>
      <c r="S169" s="6"/>
      <c r="T169" s="216"/>
      <c r="U169" s="707"/>
      <c r="V169" s="121"/>
      <c r="W169" s="6"/>
      <c r="X169" s="216"/>
      <c r="Y169" s="707"/>
      <c r="Z169" s="573">
        <f>$F$169*50%*6142</f>
        <v>70018.8</v>
      </c>
      <c r="AA169" s="6"/>
      <c r="AB169" s="35" t="s">
        <v>753</v>
      </c>
      <c r="AC169" s="234"/>
      <c r="AD169" s="234"/>
      <c r="AE169" s="395">
        <f>SUM(M169,AG169)-SUM(O169,AI169)-L169</f>
        <v>-8867</v>
      </c>
      <c r="AF169" s="29">
        <f>Q169</f>
        <v>3869</v>
      </c>
      <c r="AG169" s="298">
        <f>SUM(AG92,AG102,AG106,AG110,AG96,AG138,AG146,AG154)</f>
        <v>1144</v>
      </c>
      <c r="AH169" s="5">
        <f t="shared" si="352"/>
        <v>-2725</v>
      </c>
      <c r="AI169" s="599">
        <v>6142</v>
      </c>
      <c r="AJ169" s="303">
        <f>SUM(AJ92,AJ102,AJ106,AJ110,AJ96,AJ138,AJ146,AJ154)</f>
        <v>1144</v>
      </c>
      <c r="AK169" s="231">
        <f t="shared" si="353"/>
        <v>8867</v>
      </c>
      <c r="AL169" s="21"/>
      <c r="AM169" s="598">
        <v>65937.600000000006</v>
      </c>
      <c r="AN169" s="35" t="s">
        <v>755</v>
      </c>
      <c r="AO169" s="612"/>
      <c r="AP169" s="121"/>
      <c r="AQ169" s="6"/>
      <c r="AR169" s="211"/>
      <c r="AS169" s="708"/>
      <c r="AT169" s="21"/>
      <c r="AU169" s="6"/>
      <c r="AV169" s="211"/>
      <c r="AW169" s="735"/>
      <c r="AX169" s="735"/>
      <c r="AY169" s="395">
        <f>SUM(M169,AG169,BA169)-SUM(O169,AI169,BC169)-L169</f>
        <v>-3688</v>
      </c>
      <c r="AZ169" s="29">
        <f t="shared" si="362"/>
        <v>8867</v>
      </c>
      <c r="BA169" s="298">
        <f>SUM(BA92,BA102,BA106,BA110,BA96,BA138,BA146,BA154)</f>
        <v>5179</v>
      </c>
      <c r="BB169" s="5">
        <f t="shared" si="354"/>
        <v>-3688</v>
      </c>
      <c r="BC169" s="256"/>
      <c r="BD169" s="303">
        <f>SUM(BD92,BD102,BD106,BD110,BD96,BD138,BD146,BD154)+140</f>
        <v>5334</v>
      </c>
      <c r="BE169" s="231">
        <f t="shared" si="355"/>
        <v>3533</v>
      </c>
      <c r="BF169" s="21"/>
      <c r="BG169" s="6"/>
      <c r="BH169" s="211"/>
      <c r="BI169" s="708"/>
      <c r="BJ169" s="21"/>
      <c r="BK169" s="6"/>
      <c r="BL169" s="211"/>
      <c r="BM169" s="708"/>
      <c r="BN169" s="21"/>
      <c r="BO169" s="6"/>
      <c r="BP169" s="216"/>
      <c r="BQ169" s="739"/>
      <c r="BR169" s="739"/>
      <c r="BS169" s="395">
        <f>SUM(M169,AG169,BA169,BU169)-SUM(O169,AI169,BC169,BW169)-L169</f>
        <v>-6023</v>
      </c>
      <c r="BT169" s="29">
        <f t="shared" si="363"/>
        <v>3533</v>
      </c>
      <c r="BU169" s="298">
        <f>SUM(BU92,BU102,BU106,BU110,BU96,BU138,BU146,BU154)</f>
        <v>2665</v>
      </c>
      <c r="BV169" s="5">
        <f t="shared" si="356"/>
        <v>-868</v>
      </c>
      <c r="BW169" s="621">
        <v>5000</v>
      </c>
      <c r="BX169" s="303">
        <f>SUM(BX92,BX102,BX106,BX110,BX96,BX138,BX146,BX154)</f>
        <v>925</v>
      </c>
      <c r="BY169" s="231">
        <f t="shared" si="357"/>
        <v>7608</v>
      </c>
      <c r="BZ169" s="310"/>
      <c r="CA169" s="6"/>
      <c r="CB169" s="216"/>
      <c r="CC169" s="707"/>
      <c r="CD169" s="668">
        <f>136800/2</f>
        <v>68400</v>
      </c>
      <c r="CE169" s="663"/>
      <c r="CF169" s="664" t="s">
        <v>809</v>
      </c>
      <c r="CG169" s="773"/>
      <c r="CH169" s="21"/>
      <c r="CI169" s="215"/>
      <c r="CJ169" s="1" t="s">
        <v>916</v>
      </c>
      <c r="CM169" s="395">
        <f>SUM(M169,AG169,BA169,BU169,CO169)-SUM(O169,AI169,BC169,BW169,CQ169)-L169</f>
        <v>-6023</v>
      </c>
      <c r="CN169" s="29">
        <f t="shared" si="364"/>
        <v>7608</v>
      </c>
      <c r="CO169" s="298">
        <f>SUM(CO92,CO102,CO106,CO110,CO96,CO138,CO146,CO154)</f>
        <v>0</v>
      </c>
      <c r="CP169" s="5">
        <f t="shared" si="358"/>
        <v>-7608</v>
      </c>
      <c r="CQ169" s="240"/>
      <c r="CR169" s="303">
        <f>SUM(CR92,CR102,CR106,CR110,CR96,CR138,CR146,CR154)</f>
        <v>0</v>
      </c>
      <c r="CS169" s="231">
        <f t="shared" si="359"/>
        <v>7608</v>
      </c>
      <c r="CT169" s="21"/>
      <c r="CU169" s="630">
        <f>136800/2</f>
        <v>68400</v>
      </c>
      <c r="CV169" s="625" t="s">
        <v>810</v>
      </c>
      <c r="CW169" s="787"/>
      <c r="CX169" s="121"/>
      <c r="CY169" s="6"/>
      <c r="CZ169" s="35"/>
      <c r="DA169" s="612"/>
      <c r="DB169" s="21"/>
      <c r="DC169" s="6"/>
      <c r="DD169" s="35"/>
      <c r="DE169" s="234"/>
      <c r="DF169" s="234"/>
      <c r="DG169" s="395">
        <f>SUM(M169,AG169,BA169,BU169,DI169)-SUM(O169,AI169,BC169,BW169,CQ169)-L169</f>
        <v>-6023</v>
      </c>
      <c r="DH169" s="29">
        <f t="shared" si="365"/>
        <v>7608</v>
      </c>
      <c r="DI169" s="298">
        <f>SUM(DI92,DI102,DI106,DI110,DI96,DI138,DI146,DI154)</f>
        <v>0</v>
      </c>
      <c r="DJ169" s="5">
        <f t="shared" si="360"/>
        <v>-7608</v>
      </c>
      <c r="DK169" s="240"/>
      <c r="DL169" s="303">
        <f>SUM(DL92,DL102,DL106,DL110,DL96,DL138,DL146,DL154)</f>
        <v>0</v>
      </c>
      <c r="DM169" s="231">
        <f t="shared" si="361"/>
        <v>7608</v>
      </c>
    </row>
    <row r="170" spans="1:117" x14ac:dyDescent="0.25">
      <c r="A170" s="360"/>
      <c r="B170" s="347" t="s">
        <v>474</v>
      </c>
      <c r="C170" s="360"/>
      <c r="D170" s="373"/>
      <c r="E170" s="373"/>
      <c r="F170" s="362"/>
      <c r="G170" s="373"/>
      <c r="H170" s="479"/>
      <c r="I170" s="756"/>
      <c r="J170" s="346"/>
      <c r="K170" s="346"/>
      <c r="L170" s="364"/>
      <c r="M170" s="374"/>
      <c r="N170" s="374"/>
      <c r="O170" s="441"/>
      <c r="P170" s="375"/>
      <c r="Q170" s="365"/>
      <c r="R170" s="369"/>
      <c r="S170" s="367"/>
      <c r="T170" s="480"/>
      <c r="U170" s="719"/>
      <c r="V170" s="366"/>
      <c r="W170" s="367"/>
      <c r="X170" s="368"/>
      <c r="Y170" s="718"/>
      <c r="Z170" s="369"/>
      <c r="AA170" s="367"/>
      <c r="AB170" s="368"/>
      <c r="AC170" s="355"/>
      <c r="AD170" s="355"/>
      <c r="AE170" s="346"/>
      <c r="AF170" s="364"/>
      <c r="AG170" s="374"/>
      <c r="AH170" s="374"/>
      <c r="AI170" s="441"/>
      <c r="AJ170" s="375"/>
      <c r="AK170" s="365"/>
      <c r="AL170" s="481"/>
      <c r="AM170" s="482"/>
      <c r="AN170" s="483"/>
      <c r="AO170" s="759"/>
      <c r="AP170" s="366"/>
      <c r="AQ170" s="367"/>
      <c r="AR170" s="484"/>
      <c r="AS170" s="765"/>
      <c r="AT170" s="369"/>
      <c r="AU170" s="367"/>
      <c r="AV170" s="484"/>
      <c r="AW170" s="766"/>
      <c r="AX170" s="766"/>
      <c r="AY170" s="346"/>
      <c r="AZ170" s="364"/>
      <c r="BA170" s="374"/>
      <c r="BB170" s="374"/>
      <c r="BC170" s="441"/>
      <c r="BD170" s="375"/>
      <c r="BE170" s="365"/>
      <c r="BF170" s="369"/>
      <c r="BG170" s="367"/>
      <c r="BH170" s="484"/>
      <c r="BI170" s="765"/>
      <c r="BJ170" s="366"/>
      <c r="BK170" s="367"/>
      <c r="BL170" s="368"/>
      <c r="BM170" s="718"/>
      <c r="BN170" s="369"/>
      <c r="BO170" s="367"/>
      <c r="BP170" s="368"/>
      <c r="BQ170" s="355"/>
      <c r="BR170" s="355"/>
      <c r="BS170" s="346"/>
      <c r="BT170" s="364"/>
      <c r="BU170" s="374"/>
      <c r="BV170" s="374"/>
      <c r="BW170" s="375"/>
      <c r="BX170" s="375"/>
      <c r="BY170" s="365"/>
      <c r="BZ170" s="369"/>
      <c r="CA170" s="367"/>
      <c r="CB170" s="480"/>
      <c r="CC170" s="719"/>
      <c r="CD170" s="366"/>
      <c r="CE170" s="367"/>
      <c r="CF170" s="368"/>
      <c r="CG170" s="718"/>
      <c r="CH170" s="369"/>
      <c r="CI170" s="367"/>
      <c r="CJ170" s="368"/>
      <c r="CK170" s="355"/>
      <c r="CL170" s="355"/>
      <c r="CM170" s="346"/>
      <c r="CN170" s="364"/>
      <c r="CO170" s="374"/>
      <c r="CP170" s="374"/>
      <c r="CQ170" s="375"/>
      <c r="CR170" s="375"/>
      <c r="CS170" s="365"/>
      <c r="CT170" s="369"/>
      <c r="CU170" s="367"/>
      <c r="CV170" s="480"/>
      <c r="CW170" s="719"/>
      <c r="CX170" s="366"/>
      <c r="CY170" s="367"/>
      <c r="CZ170" s="368"/>
      <c r="DA170" s="718"/>
      <c r="DB170" s="369"/>
      <c r="DC170" s="367"/>
      <c r="DD170" s="368"/>
      <c r="DE170" s="355"/>
      <c r="DF170" s="355"/>
      <c r="DG170" s="346"/>
      <c r="DH170" s="364"/>
      <c r="DI170" s="374"/>
      <c r="DJ170" s="374"/>
      <c r="DK170" s="375"/>
      <c r="DL170" s="375"/>
      <c r="DM170" s="365"/>
    </row>
    <row r="171" spans="1:117" ht="90" x14ac:dyDescent="0.25">
      <c r="A171" s="18"/>
      <c r="B171" s="259" t="s">
        <v>281</v>
      </c>
      <c r="C171" s="18"/>
      <c r="D171" s="15" t="s">
        <v>149</v>
      </c>
      <c r="E171" s="15"/>
      <c r="F171" s="568">
        <v>76.2</v>
      </c>
      <c r="G171" s="379" t="s">
        <v>777</v>
      </c>
      <c r="H171" s="147" t="s">
        <v>77</v>
      </c>
      <c r="I171" s="294"/>
      <c r="J171" s="534">
        <f t="shared" ref="J171:J180" si="366">SUM(M171,AG171,BA171,BU171)-L171</f>
        <v>578</v>
      </c>
      <c r="K171" s="395">
        <f t="shared" ref="K171:K180" si="367">M171-O171-L171</f>
        <v>-408</v>
      </c>
      <c r="L171" s="544">
        <v>484</v>
      </c>
      <c r="M171" s="298">
        <f>M82*2</f>
        <v>76</v>
      </c>
      <c r="N171" s="5">
        <f t="shared" si="350"/>
        <v>-408</v>
      </c>
      <c r="O171" s="240"/>
      <c r="P171" s="303">
        <f>P82*2</f>
        <v>76</v>
      </c>
      <c r="Q171" s="231">
        <f t="shared" si="351"/>
        <v>408</v>
      </c>
      <c r="R171" s="121"/>
      <c r="S171" s="6"/>
      <c r="T171" s="35"/>
      <c r="U171" s="612"/>
      <c r="V171" s="121"/>
      <c r="W171" s="6"/>
      <c r="X171" s="35"/>
      <c r="Y171" s="612"/>
      <c r="Z171" s="21"/>
      <c r="AA171" s="6"/>
      <c r="AB171" s="35"/>
      <c r="AC171" s="234"/>
      <c r="AD171" s="234"/>
      <c r="AE171" s="395">
        <f t="shared" ref="AE171:AE180" si="368">SUM(M171,AG171)-SUM(O171,AI171)-L171</f>
        <v>-896</v>
      </c>
      <c r="AF171" s="29">
        <f t="shared" ref="AF171:AF180" si="369">Q171</f>
        <v>408</v>
      </c>
      <c r="AG171" s="298">
        <f>AG82*2</f>
        <v>162</v>
      </c>
      <c r="AH171" s="5">
        <f t="shared" si="352"/>
        <v>-246</v>
      </c>
      <c r="AI171" s="602">
        <v>650</v>
      </c>
      <c r="AJ171" s="303">
        <f>AJ82*2</f>
        <v>162</v>
      </c>
      <c r="AK171" s="231">
        <f t="shared" si="353"/>
        <v>896</v>
      </c>
      <c r="AL171" s="21"/>
      <c r="AM171" s="6"/>
      <c r="AN171" s="35"/>
      <c r="AO171" s="760"/>
      <c r="AP171" s="130">
        <f>$F$171*50%*650</f>
        <v>24765</v>
      </c>
      <c r="AQ171" s="130"/>
      <c r="AR171" s="35" t="s">
        <v>739</v>
      </c>
      <c r="AS171" s="612"/>
      <c r="AT171" s="21"/>
      <c r="AU171" s="21">
        <f>$F$171*50%*650</f>
        <v>24765</v>
      </c>
      <c r="AV171" s="35" t="s">
        <v>734</v>
      </c>
      <c r="AW171" s="234"/>
      <c r="AX171" s="234"/>
      <c r="AY171" s="395">
        <f t="shared" ref="AY171:AY180" si="370">SUM(M171,AG171,BA171)-SUM(O171,AI171,BC171)-L171</f>
        <v>-372</v>
      </c>
      <c r="AZ171" s="29">
        <f t="shared" si="362"/>
        <v>896</v>
      </c>
      <c r="BA171" s="298">
        <f>BA82*2</f>
        <v>524</v>
      </c>
      <c r="BB171" s="5">
        <f t="shared" si="354"/>
        <v>-372</v>
      </c>
      <c r="BC171" s="256"/>
      <c r="BD171" s="303">
        <f>BD82*2</f>
        <v>524</v>
      </c>
      <c r="BE171" s="231">
        <f t="shared" si="355"/>
        <v>372</v>
      </c>
      <c r="BF171" s="121"/>
      <c r="BG171" s="6"/>
      <c r="BH171" s="35"/>
      <c r="BI171" s="612"/>
      <c r="BJ171" s="121"/>
      <c r="BK171" s="6"/>
      <c r="BL171" s="35"/>
      <c r="BM171" s="612"/>
      <c r="BN171" s="121"/>
      <c r="BO171" s="6"/>
      <c r="BP171" s="35"/>
      <c r="BQ171" s="234"/>
      <c r="BR171" s="234"/>
      <c r="BS171" s="395">
        <f t="shared" ref="BS171:BS180" si="371">SUM(M171,AG171,BA171,BU171)-SUM(O171,AI171,BC171,BW171)-L171</f>
        <v>-772</v>
      </c>
      <c r="BT171" s="29">
        <f t="shared" si="363"/>
        <v>372</v>
      </c>
      <c r="BU171" s="298">
        <f>BU82*2</f>
        <v>300</v>
      </c>
      <c r="BV171" s="5">
        <f t="shared" si="356"/>
        <v>-72</v>
      </c>
      <c r="BW171" s="240">
        <v>700</v>
      </c>
      <c r="BX171" s="303">
        <f>BX82*2</f>
        <v>112</v>
      </c>
      <c r="BY171" s="231">
        <f t="shared" si="357"/>
        <v>960</v>
      </c>
      <c r="BZ171" s="121"/>
      <c r="CA171" s="6"/>
      <c r="CB171" s="35"/>
      <c r="CC171" s="612"/>
      <c r="CD171" s="121"/>
      <c r="CE171" s="6"/>
      <c r="CF171" s="35" t="s">
        <v>958</v>
      </c>
      <c r="CG171" s="612"/>
      <c r="CH171" s="235">
        <f>$BW$171*$F$171/2</f>
        <v>26670</v>
      </c>
      <c r="CI171" s="199"/>
      <c r="CJ171" s="148" t="s">
        <v>811</v>
      </c>
      <c r="CK171" s="807"/>
      <c r="CL171" s="807"/>
      <c r="CM171" s="395">
        <f t="shared" ref="CM171:CM180" si="372">SUM(M171,AG171,BA171,BU171,CO171)-SUM(O171,AI171,BC171,BW171,CQ171)-L171</f>
        <v>-772</v>
      </c>
      <c r="CN171" s="29">
        <f t="shared" si="364"/>
        <v>960</v>
      </c>
      <c r="CO171" s="298">
        <f>CO82*2</f>
        <v>0</v>
      </c>
      <c r="CP171" s="5">
        <f t="shared" si="358"/>
        <v>-960</v>
      </c>
      <c r="CQ171" s="240"/>
      <c r="CR171" s="303">
        <f>CR82*2</f>
        <v>0</v>
      </c>
      <c r="CS171" s="231">
        <f t="shared" si="359"/>
        <v>960</v>
      </c>
      <c r="CT171" s="121"/>
      <c r="CU171" s="235">
        <f>$BW$171*$F$171/2</f>
        <v>26670</v>
      </c>
      <c r="CV171" s="35" t="s">
        <v>812</v>
      </c>
      <c r="CW171" s="612"/>
      <c r="CX171" s="121"/>
      <c r="CY171" s="6"/>
      <c r="CZ171" s="35"/>
      <c r="DA171" s="612"/>
      <c r="DB171" s="21"/>
      <c r="DC171" s="6"/>
      <c r="DD171" s="35"/>
      <c r="DE171" s="234"/>
      <c r="DF171" s="234"/>
      <c r="DG171" s="395">
        <f t="shared" ref="DG171:DG180" si="373">SUM(M171,AG171,BA171,BU171,DI171)-SUM(O171,AI171,BC171,BW171,CQ171)-L171</f>
        <v>-772</v>
      </c>
      <c r="DH171" s="29">
        <f>BY171</f>
        <v>960</v>
      </c>
      <c r="DI171" s="298">
        <f>DI82*2</f>
        <v>0</v>
      </c>
      <c r="DJ171" s="5">
        <f t="shared" ref="DJ171:DJ175" si="374">DI171-DH171</f>
        <v>-960</v>
      </c>
      <c r="DK171" s="240"/>
      <c r="DL171" s="303">
        <f>DL82*2</f>
        <v>0</v>
      </c>
      <c r="DM171" s="231">
        <f t="shared" ref="DM171:DM175" si="375">DH171+DK171-DL171</f>
        <v>960</v>
      </c>
    </row>
    <row r="172" spans="1:117" ht="30" x14ac:dyDescent="0.25">
      <c r="A172" s="18"/>
      <c r="B172" s="15" t="s">
        <v>282</v>
      </c>
      <c r="C172" s="18">
        <v>1</v>
      </c>
      <c r="D172" s="15" t="s">
        <v>152</v>
      </c>
      <c r="E172" s="15"/>
      <c r="F172" s="568">
        <v>42</v>
      </c>
      <c r="G172" s="379" t="s">
        <v>777</v>
      </c>
      <c r="H172" s="26" t="s">
        <v>77</v>
      </c>
      <c r="I172" s="382"/>
      <c r="J172" s="534">
        <f t="shared" si="366"/>
        <v>244</v>
      </c>
      <c r="K172" s="395">
        <f t="shared" si="367"/>
        <v>-249</v>
      </c>
      <c r="L172" s="544">
        <v>287</v>
      </c>
      <c r="M172" s="298">
        <f>M82</f>
        <v>38</v>
      </c>
      <c r="N172" s="5">
        <f t="shared" si="350"/>
        <v>-249</v>
      </c>
      <c r="O172" s="240"/>
      <c r="P172" s="303">
        <f>P82</f>
        <v>38</v>
      </c>
      <c r="Q172" s="231">
        <f t="shared" si="351"/>
        <v>249</v>
      </c>
      <c r="R172" s="121"/>
      <c r="S172" s="6"/>
      <c r="T172" s="35"/>
      <c r="U172" s="612"/>
      <c r="V172" s="121"/>
      <c r="W172" s="6"/>
      <c r="X172" s="35"/>
      <c r="Y172" s="612"/>
      <c r="Z172" s="21"/>
      <c r="AA172" s="6"/>
      <c r="AB172" s="35"/>
      <c r="AC172" s="234"/>
      <c r="AD172" s="234"/>
      <c r="AE172" s="395">
        <f t="shared" si="368"/>
        <v>-468</v>
      </c>
      <c r="AF172" s="29">
        <f t="shared" si="369"/>
        <v>249</v>
      </c>
      <c r="AG172" s="298">
        <f>AG82</f>
        <v>81</v>
      </c>
      <c r="AH172" s="5">
        <f t="shared" si="352"/>
        <v>-168</v>
      </c>
      <c r="AI172" s="602">
        <v>300</v>
      </c>
      <c r="AJ172" s="303">
        <f>AJ82</f>
        <v>81</v>
      </c>
      <c r="AK172" s="231">
        <f t="shared" si="353"/>
        <v>468</v>
      </c>
      <c r="AL172" s="21"/>
      <c r="AM172" s="6"/>
      <c r="AN172" s="35"/>
      <c r="AO172" s="226"/>
      <c r="AP172" s="6">
        <f>$F$172*50%*300</f>
        <v>6300</v>
      </c>
      <c r="AQ172" s="6"/>
      <c r="AR172" s="35" t="s">
        <v>740</v>
      </c>
      <c r="AS172" s="612"/>
      <c r="AT172" s="21"/>
      <c r="AU172" s="21">
        <f>$F$172*50%*300</f>
        <v>6300</v>
      </c>
      <c r="AV172" s="35" t="s">
        <v>735</v>
      </c>
      <c r="AW172" s="234"/>
      <c r="AX172" s="234"/>
      <c r="AY172" s="395">
        <f t="shared" si="370"/>
        <v>-206</v>
      </c>
      <c r="AZ172" s="29">
        <f t="shared" si="362"/>
        <v>468</v>
      </c>
      <c r="BA172" s="298">
        <f>BA82</f>
        <v>262</v>
      </c>
      <c r="BB172" s="5">
        <f t="shared" si="354"/>
        <v>-206</v>
      </c>
      <c r="BC172" s="256"/>
      <c r="BD172" s="303">
        <f>BD82</f>
        <v>262</v>
      </c>
      <c r="BE172" s="231">
        <f t="shared" si="355"/>
        <v>206</v>
      </c>
      <c r="BF172" s="121"/>
      <c r="BG172" s="6"/>
      <c r="BH172" s="35"/>
      <c r="BI172" s="612"/>
      <c r="BJ172" s="121"/>
      <c r="BK172" s="6"/>
      <c r="BL172" s="35"/>
      <c r="BM172" s="612"/>
      <c r="BN172" s="121"/>
      <c r="BO172" s="6"/>
      <c r="BP172" s="35"/>
      <c r="BQ172" s="234"/>
      <c r="BR172" s="234"/>
      <c r="BS172" s="395">
        <f t="shared" si="371"/>
        <v>-556</v>
      </c>
      <c r="BT172" s="29">
        <f t="shared" si="363"/>
        <v>206</v>
      </c>
      <c r="BU172" s="298">
        <f>BU82</f>
        <v>150</v>
      </c>
      <c r="BV172" s="5">
        <f t="shared" si="356"/>
        <v>-56</v>
      </c>
      <c r="BW172" s="621">
        <v>500</v>
      </c>
      <c r="BX172" s="303">
        <f>BX82</f>
        <v>56</v>
      </c>
      <c r="BY172" s="231">
        <f t="shared" si="357"/>
        <v>650</v>
      </c>
      <c r="BZ172" s="121"/>
      <c r="CA172" s="6"/>
      <c r="CB172" s="35"/>
      <c r="CC172" s="612"/>
      <c r="CD172" s="121"/>
      <c r="CE172" s="6"/>
      <c r="CF172" s="35"/>
      <c r="CG172" s="612"/>
      <c r="CH172" s="628">
        <f>BW172*$F$172/2</f>
        <v>10500</v>
      </c>
      <c r="CI172" s="629"/>
      <c r="CJ172" s="625" t="s">
        <v>811</v>
      </c>
      <c r="CK172" s="806"/>
      <c r="CL172" s="806"/>
      <c r="CM172" s="395">
        <f t="shared" si="372"/>
        <v>-556</v>
      </c>
      <c r="CN172" s="29">
        <f t="shared" si="364"/>
        <v>650</v>
      </c>
      <c r="CO172" s="298">
        <f>CO82</f>
        <v>0</v>
      </c>
      <c r="CP172" s="5">
        <f t="shared" si="358"/>
        <v>-650</v>
      </c>
      <c r="CQ172" s="240"/>
      <c r="CR172" s="303">
        <f>CR82</f>
        <v>0</v>
      </c>
      <c r="CS172" s="231">
        <f t="shared" si="359"/>
        <v>650</v>
      </c>
      <c r="CT172" s="121"/>
      <c r="CU172" s="628">
        <f>BW172*$F$172/2</f>
        <v>10500</v>
      </c>
      <c r="CV172" s="625" t="s">
        <v>812</v>
      </c>
      <c r="CW172" s="787"/>
      <c r="CX172" s="121"/>
      <c r="CY172" s="6"/>
      <c r="CZ172" s="35"/>
      <c r="DA172" s="612"/>
      <c r="DB172" s="21"/>
      <c r="DC172" s="6"/>
      <c r="DD172" s="35"/>
      <c r="DE172" s="234"/>
      <c r="DF172" s="234"/>
      <c r="DG172" s="395">
        <f t="shared" si="373"/>
        <v>-556</v>
      </c>
      <c r="DH172" s="29">
        <f t="shared" ref="DH172:DH180" si="376">BY172</f>
        <v>650</v>
      </c>
      <c r="DI172" s="298">
        <f>DI82</f>
        <v>0</v>
      </c>
      <c r="DJ172" s="5">
        <f t="shared" si="374"/>
        <v>-650</v>
      </c>
      <c r="DK172" s="240"/>
      <c r="DL172" s="303">
        <f>DL82</f>
        <v>0</v>
      </c>
      <c r="DM172" s="231">
        <f t="shared" si="375"/>
        <v>650</v>
      </c>
    </row>
    <row r="173" spans="1:117" ht="30" x14ac:dyDescent="0.25">
      <c r="A173" s="17"/>
      <c r="B173" s="80" t="s">
        <v>283</v>
      </c>
      <c r="C173" s="17"/>
      <c r="D173" s="80" t="s">
        <v>150</v>
      </c>
      <c r="E173" s="80"/>
      <c r="F173" s="572">
        <v>9.9</v>
      </c>
      <c r="G173" s="379" t="s">
        <v>777</v>
      </c>
      <c r="H173" s="294" t="s">
        <v>77</v>
      </c>
      <c r="I173" s="294"/>
      <c r="J173" s="534">
        <f t="shared" si="366"/>
        <v>7024</v>
      </c>
      <c r="K173" s="395">
        <f t="shared" si="367"/>
        <v>-4808</v>
      </c>
      <c r="L173" s="544">
        <v>5720</v>
      </c>
      <c r="M173" s="302">
        <f>M82*24</f>
        <v>912</v>
      </c>
      <c r="N173" s="7">
        <f t="shared" si="350"/>
        <v>-4808</v>
      </c>
      <c r="O173" s="242"/>
      <c r="P173" s="304">
        <f>P82*24</f>
        <v>912</v>
      </c>
      <c r="Q173" s="234">
        <f t="shared" si="351"/>
        <v>4808</v>
      </c>
      <c r="R173" s="121"/>
      <c r="S173" s="6"/>
      <c r="T173" s="35"/>
      <c r="U173" s="612"/>
      <c r="V173" s="121"/>
      <c r="W173" s="6"/>
      <c r="X173" s="35"/>
      <c r="Y173" s="612"/>
      <c r="Z173" s="21"/>
      <c r="AA173" s="8"/>
      <c r="AB173" s="35"/>
      <c r="AC173" s="234"/>
      <c r="AD173" s="234"/>
      <c r="AE173" s="395">
        <f t="shared" si="368"/>
        <v>-10364</v>
      </c>
      <c r="AF173" s="29">
        <f t="shared" si="369"/>
        <v>4808</v>
      </c>
      <c r="AG173" s="302">
        <f>AG82*24</f>
        <v>1944</v>
      </c>
      <c r="AH173" s="7">
        <f t="shared" si="352"/>
        <v>-2864</v>
      </c>
      <c r="AI173" s="603">
        <v>7500</v>
      </c>
      <c r="AJ173" s="304">
        <f>AJ82*24</f>
        <v>1944</v>
      </c>
      <c r="AK173" s="234">
        <f t="shared" si="353"/>
        <v>10364</v>
      </c>
      <c r="AL173" s="21"/>
      <c r="AM173" s="8"/>
      <c r="AN173" s="35"/>
      <c r="AO173" s="226"/>
      <c r="AP173" s="6">
        <f>$F$173*50%*7500</f>
        <v>37125</v>
      </c>
      <c r="AQ173" s="6"/>
      <c r="AR173" s="35" t="s">
        <v>741</v>
      </c>
      <c r="AS173" s="612"/>
      <c r="AT173" s="21"/>
      <c r="AU173" s="21">
        <f>$F$173*50%*7500</f>
        <v>37125</v>
      </c>
      <c r="AV173" s="35" t="s">
        <v>736</v>
      </c>
      <c r="AW173" s="234"/>
      <c r="AX173" s="234"/>
      <c r="AY173" s="395">
        <f t="shared" si="370"/>
        <v>-4076</v>
      </c>
      <c r="AZ173" s="29">
        <f t="shared" si="362"/>
        <v>10364</v>
      </c>
      <c r="BA173" s="302">
        <f>BA82*24</f>
        <v>6288</v>
      </c>
      <c r="BB173" s="7">
        <f t="shared" si="354"/>
        <v>-4076</v>
      </c>
      <c r="BC173" s="258"/>
      <c r="BD173" s="304">
        <f>BD82*24</f>
        <v>6288</v>
      </c>
      <c r="BE173" s="234">
        <f t="shared" si="355"/>
        <v>4076</v>
      </c>
      <c r="BF173" s="121"/>
      <c r="BG173" s="6"/>
      <c r="BH173" s="35"/>
      <c r="BI173" s="612"/>
      <c r="BJ173" s="121"/>
      <c r="BK173" s="6"/>
      <c r="BL173" s="35"/>
      <c r="BM173" s="612"/>
      <c r="BN173" s="121"/>
      <c r="BO173" s="6"/>
      <c r="BP173" s="35"/>
      <c r="BQ173" s="234"/>
      <c r="BR173" s="234"/>
      <c r="BS173" s="395">
        <f t="shared" si="371"/>
        <v>-3476</v>
      </c>
      <c r="BT173" s="29">
        <f t="shared" si="363"/>
        <v>4076</v>
      </c>
      <c r="BU173" s="302">
        <f>BU82*24</f>
        <v>3600</v>
      </c>
      <c r="BV173" s="7">
        <f t="shared" si="356"/>
        <v>-476</v>
      </c>
      <c r="BW173" s="623">
        <v>3000</v>
      </c>
      <c r="BX173" s="304">
        <f>BX82*24</f>
        <v>1344</v>
      </c>
      <c r="BY173" s="234">
        <f t="shared" si="357"/>
        <v>5732</v>
      </c>
      <c r="BZ173" s="121"/>
      <c r="CA173" s="6"/>
      <c r="CB173" s="35"/>
      <c r="CC173" s="612"/>
      <c r="CD173" s="121"/>
      <c r="CE173" s="6"/>
      <c r="CF173" s="35"/>
      <c r="CG173" s="612"/>
      <c r="CH173" s="628">
        <f>BW173*$F173/2</f>
        <v>14850</v>
      </c>
      <c r="CI173" s="633"/>
      <c r="CJ173" s="625" t="s">
        <v>811</v>
      </c>
      <c r="CK173" s="806"/>
      <c r="CL173" s="806"/>
      <c r="CM173" s="395">
        <f t="shared" si="372"/>
        <v>-3476</v>
      </c>
      <c r="CN173" s="29">
        <f t="shared" si="364"/>
        <v>5732</v>
      </c>
      <c r="CO173" s="302">
        <f>CO82*24</f>
        <v>0</v>
      </c>
      <c r="CP173" s="7">
        <f t="shared" si="358"/>
        <v>-5732</v>
      </c>
      <c r="CQ173" s="242"/>
      <c r="CR173" s="304">
        <f>CR82*24</f>
        <v>0</v>
      </c>
      <c r="CS173" s="234">
        <f t="shared" si="359"/>
        <v>5732</v>
      </c>
      <c r="CT173" s="121"/>
      <c r="CU173" s="628">
        <f t="shared" ref="CU173:CU179" si="377">BW173*$F$172/2</f>
        <v>63000</v>
      </c>
      <c r="CV173" s="625" t="s">
        <v>812</v>
      </c>
      <c r="CW173" s="787"/>
      <c r="CX173" s="121"/>
      <c r="CY173" s="6"/>
      <c r="CZ173" s="35"/>
      <c r="DA173" s="713"/>
      <c r="DB173" s="20"/>
      <c r="DC173" s="8"/>
      <c r="DD173" s="34"/>
      <c r="DE173" s="234"/>
      <c r="DF173" s="234"/>
      <c r="DG173" s="395">
        <f t="shared" si="373"/>
        <v>-3476</v>
      </c>
      <c r="DH173" s="29">
        <f t="shared" si="376"/>
        <v>5732</v>
      </c>
      <c r="DI173" s="302">
        <f>DI82*24</f>
        <v>0</v>
      </c>
      <c r="DJ173" s="7">
        <f t="shared" si="374"/>
        <v>-5732</v>
      </c>
      <c r="DK173" s="242"/>
      <c r="DL173" s="304">
        <f>DL82*24</f>
        <v>0</v>
      </c>
      <c r="DM173" s="234">
        <f t="shared" si="375"/>
        <v>5732</v>
      </c>
    </row>
    <row r="174" spans="1:117" ht="30" x14ac:dyDescent="0.25">
      <c r="A174" s="18"/>
      <c r="B174" s="15" t="s">
        <v>285</v>
      </c>
      <c r="C174" s="18"/>
      <c r="D174" s="15" t="s">
        <v>151</v>
      </c>
      <c r="E174" s="15"/>
      <c r="F174" s="568">
        <v>24.3</v>
      </c>
      <c r="G174" s="379" t="s">
        <v>777</v>
      </c>
      <c r="H174" s="147" t="s">
        <v>77</v>
      </c>
      <c r="I174" s="294"/>
      <c r="J174" s="534">
        <f t="shared" si="366"/>
        <v>399</v>
      </c>
      <c r="K174" s="395">
        <f t="shared" si="367"/>
        <v>-94</v>
      </c>
      <c r="L174" s="544">
        <v>132</v>
      </c>
      <c r="M174" s="298">
        <f>M82</f>
        <v>38</v>
      </c>
      <c r="N174" s="5">
        <f t="shared" si="350"/>
        <v>-94</v>
      </c>
      <c r="O174" s="240"/>
      <c r="P174" s="303">
        <f>P82</f>
        <v>38</v>
      </c>
      <c r="Q174" s="231">
        <f t="shared" si="351"/>
        <v>94</v>
      </c>
      <c r="R174" s="121"/>
      <c r="S174" s="6"/>
      <c r="T174" s="35"/>
      <c r="U174" s="612"/>
      <c r="V174" s="121"/>
      <c r="W174" s="6"/>
      <c r="X174" s="35"/>
      <c r="Y174" s="612"/>
      <c r="Z174" s="21"/>
      <c r="AA174" s="6"/>
      <c r="AB174" s="35"/>
      <c r="AC174" s="234"/>
      <c r="AD174" s="234"/>
      <c r="AE174" s="395">
        <f t="shared" si="368"/>
        <v>-513</v>
      </c>
      <c r="AF174" s="29">
        <f t="shared" si="369"/>
        <v>94</v>
      </c>
      <c r="AG174" s="298">
        <f>AG82</f>
        <v>81</v>
      </c>
      <c r="AH174" s="5">
        <f t="shared" si="352"/>
        <v>-13</v>
      </c>
      <c r="AI174" s="602">
        <v>500</v>
      </c>
      <c r="AJ174" s="303">
        <f>AJ82</f>
        <v>81</v>
      </c>
      <c r="AK174" s="231">
        <f t="shared" si="353"/>
        <v>513</v>
      </c>
      <c r="AL174" s="21"/>
      <c r="AM174" s="6"/>
      <c r="AN174" s="35"/>
      <c r="AO174" s="226"/>
      <c r="AP174" s="6">
        <f>$F$174*50%*500</f>
        <v>6075</v>
      </c>
      <c r="AQ174" s="6"/>
      <c r="AR174" s="35" t="s">
        <v>696</v>
      </c>
      <c r="AS174" s="612"/>
      <c r="AT174" s="21"/>
      <c r="AU174" s="21">
        <f>$F$174*50%*500</f>
        <v>6075</v>
      </c>
      <c r="AV174" s="35" t="s">
        <v>694</v>
      </c>
      <c r="AW174" s="234"/>
      <c r="AX174" s="234"/>
      <c r="AY174" s="395">
        <f t="shared" si="370"/>
        <v>-251</v>
      </c>
      <c r="AZ174" s="29">
        <f t="shared" si="362"/>
        <v>513</v>
      </c>
      <c r="BA174" s="298">
        <f>BA82</f>
        <v>262</v>
      </c>
      <c r="BB174" s="5">
        <f t="shared" si="354"/>
        <v>-251</v>
      </c>
      <c r="BC174" s="256"/>
      <c r="BD174" s="303">
        <f>BD82</f>
        <v>262</v>
      </c>
      <c r="BE174" s="231">
        <f t="shared" si="355"/>
        <v>251</v>
      </c>
      <c r="BF174" s="121"/>
      <c r="BG174" s="6"/>
      <c r="BH174" s="35"/>
      <c r="BI174" s="612"/>
      <c r="BJ174" s="121"/>
      <c r="BK174" s="6"/>
      <c r="BL174" s="35"/>
      <c r="BM174" s="612"/>
      <c r="BN174" s="121"/>
      <c r="BO174" s="6"/>
      <c r="BP174" s="35"/>
      <c r="BQ174" s="234"/>
      <c r="BR174" s="234"/>
      <c r="BS174" s="395">
        <f t="shared" si="371"/>
        <v>-601</v>
      </c>
      <c r="BT174" s="29">
        <f t="shared" si="363"/>
        <v>251</v>
      </c>
      <c r="BU174" s="298">
        <f>BU82</f>
        <v>150</v>
      </c>
      <c r="BV174" s="5">
        <f t="shared" si="356"/>
        <v>-101</v>
      </c>
      <c r="BW174" s="621">
        <v>500</v>
      </c>
      <c r="BX174" s="303">
        <f>BX82</f>
        <v>56</v>
      </c>
      <c r="BY174" s="231">
        <f t="shared" si="357"/>
        <v>695</v>
      </c>
      <c r="BZ174" s="121"/>
      <c r="CA174" s="6"/>
      <c r="CB174" s="35"/>
      <c r="CC174" s="612"/>
      <c r="CD174" s="121"/>
      <c r="CE174" s="6"/>
      <c r="CF174" s="35"/>
      <c r="CG174" s="612"/>
      <c r="CH174" s="628">
        <f>BW174*$F174/2</f>
        <v>6075</v>
      </c>
      <c r="CI174" s="629"/>
      <c r="CJ174" s="625" t="s">
        <v>811</v>
      </c>
      <c r="CK174" s="806"/>
      <c r="CL174" s="806"/>
      <c r="CM174" s="395">
        <f t="shared" si="372"/>
        <v>-601</v>
      </c>
      <c r="CN174" s="29">
        <f t="shared" si="364"/>
        <v>695</v>
      </c>
      <c r="CO174" s="298">
        <f>CO82</f>
        <v>0</v>
      </c>
      <c r="CP174" s="5">
        <f t="shared" si="358"/>
        <v>-695</v>
      </c>
      <c r="CQ174" s="240"/>
      <c r="CR174" s="303">
        <f>CR82</f>
        <v>0</v>
      </c>
      <c r="CS174" s="231">
        <f t="shared" si="359"/>
        <v>695</v>
      </c>
      <c r="CT174" s="121"/>
      <c r="CU174" s="628">
        <f t="shared" si="377"/>
        <v>10500</v>
      </c>
      <c r="CV174" s="625" t="s">
        <v>812</v>
      </c>
      <c r="CW174" s="787"/>
      <c r="CX174" s="121"/>
      <c r="CY174" s="6"/>
      <c r="CZ174" s="35"/>
      <c r="DA174" s="612"/>
      <c r="DB174" s="21"/>
      <c r="DC174" s="6"/>
      <c r="DD174" s="35"/>
      <c r="DE174" s="234"/>
      <c r="DF174" s="234"/>
      <c r="DG174" s="395">
        <f t="shared" si="373"/>
        <v>-601</v>
      </c>
      <c r="DH174" s="29">
        <f t="shared" si="376"/>
        <v>695</v>
      </c>
      <c r="DI174" s="298">
        <f>DI82</f>
        <v>0</v>
      </c>
      <c r="DJ174" s="5">
        <f t="shared" si="374"/>
        <v>-695</v>
      </c>
      <c r="DK174" s="240"/>
      <c r="DL174" s="303">
        <f>DL82</f>
        <v>0</v>
      </c>
      <c r="DM174" s="231">
        <f t="shared" si="375"/>
        <v>695</v>
      </c>
    </row>
    <row r="175" spans="1:117" ht="30" x14ac:dyDescent="0.25">
      <c r="A175" s="18"/>
      <c r="B175" s="11" t="s">
        <v>284</v>
      </c>
      <c r="C175" s="18">
        <v>1</v>
      </c>
      <c r="D175" s="11" t="s">
        <v>228</v>
      </c>
      <c r="E175" s="11"/>
      <c r="F175" s="568">
        <v>81</v>
      </c>
      <c r="G175" s="379" t="s">
        <v>777</v>
      </c>
      <c r="H175" s="26" t="s">
        <v>77</v>
      </c>
      <c r="I175" s="382"/>
      <c r="J175" s="534">
        <f t="shared" si="366"/>
        <v>167</v>
      </c>
      <c r="K175" s="395">
        <f t="shared" si="367"/>
        <v>-495</v>
      </c>
      <c r="L175" s="544">
        <v>560</v>
      </c>
      <c r="M175" s="298">
        <f>SUM(M102,M106)</f>
        <v>65</v>
      </c>
      <c r="N175" s="5">
        <f t="shared" si="350"/>
        <v>-495</v>
      </c>
      <c r="O175" s="242"/>
      <c r="P175" s="303">
        <f>SUM(P102,P106)</f>
        <v>65</v>
      </c>
      <c r="Q175" s="231">
        <f t="shared" si="351"/>
        <v>495</v>
      </c>
      <c r="R175" s="121"/>
      <c r="S175" s="6"/>
      <c r="T175" s="35"/>
      <c r="U175" s="612"/>
      <c r="V175" s="121"/>
      <c r="W175" s="6"/>
      <c r="X175" s="35"/>
      <c r="Y175" s="612"/>
      <c r="Z175" s="21"/>
      <c r="AA175" s="6"/>
      <c r="AB175" s="35"/>
      <c r="AC175" s="234"/>
      <c r="AD175" s="234"/>
      <c r="AE175" s="395">
        <f t="shared" si="368"/>
        <v>-682</v>
      </c>
      <c r="AF175" s="29">
        <f t="shared" si="369"/>
        <v>495</v>
      </c>
      <c r="AG175" s="298">
        <f>SUM(AG102,AG106)</f>
        <v>113</v>
      </c>
      <c r="AH175" s="5">
        <f t="shared" si="352"/>
        <v>-382</v>
      </c>
      <c r="AI175" s="603">
        <v>300</v>
      </c>
      <c r="AJ175" s="303">
        <f>SUM(AJ102,AJ106)</f>
        <v>113</v>
      </c>
      <c r="AK175" s="231">
        <f t="shared" si="353"/>
        <v>682</v>
      </c>
      <c r="AL175" s="21"/>
      <c r="AM175" s="6"/>
      <c r="AN175" s="35"/>
      <c r="AO175" s="226"/>
      <c r="AP175" s="6">
        <f>$F$175*50%*300</f>
        <v>12150</v>
      </c>
      <c r="AQ175" s="6"/>
      <c r="AR175" s="35" t="s">
        <v>740</v>
      </c>
      <c r="AS175" s="612"/>
      <c r="AT175" s="21"/>
      <c r="AU175" s="21">
        <f>$F$175*50%*300</f>
        <v>12150</v>
      </c>
      <c r="AV175" s="35" t="s">
        <v>735</v>
      </c>
      <c r="AW175" s="234"/>
      <c r="AX175" s="234"/>
      <c r="AY175" s="395">
        <f t="shared" si="370"/>
        <v>-309</v>
      </c>
      <c r="AZ175" s="29">
        <f t="shared" si="362"/>
        <v>682</v>
      </c>
      <c r="BA175" s="298">
        <f>SUM(BA102,BA106)</f>
        <v>373</v>
      </c>
      <c r="BB175" s="5">
        <f t="shared" si="354"/>
        <v>-309</v>
      </c>
      <c r="BC175" s="240"/>
      <c r="BD175" s="303">
        <f>SUM(BD102,BD106)</f>
        <v>373</v>
      </c>
      <c r="BE175" s="231">
        <f t="shared" si="355"/>
        <v>309</v>
      </c>
      <c r="BF175" s="121"/>
      <c r="BG175" s="6"/>
      <c r="BH175" s="35"/>
      <c r="BI175" s="612"/>
      <c r="BJ175" s="121"/>
      <c r="BK175" s="6"/>
      <c r="BL175" s="35"/>
      <c r="BM175" s="612"/>
      <c r="BN175" s="121"/>
      <c r="BO175" s="6"/>
      <c r="BP175" s="35"/>
      <c r="BQ175" s="234"/>
      <c r="BR175" s="234"/>
      <c r="BS175" s="395">
        <f t="shared" si="371"/>
        <v>-433</v>
      </c>
      <c r="BT175" s="29">
        <f t="shared" si="363"/>
        <v>309</v>
      </c>
      <c r="BU175" s="298">
        <f>SUM(BU102,BU106)</f>
        <v>176</v>
      </c>
      <c r="BV175" s="5">
        <f t="shared" si="356"/>
        <v>-133</v>
      </c>
      <c r="BW175" s="240">
        <v>300</v>
      </c>
      <c r="BX175" s="303">
        <f>SUM(BX102,BX106)</f>
        <v>95</v>
      </c>
      <c r="BY175" s="231">
        <f t="shared" si="357"/>
        <v>514</v>
      </c>
      <c r="BZ175" s="121"/>
      <c r="CA175" s="6"/>
      <c r="CB175" s="35"/>
      <c r="CC175" s="713"/>
      <c r="CD175" s="123"/>
      <c r="CE175" s="6"/>
      <c r="CF175" s="35" t="s">
        <v>958</v>
      </c>
      <c r="CG175" s="612"/>
      <c r="CH175" s="235">
        <f>BW175*$F175/2</f>
        <v>12150</v>
      </c>
      <c r="CI175" s="199"/>
      <c r="CJ175" s="148" t="s">
        <v>811</v>
      </c>
      <c r="CK175" s="807"/>
      <c r="CL175" s="807"/>
      <c r="CM175" s="395">
        <f t="shared" si="372"/>
        <v>-433</v>
      </c>
      <c r="CN175" s="29">
        <f t="shared" si="364"/>
        <v>514</v>
      </c>
      <c r="CO175" s="298">
        <f>SUM(CO102,CO106)</f>
        <v>0</v>
      </c>
      <c r="CP175" s="5">
        <f t="shared" si="358"/>
        <v>-514</v>
      </c>
      <c r="CQ175" s="240"/>
      <c r="CR175" s="303">
        <f>SUM(CR102,CR106)</f>
        <v>0</v>
      </c>
      <c r="CS175" s="231">
        <f t="shared" si="359"/>
        <v>514</v>
      </c>
      <c r="CT175" s="121"/>
      <c r="CU175" s="235">
        <f>BW175*$F175/2</f>
        <v>12150</v>
      </c>
      <c r="CV175" s="35" t="s">
        <v>922</v>
      </c>
      <c r="CW175" s="612"/>
      <c r="CX175" s="121"/>
      <c r="CY175" s="6"/>
      <c r="CZ175" s="35"/>
      <c r="DA175" s="612"/>
      <c r="DB175" s="21"/>
      <c r="DC175" s="6"/>
      <c r="DD175" s="35"/>
      <c r="DE175" s="234"/>
      <c r="DF175" s="234"/>
      <c r="DG175" s="395">
        <f t="shared" si="373"/>
        <v>-433</v>
      </c>
      <c r="DH175" s="29">
        <f t="shared" si="376"/>
        <v>514</v>
      </c>
      <c r="DI175" s="298">
        <f>SUM(DI102,DI106)</f>
        <v>0</v>
      </c>
      <c r="DJ175" s="5">
        <f t="shared" si="374"/>
        <v>-514</v>
      </c>
      <c r="DK175" s="240"/>
      <c r="DL175" s="303">
        <f>SUM(DL102,DL106)</f>
        <v>0</v>
      </c>
      <c r="DM175" s="231">
        <f t="shared" si="375"/>
        <v>514</v>
      </c>
    </row>
    <row r="176" spans="1:117" ht="45" x14ac:dyDescent="0.25">
      <c r="A176" s="18"/>
      <c r="B176" s="317" t="s">
        <v>956</v>
      </c>
      <c r="C176" s="18">
        <v>1</v>
      </c>
      <c r="D176" s="11" t="s">
        <v>226</v>
      </c>
      <c r="E176" s="11"/>
      <c r="F176" s="568">
        <v>45</v>
      </c>
      <c r="G176" s="379" t="s">
        <v>777</v>
      </c>
      <c r="H176" s="26" t="s">
        <v>77</v>
      </c>
      <c r="I176" s="26"/>
      <c r="J176" s="539">
        <f t="shared" si="366"/>
        <v>126</v>
      </c>
      <c r="K176" s="395">
        <f t="shared" si="367"/>
        <v>-75</v>
      </c>
      <c r="L176" s="544">
        <v>87</v>
      </c>
      <c r="M176" s="298">
        <f>M110</f>
        <v>12</v>
      </c>
      <c r="N176" s="5">
        <f>M176-L176</f>
        <v>-75</v>
      </c>
      <c r="O176" s="240"/>
      <c r="P176" s="303">
        <f>P110</f>
        <v>12</v>
      </c>
      <c r="Q176" s="231">
        <f>L176+O176-P176</f>
        <v>75</v>
      </c>
      <c r="R176" s="21"/>
      <c r="S176" s="6"/>
      <c r="T176" s="216"/>
      <c r="U176" s="707"/>
      <c r="V176" s="121"/>
      <c r="W176" s="6"/>
      <c r="X176" s="35"/>
      <c r="Y176" s="612"/>
      <c r="Z176" s="21"/>
      <c r="AA176" s="6"/>
      <c r="AB176" s="35"/>
      <c r="AC176" s="612"/>
      <c r="AD176" s="612"/>
      <c r="AE176" s="478">
        <f t="shared" si="368"/>
        <v>-211</v>
      </c>
      <c r="AF176" s="29">
        <f t="shared" si="369"/>
        <v>75</v>
      </c>
      <c r="AG176" s="298">
        <f>AG110</f>
        <v>64</v>
      </c>
      <c r="AH176" s="5">
        <f>AG176-AF176</f>
        <v>-11</v>
      </c>
      <c r="AI176" s="602">
        <v>200</v>
      </c>
      <c r="AJ176" s="303">
        <f>AJ110</f>
        <v>64</v>
      </c>
      <c r="AK176" s="231">
        <f>AF176+AI176-AJ176</f>
        <v>211</v>
      </c>
      <c r="AL176" s="21"/>
      <c r="AM176" s="6"/>
      <c r="AN176" s="35"/>
      <c r="AO176" s="226"/>
      <c r="AP176" s="6">
        <f>$F$176*50%*200</f>
        <v>4500</v>
      </c>
      <c r="AQ176" s="6"/>
      <c r="AR176" s="35" t="s">
        <v>707</v>
      </c>
      <c r="AS176" s="612"/>
      <c r="AT176" s="21"/>
      <c r="AU176" s="21">
        <f>$F$176*50%*200</f>
        <v>4500</v>
      </c>
      <c r="AV176" s="35" t="s">
        <v>737</v>
      </c>
      <c r="AW176" s="612"/>
      <c r="AX176" s="612"/>
      <c r="AY176" s="478">
        <f t="shared" si="370"/>
        <v>-134</v>
      </c>
      <c r="AZ176" s="29">
        <f>AK176</f>
        <v>211</v>
      </c>
      <c r="BA176" s="298">
        <f>BA110</f>
        <v>77</v>
      </c>
      <c r="BB176" s="5">
        <f>BA176-AZ176</f>
        <v>-134</v>
      </c>
      <c r="BC176" s="240"/>
      <c r="BD176" s="303">
        <f>BD110</f>
        <v>77</v>
      </c>
      <c r="BE176" s="231">
        <f>AZ176+BC176-BD176</f>
        <v>134</v>
      </c>
      <c r="BF176" s="21"/>
      <c r="BG176" s="6"/>
      <c r="BH176" s="35"/>
      <c r="BI176" s="612"/>
      <c r="BJ176" s="21"/>
      <c r="BK176" s="6"/>
      <c r="BL176" s="35"/>
      <c r="BM176" s="612"/>
      <c r="BN176" s="21"/>
      <c r="BO176" s="6"/>
      <c r="BP176" s="35"/>
      <c r="BQ176" s="612"/>
      <c r="BR176" s="612"/>
      <c r="BS176" s="478">
        <f t="shared" si="371"/>
        <v>-374</v>
      </c>
      <c r="BT176" s="29">
        <f>BE176</f>
        <v>134</v>
      </c>
      <c r="BU176" s="298">
        <f>BU110</f>
        <v>60</v>
      </c>
      <c r="BV176" s="5">
        <f>BU176-BT176</f>
        <v>-74</v>
      </c>
      <c r="BW176" s="621">
        <v>300</v>
      </c>
      <c r="BX176" s="303">
        <f>BX110</f>
        <v>58</v>
      </c>
      <c r="BY176" s="231">
        <f>BT176+BW176-BX176</f>
        <v>376</v>
      </c>
      <c r="BZ176" s="21"/>
      <c r="CA176" s="6"/>
      <c r="CB176" s="216"/>
      <c r="CC176" s="716"/>
      <c r="CD176" s="123"/>
      <c r="CE176" s="6"/>
      <c r="CF176" s="35"/>
      <c r="CG176" s="612"/>
      <c r="CH176" s="628">
        <f>BW176*$F176/2</f>
        <v>6750</v>
      </c>
      <c r="CI176" s="629"/>
      <c r="CJ176" s="625" t="s">
        <v>811</v>
      </c>
      <c r="CK176" s="806"/>
      <c r="CL176" s="806"/>
      <c r="CM176" s="395">
        <f t="shared" si="372"/>
        <v>-374</v>
      </c>
      <c r="CN176" s="29">
        <f>BY176</f>
        <v>376</v>
      </c>
      <c r="CO176" s="298">
        <f>CO110</f>
        <v>0</v>
      </c>
      <c r="CP176" s="5">
        <f>CO176-CN176</f>
        <v>-376</v>
      </c>
      <c r="CQ176" s="240"/>
      <c r="CR176" s="303">
        <f>CR110</f>
        <v>0</v>
      </c>
      <c r="CS176" s="231">
        <f>CN176+CQ176-CR176</f>
        <v>376</v>
      </c>
      <c r="CT176" s="21"/>
      <c r="CU176" s="628">
        <f t="shared" si="377"/>
        <v>6300</v>
      </c>
      <c r="CV176" s="625" t="s">
        <v>812</v>
      </c>
      <c r="CW176" s="787"/>
      <c r="CX176" s="121"/>
      <c r="CY176" s="6"/>
      <c r="CZ176" s="35"/>
      <c r="DA176" s="612"/>
      <c r="DB176" s="21"/>
      <c r="DC176" s="6"/>
      <c r="DD176" s="35"/>
      <c r="DE176" s="234"/>
      <c r="DF176" s="234"/>
      <c r="DG176" s="395">
        <f t="shared" si="373"/>
        <v>-374</v>
      </c>
      <c r="DH176" s="29">
        <f t="shared" si="376"/>
        <v>376</v>
      </c>
      <c r="DI176" s="298">
        <f>DI110</f>
        <v>0</v>
      </c>
      <c r="DJ176" s="5">
        <f>DI176-DH176</f>
        <v>-376</v>
      </c>
      <c r="DK176" s="240"/>
      <c r="DL176" s="303">
        <f>DL110</f>
        <v>0</v>
      </c>
      <c r="DM176" s="231">
        <f>DH176+DK176-DL176</f>
        <v>376</v>
      </c>
    </row>
    <row r="177" spans="1:117" x14ac:dyDescent="0.25">
      <c r="A177" s="17"/>
      <c r="B177" s="15" t="s">
        <v>353</v>
      </c>
      <c r="C177" s="17">
        <v>1</v>
      </c>
      <c r="D177" s="10" t="s">
        <v>226</v>
      </c>
      <c r="E177" s="10"/>
      <c r="F177" s="337"/>
      <c r="G177" s="589"/>
      <c r="H177" s="24"/>
      <c r="I177" s="24"/>
      <c r="J177" s="536">
        <f t="shared" si="366"/>
        <v>190</v>
      </c>
      <c r="K177" s="395">
        <f t="shared" si="367"/>
        <v>-11</v>
      </c>
      <c r="L177" s="515">
        <v>23</v>
      </c>
      <c r="M177" s="302">
        <f>M110</f>
        <v>12</v>
      </c>
      <c r="N177" s="5">
        <f>M177-L177</f>
        <v>-11</v>
      </c>
      <c r="O177" s="242"/>
      <c r="P177" s="304">
        <f>P110</f>
        <v>12</v>
      </c>
      <c r="Q177" s="231">
        <f t="shared" ref="Q177" si="378">L177+O177-P177</f>
        <v>11</v>
      </c>
      <c r="R177" s="123"/>
      <c r="S177" s="8"/>
      <c r="T177" s="34"/>
      <c r="U177" s="713"/>
      <c r="V177" s="123"/>
      <c r="W177" s="8"/>
      <c r="X177" s="34"/>
      <c r="Y177" s="713"/>
      <c r="Z177" s="21"/>
      <c r="AA177" s="8"/>
      <c r="AB177" s="35"/>
      <c r="AC177" s="713"/>
      <c r="AD177" s="713"/>
      <c r="AE177" s="394">
        <f t="shared" si="368"/>
        <v>-247</v>
      </c>
      <c r="AF177" s="32">
        <f t="shared" si="369"/>
        <v>11</v>
      </c>
      <c r="AG177" s="302">
        <f>AG110</f>
        <v>64</v>
      </c>
      <c r="AH177" s="5">
        <f>AG177-AF177</f>
        <v>53</v>
      </c>
      <c r="AI177" s="603">
        <v>300</v>
      </c>
      <c r="AJ177" s="304">
        <f>AJ110</f>
        <v>64</v>
      </c>
      <c r="AK177" s="231">
        <f>AF177+AI177-AJ177</f>
        <v>247</v>
      </c>
      <c r="AL177" s="21"/>
      <c r="AM177" s="8"/>
      <c r="AN177" s="35"/>
      <c r="AO177" s="761"/>
      <c r="AP177" s="8"/>
      <c r="AQ177" s="8"/>
      <c r="AR177" s="35"/>
      <c r="AS177" s="612"/>
      <c r="AT177" s="21"/>
      <c r="AU177" s="21"/>
      <c r="AV177" s="35"/>
      <c r="AW177" s="713"/>
      <c r="AX177" s="713"/>
      <c r="AY177" s="394">
        <f t="shared" si="370"/>
        <v>-170</v>
      </c>
      <c r="AZ177" s="32">
        <f>AK177</f>
        <v>247</v>
      </c>
      <c r="BA177" s="302">
        <f>BA110</f>
        <v>77</v>
      </c>
      <c r="BB177" s="5">
        <f>BA177-AZ177</f>
        <v>-170</v>
      </c>
      <c r="BC177" s="7"/>
      <c r="BD177" s="304">
        <f>BD110</f>
        <v>77</v>
      </c>
      <c r="BE177" s="231">
        <f>AZ177+BC177-BD177</f>
        <v>170</v>
      </c>
      <c r="BF177" s="123"/>
      <c r="BG177" s="8"/>
      <c r="BH177" s="34"/>
      <c r="BI177" s="713"/>
      <c r="BJ177" s="123"/>
      <c r="BK177" s="8"/>
      <c r="BL177" s="34"/>
      <c r="BM177" s="713"/>
      <c r="BN177" s="123"/>
      <c r="BO177" s="8"/>
      <c r="BP177" s="34"/>
      <c r="BQ177" s="713"/>
      <c r="BR177" s="713"/>
      <c r="BS177" s="394">
        <f t="shared" si="371"/>
        <v>-110</v>
      </c>
      <c r="BT177" s="32">
        <f>BE177</f>
        <v>170</v>
      </c>
      <c r="BU177" s="302">
        <f>BU110</f>
        <v>60</v>
      </c>
      <c r="BV177" s="5">
        <f>BU177-BT177</f>
        <v>-110</v>
      </c>
      <c r="BW177" s="256"/>
      <c r="BX177" s="304">
        <f>BX110</f>
        <v>58</v>
      </c>
      <c r="BY177" s="231">
        <f>BT177+BW177-BX177</f>
        <v>112</v>
      </c>
      <c r="BZ177" s="123"/>
      <c r="CA177" s="8"/>
      <c r="CB177" s="34"/>
      <c r="CC177" s="713"/>
      <c r="CD177" s="123"/>
      <c r="CE177" s="8"/>
      <c r="CF177" s="34"/>
      <c r="CG177" s="713"/>
      <c r="CH177" s="20"/>
      <c r="CI177" s="8"/>
      <c r="CJ177" s="34"/>
      <c r="CK177" s="234"/>
      <c r="CL177" s="234"/>
      <c r="CM177" s="395">
        <f t="shared" si="372"/>
        <v>-110</v>
      </c>
      <c r="CN177" s="32">
        <f>BY177</f>
        <v>112</v>
      </c>
      <c r="CO177" s="302">
        <f>CO110</f>
        <v>0</v>
      </c>
      <c r="CP177" s="5">
        <f>CO177-CN177</f>
        <v>-112</v>
      </c>
      <c r="CQ177" s="242"/>
      <c r="CR177" s="304">
        <f>CR110</f>
        <v>0</v>
      </c>
      <c r="CS177" s="231">
        <f>CN177+CQ177-CR177</f>
        <v>112</v>
      </c>
      <c r="CT177" s="123"/>
      <c r="CU177" s="235"/>
      <c r="CV177" s="34"/>
      <c r="CW177" s="713"/>
      <c r="CX177" s="123"/>
      <c r="CY177" s="8"/>
      <c r="CZ177" s="34"/>
      <c r="DA177" s="713"/>
      <c r="DB177" s="20"/>
      <c r="DC177" s="8"/>
      <c r="DD177" s="34"/>
      <c r="DE177" s="234"/>
      <c r="DF177" s="234"/>
      <c r="DG177" s="395">
        <f t="shared" si="373"/>
        <v>-110</v>
      </c>
      <c r="DH177" s="29">
        <f t="shared" si="376"/>
        <v>112</v>
      </c>
      <c r="DI177" s="302">
        <f>DI110</f>
        <v>0</v>
      </c>
      <c r="DJ177" s="5">
        <f>DI177-DH177</f>
        <v>-112</v>
      </c>
      <c r="DK177" s="242"/>
      <c r="DL177" s="304">
        <f>DL110</f>
        <v>0</v>
      </c>
      <c r="DM177" s="231">
        <f>DH177+DK177-DL177</f>
        <v>112</v>
      </c>
    </row>
    <row r="178" spans="1:117" x14ac:dyDescent="0.25">
      <c r="A178" s="18"/>
      <c r="B178" s="11" t="s">
        <v>280</v>
      </c>
      <c r="C178" s="18">
        <v>1</v>
      </c>
      <c r="D178" s="11" t="s">
        <v>473</v>
      </c>
      <c r="E178" s="11"/>
      <c r="F178" s="149">
        <v>36.700000000000003</v>
      </c>
      <c r="G178" s="379" t="s">
        <v>334</v>
      </c>
      <c r="H178" s="25" t="s">
        <v>77</v>
      </c>
      <c r="I178" s="25"/>
      <c r="J178" s="539">
        <f t="shared" si="366"/>
        <v>-92</v>
      </c>
      <c r="K178" s="395">
        <f t="shared" si="367"/>
        <v>-109</v>
      </c>
      <c r="L178" s="544">
        <v>109</v>
      </c>
      <c r="M178" s="298">
        <f>M127</f>
        <v>0</v>
      </c>
      <c r="N178" s="5">
        <f>M178-L178</f>
        <v>-109</v>
      </c>
      <c r="O178" s="256"/>
      <c r="P178" s="303">
        <f>P127</f>
        <v>0</v>
      </c>
      <c r="Q178" s="231">
        <f>L178+O178-P178</f>
        <v>109</v>
      </c>
      <c r="R178" s="21"/>
      <c r="S178" s="6"/>
      <c r="T178" s="35"/>
      <c r="U178" s="612"/>
      <c r="V178" s="121"/>
      <c r="W178" s="6"/>
      <c r="X178" s="35"/>
      <c r="Y178" s="612"/>
      <c r="Z178" s="21"/>
      <c r="AA178" s="6"/>
      <c r="AB178" s="35"/>
      <c r="AC178" s="612"/>
      <c r="AD178" s="612"/>
      <c r="AE178" s="478">
        <f t="shared" si="368"/>
        <v>-109</v>
      </c>
      <c r="AF178" s="29">
        <f t="shared" si="369"/>
        <v>109</v>
      </c>
      <c r="AG178" s="298">
        <f>AG127</f>
        <v>0</v>
      </c>
      <c r="AH178" s="5">
        <f>AG178-AF178</f>
        <v>-109</v>
      </c>
      <c r="AI178" s="599"/>
      <c r="AJ178" s="303">
        <f>AJ127</f>
        <v>0</v>
      </c>
      <c r="AK178" s="231">
        <f>AF178+AI178-AJ178</f>
        <v>109</v>
      </c>
      <c r="AL178" s="21"/>
      <c r="AM178" s="6"/>
      <c r="AN178" s="35"/>
      <c r="AO178" s="226"/>
      <c r="AP178" s="6"/>
      <c r="AQ178" s="6"/>
      <c r="AR178" s="35"/>
      <c r="AS178" s="612"/>
      <c r="AT178" s="21"/>
      <c r="AU178" s="21"/>
      <c r="AV178" s="35"/>
      <c r="AW178" s="612"/>
      <c r="AX178" s="612"/>
      <c r="AY178" s="478">
        <f t="shared" si="370"/>
        <v>-97</v>
      </c>
      <c r="AZ178" s="29">
        <f>AK178</f>
        <v>109</v>
      </c>
      <c r="BA178" s="298">
        <f>BA127</f>
        <v>12</v>
      </c>
      <c r="BB178" s="5">
        <f>BA178-AZ178</f>
        <v>-97</v>
      </c>
      <c r="BC178" s="256"/>
      <c r="BD178" s="303">
        <f>BD127</f>
        <v>12</v>
      </c>
      <c r="BE178" s="231">
        <f>AZ178+BC178-BD178</f>
        <v>97</v>
      </c>
      <c r="BF178" s="21"/>
      <c r="BG178" s="6"/>
      <c r="BH178" s="35"/>
      <c r="BI178" s="612"/>
      <c r="BJ178" s="21"/>
      <c r="BK178" s="6"/>
      <c r="BL178" s="35"/>
      <c r="BM178" s="612"/>
      <c r="BN178" s="21"/>
      <c r="BO178" s="6"/>
      <c r="BP178" s="35"/>
      <c r="BQ178" s="612"/>
      <c r="BR178" s="612"/>
      <c r="BS178" s="478">
        <f t="shared" si="371"/>
        <v>-92</v>
      </c>
      <c r="BT178" s="29">
        <f>BE178</f>
        <v>97</v>
      </c>
      <c r="BU178" s="298">
        <f>BU127</f>
        <v>5</v>
      </c>
      <c r="BV178" s="5">
        <f>BU178-BT178</f>
        <v>-92</v>
      </c>
      <c r="BW178" s="256"/>
      <c r="BX178" s="303">
        <f>BX127</f>
        <v>0</v>
      </c>
      <c r="BY178" s="231">
        <f>BT178+BW178-BX178</f>
        <v>97</v>
      </c>
      <c r="BZ178" s="21"/>
      <c r="CA178" s="6"/>
      <c r="CB178" s="35"/>
      <c r="CC178" s="612"/>
      <c r="CD178" s="121"/>
      <c r="CE178" s="6"/>
      <c r="CF178" s="35"/>
      <c r="CG178" s="612"/>
      <c r="CH178" s="21"/>
      <c r="CI178" s="6"/>
      <c r="CJ178" s="35"/>
      <c r="CK178" s="234"/>
      <c r="CL178" s="234"/>
      <c r="CM178" s="395">
        <f t="shared" si="372"/>
        <v>-92</v>
      </c>
      <c r="CN178" s="29">
        <f>BY178</f>
        <v>97</v>
      </c>
      <c r="CO178" s="298">
        <f>CO127</f>
        <v>0</v>
      </c>
      <c r="CP178" s="5">
        <f>CO178-CN178</f>
        <v>-97</v>
      </c>
      <c r="CQ178" s="240"/>
      <c r="CR178" s="303">
        <f>CR127</f>
        <v>0</v>
      </c>
      <c r="CS178" s="231">
        <f>CN178+CQ178-CR178</f>
        <v>97</v>
      </c>
      <c r="CT178" s="21"/>
      <c r="CU178" s="235"/>
      <c r="CV178" s="35"/>
      <c r="CW178" s="612"/>
      <c r="CX178" s="121"/>
      <c r="CY178" s="6"/>
      <c r="CZ178" s="35"/>
      <c r="DA178" s="612"/>
      <c r="DB178" s="21"/>
      <c r="DC178" s="6"/>
      <c r="DD178" s="35"/>
      <c r="DE178" s="234"/>
      <c r="DF178" s="234"/>
      <c r="DG178" s="395">
        <f t="shared" si="373"/>
        <v>-92</v>
      </c>
      <c r="DH178" s="29">
        <f t="shared" si="376"/>
        <v>97</v>
      </c>
      <c r="DI178" s="298">
        <f>DI127</f>
        <v>0</v>
      </c>
      <c r="DJ178" s="5">
        <f>DI178-DH178</f>
        <v>-97</v>
      </c>
      <c r="DK178" s="240"/>
      <c r="DL178" s="303">
        <f>DL127</f>
        <v>0</v>
      </c>
      <c r="DM178" s="231">
        <f>DH178+DK178-DL178</f>
        <v>97</v>
      </c>
    </row>
    <row r="179" spans="1:117" ht="45" x14ac:dyDescent="0.25">
      <c r="A179" s="17"/>
      <c r="B179" s="80" t="s">
        <v>957</v>
      </c>
      <c r="C179" s="17"/>
      <c r="D179" s="80" t="s">
        <v>279</v>
      </c>
      <c r="E179" s="80"/>
      <c r="F179" s="572">
        <v>21</v>
      </c>
      <c r="G179" s="379" t="s">
        <v>777</v>
      </c>
      <c r="H179" s="382" t="s">
        <v>77</v>
      </c>
      <c r="I179" s="382"/>
      <c r="J179" s="534">
        <f t="shared" si="366"/>
        <v>355</v>
      </c>
      <c r="K179" s="395">
        <f t="shared" si="367"/>
        <v>-832</v>
      </c>
      <c r="L179" s="515">
        <v>871</v>
      </c>
      <c r="M179" s="302">
        <f>SUM(M138,M146)</f>
        <v>39</v>
      </c>
      <c r="N179" s="7">
        <f t="shared" si="350"/>
        <v>-832</v>
      </c>
      <c r="O179" s="240"/>
      <c r="P179" s="304">
        <f>SUM(P138,P146)</f>
        <v>39</v>
      </c>
      <c r="Q179" s="234">
        <f t="shared" si="351"/>
        <v>832</v>
      </c>
      <c r="R179" s="123"/>
      <c r="S179" s="8"/>
      <c r="T179" s="34"/>
      <c r="U179" s="713"/>
      <c r="V179" s="123"/>
      <c r="W179" s="8"/>
      <c r="X179" s="34"/>
      <c r="Y179" s="713"/>
      <c r="Z179" s="21"/>
      <c r="AA179" s="8"/>
      <c r="AB179" s="35"/>
      <c r="AC179" s="234"/>
      <c r="AD179" s="234"/>
      <c r="AE179" s="395">
        <f t="shared" si="368"/>
        <v>-1366</v>
      </c>
      <c r="AF179" s="32">
        <f t="shared" si="369"/>
        <v>832</v>
      </c>
      <c r="AG179" s="302">
        <f>SUM(AG138,AG146)</f>
        <v>66</v>
      </c>
      <c r="AH179" s="7">
        <f t="shared" si="352"/>
        <v>-766</v>
      </c>
      <c r="AI179" s="602">
        <v>600</v>
      </c>
      <c r="AJ179" s="304">
        <f>SUM(AJ138,AJ146)</f>
        <v>66</v>
      </c>
      <c r="AK179" s="234">
        <f t="shared" si="353"/>
        <v>1366</v>
      </c>
      <c r="AL179" s="21"/>
      <c r="AM179" s="8"/>
      <c r="AN179" s="35"/>
      <c r="AO179" s="761"/>
      <c r="AP179" s="8">
        <f>$F$179*50%*600</f>
        <v>6300</v>
      </c>
      <c r="AQ179" s="8"/>
      <c r="AR179" s="35" t="s">
        <v>742</v>
      </c>
      <c r="AS179" s="612"/>
      <c r="AT179" s="21"/>
      <c r="AU179" s="21">
        <f>$F$179*50%*600</f>
        <v>6300</v>
      </c>
      <c r="AV179" s="35" t="s">
        <v>738</v>
      </c>
      <c r="AW179" s="234"/>
      <c r="AX179" s="234"/>
      <c r="AY179" s="395">
        <f t="shared" si="370"/>
        <v>-450</v>
      </c>
      <c r="AZ179" s="32">
        <f t="shared" si="362"/>
        <v>1366</v>
      </c>
      <c r="BA179" s="302">
        <f>SUM(BA138,BA146)</f>
        <v>916</v>
      </c>
      <c r="BB179" s="7">
        <f t="shared" si="354"/>
        <v>-450</v>
      </c>
      <c r="BC179" s="256"/>
      <c r="BD179" s="304">
        <f>SUM(BD138,BD146)</f>
        <v>920</v>
      </c>
      <c r="BE179" s="234">
        <f t="shared" si="355"/>
        <v>446</v>
      </c>
      <c r="BF179" s="123"/>
      <c r="BG179" s="8"/>
      <c r="BH179" s="34"/>
      <c r="BI179" s="713"/>
      <c r="BJ179" s="121"/>
      <c r="BK179" s="8"/>
      <c r="BL179" s="35"/>
      <c r="BM179" s="612"/>
      <c r="BN179" s="121"/>
      <c r="BO179" s="8"/>
      <c r="BP179" s="35"/>
      <c r="BQ179" s="234"/>
      <c r="BR179" s="234"/>
      <c r="BS179" s="395">
        <f t="shared" si="371"/>
        <v>-745</v>
      </c>
      <c r="BT179" s="32">
        <f t="shared" si="363"/>
        <v>446</v>
      </c>
      <c r="BU179" s="302">
        <f>SUM(BU138,BU146)</f>
        <v>205</v>
      </c>
      <c r="BV179" s="7">
        <f t="shared" si="356"/>
        <v>-241</v>
      </c>
      <c r="BW179" s="621">
        <v>500</v>
      </c>
      <c r="BX179" s="304">
        <f>SUM(BX138,BX146)</f>
        <v>80</v>
      </c>
      <c r="BY179" s="234">
        <f t="shared" si="357"/>
        <v>866</v>
      </c>
      <c r="BZ179" s="123"/>
      <c r="CA179" s="8"/>
      <c r="CB179" s="34"/>
      <c r="CC179" s="713"/>
      <c r="CD179" s="123"/>
      <c r="CE179" s="8"/>
      <c r="CF179" s="35" t="s">
        <v>958</v>
      </c>
      <c r="CG179" s="612"/>
      <c r="CH179" s="628">
        <f>BW179*$F179/2</f>
        <v>5250</v>
      </c>
      <c r="CI179" s="629"/>
      <c r="CJ179" s="625" t="s">
        <v>811</v>
      </c>
      <c r="CK179" s="806"/>
      <c r="CL179" s="806"/>
      <c r="CM179" s="395">
        <f t="shared" si="372"/>
        <v>-745</v>
      </c>
      <c r="CN179" s="32">
        <f t="shared" si="364"/>
        <v>866</v>
      </c>
      <c r="CO179" s="302">
        <f>SUM(CO138,CO146)</f>
        <v>0</v>
      </c>
      <c r="CP179" s="7">
        <f t="shared" si="358"/>
        <v>-866</v>
      </c>
      <c r="CQ179" s="258"/>
      <c r="CR179" s="304">
        <f>SUM(CR138,CR146)</f>
        <v>0</v>
      </c>
      <c r="CS179" s="234">
        <f t="shared" si="359"/>
        <v>866</v>
      </c>
      <c r="CT179" s="123"/>
      <c r="CU179" s="628">
        <f t="shared" si="377"/>
        <v>10500</v>
      </c>
      <c r="CV179" s="625" t="s">
        <v>812</v>
      </c>
      <c r="CW179" s="782"/>
      <c r="CX179" s="123"/>
      <c r="CY179" s="8"/>
      <c r="CZ179" s="34"/>
      <c r="DA179" s="713"/>
      <c r="DB179" s="20"/>
      <c r="DC179" s="8"/>
      <c r="DD179" s="34"/>
      <c r="DE179" s="234"/>
      <c r="DF179" s="234"/>
      <c r="DG179" s="395">
        <f t="shared" si="373"/>
        <v>-745</v>
      </c>
      <c r="DH179" s="29">
        <f t="shared" si="376"/>
        <v>866</v>
      </c>
      <c r="DI179" s="302">
        <f>SUM(DI138,DI146)</f>
        <v>0</v>
      </c>
      <c r="DJ179" s="7">
        <f t="shared" ref="DJ179:DJ180" si="379">DI179-DH179</f>
        <v>-866</v>
      </c>
      <c r="DK179" s="258"/>
      <c r="DL179" s="304">
        <f>SUM(DL138,DL146)</f>
        <v>0</v>
      </c>
      <c r="DM179" s="234">
        <f t="shared" ref="DM179:DM180" si="380">DH179+DK179-DL179</f>
        <v>866</v>
      </c>
    </row>
    <row r="180" spans="1:117" x14ac:dyDescent="0.25">
      <c r="A180" s="18"/>
      <c r="B180" s="11" t="s">
        <v>360</v>
      </c>
      <c r="C180" s="18" t="s">
        <v>51</v>
      </c>
      <c r="D180" s="15" t="s">
        <v>342</v>
      </c>
      <c r="E180" s="15"/>
      <c r="F180" s="149">
        <v>45.4</v>
      </c>
      <c r="G180" s="379" t="s">
        <v>334</v>
      </c>
      <c r="H180" s="26" t="s">
        <v>77</v>
      </c>
      <c r="I180" s="382"/>
      <c r="J180" s="534">
        <f t="shared" si="366"/>
        <v>-78</v>
      </c>
      <c r="K180" s="395">
        <f t="shared" si="367"/>
        <v>-85</v>
      </c>
      <c r="L180" s="544">
        <v>85</v>
      </c>
      <c r="M180" s="298">
        <f>M154</f>
        <v>0</v>
      </c>
      <c r="N180" s="5">
        <f t="shared" si="350"/>
        <v>-85</v>
      </c>
      <c r="O180" s="256"/>
      <c r="P180" s="303">
        <f>P154</f>
        <v>0</v>
      </c>
      <c r="Q180" s="231">
        <f t="shared" si="351"/>
        <v>85</v>
      </c>
      <c r="R180" s="121"/>
      <c r="S180" s="6"/>
      <c r="T180" s="35"/>
      <c r="U180" s="612"/>
      <c r="V180" s="121"/>
      <c r="W180" s="6"/>
      <c r="X180" s="35"/>
      <c r="Y180" s="612"/>
      <c r="Z180" s="21"/>
      <c r="AA180" s="6"/>
      <c r="AB180" s="35"/>
      <c r="AC180" s="234"/>
      <c r="AD180" s="234"/>
      <c r="AE180" s="395">
        <f t="shared" si="368"/>
        <v>-82</v>
      </c>
      <c r="AF180" s="29">
        <f t="shared" si="369"/>
        <v>85</v>
      </c>
      <c r="AG180" s="298">
        <f>AG154</f>
        <v>3</v>
      </c>
      <c r="AH180" s="5">
        <f t="shared" si="352"/>
        <v>-82</v>
      </c>
      <c r="AI180" s="240"/>
      <c r="AJ180" s="303">
        <f>AJ154</f>
        <v>3</v>
      </c>
      <c r="AK180" s="231">
        <f t="shared" si="353"/>
        <v>82</v>
      </c>
      <c r="AL180" s="121"/>
      <c r="AM180" s="6"/>
      <c r="AN180" s="35"/>
      <c r="AO180" s="612"/>
      <c r="AP180" s="121"/>
      <c r="AQ180" s="6"/>
      <c r="AR180" s="35"/>
      <c r="AS180" s="612"/>
      <c r="AT180" s="21"/>
      <c r="AU180" s="6"/>
      <c r="AV180" s="35"/>
      <c r="AW180" s="234"/>
      <c r="AX180" s="234"/>
      <c r="AY180" s="395">
        <f t="shared" si="370"/>
        <v>-82</v>
      </c>
      <c r="AZ180" s="29">
        <f>AK180</f>
        <v>82</v>
      </c>
      <c r="BA180" s="298">
        <f>BA154</f>
        <v>0</v>
      </c>
      <c r="BB180" s="5">
        <f t="shared" si="354"/>
        <v>-82</v>
      </c>
      <c r="BC180" s="256"/>
      <c r="BD180" s="303">
        <f>BD154</f>
        <v>11</v>
      </c>
      <c r="BE180" s="231">
        <f t="shared" si="355"/>
        <v>71</v>
      </c>
      <c r="BF180" s="121"/>
      <c r="BG180" s="6"/>
      <c r="BH180" s="35"/>
      <c r="BI180" s="612"/>
      <c r="BJ180" s="121"/>
      <c r="BK180" s="6"/>
      <c r="BL180" s="35"/>
      <c r="BM180" s="612"/>
      <c r="BN180" s="21"/>
      <c r="BO180" s="6"/>
      <c r="BP180" s="35"/>
      <c r="BQ180" s="234"/>
      <c r="BR180" s="234"/>
      <c r="BS180" s="395">
        <f t="shared" si="371"/>
        <v>-78</v>
      </c>
      <c r="BT180" s="29">
        <f>BE180</f>
        <v>71</v>
      </c>
      <c r="BU180" s="298">
        <f>BU154</f>
        <v>4</v>
      </c>
      <c r="BV180" s="5">
        <f t="shared" si="356"/>
        <v>-67</v>
      </c>
      <c r="BW180" s="240"/>
      <c r="BX180" s="303">
        <f>BX154</f>
        <v>1</v>
      </c>
      <c r="BY180" s="231">
        <f t="shared" si="357"/>
        <v>70</v>
      </c>
      <c r="BZ180" s="121"/>
      <c r="CA180" s="6"/>
      <c r="CB180" s="35"/>
      <c r="CC180" s="612"/>
      <c r="CD180" s="121"/>
      <c r="CE180" s="6"/>
      <c r="CF180" s="35"/>
      <c r="CG180" s="612"/>
      <c r="CH180" s="21"/>
      <c r="CI180" s="6"/>
      <c r="CJ180" s="35"/>
      <c r="CK180" s="234"/>
      <c r="CL180" s="234"/>
      <c r="CM180" s="395">
        <f t="shared" si="372"/>
        <v>-78</v>
      </c>
      <c r="CN180" s="29">
        <f>BY180</f>
        <v>70</v>
      </c>
      <c r="CO180" s="298">
        <f>CO154</f>
        <v>0</v>
      </c>
      <c r="CP180" s="5">
        <f t="shared" si="358"/>
        <v>-70</v>
      </c>
      <c r="CQ180" s="240"/>
      <c r="CR180" s="303">
        <f>CR154</f>
        <v>0</v>
      </c>
      <c r="CS180" s="231">
        <f t="shared" si="359"/>
        <v>70</v>
      </c>
      <c r="CT180" s="121"/>
      <c r="CU180" s="6"/>
      <c r="CV180" s="35"/>
      <c r="CW180" s="612"/>
      <c r="CX180" s="121"/>
      <c r="CY180" s="6"/>
      <c r="CZ180" s="35"/>
      <c r="DA180" s="612"/>
      <c r="DB180" s="21"/>
      <c r="DC180" s="6"/>
      <c r="DD180" s="35"/>
      <c r="DE180" s="234"/>
      <c r="DF180" s="234"/>
      <c r="DG180" s="395">
        <f t="shared" si="373"/>
        <v>-78</v>
      </c>
      <c r="DH180" s="29">
        <f t="shared" si="376"/>
        <v>70</v>
      </c>
      <c r="DI180" s="298">
        <f>DI154</f>
        <v>0</v>
      </c>
      <c r="DJ180" s="5">
        <f t="shared" si="379"/>
        <v>-70</v>
      </c>
      <c r="DK180" s="240"/>
      <c r="DL180" s="303">
        <f>DL154</f>
        <v>0</v>
      </c>
      <c r="DM180" s="231">
        <f t="shared" si="380"/>
        <v>70</v>
      </c>
    </row>
    <row r="181" spans="1:117" x14ac:dyDescent="0.25">
      <c r="A181" s="360"/>
      <c r="B181" s="361"/>
      <c r="C181" s="360"/>
      <c r="D181" s="373"/>
      <c r="E181" s="373"/>
      <c r="F181" s="362"/>
      <c r="G181" s="361"/>
      <c r="H181" s="485"/>
      <c r="I181" s="757"/>
      <c r="J181" s="346"/>
      <c r="K181" s="346"/>
      <c r="L181" s="364"/>
      <c r="M181" s="374"/>
      <c r="N181" s="374"/>
      <c r="O181" s="441"/>
      <c r="P181" s="375"/>
      <c r="Q181" s="365"/>
      <c r="R181" s="366"/>
      <c r="S181" s="367"/>
      <c r="T181" s="368"/>
      <c r="U181" s="718"/>
      <c r="V181" s="366"/>
      <c r="W181" s="367"/>
      <c r="X181" s="368"/>
      <c r="Y181" s="718"/>
      <c r="Z181" s="369"/>
      <c r="AA181" s="367"/>
      <c r="AB181" s="368"/>
      <c r="AC181" s="355"/>
      <c r="AD181" s="355"/>
      <c r="AE181" s="346"/>
      <c r="AF181" s="364"/>
      <c r="AG181" s="374"/>
      <c r="AH181" s="374"/>
      <c r="AI181" s="441"/>
      <c r="AJ181" s="375"/>
      <c r="AK181" s="365"/>
      <c r="AL181" s="366"/>
      <c r="AM181" s="367"/>
      <c r="AN181" s="368"/>
      <c r="AO181" s="718"/>
      <c r="AP181" s="366"/>
      <c r="AQ181" s="367"/>
      <c r="AR181" s="368"/>
      <c r="AS181" s="718"/>
      <c r="AT181" s="369"/>
      <c r="AU181" s="367"/>
      <c r="AV181" s="368"/>
      <c r="AW181" s="355"/>
      <c r="AX181" s="355"/>
      <c r="AY181" s="346"/>
      <c r="AZ181" s="364"/>
      <c r="BA181" s="374"/>
      <c r="BB181" s="374"/>
      <c r="BC181" s="441"/>
      <c r="BD181" s="375"/>
      <c r="BE181" s="365"/>
      <c r="BF181" s="366"/>
      <c r="BG181" s="367"/>
      <c r="BH181" s="368"/>
      <c r="BI181" s="718"/>
      <c r="BJ181" s="366"/>
      <c r="BK181" s="367"/>
      <c r="BL181" s="368"/>
      <c r="BM181" s="718"/>
      <c r="BN181" s="369"/>
      <c r="BO181" s="367"/>
      <c r="BP181" s="368"/>
      <c r="BQ181" s="355"/>
      <c r="BR181" s="355"/>
      <c r="BS181" s="346"/>
      <c r="BT181" s="364"/>
      <c r="BU181" s="374"/>
      <c r="BV181" s="374"/>
      <c r="BW181" s="375"/>
      <c r="BX181" s="375"/>
      <c r="BY181" s="365"/>
      <c r="BZ181" s="366"/>
      <c r="CA181" s="367"/>
      <c r="CB181" s="368"/>
      <c r="CC181" s="718"/>
      <c r="CD181" s="366"/>
      <c r="CE181" s="367"/>
      <c r="CF181" s="368"/>
      <c r="CG181" s="718"/>
      <c r="CH181" s="369"/>
      <c r="CI181" s="367"/>
      <c r="CJ181" s="368"/>
      <c r="CK181" s="355"/>
      <c r="CL181" s="355"/>
      <c r="CM181" s="346"/>
      <c r="CN181" s="364"/>
      <c r="CO181" s="374"/>
      <c r="CP181" s="374"/>
      <c r="CQ181" s="375"/>
      <c r="CR181" s="375"/>
      <c r="CS181" s="365"/>
      <c r="CT181" s="366"/>
      <c r="CU181" s="367"/>
      <c r="CV181" s="368"/>
      <c r="CW181" s="718"/>
      <c r="CX181" s="366"/>
      <c r="CY181" s="367"/>
      <c r="CZ181" s="368"/>
      <c r="DA181" s="718"/>
      <c r="DB181" s="369"/>
      <c r="DC181" s="367"/>
      <c r="DD181" s="368"/>
      <c r="DE181" s="355"/>
      <c r="DF181" s="355"/>
      <c r="DG181" s="346"/>
      <c r="DH181" s="364"/>
      <c r="DI181" s="374"/>
      <c r="DJ181" s="374"/>
      <c r="DK181" s="375"/>
      <c r="DL181" s="375"/>
      <c r="DM181" s="365"/>
    </row>
    <row r="182" spans="1:117" x14ac:dyDescent="0.25">
      <c r="A182" s="18"/>
      <c r="B182" s="11" t="s">
        <v>399</v>
      </c>
      <c r="C182" s="18">
        <v>1</v>
      </c>
      <c r="D182" s="15" t="s">
        <v>61</v>
      </c>
      <c r="E182" s="15"/>
      <c r="F182" s="149">
        <v>147</v>
      </c>
      <c r="G182" s="11" t="s">
        <v>761</v>
      </c>
      <c r="H182" s="26" t="s">
        <v>23</v>
      </c>
      <c r="I182" s="382"/>
      <c r="J182" s="534">
        <f>SUM(M182,AG182,BA182,BU182)-L182</f>
        <v>84</v>
      </c>
      <c r="K182" s="395">
        <f t="shared" ref="K182:K184" si="381">M182-O182-L182</f>
        <v>-409</v>
      </c>
      <c r="L182" s="544">
        <v>447</v>
      </c>
      <c r="M182" s="298">
        <f>M82</f>
        <v>38</v>
      </c>
      <c r="N182" s="5">
        <f t="shared" ref="N182" si="382">M182-L182</f>
        <v>-409</v>
      </c>
      <c r="O182" s="256"/>
      <c r="P182" s="303">
        <f>P82</f>
        <v>38</v>
      </c>
      <c r="Q182" s="231">
        <f t="shared" ref="Q182" si="383">L182+O182-P182</f>
        <v>409</v>
      </c>
      <c r="R182" s="121"/>
      <c r="S182" s="6"/>
      <c r="T182" s="35"/>
      <c r="U182" s="612"/>
      <c r="V182" s="121"/>
      <c r="W182" s="6"/>
      <c r="X182" s="35"/>
      <c r="Y182" s="612"/>
      <c r="Z182" s="21"/>
      <c r="AA182" s="6"/>
      <c r="AB182" s="35"/>
      <c r="AC182" s="234"/>
      <c r="AD182" s="234"/>
      <c r="AE182" s="395">
        <f>SUM(M182,AG182)-SUM(O182,AI182)-L182</f>
        <v>-328</v>
      </c>
      <c r="AF182" s="29">
        <f>Q182</f>
        <v>409</v>
      </c>
      <c r="AG182" s="298">
        <f>AG82</f>
        <v>81</v>
      </c>
      <c r="AH182" s="5">
        <f t="shared" si="352"/>
        <v>-328</v>
      </c>
      <c r="AI182" s="256"/>
      <c r="AJ182" s="303">
        <f>AJ82</f>
        <v>81</v>
      </c>
      <c r="AK182" s="231">
        <f t="shared" si="353"/>
        <v>328</v>
      </c>
      <c r="AL182" s="121"/>
      <c r="AM182" s="6"/>
      <c r="AN182" s="35"/>
      <c r="AO182" s="612"/>
      <c r="AP182" s="121"/>
      <c r="AQ182" s="6"/>
      <c r="AR182" s="35"/>
      <c r="AS182" s="612"/>
      <c r="AT182" s="21"/>
      <c r="AU182" s="6"/>
      <c r="AV182" s="35"/>
      <c r="AW182" s="234"/>
      <c r="AX182" s="234"/>
      <c r="AY182" s="395">
        <f>SUM(M182,AG182,BA182)-SUM(O182,AI182,BC182)-L182</f>
        <v>-566</v>
      </c>
      <c r="AZ182" s="29">
        <f t="shared" ref="AZ182:AZ184" si="384">AK182</f>
        <v>328</v>
      </c>
      <c r="BA182" s="298">
        <f>BA82</f>
        <v>262</v>
      </c>
      <c r="BB182" s="5">
        <f t="shared" si="354"/>
        <v>-66</v>
      </c>
      <c r="BC182" s="256">
        <v>500</v>
      </c>
      <c r="BD182" s="303">
        <f>BD82</f>
        <v>262</v>
      </c>
      <c r="BE182" s="231">
        <f t="shared" si="355"/>
        <v>566</v>
      </c>
      <c r="BF182" s="121"/>
      <c r="BG182" s="6"/>
      <c r="BH182" s="35"/>
      <c r="BI182" s="612"/>
      <c r="BJ182" s="121"/>
      <c r="BK182" s="6"/>
      <c r="BL182" s="35" t="s">
        <v>787</v>
      </c>
      <c r="BM182" s="612"/>
      <c r="BN182" s="21"/>
      <c r="BO182" s="6"/>
      <c r="BP182" s="35"/>
      <c r="BQ182" s="234"/>
      <c r="BR182" s="234"/>
      <c r="BS182" s="395">
        <f>SUM(M182,AG182,BA182,BU182)-SUM(O182,AI182,BC182,BW182)-L182</f>
        <v>-416</v>
      </c>
      <c r="BT182" s="29">
        <f t="shared" ref="BT182:BT184" si="385">BE182</f>
        <v>566</v>
      </c>
      <c r="BU182" s="298">
        <f>BU82</f>
        <v>150</v>
      </c>
      <c r="BV182" s="5">
        <f t="shared" si="356"/>
        <v>-416</v>
      </c>
      <c r="BW182" s="240"/>
      <c r="BX182" s="303">
        <f>BX82</f>
        <v>56</v>
      </c>
      <c r="BY182" s="231">
        <f t="shared" si="357"/>
        <v>510</v>
      </c>
      <c r="BZ182" s="121"/>
      <c r="CA182" s="6"/>
      <c r="CB182" s="35"/>
      <c r="CC182" s="612"/>
      <c r="CD182" s="121"/>
      <c r="CE182" s="6"/>
      <c r="CF182" s="35"/>
      <c r="CG182" s="612"/>
      <c r="CH182" s="121"/>
      <c r="CI182" s="6"/>
      <c r="CJ182" s="35"/>
      <c r="CK182" s="234"/>
      <c r="CL182" s="234"/>
      <c r="CM182" s="395">
        <f>SUM(M182,AG182,BA182,BU182,CO182)-SUM(O182,AI182,BC182,BW182,CQ182)-L182</f>
        <v>-416</v>
      </c>
      <c r="CN182" s="29">
        <f t="shared" ref="CN182:CN184" si="386">BY182</f>
        <v>510</v>
      </c>
      <c r="CO182" s="298">
        <f>CO82</f>
        <v>0</v>
      </c>
      <c r="CP182" s="5">
        <f t="shared" si="358"/>
        <v>-510</v>
      </c>
      <c r="CQ182" s="5"/>
      <c r="CR182" s="303">
        <f>CR82</f>
        <v>0</v>
      </c>
      <c r="CS182" s="231">
        <f t="shared" si="359"/>
        <v>510</v>
      </c>
      <c r="CT182" s="121"/>
      <c r="CU182" s="6"/>
      <c r="CV182" s="35"/>
      <c r="CW182" s="612"/>
      <c r="CX182" s="121"/>
      <c r="CY182" s="6"/>
      <c r="CZ182" s="35"/>
      <c r="DA182" s="612"/>
      <c r="DB182" s="21"/>
      <c r="DC182" s="6"/>
      <c r="DD182" s="35"/>
      <c r="DE182" s="234"/>
      <c r="DF182" s="234"/>
      <c r="DG182" s="395">
        <f>SUM(M182,AG182,BA182,BU182,DI182)-SUM(O182,AI182,BC182,BW182,CQ182)-L182</f>
        <v>-416</v>
      </c>
      <c r="DH182" s="29">
        <f>BY182</f>
        <v>510</v>
      </c>
      <c r="DI182" s="298">
        <f>DI82</f>
        <v>0</v>
      </c>
      <c r="DJ182" s="5">
        <f t="shared" ref="DJ182:DJ184" si="387">DI182-DH182</f>
        <v>-510</v>
      </c>
      <c r="DK182" s="5"/>
      <c r="DL182" s="303">
        <f>DL82</f>
        <v>0</v>
      </c>
      <c r="DM182" s="231">
        <f t="shared" ref="DM182:DM184" si="388">DH182+DK182-DL182</f>
        <v>510</v>
      </c>
    </row>
    <row r="183" spans="1:117" x14ac:dyDescent="0.25">
      <c r="A183" s="18"/>
      <c r="B183" s="11" t="s">
        <v>584</v>
      </c>
      <c r="C183" s="18">
        <v>1</v>
      </c>
      <c r="D183" s="15" t="s">
        <v>61</v>
      </c>
      <c r="E183" s="15"/>
      <c r="F183" s="149">
        <v>147</v>
      </c>
      <c r="G183" s="11" t="s">
        <v>761</v>
      </c>
      <c r="H183" s="26" t="s">
        <v>23</v>
      </c>
      <c r="I183" s="382"/>
      <c r="J183" s="534">
        <f>SUM(M183,AG183,BA183,BU183)-L183</f>
        <v>84</v>
      </c>
      <c r="K183" s="395">
        <f t="shared" si="381"/>
        <v>-409</v>
      </c>
      <c r="L183" s="544">
        <v>447</v>
      </c>
      <c r="M183" s="298">
        <f>M84</f>
        <v>38</v>
      </c>
      <c r="N183" s="5">
        <f t="shared" ref="N183" si="389">M183-L183</f>
        <v>-409</v>
      </c>
      <c r="O183" s="256"/>
      <c r="P183" s="303">
        <f>P84</f>
        <v>38</v>
      </c>
      <c r="Q183" s="231">
        <f t="shared" ref="Q183" si="390">L183+O183-P183</f>
        <v>409</v>
      </c>
      <c r="R183" s="121"/>
      <c r="S183" s="6"/>
      <c r="T183" s="35"/>
      <c r="U183" s="612"/>
      <c r="V183" s="121"/>
      <c r="W183" s="6"/>
      <c r="X183" s="35"/>
      <c r="Y183" s="612"/>
      <c r="Z183" s="21"/>
      <c r="AA183" s="6"/>
      <c r="AB183" s="35"/>
      <c r="AC183" s="234"/>
      <c r="AD183" s="234"/>
      <c r="AE183" s="395">
        <f>SUM(M183,AG183)-SUM(O183,AI183)-L183</f>
        <v>-328</v>
      </c>
      <c r="AF183" s="29">
        <f>Q183</f>
        <v>409</v>
      </c>
      <c r="AG183" s="298">
        <f>AG84</f>
        <v>81</v>
      </c>
      <c r="AH183" s="5">
        <f t="shared" ref="AH183" si="391">AG183-AF183</f>
        <v>-328</v>
      </c>
      <c r="AI183" s="256"/>
      <c r="AJ183" s="303">
        <f>AJ84</f>
        <v>81</v>
      </c>
      <c r="AK183" s="231">
        <f t="shared" ref="AK183" si="392">AF183+AI183-AJ183</f>
        <v>328</v>
      </c>
      <c r="AL183" s="121"/>
      <c r="AM183" s="6"/>
      <c r="AN183" s="35"/>
      <c r="AO183" s="612"/>
      <c r="AP183" s="121"/>
      <c r="AQ183" s="6"/>
      <c r="AR183" s="35"/>
      <c r="AS183" s="612"/>
      <c r="AT183" s="21"/>
      <c r="AU183" s="6"/>
      <c r="AV183" s="35"/>
      <c r="AW183" s="234"/>
      <c r="AX183" s="234"/>
      <c r="AY183" s="395">
        <f>SUM(M183,AG183,BA183)-SUM(O183,AI183,BC183)-L183</f>
        <v>-566</v>
      </c>
      <c r="AZ183" s="29">
        <f t="shared" ref="AZ183" si="393">AK183</f>
        <v>328</v>
      </c>
      <c r="BA183" s="298">
        <f>BA84</f>
        <v>262</v>
      </c>
      <c r="BB183" s="5">
        <f t="shared" ref="BB183" si="394">BA183-AZ183</f>
        <v>-66</v>
      </c>
      <c r="BC183" s="256">
        <v>500</v>
      </c>
      <c r="BD183" s="303">
        <f>BD84</f>
        <v>262</v>
      </c>
      <c r="BE183" s="231">
        <f t="shared" ref="BE183" si="395">AZ183+BC183-BD183</f>
        <v>566</v>
      </c>
      <c r="BF183" s="121"/>
      <c r="BG183" s="6"/>
      <c r="BH183" s="35"/>
      <c r="BI183" s="612"/>
      <c r="BJ183" s="121"/>
      <c r="BK183" s="6"/>
      <c r="BL183" s="35" t="s">
        <v>787</v>
      </c>
      <c r="BM183" s="612"/>
      <c r="BN183" s="21"/>
      <c r="BO183" s="6"/>
      <c r="BP183" s="35"/>
      <c r="BQ183" s="234"/>
      <c r="BR183" s="234"/>
      <c r="BS183" s="395">
        <f>SUM(M183,AG183,BA183,BU183)-SUM(O183,AI183,BC183,BW183)-L183</f>
        <v>-416</v>
      </c>
      <c r="BT183" s="29">
        <f t="shared" ref="BT183" si="396">BE183</f>
        <v>566</v>
      </c>
      <c r="BU183" s="298">
        <f>BU84</f>
        <v>150</v>
      </c>
      <c r="BV183" s="5">
        <f t="shared" ref="BV183" si="397">BU183-BT183</f>
        <v>-416</v>
      </c>
      <c r="BW183" s="240"/>
      <c r="BX183" s="303">
        <f>BX84</f>
        <v>56</v>
      </c>
      <c r="BY183" s="231">
        <f t="shared" ref="BY183" si="398">BT183+BW183-BX183</f>
        <v>510</v>
      </c>
      <c r="BZ183" s="121"/>
      <c r="CA183" s="6"/>
      <c r="CB183" s="35"/>
      <c r="CC183" s="612"/>
      <c r="CD183" s="121"/>
      <c r="CE183" s="6"/>
      <c r="CF183" s="35"/>
      <c r="CG183" s="612"/>
      <c r="CH183" s="121"/>
      <c r="CI183" s="6"/>
      <c r="CJ183" s="35"/>
      <c r="CK183" s="234"/>
      <c r="CL183" s="234"/>
      <c r="CM183" s="395">
        <f>SUM(M183,AG183,BA183,BU183,CO183)-SUM(O183,AI183,BC183,BW183,CQ183)-L183</f>
        <v>-416</v>
      </c>
      <c r="CN183" s="29">
        <f t="shared" ref="CN183" si="399">BY183</f>
        <v>510</v>
      </c>
      <c r="CO183" s="298">
        <f>CO84</f>
        <v>0</v>
      </c>
      <c r="CP183" s="5">
        <f t="shared" ref="CP183" si="400">CO183-CN183</f>
        <v>-510</v>
      </c>
      <c r="CQ183" s="5"/>
      <c r="CR183" s="303">
        <f>CR84</f>
        <v>0</v>
      </c>
      <c r="CS183" s="231">
        <f t="shared" ref="CS183" si="401">CN183+CQ183-CR183</f>
        <v>510</v>
      </c>
      <c r="CT183" s="121"/>
      <c r="CU183" s="6"/>
      <c r="CV183" s="35"/>
      <c r="CW183" s="612"/>
      <c r="CX183" s="121"/>
      <c r="CY183" s="6"/>
      <c r="CZ183" s="35"/>
      <c r="DA183" s="612"/>
      <c r="DB183" s="21"/>
      <c r="DC183" s="6"/>
      <c r="DD183" s="35"/>
      <c r="DE183" s="234"/>
      <c r="DF183" s="234"/>
      <c r="DG183" s="395">
        <f>SUM(M183,AG183,BA183,BU183,DI183)-SUM(O183,AI183,BC183,BW183,CQ183)-L183</f>
        <v>-416</v>
      </c>
      <c r="DH183" s="29">
        <f t="shared" ref="DH183:DH184" si="402">BY183</f>
        <v>510</v>
      </c>
      <c r="DI183" s="298">
        <f>DI84</f>
        <v>0</v>
      </c>
      <c r="DJ183" s="5">
        <f t="shared" si="387"/>
        <v>-510</v>
      </c>
      <c r="DK183" s="5"/>
      <c r="DL183" s="303">
        <f>DL84</f>
        <v>0</v>
      </c>
      <c r="DM183" s="231">
        <f t="shared" si="388"/>
        <v>510</v>
      </c>
    </row>
    <row r="184" spans="1:117" ht="30.75" thickBot="1" x14ac:dyDescent="0.3">
      <c r="A184" s="63"/>
      <c r="B184" s="62" t="s">
        <v>583</v>
      </c>
      <c r="C184" s="63">
        <v>1</v>
      </c>
      <c r="D184" s="295" t="s">
        <v>61</v>
      </c>
      <c r="E184" s="295"/>
      <c r="F184" s="385">
        <v>53.5</v>
      </c>
      <c r="G184" s="624" t="s">
        <v>874</v>
      </c>
      <c r="H184" s="64" t="s">
        <v>23</v>
      </c>
      <c r="I184" s="64"/>
      <c r="J184" s="533">
        <f>SUM(M184,AG184,BA184,BU184)-L184</f>
        <v>84</v>
      </c>
      <c r="K184" s="396">
        <f t="shared" si="381"/>
        <v>-409</v>
      </c>
      <c r="L184" s="551">
        <v>447</v>
      </c>
      <c r="M184" s="300">
        <f>M82</f>
        <v>38</v>
      </c>
      <c r="N184" s="65">
        <f t="shared" si="350"/>
        <v>-409</v>
      </c>
      <c r="O184" s="286"/>
      <c r="P184" s="384">
        <f>P82</f>
        <v>38</v>
      </c>
      <c r="Q184" s="297">
        <f t="shared" si="351"/>
        <v>409</v>
      </c>
      <c r="R184" s="126"/>
      <c r="S184" s="127"/>
      <c r="T184" s="66"/>
      <c r="U184" s="715"/>
      <c r="V184" s="126"/>
      <c r="W184" s="127"/>
      <c r="X184" s="66"/>
      <c r="Y184" s="715"/>
      <c r="Z184" s="128"/>
      <c r="AA184" s="127"/>
      <c r="AB184" s="66"/>
      <c r="AC184" s="297"/>
      <c r="AD184" s="297"/>
      <c r="AE184" s="396">
        <f>SUM(M184,AG184)-SUM(O184,AI184)-L184</f>
        <v>-328</v>
      </c>
      <c r="AF184" s="296">
        <f>Q184</f>
        <v>409</v>
      </c>
      <c r="AG184" s="300">
        <f>AG82</f>
        <v>81</v>
      </c>
      <c r="AH184" s="65">
        <f t="shared" si="352"/>
        <v>-328</v>
      </c>
      <c r="AI184" s="286"/>
      <c r="AJ184" s="384">
        <f>AJ82</f>
        <v>81</v>
      </c>
      <c r="AK184" s="297">
        <f t="shared" si="353"/>
        <v>328</v>
      </c>
      <c r="AL184" s="126"/>
      <c r="AM184" s="127"/>
      <c r="AN184" s="66"/>
      <c r="AO184" s="715"/>
      <c r="AP184" s="126"/>
      <c r="AQ184" s="127"/>
      <c r="AR184" s="66"/>
      <c r="AS184" s="715"/>
      <c r="AT184" s="128"/>
      <c r="AU184" s="127"/>
      <c r="AV184" s="66"/>
      <c r="AW184" s="297"/>
      <c r="AX184" s="297"/>
      <c r="AY184" s="396">
        <f>SUM(M184,AG184,BA184)-SUM(O184,AI184,BC184)-L184</f>
        <v>-566</v>
      </c>
      <c r="AZ184" s="296">
        <f t="shared" si="384"/>
        <v>328</v>
      </c>
      <c r="BA184" s="300">
        <f>BA82</f>
        <v>262</v>
      </c>
      <c r="BB184" s="65">
        <f t="shared" si="354"/>
        <v>-66</v>
      </c>
      <c r="BC184" s="241">
        <v>500</v>
      </c>
      <c r="BD184" s="384">
        <f>BD82</f>
        <v>262</v>
      </c>
      <c r="BE184" s="297">
        <f t="shared" si="355"/>
        <v>566</v>
      </c>
      <c r="BF184" s="126"/>
      <c r="BG184" s="127"/>
      <c r="BH184" s="66"/>
      <c r="BI184" s="715"/>
      <c r="BJ184" s="126"/>
      <c r="BK184" s="127"/>
      <c r="BL184" s="66"/>
      <c r="BM184" s="715"/>
      <c r="BN184" s="128"/>
      <c r="BO184" s="127"/>
      <c r="BP184" s="66"/>
      <c r="BQ184" s="297"/>
      <c r="BR184" s="297"/>
      <c r="BS184" s="396">
        <f>SUM(M184,AG184,BA184,BU184)-SUM(O184,AI184,BC184,BW184)-L184</f>
        <v>-1016</v>
      </c>
      <c r="BT184" s="296">
        <f t="shared" si="385"/>
        <v>566</v>
      </c>
      <c r="BU184" s="300">
        <f>BU82</f>
        <v>150</v>
      </c>
      <c r="BV184" s="65">
        <f t="shared" si="356"/>
        <v>-416</v>
      </c>
      <c r="BW184" s="645">
        <v>600</v>
      </c>
      <c r="BX184" s="384">
        <f>BX82</f>
        <v>56</v>
      </c>
      <c r="BY184" s="297">
        <f t="shared" si="357"/>
        <v>1110</v>
      </c>
      <c r="BZ184" s="126"/>
      <c r="CA184" s="127"/>
      <c r="CB184" s="66"/>
      <c r="CC184" s="715"/>
      <c r="CD184" s="697">
        <v>13200</v>
      </c>
      <c r="CE184" s="702">
        <v>13200</v>
      </c>
      <c r="CF184" s="703" t="s">
        <v>897</v>
      </c>
      <c r="CG184" s="792"/>
      <c r="CH184" s="126"/>
      <c r="CI184" s="127"/>
      <c r="CJ184" s="66"/>
      <c r="CK184" s="297"/>
      <c r="CL184" s="297"/>
      <c r="CM184" s="396">
        <f>SUM(M184,AG184,BA184,BU184,CO184)-SUM(O184,AI184,BC184,BW184,CQ184)-L184</f>
        <v>-1016</v>
      </c>
      <c r="CN184" s="296">
        <f t="shared" si="386"/>
        <v>1110</v>
      </c>
      <c r="CO184" s="300">
        <f>CO82</f>
        <v>0</v>
      </c>
      <c r="CP184" s="65">
        <f t="shared" si="358"/>
        <v>-1110</v>
      </c>
      <c r="CQ184" s="65"/>
      <c r="CR184" s="384">
        <f>CR82</f>
        <v>0</v>
      </c>
      <c r="CS184" s="297">
        <f t="shared" si="359"/>
        <v>1110</v>
      </c>
      <c r="CT184" s="126"/>
      <c r="CU184" s="127"/>
      <c r="CV184" s="66"/>
      <c r="CW184" s="715"/>
      <c r="CX184" s="126"/>
      <c r="CY184" s="127"/>
      <c r="CZ184" s="66"/>
      <c r="DA184" s="715"/>
      <c r="DB184" s="128"/>
      <c r="DC184" s="127"/>
      <c r="DD184" s="66"/>
      <c r="DE184" s="297"/>
      <c r="DF184" s="297"/>
      <c r="DG184" s="396">
        <f>SUM(M184,AG184,BA184,BU184,DI184)-SUM(O184,AI184,BC184,BW184,CQ184)-L184</f>
        <v>-1016</v>
      </c>
      <c r="DH184" s="30">
        <f t="shared" si="402"/>
        <v>1110</v>
      </c>
      <c r="DI184" s="300">
        <f>DI82</f>
        <v>0</v>
      </c>
      <c r="DJ184" s="65">
        <f t="shared" si="387"/>
        <v>-1110</v>
      </c>
      <c r="DK184" s="65"/>
      <c r="DL184" s="384">
        <f>DL82</f>
        <v>0</v>
      </c>
      <c r="DM184" s="297">
        <f t="shared" si="388"/>
        <v>1110</v>
      </c>
    </row>
    <row r="185" spans="1:117" ht="15.75" thickBot="1" x14ac:dyDescent="0.3">
      <c r="D185" s="100"/>
      <c r="E185" s="100"/>
      <c r="P185" s="248"/>
      <c r="AJ185" s="248"/>
      <c r="BD185" s="248"/>
      <c r="BX185" s="248"/>
      <c r="CR185" s="248"/>
      <c r="DL185" s="248"/>
    </row>
    <row r="186" spans="1:117" ht="15.75" thickBot="1" x14ac:dyDescent="0.3">
      <c r="A186" s="95"/>
      <c r="B186" s="108" t="s">
        <v>71</v>
      </c>
      <c r="C186" s="95"/>
      <c r="D186" s="93"/>
      <c r="E186" s="93"/>
      <c r="F186" s="340"/>
      <c r="G186" s="93"/>
      <c r="H186" s="96"/>
      <c r="I186" s="96"/>
      <c r="J186" s="96"/>
      <c r="K186" s="95"/>
      <c r="L186" s="97"/>
      <c r="M186" s="98"/>
      <c r="N186" s="98"/>
      <c r="O186" s="98"/>
      <c r="P186" s="249"/>
      <c r="Q186" s="237"/>
      <c r="R186" s="124">
        <f>SUM(R187:R200)</f>
        <v>0</v>
      </c>
      <c r="S186" s="125">
        <f>SUM(S187:S200)</f>
        <v>0</v>
      </c>
      <c r="T186" s="99"/>
      <c r="U186" s="221"/>
      <c r="V186" s="124">
        <f>SUM(V187:V200)</f>
        <v>0</v>
      </c>
      <c r="W186" s="125">
        <f>SUM(W187:W200)</f>
        <v>0</v>
      </c>
      <c r="X186" s="99"/>
      <c r="Y186" s="221"/>
      <c r="Z186" s="124">
        <f>SUM(Z187:Z200)</f>
        <v>0</v>
      </c>
      <c r="AA186" s="125">
        <f>SUM(AA187:AA200)</f>
        <v>0</v>
      </c>
      <c r="AB186" s="99"/>
      <c r="AC186" s="237"/>
      <c r="AD186" s="237"/>
      <c r="AE186" s="95"/>
      <c r="AF186" s="97"/>
      <c r="AG186" s="98"/>
      <c r="AH186" s="98"/>
      <c r="AI186" s="98"/>
      <c r="AJ186" s="249"/>
      <c r="AK186" s="237"/>
      <c r="AL186" s="124">
        <f>SUM(AL187:AL200)</f>
        <v>0</v>
      </c>
      <c r="AM186" s="125">
        <f>SUM(AM187:AM200)</f>
        <v>0</v>
      </c>
      <c r="AN186" s="99"/>
      <c r="AO186" s="221"/>
      <c r="AP186" s="124">
        <f>SUM(AP187:AP200)</f>
        <v>0</v>
      </c>
      <c r="AQ186" s="125">
        <f>SUM(AQ187:AQ200)</f>
        <v>0</v>
      </c>
      <c r="AR186" s="99"/>
      <c r="AS186" s="221"/>
      <c r="AT186" s="124">
        <f>SUM(AT187:AT200)</f>
        <v>0</v>
      </c>
      <c r="AU186" s="125">
        <f>SUM(AU187:AU200)</f>
        <v>0</v>
      </c>
      <c r="AV186" s="99"/>
      <c r="AW186" s="221"/>
      <c r="AX186" s="221"/>
      <c r="AY186" s="96"/>
      <c r="AZ186" s="97"/>
      <c r="BA186" s="98"/>
      <c r="BB186" s="98"/>
      <c r="BC186" s="98"/>
      <c r="BD186" s="249"/>
      <c r="BE186" s="237"/>
      <c r="BF186" s="124">
        <f>SUM(BF187:BF200)</f>
        <v>0</v>
      </c>
      <c r="BG186" s="125">
        <f>SUM(BG187:BG200)</f>
        <v>0</v>
      </c>
      <c r="BH186" s="99"/>
      <c r="BI186" s="221"/>
      <c r="BJ186" s="124">
        <f>SUM(BJ187:BJ200)</f>
        <v>0</v>
      </c>
      <c r="BK186" s="125">
        <f>SUM(BK187:BK200)</f>
        <v>2500</v>
      </c>
      <c r="BL186" s="99"/>
      <c r="BM186" s="221"/>
      <c r="BN186" s="124">
        <f>SUM(BN187:BN200)</f>
        <v>0</v>
      </c>
      <c r="BO186" s="125">
        <f>SUM(BO187:BO200)</f>
        <v>0</v>
      </c>
      <c r="BP186" s="99"/>
      <c r="BQ186" s="221"/>
      <c r="BR186" s="221"/>
      <c r="BS186" s="96"/>
      <c r="BT186" s="97"/>
      <c r="BU186" s="98"/>
      <c r="BV186" s="98"/>
      <c r="BW186" s="98"/>
      <c r="BX186" s="249"/>
      <c r="BY186" s="237"/>
      <c r="BZ186" s="124">
        <f>SUM(BZ187:BZ200)</f>
        <v>0</v>
      </c>
      <c r="CA186" s="125">
        <f>SUM(CA187:CA200)</f>
        <v>0</v>
      </c>
      <c r="CB186" s="99"/>
      <c r="CC186" s="221"/>
      <c r="CD186" s="124">
        <f>SUM(CD187:CD200)</f>
        <v>1777651.8</v>
      </c>
      <c r="CE186" s="125">
        <f>SUM(CE187:CE200)</f>
        <v>0</v>
      </c>
      <c r="CF186" s="99"/>
      <c r="CG186" s="221"/>
      <c r="CH186" s="124">
        <f>SUM(CH187:CH200)</f>
        <v>0</v>
      </c>
      <c r="CI186" s="125">
        <f>SUM(CI187:CI200)</f>
        <v>3900000</v>
      </c>
      <c r="CJ186" s="99"/>
      <c r="CK186" s="237"/>
      <c r="CL186" s="237"/>
      <c r="CM186" s="95"/>
      <c r="CN186" s="97"/>
      <c r="CO186" s="98"/>
      <c r="CP186" s="98"/>
      <c r="CQ186" s="98"/>
      <c r="CR186" s="249"/>
      <c r="CS186" s="237"/>
      <c r="CT186" s="124">
        <f>SUM(CT187:CT200)</f>
        <v>0</v>
      </c>
      <c r="CU186" s="125">
        <f>SUM(CU187:CU200)</f>
        <v>0</v>
      </c>
      <c r="CV186" s="99"/>
      <c r="CW186" s="221"/>
      <c r="CX186" s="124">
        <f>SUM(CX187:CX200)</f>
        <v>0</v>
      </c>
      <c r="CY186" s="125">
        <f>SUM(CY187:CY200)</f>
        <v>1777651.8</v>
      </c>
      <c r="CZ186" s="99"/>
      <c r="DA186" s="221"/>
      <c r="DB186" s="124">
        <f>SUM(DB187:DB200)</f>
        <v>0</v>
      </c>
      <c r="DC186" s="125">
        <f>SUM(DC187:DC200)</f>
        <v>0</v>
      </c>
      <c r="DD186" s="99"/>
      <c r="DE186" s="237"/>
      <c r="DF186" s="237"/>
      <c r="DG186" s="95"/>
      <c r="DH186" s="97"/>
      <c r="DI186" s="98"/>
      <c r="DJ186" s="98"/>
      <c r="DK186" s="98"/>
      <c r="DL186" s="249"/>
      <c r="DM186" s="237"/>
    </row>
    <row r="187" spans="1:117" ht="15.75" thickBot="1" x14ac:dyDescent="0.3">
      <c r="A187" s="45"/>
      <c r="B187" s="44" t="s">
        <v>68</v>
      </c>
      <c r="C187" s="45">
        <v>1</v>
      </c>
      <c r="D187" s="428" t="s">
        <v>395</v>
      </c>
      <c r="E187" s="428"/>
      <c r="F187" s="342">
        <v>41537</v>
      </c>
      <c r="G187" s="44" t="s">
        <v>217</v>
      </c>
      <c r="H187" s="46" t="s">
        <v>73</v>
      </c>
      <c r="I187" s="46"/>
      <c r="J187" s="532">
        <f t="shared" ref="J187:J198" si="403">SUM(M187,AG187,BA187,BU187)-L187</f>
        <v>15</v>
      </c>
      <c r="K187" s="395">
        <f t="shared" ref="K187:K200" si="404">M187-O187-L187</f>
        <v>-10</v>
      </c>
      <c r="L187" s="553">
        <v>15</v>
      </c>
      <c r="M187" s="285">
        <f>3+5-3</f>
        <v>5</v>
      </c>
      <c r="N187" s="47">
        <f t="shared" ref="N187:N200" si="405">M187-L187</f>
        <v>-10</v>
      </c>
      <c r="O187" s="256"/>
      <c r="P187" s="253">
        <f>1+1+2+1</f>
        <v>5</v>
      </c>
      <c r="Q187" s="290">
        <f>L187+O187-P187</f>
        <v>10</v>
      </c>
      <c r="R187" s="288"/>
      <c r="S187" s="380"/>
      <c r="T187" s="280"/>
      <c r="U187" s="720"/>
      <c r="V187" s="288"/>
      <c r="W187" s="289"/>
      <c r="X187" s="48"/>
      <c r="Y187" s="287"/>
      <c r="Z187" s="132"/>
      <c r="AA187" s="289"/>
      <c r="AB187" s="48"/>
      <c r="AC187" s="234"/>
      <c r="AD187" s="234"/>
      <c r="AE187" s="395">
        <f t="shared" ref="AE187:AE198" si="406">SUM(M187,AG187)-SUM(O187,AI187)-L187</f>
        <v>-10</v>
      </c>
      <c r="AF187" s="279">
        <f t="shared" ref="AF187:AF198" si="407">Q187</f>
        <v>10</v>
      </c>
      <c r="AG187" s="285">
        <f>7-7+3-3</f>
        <v>0</v>
      </c>
      <c r="AH187" s="47">
        <f t="shared" ref="AH187:AH200" si="408">AG187-AF187</f>
        <v>-10</v>
      </c>
      <c r="AI187" s="256"/>
      <c r="AJ187" s="468"/>
      <c r="AK187" s="290">
        <f>AF187+AI187-AJ187</f>
        <v>10</v>
      </c>
      <c r="AL187" s="288"/>
      <c r="AM187" s="380"/>
      <c r="AN187" s="280"/>
      <c r="AO187" s="720"/>
      <c r="AP187" s="288"/>
      <c r="AQ187" s="289"/>
      <c r="AR187" s="48"/>
      <c r="AS187" s="287"/>
      <c r="AT187" s="132"/>
      <c r="AU187" s="289"/>
      <c r="AV187" s="48"/>
      <c r="AW187" s="290"/>
      <c r="AX187" s="290"/>
      <c r="AY187" s="397">
        <f t="shared" ref="AY187:AY198" si="409">SUM(M187,AG187,BA187)-SUM(O187,AI187,BC187)-L187</f>
        <v>-1</v>
      </c>
      <c r="AZ187" s="279">
        <f>AK187</f>
        <v>10</v>
      </c>
      <c r="BA187" s="285">
        <f>5-5+9</f>
        <v>9</v>
      </c>
      <c r="BB187" s="47">
        <f t="shared" ref="BB187:BB200" si="410">BA187-AZ187</f>
        <v>-1</v>
      </c>
      <c r="BC187" s="256"/>
      <c r="BD187" s="253"/>
      <c r="BE187" s="290">
        <f>AZ187+BC187-BD187</f>
        <v>10</v>
      </c>
      <c r="BF187" s="288"/>
      <c r="BG187" s="380"/>
      <c r="BH187" s="280"/>
      <c r="BI187" s="720"/>
      <c r="BJ187" s="288"/>
      <c r="BK187" s="289"/>
      <c r="BL187" s="48"/>
      <c r="BM187" s="287"/>
      <c r="BN187" s="132"/>
      <c r="BO187" s="289"/>
      <c r="BP187" s="48"/>
      <c r="BQ187" s="290"/>
      <c r="BR187" s="290"/>
      <c r="BS187" s="397">
        <f t="shared" ref="BS187:BS198" si="411">SUM(M187,AG187,BA187,BU187)-SUM(O187,AI187,BC187,BW187)-L187</f>
        <v>-35</v>
      </c>
      <c r="BT187" s="279">
        <f>BE187</f>
        <v>10</v>
      </c>
      <c r="BU187" s="285">
        <f>10-10+8-8+16</f>
        <v>16</v>
      </c>
      <c r="BV187" s="47">
        <f t="shared" ref="BV187:BV200" si="412">BU187-BT187</f>
        <v>6</v>
      </c>
      <c r="BW187" s="621">
        <v>50</v>
      </c>
      <c r="BX187" s="253">
        <f>9</f>
        <v>9</v>
      </c>
      <c r="BY187" s="290">
        <f>BT187+BW187-BX187</f>
        <v>51</v>
      </c>
      <c r="BZ187" s="288"/>
      <c r="CA187" s="380"/>
      <c r="CB187" s="280"/>
      <c r="CC187" s="720"/>
      <c r="CD187" s="288"/>
      <c r="CE187" s="289"/>
      <c r="CF187" s="48"/>
      <c r="CG187" s="287"/>
      <c r="CH187" s="132"/>
      <c r="CI187" s="636">
        <v>3900000</v>
      </c>
      <c r="CJ187" s="637" t="s">
        <v>806</v>
      </c>
      <c r="CK187" s="808"/>
      <c r="CL187" s="808"/>
      <c r="CM187" s="395">
        <f t="shared" ref="CM187:CM198" si="413">SUM(M187,AG187,BA187,BU187,CO187)-SUM(O187,AI187,BC187,BW187,CQ187)-L187</f>
        <v>-35</v>
      </c>
      <c r="CN187" s="279">
        <f>BY187</f>
        <v>51</v>
      </c>
      <c r="CO187" s="253"/>
      <c r="CP187" s="47">
        <f t="shared" ref="CP187:CP200" si="414">CO187-CN187</f>
        <v>-51</v>
      </c>
      <c r="CQ187" s="256"/>
      <c r="CR187" s="253"/>
      <c r="CS187" s="290">
        <f>CN187+CQ187-CR187</f>
        <v>51</v>
      </c>
      <c r="CT187" s="288"/>
      <c r="CU187" s="380"/>
      <c r="CV187" s="280"/>
      <c r="CW187" s="720"/>
      <c r="CX187" s="288"/>
      <c r="CY187" s="289"/>
      <c r="CZ187" s="48"/>
      <c r="DA187" s="287"/>
      <c r="DB187" s="132"/>
      <c r="DC187" s="289"/>
      <c r="DD187" s="48"/>
      <c r="DE187" s="234"/>
      <c r="DF187" s="234"/>
      <c r="DG187" s="395">
        <f t="shared" ref="DG187:DG198" si="415">SUM(M187,AG187,BA187,BU187,DI187)-SUM(O187,AI187,BC187,BW187,CQ187)-L187</f>
        <v>-35</v>
      </c>
      <c r="DH187" s="29">
        <f>BY187</f>
        <v>51</v>
      </c>
      <c r="DI187" s="253"/>
      <c r="DJ187" s="47">
        <f t="shared" ref="DJ187:DJ200" si="416">DI187-DH187</f>
        <v>-51</v>
      </c>
      <c r="DK187" s="256"/>
      <c r="DL187" s="253"/>
      <c r="DM187" s="290">
        <f>DH187+DK187-DL187</f>
        <v>51</v>
      </c>
    </row>
    <row r="188" spans="1:117" x14ac:dyDescent="0.25">
      <c r="A188" s="18"/>
      <c r="B188" s="11" t="s">
        <v>69</v>
      </c>
      <c r="C188" s="18">
        <v>1</v>
      </c>
      <c r="D188" s="429" t="s">
        <v>395</v>
      </c>
      <c r="E188" s="429"/>
      <c r="F188" s="149">
        <v>22950</v>
      </c>
      <c r="G188" s="11" t="s">
        <v>217</v>
      </c>
      <c r="H188" s="25" t="s">
        <v>73</v>
      </c>
      <c r="I188" s="24"/>
      <c r="J188" s="534">
        <f t="shared" si="403"/>
        <v>13</v>
      </c>
      <c r="K188" s="395">
        <f t="shared" si="404"/>
        <v>-12</v>
      </c>
      <c r="L188" s="544">
        <v>17</v>
      </c>
      <c r="M188" s="256">
        <f>3+5-3</f>
        <v>5</v>
      </c>
      <c r="N188" s="5">
        <f t="shared" si="405"/>
        <v>-12</v>
      </c>
      <c r="O188" s="256"/>
      <c r="P188" s="240">
        <f>1+1+2+1</f>
        <v>5</v>
      </c>
      <c r="Q188" s="231">
        <f>L188+O188-P188</f>
        <v>12</v>
      </c>
      <c r="R188" s="121"/>
      <c r="S188" s="6"/>
      <c r="T188" s="35"/>
      <c r="U188" s="612"/>
      <c r="V188" s="121"/>
      <c r="W188" s="6"/>
      <c r="X188" s="35"/>
      <c r="Y188" s="612"/>
      <c r="Z188" s="21"/>
      <c r="AA188" s="6"/>
      <c r="AB188" s="35"/>
      <c r="AC188" s="234"/>
      <c r="AD188" s="234"/>
      <c r="AE188" s="395">
        <f t="shared" si="406"/>
        <v>-12</v>
      </c>
      <c r="AF188" s="29">
        <f t="shared" si="407"/>
        <v>12</v>
      </c>
      <c r="AG188" s="256">
        <f>7-7+3-3</f>
        <v>0</v>
      </c>
      <c r="AH188" s="5">
        <f t="shared" si="408"/>
        <v>-12</v>
      </c>
      <c r="AI188" s="256"/>
      <c r="AJ188" s="240"/>
      <c r="AK188" s="231">
        <f>AF188+AI188-AJ188</f>
        <v>12</v>
      </c>
      <c r="AL188" s="121"/>
      <c r="AM188" s="6"/>
      <c r="AN188" s="35"/>
      <c r="AO188" s="612"/>
      <c r="AP188" s="121"/>
      <c r="AQ188" s="6"/>
      <c r="AR188" s="35"/>
      <c r="AS188" s="612"/>
      <c r="AT188" s="21"/>
      <c r="AU188" s="6"/>
      <c r="AV188" s="35"/>
      <c r="AW188" s="234"/>
      <c r="AX188" s="234"/>
      <c r="AY188" s="395">
        <f t="shared" si="409"/>
        <v>-3</v>
      </c>
      <c r="AZ188" s="29">
        <f>AK188</f>
        <v>12</v>
      </c>
      <c r="BA188" s="285">
        <f>5-5+9</f>
        <v>9</v>
      </c>
      <c r="BB188" s="5">
        <f t="shared" si="410"/>
        <v>-3</v>
      </c>
      <c r="BC188" s="256"/>
      <c r="BD188" s="240"/>
      <c r="BE188" s="231">
        <f>AZ188+BC188-BD188</f>
        <v>12</v>
      </c>
      <c r="BF188" s="121"/>
      <c r="BG188" s="6"/>
      <c r="BH188" s="35"/>
      <c r="BI188" s="612"/>
      <c r="BJ188" s="121"/>
      <c r="BK188" s="6"/>
      <c r="BL188" s="35"/>
      <c r="BM188" s="612"/>
      <c r="BN188" s="21"/>
      <c r="BO188" s="6"/>
      <c r="BP188" s="35"/>
      <c r="BQ188" s="234"/>
      <c r="BR188" s="234"/>
      <c r="BS188" s="395">
        <f t="shared" si="411"/>
        <v>-37</v>
      </c>
      <c r="BT188" s="29">
        <f>BE188</f>
        <v>12</v>
      </c>
      <c r="BU188" s="285">
        <f>10-10+8-8+16</f>
        <v>16</v>
      </c>
      <c r="BV188" s="5">
        <f t="shared" si="412"/>
        <v>4</v>
      </c>
      <c r="BW188" s="621">
        <v>50</v>
      </c>
      <c r="BX188" s="240">
        <f>9</f>
        <v>9</v>
      </c>
      <c r="BY188" s="231">
        <f>BT188+BW188-BX188</f>
        <v>53</v>
      </c>
      <c r="BZ188" s="121"/>
      <c r="CA188" s="6"/>
      <c r="CB188" s="35"/>
      <c r="CC188" s="612"/>
      <c r="CD188" s="121"/>
      <c r="CE188" s="6"/>
      <c r="CF188" s="35"/>
      <c r="CG188" s="612"/>
      <c r="CH188" s="21"/>
      <c r="CI188" s="6"/>
      <c r="CJ188" s="35"/>
      <c r="CK188" s="234"/>
      <c r="CL188" s="234"/>
      <c r="CM188" s="395">
        <f t="shared" si="413"/>
        <v>-37</v>
      </c>
      <c r="CN188" s="29">
        <f>BY188</f>
        <v>53</v>
      </c>
      <c r="CO188" s="240"/>
      <c r="CP188" s="5">
        <f t="shared" si="414"/>
        <v>-53</v>
      </c>
      <c r="CQ188" s="256"/>
      <c r="CR188" s="240"/>
      <c r="CS188" s="231">
        <f>CN188+CQ188-CR188</f>
        <v>53</v>
      </c>
      <c r="CT188" s="121"/>
      <c r="CU188" s="6"/>
      <c r="CV188" s="35"/>
      <c r="CW188" s="612"/>
      <c r="CX188" s="121"/>
      <c r="CY188" s="6"/>
      <c r="CZ188" s="35"/>
      <c r="DA188" s="612"/>
      <c r="DB188" s="21"/>
      <c r="DC188" s="6"/>
      <c r="DD188" s="35"/>
      <c r="DE188" s="234"/>
      <c r="DF188" s="234"/>
      <c r="DG188" s="395">
        <f t="shared" si="415"/>
        <v>-37</v>
      </c>
      <c r="DH188" s="29">
        <f t="shared" ref="DH188:DH191" si="417">BY188</f>
        <v>53</v>
      </c>
      <c r="DI188" s="240"/>
      <c r="DJ188" s="5">
        <f t="shared" si="416"/>
        <v>-53</v>
      </c>
      <c r="DK188" s="256"/>
      <c r="DL188" s="240"/>
      <c r="DM188" s="231">
        <f>DH188+DK188-DL188</f>
        <v>53</v>
      </c>
    </row>
    <row r="189" spans="1:117" x14ac:dyDescent="0.25">
      <c r="A189" s="18"/>
      <c r="B189" s="11" t="s">
        <v>207</v>
      </c>
      <c r="C189" s="18" t="s">
        <v>208</v>
      </c>
      <c r="D189" s="15" t="s">
        <v>69</v>
      </c>
      <c r="E189" s="15"/>
      <c r="F189" s="149"/>
      <c r="G189" s="11" t="s">
        <v>217</v>
      </c>
      <c r="H189" s="25"/>
      <c r="I189" s="24"/>
      <c r="J189" s="534">
        <f t="shared" si="403"/>
        <v>75</v>
      </c>
      <c r="K189" s="395">
        <f t="shared" si="404"/>
        <v>-50</v>
      </c>
      <c r="L189" s="544">
        <v>75</v>
      </c>
      <c r="M189" s="344">
        <f>M188*5</f>
        <v>25</v>
      </c>
      <c r="N189" s="5">
        <f t="shared" si="405"/>
        <v>-50</v>
      </c>
      <c r="O189" s="256"/>
      <c r="P189" s="303">
        <f>P188*5</f>
        <v>25</v>
      </c>
      <c r="Q189" s="231">
        <f>L189+O189-P189</f>
        <v>50</v>
      </c>
      <c r="R189" s="121"/>
      <c r="S189" s="6"/>
      <c r="T189" s="148"/>
      <c r="U189" s="711"/>
      <c r="V189" s="121"/>
      <c r="W189" s="6"/>
      <c r="X189" s="35"/>
      <c r="Y189" s="612"/>
      <c r="Z189" s="21"/>
      <c r="AA189" s="6"/>
      <c r="AB189" s="35"/>
      <c r="AC189" s="234"/>
      <c r="AD189" s="234"/>
      <c r="AE189" s="395">
        <f t="shared" si="406"/>
        <v>-50</v>
      </c>
      <c r="AF189" s="29">
        <f t="shared" si="407"/>
        <v>50</v>
      </c>
      <c r="AG189" s="344">
        <f>AG188*5</f>
        <v>0</v>
      </c>
      <c r="AH189" s="5">
        <f t="shared" si="408"/>
        <v>-50</v>
      </c>
      <c r="AI189" s="256"/>
      <c r="AJ189" s="303">
        <f>AJ188*5</f>
        <v>0</v>
      </c>
      <c r="AK189" s="231">
        <f>AF189+AI189-AJ189</f>
        <v>50</v>
      </c>
      <c r="AL189" s="121"/>
      <c r="AM189" s="6"/>
      <c r="AN189" s="148"/>
      <c r="AO189" s="711"/>
      <c r="AP189" s="121"/>
      <c r="AQ189" s="6"/>
      <c r="AR189" s="35"/>
      <c r="AS189" s="612"/>
      <c r="AT189" s="21"/>
      <c r="AU189" s="6"/>
      <c r="AV189" s="35"/>
      <c r="AW189" s="234"/>
      <c r="AX189" s="234"/>
      <c r="AY189" s="395">
        <f t="shared" si="409"/>
        <v>-5</v>
      </c>
      <c r="AZ189" s="29">
        <f t="shared" ref="AZ189:AZ197" si="418">AK189</f>
        <v>50</v>
      </c>
      <c r="BA189" s="344">
        <f>BA188*5</f>
        <v>45</v>
      </c>
      <c r="BB189" s="5">
        <f t="shared" si="410"/>
        <v>-5</v>
      </c>
      <c r="BC189" s="256"/>
      <c r="BD189" s="303">
        <f>BD188*5</f>
        <v>0</v>
      </c>
      <c r="BE189" s="231">
        <f>AZ189+BC189-BD189</f>
        <v>50</v>
      </c>
      <c r="BF189" s="121"/>
      <c r="BG189" s="6"/>
      <c r="BH189" s="148"/>
      <c r="BI189" s="711"/>
      <c r="BJ189" s="121"/>
      <c r="BK189" s="6"/>
      <c r="BL189" s="35"/>
      <c r="BM189" s="612"/>
      <c r="BN189" s="21"/>
      <c r="BO189" s="6"/>
      <c r="BP189" s="35"/>
      <c r="BQ189" s="234"/>
      <c r="BR189" s="234"/>
      <c r="BS189" s="395">
        <f t="shared" si="411"/>
        <v>75</v>
      </c>
      <c r="BT189" s="29">
        <f t="shared" ref="BT189:BT200" si="419">BE189</f>
        <v>50</v>
      </c>
      <c r="BU189" s="344">
        <f>BU188*5</f>
        <v>80</v>
      </c>
      <c r="BV189" s="5">
        <f t="shared" si="412"/>
        <v>30</v>
      </c>
      <c r="BW189" s="240"/>
      <c r="BX189" s="303">
        <f>BX188*5</f>
        <v>45</v>
      </c>
      <c r="BY189" s="231">
        <f>BT189+BW189-BX189</f>
        <v>5</v>
      </c>
      <c r="BZ189" s="121"/>
      <c r="CA189" s="6"/>
      <c r="CB189" s="148"/>
      <c r="CC189" s="711"/>
      <c r="CD189" s="121"/>
      <c r="CE189" s="6"/>
      <c r="CF189" s="35"/>
      <c r="CG189" s="612"/>
      <c r="CH189" s="21"/>
      <c r="CI189" s="6"/>
      <c r="CJ189" s="35"/>
      <c r="CK189" s="234"/>
      <c r="CL189" s="234"/>
      <c r="CM189" s="395">
        <f t="shared" si="413"/>
        <v>75</v>
      </c>
      <c r="CN189" s="29">
        <f t="shared" ref="CN189:CN200" si="420">BY189</f>
        <v>5</v>
      </c>
      <c r="CO189" s="303">
        <f>CO188*5</f>
        <v>0</v>
      </c>
      <c r="CP189" s="5">
        <f t="shared" si="414"/>
        <v>-5</v>
      </c>
      <c r="CQ189" s="240"/>
      <c r="CR189" s="303">
        <f>CR188*5</f>
        <v>0</v>
      </c>
      <c r="CS189" s="231">
        <f>CN189+CQ189-CR189</f>
        <v>5</v>
      </c>
      <c r="CT189" s="121"/>
      <c r="CU189" s="6"/>
      <c r="CV189" s="148"/>
      <c r="CW189" s="711"/>
      <c r="CX189" s="121"/>
      <c r="CY189" s="6"/>
      <c r="CZ189" s="35"/>
      <c r="DA189" s="612"/>
      <c r="DB189" s="21"/>
      <c r="DC189" s="6"/>
      <c r="DD189" s="35"/>
      <c r="DE189" s="234"/>
      <c r="DF189" s="234"/>
      <c r="DG189" s="395">
        <f t="shared" si="415"/>
        <v>75</v>
      </c>
      <c r="DH189" s="29">
        <f t="shared" si="417"/>
        <v>5</v>
      </c>
      <c r="DI189" s="303">
        <f>DI188*5</f>
        <v>0</v>
      </c>
      <c r="DJ189" s="5">
        <f t="shared" si="416"/>
        <v>-5</v>
      </c>
      <c r="DK189" s="240"/>
      <c r="DL189" s="303">
        <f>DL188*5</f>
        <v>0</v>
      </c>
      <c r="DM189" s="231">
        <f>DH189+DK189-DL189</f>
        <v>5</v>
      </c>
    </row>
    <row r="190" spans="1:117" ht="15.75" thickBot="1" x14ac:dyDescent="0.3">
      <c r="A190" s="18"/>
      <c r="B190" s="11" t="s">
        <v>273</v>
      </c>
      <c r="C190" s="18">
        <v>6</v>
      </c>
      <c r="D190" s="274" t="s">
        <v>69</v>
      </c>
      <c r="E190" s="274"/>
      <c r="F190" s="149"/>
      <c r="G190" s="11" t="s">
        <v>198</v>
      </c>
      <c r="H190" s="25"/>
      <c r="I190" s="24"/>
      <c r="J190" s="534">
        <f t="shared" si="403"/>
        <v>-244</v>
      </c>
      <c r="K190" s="395">
        <f t="shared" si="404"/>
        <v>-394</v>
      </c>
      <c r="L190" s="544">
        <v>424</v>
      </c>
      <c r="M190" s="344">
        <f>M188*6</f>
        <v>30</v>
      </c>
      <c r="N190" s="5">
        <f t="shared" si="405"/>
        <v>-394</v>
      </c>
      <c r="O190" s="256"/>
      <c r="P190" s="303">
        <f>P188*6</f>
        <v>30</v>
      </c>
      <c r="Q190" s="231">
        <f>L190+O190-P190</f>
        <v>394</v>
      </c>
      <c r="R190" s="121"/>
      <c r="S190" s="6"/>
      <c r="T190" s="148"/>
      <c r="U190" s="711"/>
      <c r="V190" s="121"/>
      <c r="W190" s="6"/>
      <c r="X190" s="35"/>
      <c r="Y190" s="612"/>
      <c r="Z190" s="21"/>
      <c r="AA190" s="6"/>
      <c r="AB190" s="35"/>
      <c r="AC190" s="234"/>
      <c r="AD190" s="234"/>
      <c r="AE190" s="395">
        <f t="shared" si="406"/>
        <v>-394</v>
      </c>
      <c r="AF190" s="29">
        <f t="shared" si="407"/>
        <v>394</v>
      </c>
      <c r="AG190" s="344">
        <f>AG188*6</f>
        <v>0</v>
      </c>
      <c r="AH190" s="5">
        <f t="shared" si="408"/>
        <v>-394</v>
      </c>
      <c r="AI190" s="256"/>
      <c r="AJ190" s="376">
        <f>AJ188*6</f>
        <v>0</v>
      </c>
      <c r="AK190" s="231">
        <f>AF190+AI190-AJ190</f>
        <v>394</v>
      </c>
      <c r="AL190" s="121"/>
      <c r="AM190" s="6"/>
      <c r="AN190" s="148"/>
      <c r="AO190" s="711"/>
      <c r="AP190" s="121"/>
      <c r="AQ190" s="6"/>
      <c r="AR190" s="35"/>
      <c r="AS190" s="612"/>
      <c r="AT190" s="21"/>
      <c r="AU190" s="6"/>
      <c r="AV190" s="35"/>
      <c r="AW190" s="234"/>
      <c r="AX190" s="234"/>
      <c r="AY190" s="395">
        <f t="shared" si="409"/>
        <v>-340</v>
      </c>
      <c r="AZ190" s="29">
        <f t="shared" si="418"/>
        <v>394</v>
      </c>
      <c r="BA190" s="344">
        <f>BA188*6</f>
        <v>54</v>
      </c>
      <c r="BB190" s="5">
        <f t="shared" si="410"/>
        <v>-340</v>
      </c>
      <c r="BC190" s="256"/>
      <c r="BD190" s="303">
        <f>BD188*6</f>
        <v>0</v>
      </c>
      <c r="BE190" s="231">
        <f>AZ190+BC190-BD190</f>
        <v>394</v>
      </c>
      <c r="BF190" s="121"/>
      <c r="BG190" s="6"/>
      <c r="BH190" s="148"/>
      <c r="BI190" s="711"/>
      <c r="BJ190" s="121"/>
      <c r="BK190" s="6"/>
      <c r="BL190" s="35"/>
      <c r="BM190" s="612"/>
      <c r="BN190" s="21"/>
      <c r="BO190" s="6"/>
      <c r="BP190" s="35"/>
      <c r="BQ190" s="234"/>
      <c r="BR190" s="234"/>
      <c r="BS190" s="395">
        <f t="shared" si="411"/>
        <v>-244</v>
      </c>
      <c r="BT190" s="29">
        <f t="shared" si="419"/>
        <v>394</v>
      </c>
      <c r="BU190" s="344">
        <f>BU188*6</f>
        <v>96</v>
      </c>
      <c r="BV190" s="5">
        <f t="shared" si="412"/>
        <v>-298</v>
      </c>
      <c r="BW190" s="240"/>
      <c r="BX190" s="303">
        <f>BX188*6</f>
        <v>54</v>
      </c>
      <c r="BY190" s="231">
        <f>BT190+BW190-BX190</f>
        <v>340</v>
      </c>
      <c r="BZ190" s="121"/>
      <c r="CA190" s="6"/>
      <c r="CB190" s="148"/>
      <c r="CC190" s="711"/>
      <c r="CD190" s="121"/>
      <c r="CE190" s="6"/>
      <c r="CF190" s="35"/>
      <c r="CG190" s="612"/>
      <c r="CH190" s="21"/>
      <c r="CI190" s="6"/>
      <c r="CJ190" s="35"/>
      <c r="CK190" s="234"/>
      <c r="CL190" s="234"/>
      <c r="CM190" s="395">
        <f t="shared" si="413"/>
        <v>-244</v>
      </c>
      <c r="CN190" s="29">
        <f t="shared" si="420"/>
        <v>340</v>
      </c>
      <c r="CO190" s="303">
        <f>CO188*6</f>
        <v>0</v>
      </c>
      <c r="CP190" s="5">
        <f t="shared" si="414"/>
        <v>-340</v>
      </c>
      <c r="CQ190" s="240"/>
      <c r="CR190" s="303">
        <f>CR188*6</f>
        <v>0</v>
      </c>
      <c r="CS190" s="231">
        <f>CN190+CQ190-CR190</f>
        <v>340</v>
      </c>
      <c r="CT190" s="121"/>
      <c r="CU190" s="6"/>
      <c r="CV190" s="148"/>
      <c r="CW190" s="711"/>
      <c r="CX190" s="121"/>
      <c r="CY190" s="6"/>
      <c r="CZ190" s="35"/>
      <c r="DA190" s="612"/>
      <c r="DB190" s="21"/>
      <c r="DC190" s="6"/>
      <c r="DD190" s="35"/>
      <c r="DE190" s="234"/>
      <c r="DF190" s="234"/>
      <c r="DG190" s="395">
        <f t="shared" si="415"/>
        <v>-244</v>
      </c>
      <c r="DH190" s="29">
        <f t="shared" si="417"/>
        <v>340</v>
      </c>
      <c r="DI190" s="303">
        <f>DI188*6</f>
        <v>0</v>
      </c>
      <c r="DJ190" s="5">
        <f t="shared" si="416"/>
        <v>-340</v>
      </c>
      <c r="DK190" s="240"/>
      <c r="DL190" s="303">
        <f>DL188*6</f>
        <v>0</v>
      </c>
      <c r="DM190" s="231">
        <f>DH190+DK190-DL190</f>
        <v>340</v>
      </c>
    </row>
    <row r="191" spans="1:117" ht="15.75" thickBot="1" x14ac:dyDescent="0.3">
      <c r="A191" s="19"/>
      <c r="B191" s="12" t="s">
        <v>70</v>
      </c>
      <c r="C191" s="19">
        <v>1</v>
      </c>
      <c r="D191" s="320" t="s">
        <v>395</v>
      </c>
      <c r="E191" s="320"/>
      <c r="F191" s="146">
        <v>22950</v>
      </c>
      <c r="G191" s="12" t="s">
        <v>217</v>
      </c>
      <c r="H191" s="28" t="s">
        <v>73</v>
      </c>
      <c r="I191" s="311"/>
      <c r="J191" s="533">
        <f t="shared" si="403"/>
        <v>12</v>
      </c>
      <c r="K191" s="396">
        <f t="shared" si="404"/>
        <v>-13</v>
      </c>
      <c r="L191" s="545">
        <v>18</v>
      </c>
      <c r="M191" s="284">
        <f>3+5-3</f>
        <v>5</v>
      </c>
      <c r="N191" s="31">
        <f t="shared" si="405"/>
        <v>-13</v>
      </c>
      <c r="O191" s="256"/>
      <c r="P191" s="241">
        <f>1+1+2+1</f>
        <v>5</v>
      </c>
      <c r="Q191" s="232">
        <f t="shared" ref="Q191:Q200" si="421">L191+O191-P191</f>
        <v>13</v>
      </c>
      <c r="R191" s="200"/>
      <c r="S191" s="201"/>
      <c r="T191" s="36"/>
      <c r="U191" s="220"/>
      <c r="V191" s="200"/>
      <c r="W191" s="201"/>
      <c r="X191" s="36"/>
      <c r="Y191" s="220"/>
      <c r="Z191" s="122"/>
      <c r="AA191" s="201"/>
      <c r="AB191" s="36"/>
      <c r="AC191" s="297"/>
      <c r="AD191" s="297"/>
      <c r="AE191" s="396">
        <f t="shared" si="406"/>
        <v>-13</v>
      </c>
      <c r="AF191" s="30">
        <f t="shared" si="407"/>
        <v>13</v>
      </c>
      <c r="AG191" s="284">
        <f>7-7+3-3</f>
        <v>0</v>
      </c>
      <c r="AH191" s="31">
        <f t="shared" si="408"/>
        <v>-13</v>
      </c>
      <c r="AI191" s="256"/>
      <c r="AJ191" s="241"/>
      <c r="AK191" s="232">
        <f t="shared" ref="AK191:AK200" si="422">AF191+AI191-AJ191</f>
        <v>13</v>
      </c>
      <c r="AL191" s="200"/>
      <c r="AM191" s="201"/>
      <c r="AN191" s="36"/>
      <c r="AO191" s="220"/>
      <c r="AP191" s="200"/>
      <c r="AQ191" s="201"/>
      <c r="AR191" s="36"/>
      <c r="AS191" s="220"/>
      <c r="AT191" s="122"/>
      <c r="AU191" s="201"/>
      <c r="AV191" s="36"/>
      <c r="AW191" s="297"/>
      <c r="AX191" s="297"/>
      <c r="AY191" s="396">
        <f t="shared" si="409"/>
        <v>-4</v>
      </c>
      <c r="AZ191" s="30">
        <f t="shared" si="418"/>
        <v>13</v>
      </c>
      <c r="BA191" s="285">
        <f>5-5+9</f>
        <v>9</v>
      </c>
      <c r="BB191" s="31">
        <f t="shared" si="410"/>
        <v>-4</v>
      </c>
      <c r="BC191" s="256"/>
      <c r="BD191" s="241"/>
      <c r="BE191" s="232">
        <f t="shared" ref="BE191:BE200" si="423">AZ191+BC191-BD191</f>
        <v>13</v>
      </c>
      <c r="BF191" s="200"/>
      <c r="BG191" s="201"/>
      <c r="BH191" s="36"/>
      <c r="BI191" s="220"/>
      <c r="BJ191" s="200"/>
      <c r="BK191" s="201"/>
      <c r="BL191" s="36"/>
      <c r="BM191" s="220"/>
      <c r="BN191" s="122"/>
      <c r="BO191" s="201"/>
      <c r="BP191" s="36"/>
      <c r="BQ191" s="297"/>
      <c r="BR191" s="297"/>
      <c r="BS191" s="396">
        <f t="shared" si="411"/>
        <v>-38</v>
      </c>
      <c r="BT191" s="30">
        <f t="shared" si="419"/>
        <v>13</v>
      </c>
      <c r="BU191" s="285">
        <f>10-10+8-8+16</f>
        <v>16</v>
      </c>
      <c r="BV191" s="31">
        <f t="shared" si="412"/>
        <v>3</v>
      </c>
      <c r="BW191" s="621">
        <v>50</v>
      </c>
      <c r="BX191" s="241">
        <f>9</f>
        <v>9</v>
      </c>
      <c r="BY191" s="232">
        <f t="shared" ref="BY191:BY200" si="424">BT191+BW191-BX191</f>
        <v>54</v>
      </c>
      <c r="BZ191" s="200"/>
      <c r="CA191" s="201"/>
      <c r="CB191" s="36"/>
      <c r="CC191" s="220"/>
      <c r="CD191" s="200"/>
      <c r="CE191" s="201"/>
      <c r="CF191" s="36"/>
      <c r="CG191" s="220"/>
      <c r="CH191" s="122"/>
      <c r="CI191" s="201"/>
      <c r="CJ191" s="36"/>
      <c r="CK191" s="297"/>
      <c r="CL191" s="297"/>
      <c r="CM191" s="396">
        <f t="shared" si="413"/>
        <v>-38</v>
      </c>
      <c r="CN191" s="30">
        <f t="shared" si="420"/>
        <v>54</v>
      </c>
      <c r="CO191" s="241"/>
      <c r="CP191" s="31">
        <f t="shared" si="414"/>
        <v>-54</v>
      </c>
      <c r="CQ191" s="256"/>
      <c r="CR191" s="241"/>
      <c r="CS191" s="232">
        <f t="shared" ref="CS191:CS200" si="425">CN191+CQ191-CR191</f>
        <v>54</v>
      </c>
      <c r="CT191" s="200"/>
      <c r="CU191" s="201"/>
      <c r="CV191" s="36"/>
      <c r="CW191" s="220"/>
      <c r="CX191" s="200"/>
      <c r="CY191" s="201"/>
      <c r="CZ191" s="36"/>
      <c r="DA191" s="220"/>
      <c r="DB191" s="122"/>
      <c r="DC191" s="201"/>
      <c r="DD191" s="36"/>
      <c r="DE191" s="297"/>
      <c r="DF191" s="297"/>
      <c r="DG191" s="396">
        <f t="shared" si="415"/>
        <v>-38</v>
      </c>
      <c r="DH191" s="30">
        <f t="shared" si="417"/>
        <v>54</v>
      </c>
      <c r="DI191" s="241"/>
      <c r="DJ191" s="31">
        <f t="shared" si="416"/>
        <v>-54</v>
      </c>
      <c r="DK191" s="284"/>
      <c r="DL191" s="241"/>
      <c r="DM191" s="232">
        <f t="shared" ref="DM191:DM200" si="426">DH191+DK191-DL191</f>
        <v>54</v>
      </c>
    </row>
    <row r="192" spans="1:117" ht="30" x14ac:dyDescent="0.25">
      <c r="A192" s="45">
        <v>11990</v>
      </c>
      <c r="B192" s="309" t="s">
        <v>540</v>
      </c>
      <c r="C192" s="45">
        <v>1</v>
      </c>
      <c r="D192" s="513" t="s">
        <v>541</v>
      </c>
      <c r="E192" s="513"/>
      <c r="F192" s="342">
        <v>42586</v>
      </c>
      <c r="G192" s="44"/>
      <c r="H192" s="46" t="s">
        <v>73</v>
      </c>
      <c r="I192" s="46"/>
      <c r="J192" s="532">
        <f t="shared" si="403"/>
        <v>-1</v>
      </c>
      <c r="K192" s="397">
        <f t="shared" si="404"/>
        <v>-1</v>
      </c>
      <c r="L192" s="553">
        <v>1</v>
      </c>
      <c r="M192" s="285"/>
      <c r="N192" s="47">
        <f t="shared" si="405"/>
        <v>-1</v>
      </c>
      <c r="O192" s="285"/>
      <c r="P192" s="253"/>
      <c r="Q192" s="290">
        <f t="shared" si="421"/>
        <v>1</v>
      </c>
      <c r="R192" s="288"/>
      <c r="S192" s="380"/>
      <c r="T192" s="48"/>
      <c r="U192" s="287"/>
      <c r="V192" s="288"/>
      <c r="W192" s="380"/>
      <c r="X192" s="48"/>
      <c r="Y192" s="287"/>
      <c r="Z192" s="132"/>
      <c r="AA192" s="289"/>
      <c r="AB192" s="48"/>
      <c r="AC192" s="290"/>
      <c r="AD192" s="290"/>
      <c r="AE192" s="397">
        <f t="shared" si="406"/>
        <v>-1</v>
      </c>
      <c r="AF192" s="279">
        <f t="shared" si="407"/>
        <v>1</v>
      </c>
      <c r="AG192" s="285"/>
      <c r="AH192" s="47">
        <f t="shared" si="408"/>
        <v>-1</v>
      </c>
      <c r="AI192" s="285"/>
      <c r="AJ192" s="253"/>
      <c r="AK192" s="290">
        <f t="shared" si="422"/>
        <v>1</v>
      </c>
      <c r="AL192" s="288"/>
      <c r="AM192" s="380"/>
      <c r="AN192" s="48"/>
      <c r="AO192" s="287"/>
      <c r="AP192" s="288"/>
      <c r="AQ192" s="380"/>
      <c r="AR192" s="48"/>
      <c r="AS192" s="287"/>
      <c r="AT192" s="132"/>
      <c r="AU192" s="289"/>
      <c r="AV192" s="48"/>
      <c r="AW192" s="290"/>
      <c r="AX192" s="290"/>
      <c r="AY192" s="397">
        <f t="shared" si="409"/>
        <v>-1</v>
      </c>
      <c r="AZ192" s="279">
        <f t="shared" si="418"/>
        <v>1</v>
      </c>
      <c r="BA192" s="285"/>
      <c r="BB192" s="47">
        <f t="shared" si="410"/>
        <v>-1</v>
      </c>
      <c r="BC192" s="285"/>
      <c r="BD192" s="253"/>
      <c r="BE192" s="290">
        <f t="shared" si="423"/>
        <v>1</v>
      </c>
      <c r="BF192" s="288"/>
      <c r="BG192" s="380"/>
      <c r="BH192" s="48"/>
      <c r="BI192" s="287"/>
      <c r="BJ192" s="288"/>
      <c r="BK192" s="380"/>
      <c r="BL192" s="48"/>
      <c r="BM192" s="287"/>
      <c r="BN192" s="132"/>
      <c r="BO192" s="289"/>
      <c r="BP192" s="48"/>
      <c r="BQ192" s="290"/>
      <c r="BR192" s="290"/>
      <c r="BS192" s="397">
        <f t="shared" si="411"/>
        <v>-1</v>
      </c>
      <c r="BT192" s="279">
        <f t="shared" si="419"/>
        <v>1</v>
      </c>
      <c r="BU192" s="285"/>
      <c r="BV192" s="47">
        <f t="shared" si="412"/>
        <v>-1</v>
      </c>
      <c r="BW192" s="253"/>
      <c r="BX192" s="253"/>
      <c r="BY192" s="290">
        <f t="shared" si="424"/>
        <v>1</v>
      </c>
      <c r="BZ192" s="288"/>
      <c r="CA192" s="380"/>
      <c r="CB192" s="48"/>
      <c r="CC192" s="287"/>
      <c r="CD192" s="288"/>
      <c r="CE192" s="380"/>
      <c r="CF192" s="48"/>
      <c r="CG192" s="287"/>
      <c r="CH192" s="132"/>
      <c r="CI192" s="289"/>
      <c r="CJ192" s="48"/>
      <c r="CK192" s="290"/>
      <c r="CL192" s="290"/>
      <c r="CM192" s="397">
        <f t="shared" si="413"/>
        <v>-1</v>
      </c>
      <c r="CN192" s="279">
        <f t="shared" si="420"/>
        <v>1</v>
      </c>
      <c r="CO192" s="285"/>
      <c r="CP192" s="47">
        <f t="shared" si="414"/>
        <v>-1</v>
      </c>
      <c r="CQ192" s="253"/>
      <c r="CR192" s="253"/>
      <c r="CS192" s="290">
        <f t="shared" si="425"/>
        <v>1</v>
      </c>
      <c r="CT192" s="288"/>
      <c r="CU192" s="380"/>
      <c r="CV192" s="48"/>
      <c r="CW192" s="287"/>
      <c r="CX192" s="288"/>
      <c r="CY192" s="380"/>
      <c r="CZ192" s="48"/>
      <c r="DA192" s="287"/>
      <c r="DB192" s="132"/>
      <c r="DC192" s="289"/>
      <c r="DD192" s="48"/>
      <c r="DE192" s="290"/>
      <c r="DF192" s="290"/>
      <c r="DG192" s="397">
        <f t="shared" si="415"/>
        <v>-1</v>
      </c>
      <c r="DH192" s="279">
        <f>BY192</f>
        <v>1</v>
      </c>
      <c r="DI192" s="285"/>
      <c r="DJ192" s="47">
        <f t="shared" si="416"/>
        <v>-1</v>
      </c>
      <c r="DK192" s="253"/>
      <c r="DL192" s="253"/>
      <c r="DM192" s="290">
        <f t="shared" si="426"/>
        <v>1</v>
      </c>
    </row>
    <row r="193" spans="1:117" ht="15.75" thickBot="1" x14ac:dyDescent="0.3">
      <c r="A193" s="19"/>
      <c r="B193" s="12"/>
      <c r="C193" s="19"/>
      <c r="D193" s="60"/>
      <c r="E193" s="60"/>
      <c r="F193" s="146"/>
      <c r="G193" s="12"/>
      <c r="H193" s="28"/>
      <c r="I193" s="311"/>
      <c r="J193" s="533">
        <f t="shared" si="403"/>
        <v>0</v>
      </c>
      <c r="K193" s="396">
        <f t="shared" si="404"/>
        <v>0</v>
      </c>
      <c r="L193" s="545">
        <v>0</v>
      </c>
      <c r="M193" s="284"/>
      <c r="N193" s="31">
        <f t="shared" si="405"/>
        <v>0</v>
      </c>
      <c r="O193" s="284"/>
      <c r="P193" s="241"/>
      <c r="Q193" s="232">
        <f t="shared" si="421"/>
        <v>0</v>
      </c>
      <c r="R193" s="200"/>
      <c r="S193" s="201"/>
      <c r="T193" s="36"/>
      <c r="U193" s="220"/>
      <c r="V193" s="200"/>
      <c r="W193" s="201"/>
      <c r="X193" s="36"/>
      <c r="Y193" s="220"/>
      <c r="Z193" s="122"/>
      <c r="AA193" s="201"/>
      <c r="AB193" s="36"/>
      <c r="AC193" s="297"/>
      <c r="AD193" s="297"/>
      <c r="AE193" s="396">
        <f t="shared" si="406"/>
        <v>0</v>
      </c>
      <c r="AF193" s="30">
        <f t="shared" si="407"/>
        <v>0</v>
      </c>
      <c r="AG193" s="284"/>
      <c r="AH193" s="31">
        <f t="shared" si="408"/>
        <v>0</v>
      </c>
      <c r="AI193" s="284"/>
      <c r="AJ193" s="241"/>
      <c r="AK193" s="232">
        <f t="shared" si="422"/>
        <v>0</v>
      </c>
      <c r="AL193" s="200"/>
      <c r="AM193" s="201"/>
      <c r="AN193" s="36"/>
      <c r="AO193" s="220"/>
      <c r="AP193" s="200"/>
      <c r="AQ193" s="201"/>
      <c r="AR193" s="36"/>
      <c r="AS193" s="220"/>
      <c r="AT193" s="122"/>
      <c r="AU193" s="201"/>
      <c r="AV193" s="36"/>
      <c r="AW193" s="297"/>
      <c r="AX193" s="297"/>
      <c r="AY193" s="396">
        <f t="shared" si="409"/>
        <v>0</v>
      </c>
      <c r="AZ193" s="30">
        <f t="shared" si="418"/>
        <v>0</v>
      </c>
      <c r="BA193" s="284"/>
      <c r="BB193" s="31">
        <f t="shared" si="410"/>
        <v>0</v>
      </c>
      <c r="BC193" s="284"/>
      <c r="BD193" s="241"/>
      <c r="BE193" s="232">
        <f t="shared" si="423"/>
        <v>0</v>
      </c>
      <c r="BF193" s="200"/>
      <c r="BG193" s="201"/>
      <c r="BH193" s="36"/>
      <c r="BI193" s="220"/>
      <c r="BJ193" s="200"/>
      <c r="BK193" s="201"/>
      <c r="BL193" s="36"/>
      <c r="BM193" s="220"/>
      <c r="BN193" s="122"/>
      <c r="BO193" s="201"/>
      <c r="BP193" s="36"/>
      <c r="BQ193" s="297"/>
      <c r="BR193" s="297"/>
      <c r="BS193" s="396">
        <f t="shared" si="411"/>
        <v>0</v>
      </c>
      <c r="BT193" s="30">
        <f t="shared" si="419"/>
        <v>0</v>
      </c>
      <c r="BU193" s="284"/>
      <c r="BV193" s="31">
        <f t="shared" si="412"/>
        <v>0</v>
      </c>
      <c r="BW193" s="241"/>
      <c r="BX193" s="241"/>
      <c r="BY193" s="232">
        <f t="shared" si="424"/>
        <v>0</v>
      </c>
      <c r="BZ193" s="200"/>
      <c r="CA193" s="201"/>
      <c r="CB193" s="36"/>
      <c r="CC193" s="220"/>
      <c r="CD193" s="200"/>
      <c r="CE193" s="201"/>
      <c r="CF193" s="36"/>
      <c r="CG193" s="220"/>
      <c r="CH193" s="122"/>
      <c r="CI193" s="201"/>
      <c r="CJ193" s="36"/>
      <c r="CK193" s="297"/>
      <c r="CL193" s="297"/>
      <c r="CM193" s="396">
        <f t="shared" si="413"/>
        <v>0</v>
      </c>
      <c r="CN193" s="30">
        <f t="shared" si="420"/>
        <v>0</v>
      </c>
      <c r="CO193" s="284"/>
      <c r="CP193" s="31">
        <f t="shared" si="414"/>
        <v>0</v>
      </c>
      <c r="CQ193" s="241"/>
      <c r="CR193" s="241"/>
      <c r="CS193" s="232">
        <f t="shared" si="425"/>
        <v>0</v>
      </c>
      <c r="CT193" s="200"/>
      <c r="CU193" s="201"/>
      <c r="CV193" s="36"/>
      <c r="CW193" s="220"/>
      <c r="CX193" s="200"/>
      <c r="CY193" s="201"/>
      <c r="CZ193" s="36"/>
      <c r="DA193" s="220"/>
      <c r="DB193" s="122"/>
      <c r="DC193" s="201"/>
      <c r="DD193" s="36"/>
      <c r="DE193" s="297"/>
      <c r="DF193" s="297"/>
      <c r="DG193" s="396">
        <f t="shared" si="415"/>
        <v>0</v>
      </c>
      <c r="DH193" s="30">
        <f>BY193</f>
        <v>0</v>
      </c>
      <c r="DI193" s="284"/>
      <c r="DJ193" s="31">
        <f t="shared" si="416"/>
        <v>0</v>
      </c>
      <c r="DK193" s="241"/>
      <c r="DL193" s="241"/>
      <c r="DM193" s="232">
        <f t="shared" si="426"/>
        <v>0</v>
      </c>
    </row>
    <row r="194" spans="1:117" ht="45.75" thickBot="1" x14ac:dyDescent="0.3">
      <c r="A194" s="45"/>
      <c r="B194" s="44" t="s">
        <v>339</v>
      </c>
      <c r="C194" s="45">
        <v>1</v>
      </c>
      <c r="D194" s="428" t="s">
        <v>542</v>
      </c>
      <c r="E194" s="428"/>
      <c r="F194" s="342">
        <v>45722</v>
      </c>
      <c r="G194" s="44" t="s">
        <v>217</v>
      </c>
      <c r="H194" s="46" t="s">
        <v>73</v>
      </c>
      <c r="I194" s="46"/>
      <c r="J194" s="532">
        <f t="shared" si="403"/>
        <v>-22</v>
      </c>
      <c r="K194" s="397">
        <f t="shared" si="404"/>
        <v>-139</v>
      </c>
      <c r="L194" s="553">
        <v>155</v>
      </c>
      <c r="M194" s="285">
        <f>12+16-12</f>
        <v>16</v>
      </c>
      <c r="N194" s="47">
        <f t="shared" si="405"/>
        <v>-139</v>
      </c>
      <c r="O194" s="427"/>
      <c r="P194" s="253">
        <f>11+2+2+1+1</f>
        <v>17</v>
      </c>
      <c r="Q194" s="290">
        <f t="shared" si="421"/>
        <v>138</v>
      </c>
      <c r="R194" s="288"/>
      <c r="S194" s="289"/>
      <c r="T194" s="48"/>
      <c r="U194" s="287"/>
      <c r="V194" s="288"/>
      <c r="W194" s="289"/>
      <c r="X194" s="48"/>
      <c r="Y194" s="287"/>
      <c r="Z194" s="132"/>
      <c r="AA194" s="289"/>
      <c r="AB194" s="48"/>
      <c r="AC194" s="713"/>
      <c r="AD194" s="713"/>
      <c r="AE194" s="394">
        <f t="shared" si="406"/>
        <v>-99</v>
      </c>
      <c r="AF194" s="279">
        <f t="shared" si="407"/>
        <v>138</v>
      </c>
      <c r="AG194" s="285">
        <f>23-23+10-10+40</f>
        <v>40</v>
      </c>
      <c r="AH194" s="47">
        <f t="shared" si="408"/>
        <v>-98</v>
      </c>
      <c r="AI194" s="256"/>
      <c r="AJ194" s="253">
        <f>1+39</f>
        <v>40</v>
      </c>
      <c r="AK194" s="290">
        <f t="shared" si="422"/>
        <v>98</v>
      </c>
      <c r="AL194" s="288"/>
      <c r="AM194" s="289"/>
      <c r="AN194" s="48"/>
      <c r="AO194" s="287"/>
      <c r="AP194" s="288"/>
      <c r="AQ194" s="289"/>
      <c r="AR194" s="48"/>
      <c r="AS194" s="287"/>
      <c r="AT194" s="132"/>
      <c r="AU194" s="289"/>
      <c r="AV194" s="48"/>
      <c r="AW194" s="234"/>
      <c r="AX194" s="234"/>
      <c r="AY194" s="395">
        <f t="shared" si="409"/>
        <v>-89</v>
      </c>
      <c r="AZ194" s="279">
        <f t="shared" si="418"/>
        <v>98</v>
      </c>
      <c r="BA194" s="285">
        <f>15-15+49-49+10</f>
        <v>10</v>
      </c>
      <c r="BB194" s="47">
        <f t="shared" si="410"/>
        <v>-88</v>
      </c>
      <c r="BC194" s="256"/>
      <c r="BD194" s="253"/>
      <c r="BE194" s="290">
        <f t="shared" si="423"/>
        <v>98</v>
      </c>
      <c r="BF194" s="288"/>
      <c r="BG194" s="289"/>
      <c r="BH194" s="48"/>
      <c r="BI194" s="287"/>
      <c r="BJ194" s="288"/>
      <c r="BK194" s="289"/>
      <c r="BL194" s="48"/>
      <c r="BM194" s="287"/>
      <c r="BN194" s="132"/>
      <c r="BO194" s="289"/>
      <c r="BP194" s="48"/>
      <c r="BQ194" s="234"/>
      <c r="BR194" s="234"/>
      <c r="BS194" s="395">
        <f t="shared" si="411"/>
        <v>-52</v>
      </c>
      <c r="BT194" s="279">
        <f t="shared" si="419"/>
        <v>98</v>
      </c>
      <c r="BU194" s="285">
        <f>30-30+20-20+67</f>
        <v>67</v>
      </c>
      <c r="BV194" s="47">
        <f t="shared" si="412"/>
        <v>-31</v>
      </c>
      <c r="BW194" s="621">
        <v>30</v>
      </c>
      <c r="BX194" s="253">
        <f>15+15+20</f>
        <v>50</v>
      </c>
      <c r="BY194" s="290">
        <f t="shared" si="424"/>
        <v>78</v>
      </c>
      <c r="BZ194" s="288"/>
      <c r="CA194" s="289"/>
      <c r="CB194" s="48"/>
      <c r="CC194" s="287"/>
      <c r="CD194" s="322">
        <v>1777651.8</v>
      </c>
      <c r="CE194" s="323"/>
      <c r="CF194" s="705" t="s">
        <v>898</v>
      </c>
      <c r="CG194" s="793"/>
      <c r="CH194" s="132"/>
      <c r="CI194" s="289"/>
      <c r="CJ194" s="48"/>
      <c r="CK194" s="290"/>
      <c r="CL194" s="290"/>
      <c r="CM194" s="397">
        <f t="shared" si="413"/>
        <v>-52</v>
      </c>
      <c r="CN194" s="279">
        <f t="shared" si="420"/>
        <v>78</v>
      </c>
      <c r="CO194" s="253"/>
      <c r="CP194" s="47">
        <f t="shared" si="414"/>
        <v>-78</v>
      </c>
      <c r="CQ194" s="240"/>
      <c r="CR194" s="253"/>
      <c r="CS194" s="290">
        <f t="shared" si="425"/>
        <v>78</v>
      </c>
      <c r="CT194" s="288"/>
      <c r="CU194" s="289"/>
      <c r="CV194" s="48"/>
      <c r="CW194" s="287"/>
      <c r="CX194" s="640"/>
      <c r="CY194" s="640">
        <v>1777651.8</v>
      </c>
      <c r="CZ194" s="641" t="s">
        <v>905</v>
      </c>
      <c r="DA194" s="817"/>
      <c r="DB194" s="132"/>
      <c r="DC194" s="289"/>
      <c r="DD194" s="48"/>
      <c r="DE194" s="290"/>
      <c r="DF194" s="290"/>
      <c r="DG194" s="397">
        <f t="shared" si="415"/>
        <v>-52</v>
      </c>
      <c r="DH194" s="279">
        <f>BY194</f>
        <v>78</v>
      </c>
      <c r="DI194" s="253"/>
      <c r="DJ194" s="47">
        <f t="shared" si="416"/>
        <v>-78</v>
      </c>
      <c r="DK194" s="253"/>
      <c r="DL194" s="253"/>
      <c r="DM194" s="290">
        <f t="shared" si="426"/>
        <v>78</v>
      </c>
    </row>
    <row r="195" spans="1:117" x14ac:dyDescent="0.25">
      <c r="A195" s="17"/>
      <c r="B195" s="74" t="s">
        <v>206</v>
      </c>
      <c r="C195" s="18" t="s">
        <v>51</v>
      </c>
      <c r="D195" s="15" t="s">
        <v>390</v>
      </c>
      <c r="E195" s="80"/>
      <c r="F195" s="337"/>
      <c r="G195" s="10" t="s">
        <v>198</v>
      </c>
      <c r="H195" s="24"/>
      <c r="I195" s="24"/>
      <c r="J195" s="534">
        <f t="shared" si="403"/>
        <v>-12</v>
      </c>
      <c r="K195" s="395">
        <f t="shared" si="404"/>
        <v>-129</v>
      </c>
      <c r="L195" s="515">
        <v>145</v>
      </c>
      <c r="M195" s="258">
        <f>12+16-12</f>
        <v>16</v>
      </c>
      <c r="N195" s="7">
        <f t="shared" si="405"/>
        <v>-129</v>
      </c>
      <c r="O195" s="256"/>
      <c r="P195" s="242">
        <f>11+2+2+1+1</f>
        <v>17</v>
      </c>
      <c r="Q195" s="234">
        <f t="shared" si="421"/>
        <v>128</v>
      </c>
      <c r="R195" s="123"/>
      <c r="S195" s="8"/>
      <c r="T195" s="34"/>
      <c r="U195" s="713"/>
      <c r="V195" s="123"/>
      <c r="W195" s="8"/>
      <c r="X195" s="34"/>
      <c r="Y195" s="713"/>
      <c r="Z195" s="20"/>
      <c r="AA195" s="8"/>
      <c r="AB195" s="34"/>
      <c r="AC195" s="713"/>
      <c r="AD195" s="713"/>
      <c r="AE195" s="394">
        <f t="shared" si="406"/>
        <v>-89</v>
      </c>
      <c r="AF195" s="32">
        <f t="shared" si="407"/>
        <v>128</v>
      </c>
      <c r="AG195" s="285">
        <f>23-23+10-10+40</f>
        <v>40</v>
      </c>
      <c r="AH195" s="7">
        <f t="shared" si="408"/>
        <v>-88</v>
      </c>
      <c r="AI195" s="256"/>
      <c r="AJ195" s="242">
        <f>1+39</f>
        <v>40</v>
      </c>
      <c r="AK195" s="234">
        <f t="shared" si="422"/>
        <v>88</v>
      </c>
      <c r="AL195" s="123"/>
      <c r="AM195" s="8"/>
      <c r="AN195" s="34"/>
      <c r="AO195" s="713"/>
      <c r="AP195" s="123"/>
      <c r="AQ195" s="8"/>
      <c r="AR195" s="34"/>
      <c r="AS195" s="713"/>
      <c r="AT195" s="20"/>
      <c r="AU195" s="8"/>
      <c r="AV195" s="34"/>
      <c r="AW195" s="234"/>
      <c r="AX195" s="234"/>
      <c r="AY195" s="395">
        <f t="shared" si="409"/>
        <v>-79</v>
      </c>
      <c r="AZ195" s="32">
        <f t="shared" si="418"/>
        <v>88</v>
      </c>
      <c r="BA195" s="285">
        <f>15-15+49-49+10</f>
        <v>10</v>
      </c>
      <c r="BB195" s="7">
        <f t="shared" si="410"/>
        <v>-78</v>
      </c>
      <c r="BC195" s="256"/>
      <c r="BD195" s="242"/>
      <c r="BE195" s="234">
        <f t="shared" si="423"/>
        <v>88</v>
      </c>
      <c r="BF195" s="123"/>
      <c r="BG195" s="8"/>
      <c r="BH195" s="34"/>
      <c r="BI195" s="713"/>
      <c r="BJ195" s="123"/>
      <c r="BK195" s="8"/>
      <c r="BL195" s="34"/>
      <c r="BM195" s="713"/>
      <c r="BN195" s="20"/>
      <c r="BO195" s="8"/>
      <c r="BP195" s="34"/>
      <c r="BQ195" s="234"/>
      <c r="BR195" s="234"/>
      <c r="BS195" s="395">
        <f t="shared" si="411"/>
        <v>-12</v>
      </c>
      <c r="BT195" s="32">
        <f t="shared" si="419"/>
        <v>88</v>
      </c>
      <c r="BU195" s="285">
        <f>30-30+20-20+67</f>
        <v>67</v>
      </c>
      <c r="BV195" s="7">
        <f t="shared" si="412"/>
        <v>-21</v>
      </c>
      <c r="BW195" s="242"/>
      <c r="BX195" s="242">
        <f>15+15+1+20</f>
        <v>51</v>
      </c>
      <c r="BY195" s="234">
        <f t="shared" si="424"/>
        <v>37</v>
      </c>
      <c r="BZ195" s="123"/>
      <c r="CA195" s="8"/>
      <c r="CB195" s="34"/>
      <c r="CC195" s="713"/>
      <c r="CD195" s="123"/>
      <c r="CE195" s="8"/>
      <c r="CF195" s="34"/>
      <c r="CG195" s="713"/>
      <c r="CH195" s="20"/>
      <c r="CI195" s="8"/>
      <c r="CJ195" s="34"/>
      <c r="CK195" s="234"/>
      <c r="CL195" s="234"/>
      <c r="CM195" s="395">
        <f t="shared" si="413"/>
        <v>-12</v>
      </c>
      <c r="CN195" s="32">
        <f t="shared" si="420"/>
        <v>37</v>
      </c>
      <c r="CO195" s="242"/>
      <c r="CP195" s="7">
        <f t="shared" si="414"/>
        <v>-37</v>
      </c>
      <c r="CQ195" s="242"/>
      <c r="CR195" s="242"/>
      <c r="CS195" s="234">
        <f t="shared" si="425"/>
        <v>37</v>
      </c>
      <c r="CT195" s="123"/>
      <c r="CU195" s="8"/>
      <c r="CV195" s="34"/>
      <c r="CW195" s="713"/>
      <c r="CX195" s="123"/>
      <c r="CY195" s="8"/>
      <c r="CZ195" s="34"/>
      <c r="DA195" s="713"/>
      <c r="DB195" s="20"/>
      <c r="DC195" s="8"/>
      <c r="DD195" s="34"/>
      <c r="DE195" s="234"/>
      <c r="DF195" s="234"/>
      <c r="DG195" s="395">
        <f t="shared" si="415"/>
        <v>-12</v>
      </c>
      <c r="DH195" s="29">
        <f t="shared" ref="DH195:DH197" si="427">BY195</f>
        <v>37</v>
      </c>
      <c r="DI195" s="242"/>
      <c r="DJ195" s="7">
        <f t="shared" si="416"/>
        <v>-37</v>
      </c>
      <c r="DK195" s="242"/>
      <c r="DL195" s="242"/>
      <c r="DM195" s="234">
        <f t="shared" si="426"/>
        <v>37</v>
      </c>
    </row>
    <row r="196" spans="1:117" ht="30.75" thickBot="1" x14ac:dyDescent="0.3">
      <c r="A196" s="17"/>
      <c r="B196" s="74" t="s">
        <v>286</v>
      </c>
      <c r="C196" s="17">
        <v>1</v>
      </c>
      <c r="D196" s="274" t="s">
        <v>669</v>
      </c>
      <c r="E196" s="274"/>
      <c r="F196" s="275">
        <v>53.6</v>
      </c>
      <c r="G196" s="453" t="s">
        <v>334</v>
      </c>
      <c r="H196" s="24"/>
      <c r="I196" s="24"/>
      <c r="J196" s="534">
        <f t="shared" si="403"/>
        <v>-56</v>
      </c>
      <c r="K196" s="395">
        <f t="shared" si="404"/>
        <v>-193</v>
      </c>
      <c r="L196" s="515">
        <v>212</v>
      </c>
      <c r="M196" s="424">
        <f>SUM(M195,M346)</f>
        <v>19</v>
      </c>
      <c r="N196" s="7">
        <f t="shared" si="405"/>
        <v>-193</v>
      </c>
      <c r="O196" s="258"/>
      <c r="P196" s="242">
        <f>1</f>
        <v>1</v>
      </c>
      <c r="Q196" s="234">
        <f t="shared" si="421"/>
        <v>211</v>
      </c>
      <c r="R196" s="123"/>
      <c r="S196" s="8"/>
      <c r="T196" s="34"/>
      <c r="U196" s="713"/>
      <c r="V196" s="123"/>
      <c r="W196" s="8"/>
      <c r="X196" s="34"/>
      <c r="Y196" s="713"/>
      <c r="Z196" s="20"/>
      <c r="AA196" s="8"/>
      <c r="AB196" s="35"/>
      <c r="AC196" s="713"/>
      <c r="AD196" s="713"/>
      <c r="AE196" s="394">
        <f t="shared" si="406"/>
        <v>-145</v>
      </c>
      <c r="AF196" s="32">
        <f t="shared" si="407"/>
        <v>211</v>
      </c>
      <c r="AG196" s="424">
        <f>SUM(AG195,AG346)</f>
        <v>48</v>
      </c>
      <c r="AH196" s="7">
        <f t="shared" si="408"/>
        <v>-163</v>
      </c>
      <c r="AI196" s="256"/>
      <c r="AJ196" s="242">
        <f>1+39</f>
        <v>40</v>
      </c>
      <c r="AK196" s="234">
        <f t="shared" si="422"/>
        <v>171</v>
      </c>
      <c r="AL196" s="129"/>
      <c r="AM196" s="130"/>
      <c r="AN196" s="79"/>
      <c r="AP196" s="123"/>
      <c r="AQ196" s="8"/>
      <c r="AR196" s="34"/>
      <c r="AS196" s="713"/>
      <c r="AT196" s="20"/>
      <c r="AU196" s="8"/>
      <c r="AV196" s="34"/>
      <c r="AW196" s="234"/>
      <c r="AX196" s="234"/>
      <c r="AY196" s="395">
        <f t="shared" si="409"/>
        <v>-132</v>
      </c>
      <c r="AZ196" s="32">
        <f t="shared" si="418"/>
        <v>171</v>
      </c>
      <c r="BA196" s="424">
        <f>SUM(BA195,BA346)</f>
        <v>13</v>
      </c>
      <c r="BB196" s="7">
        <f t="shared" si="410"/>
        <v>-158</v>
      </c>
      <c r="BC196" s="258"/>
      <c r="BD196" s="242"/>
      <c r="BE196" s="234">
        <f t="shared" si="423"/>
        <v>171</v>
      </c>
      <c r="BF196" s="123"/>
      <c r="BG196" s="8"/>
      <c r="BH196" s="34"/>
      <c r="BI196" s="713"/>
      <c r="BJ196" s="123"/>
      <c r="BK196" s="8"/>
      <c r="BL196" s="34"/>
      <c r="BM196" s="713"/>
      <c r="BN196" s="20"/>
      <c r="BO196" s="8"/>
      <c r="BP196" s="34"/>
      <c r="BQ196" s="234"/>
      <c r="BR196" s="234"/>
      <c r="BS196" s="395">
        <f t="shared" si="411"/>
        <v>-56</v>
      </c>
      <c r="BT196" s="32">
        <f t="shared" si="419"/>
        <v>171</v>
      </c>
      <c r="BU196" s="424">
        <f>SUM(BU195,BU346)</f>
        <v>76</v>
      </c>
      <c r="BV196" s="7">
        <f t="shared" si="412"/>
        <v>-95</v>
      </c>
      <c r="BW196" s="242"/>
      <c r="BX196" s="242">
        <f>15+15+1</f>
        <v>31</v>
      </c>
      <c r="BY196" s="234">
        <f t="shared" si="424"/>
        <v>140</v>
      </c>
      <c r="BZ196" s="123"/>
      <c r="CA196" s="8"/>
      <c r="CB196" s="34"/>
      <c r="CC196" s="713"/>
      <c r="CD196" s="123"/>
      <c r="CE196" s="8"/>
      <c r="CF196" s="34"/>
      <c r="CG196" s="713"/>
      <c r="CH196" s="20"/>
      <c r="CI196" s="8"/>
      <c r="CJ196" s="34"/>
      <c r="CK196" s="234"/>
      <c r="CL196" s="234"/>
      <c r="CM196" s="395">
        <f t="shared" si="413"/>
        <v>-56</v>
      </c>
      <c r="CN196" s="32">
        <f t="shared" si="420"/>
        <v>140</v>
      </c>
      <c r="CO196" s="304">
        <f>SUM(CO195,CO346)</f>
        <v>0</v>
      </c>
      <c r="CP196" s="7">
        <f t="shared" si="414"/>
        <v>-140</v>
      </c>
      <c r="CQ196" s="242"/>
      <c r="CR196" s="242"/>
      <c r="CS196" s="234">
        <f t="shared" si="425"/>
        <v>140</v>
      </c>
      <c r="CT196" s="123"/>
      <c r="CU196" s="8"/>
      <c r="CV196" s="34"/>
      <c r="CW196" s="713"/>
      <c r="CX196" s="123"/>
      <c r="CY196" s="8"/>
      <c r="CZ196" s="34"/>
      <c r="DA196" s="713"/>
      <c r="DB196" s="20"/>
      <c r="DC196" s="8"/>
      <c r="DD196" s="34"/>
      <c r="DE196" s="234"/>
      <c r="DF196" s="234"/>
      <c r="DG196" s="395">
        <f t="shared" si="415"/>
        <v>-56</v>
      </c>
      <c r="DH196" s="29">
        <f t="shared" si="427"/>
        <v>140</v>
      </c>
      <c r="DI196" s="304">
        <f>SUM(DI195,DI346)</f>
        <v>0</v>
      </c>
      <c r="DJ196" s="7">
        <f t="shared" si="416"/>
        <v>-140</v>
      </c>
      <c r="DK196" s="242"/>
      <c r="DL196" s="242"/>
      <c r="DM196" s="234">
        <f t="shared" si="426"/>
        <v>140</v>
      </c>
    </row>
    <row r="197" spans="1:117" ht="30.75" thickBot="1" x14ac:dyDescent="0.3">
      <c r="A197" s="19">
        <v>11985</v>
      </c>
      <c r="B197" s="12" t="s">
        <v>72</v>
      </c>
      <c r="C197" s="19">
        <v>1</v>
      </c>
      <c r="D197" s="320" t="s">
        <v>442</v>
      </c>
      <c r="E197" s="320"/>
      <c r="F197" s="146">
        <v>7250</v>
      </c>
      <c r="G197" s="12" t="s">
        <v>217</v>
      </c>
      <c r="H197" s="28" t="s">
        <v>138</v>
      </c>
      <c r="I197" s="311"/>
      <c r="J197" s="533">
        <f t="shared" si="403"/>
        <v>-20</v>
      </c>
      <c r="K197" s="396">
        <f t="shared" si="404"/>
        <v>-137</v>
      </c>
      <c r="L197" s="545">
        <v>153</v>
      </c>
      <c r="M197" s="258">
        <f>12+16-12</f>
        <v>16</v>
      </c>
      <c r="N197" s="31">
        <f t="shared" si="405"/>
        <v>-137</v>
      </c>
      <c r="O197" s="284"/>
      <c r="P197" s="241">
        <f>11+2+2+1+1</f>
        <v>17</v>
      </c>
      <c r="Q197" s="232">
        <f t="shared" si="421"/>
        <v>136</v>
      </c>
      <c r="R197" s="200"/>
      <c r="S197" s="201"/>
      <c r="T197" s="36"/>
      <c r="U197" s="220"/>
      <c r="V197" s="200"/>
      <c r="W197" s="201"/>
      <c r="X197" s="36"/>
      <c r="Y197" s="220"/>
      <c r="Z197" s="122"/>
      <c r="AA197" s="201"/>
      <c r="AB197" s="36"/>
      <c r="AE197" s="407">
        <f t="shared" si="406"/>
        <v>-97</v>
      </c>
      <c r="AF197" s="276">
        <f t="shared" si="407"/>
        <v>136</v>
      </c>
      <c r="AG197" s="285">
        <f>23-23+10-10+40</f>
        <v>40</v>
      </c>
      <c r="AH197" s="78">
        <f t="shared" si="408"/>
        <v>-96</v>
      </c>
      <c r="AI197" s="277"/>
      <c r="AJ197" s="244">
        <f>1+39</f>
        <v>40</v>
      </c>
      <c r="AK197" s="233">
        <f t="shared" si="422"/>
        <v>96</v>
      </c>
      <c r="AL197" s="200"/>
      <c r="AM197" s="201"/>
      <c r="AN197" s="36"/>
      <c r="AO197" s="220"/>
      <c r="AP197" s="200"/>
      <c r="AQ197" s="201"/>
      <c r="AR197" s="36"/>
      <c r="AS197" s="220"/>
      <c r="AT197" s="122"/>
      <c r="AU197" s="201"/>
      <c r="AV197" s="36"/>
      <c r="AW197" s="619"/>
      <c r="AX197" s="619"/>
      <c r="AY197" s="406">
        <f t="shared" si="409"/>
        <v>-87</v>
      </c>
      <c r="AZ197" s="276">
        <f t="shared" si="418"/>
        <v>96</v>
      </c>
      <c r="BA197" s="285">
        <f>15-15+49-49+10</f>
        <v>10</v>
      </c>
      <c r="BB197" s="78">
        <f t="shared" si="410"/>
        <v>-86</v>
      </c>
      <c r="BC197" s="256"/>
      <c r="BD197" s="244"/>
      <c r="BE197" s="233">
        <f t="shared" si="423"/>
        <v>96</v>
      </c>
      <c r="BF197" s="200"/>
      <c r="BG197" s="201"/>
      <c r="BH197" s="36"/>
      <c r="BI197" s="220"/>
      <c r="BJ197" s="200"/>
      <c r="BK197" s="201"/>
      <c r="BL197" s="36"/>
      <c r="BM197" s="220"/>
      <c r="BN197" s="122"/>
      <c r="BO197" s="201"/>
      <c r="BP197" s="36"/>
      <c r="BQ197" s="619"/>
      <c r="BR197" s="619"/>
      <c r="BS197" s="406">
        <f t="shared" si="411"/>
        <v>-50</v>
      </c>
      <c r="BT197" s="276">
        <f t="shared" si="419"/>
        <v>96</v>
      </c>
      <c r="BU197" s="285">
        <f>30-30+20-20+67</f>
        <v>67</v>
      </c>
      <c r="BV197" s="78">
        <f t="shared" si="412"/>
        <v>-29</v>
      </c>
      <c r="BW197" s="644">
        <v>30</v>
      </c>
      <c r="BX197" s="244">
        <f>15+15+1+20</f>
        <v>51</v>
      </c>
      <c r="BY197" s="233">
        <f t="shared" si="424"/>
        <v>75</v>
      </c>
      <c r="BZ197" s="200"/>
      <c r="CA197" s="201"/>
      <c r="CB197" s="36"/>
      <c r="CC197" s="220"/>
      <c r="CD197" s="200"/>
      <c r="CE197" s="201"/>
      <c r="CF197" s="36"/>
      <c r="CG197" s="220"/>
      <c r="CH197" s="122"/>
      <c r="CI197" s="201"/>
      <c r="CJ197" s="36"/>
      <c r="CK197" s="297"/>
      <c r="CL197" s="297"/>
      <c r="CM197" s="396">
        <f t="shared" si="413"/>
        <v>-50</v>
      </c>
      <c r="CN197" s="276">
        <f t="shared" si="420"/>
        <v>75</v>
      </c>
      <c r="CO197" s="244"/>
      <c r="CP197" s="78">
        <f t="shared" si="414"/>
        <v>-75</v>
      </c>
      <c r="CQ197" s="244"/>
      <c r="CR197" s="244"/>
      <c r="CS197" s="233">
        <f t="shared" si="425"/>
        <v>75</v>
      </c>
      <c r="CT197" s="200"/>
      <c r="CU197" s="201"/>
      <c r="CV197" s="36"/>
      <c r="CW197" s="220"/>
      <c r="CX197" s="200"/>
      <c r="CY197" s="201"/>
      <c r="CZ197" s="36"/>
      <c r="DA197" s="220"/>
      <c r="DB197" s="122"/>
      <c r="DC197" s="201"/>
      <c r="DD197" s="36"/>
      <c r="DE197" s="297"/>
      <c r="DF197" s="297"/>
      <c r="DG197" s="396">
        <f t="shared" si="415"/>
        <v>-50</v>
      </c>
      <c r="DH197" s="30">
        <f t="shared" si="427"/>
        <v>75</v>
      </c>
      <c r="DI197" s="241"/>
      <c r="DJ197" s="31">
        <f t="shared" si="416"/>
        <v>-75</v>
      </c>
      <c r="DK197" s="241"/>
      <c r="DL197" s="241"/>
      <c r="DM197" s="232">
        <f t="shared" si="426"/>
        <v>75</v>
      </c>
    </row>
    <row r="198" spans="1:117" ht="15.75" thickBot="1" x14ac:dyDescent="0.3">
      <c r="A198" s="45">
        <v>18175</v>
      </c>
      <c r="B198" s="44" t="s">
        <v>238</v>
      </c>
      <c r="C198" s="45">
        <v>1</v>
      </c>
      <c r="D198" s="309" t="s">
        <v>239</v>
      </c>
      <c r="E198" s="309"/>
      <c r="F198" s="342"/>
      <c r="G198" s="44" t="s">
        <v>198</v>
      </c>
      <c r="H198" s="46"/>
      <c r="I198" s="46"/>
      <c r="J198" s="532">
        <f t="shared" si="403"/>
        <v>136</v>
      </c>
      <c r="K198" s="397">
        <f t="shared" si="404"/>
        <v>-3</v>
      </c>
      <c r="L198" s="553">
        <v>12</v>
      </c>
      <c r="M198" s="285">
        <f>0+9</f>
        <v>9</v>
      </c>
      <c r="N198" s="47">
        <f t="shared" ref="N198" si="428">M198-L198</f>
        <v>-3</v>
      </c>
      <c r="O198" s="256"/>
      <c r="P198" s="253">
        <f>2+2+1+1+2+1+1</f>
        <v>10</v>
      </c>
      <c r="Q198" s="290">
        <f t="shared" ref="Q198" si="429">L198+O198-P198</f>
        <v>2</v>
      </c>
      <c r="R198" s="288"/>
      <c r="S198" s="289"/>
      <c r="T198" s="524"/>
      <c r="U198" s="721"/>
      <c r="V198" s="288"/>
      <c r="W198" s="289"/>
      <c r="X198" s="48"/>
      <c r="Y198" s="287"/>
      <c r="Z198" s="132"/>
      <c r="AA198" s="289"/>
      <c r="AB198" s="48"/>
      <c r="AC198" s="290"/>
      <c r="AD198" s="290"/>
      <c r="AE198" s="397">
        <f t="shared" si="406"/>
        <v>-3</v>
      </c>
      <c r="AF198" s="279">
        <f t="shared" si="407"/>
        <v>2</v>
      </c>
      <c r="AG198" s="285">
        <f>15-15+8-8+40</f>
        <v>40</v>
      </c>
      <c r="AH198" s="47">
        <f t="shared" ref="AH198" si="430">AG198-AF198</f>
        <v>38</v>
      </c>
      <c r="AI198" s="47">
        <v>40</v>
      </c>
      <c r="AJ198" s="253">
        <f>1+39</f>
        <v>40</v>
      </c>
      <c r="AK198" s="290">
        <f t="shared" ref="AK198" si="431">AF198+AI198-AJ198</f>
        <v>2</v>
      </c>
      <c r="AL198" s="288"/>
      <c r="AM198" s="289"/>
      <c r="AN198" s="524"/>
      <c r="AO198" s="721"/>
      <c r="AP198" s="288"/>
      <c r="AQ198" s="289"/>
      <c r="AR198" s="48"/>
      <c r="AS198" s="287"/>
      <c r="AT198" s="132"/>
      <c r="AU198" s="289"/>
      <c r="AV198" s="48" t="s">
        <v>198</v>
      </c>
      <c r="AW198" s="290"/>
      <c r="AX198" s="290"/>
      <c r="AY198" s="397">
        <f t="shared" si="409"/>
        <v>16</v>
      </c>
      <c r="AZ198" s="279">
        <f t="shared" ref="AZ198" si="432">AK198</f>
        <v>2</v>
      </c>
      <c r="BA198" s="285">
        <f>5-5+44-44+19</f>
        <v>19</v>
      </c>
      <c r="BB198" s="47">
        <f t="shared" ref="BB198" si="433">BA198-AZ198</f>
        <v>17</v>
      </c>
      <c r="BC198" s="253"/>
      <c r="BD198" s="253"/>
      <c r="BE198" s="290">
        <f t="shared" ref="BE198" si="434">AZ198+BC198-BD198</f>
        <v>2</v>
      </c>
      <c r="BF198" s="288"/>
      <c r="BG198" s="289"/>
      <c r="BH198" s="524"/>
      <c r="BI198" s="721"/>
      <c r="BJ198" s="288"/>
      <c r="BK198" s="289"/>
      <c r="BL198" s="48"/>
      <c r="BM198" s="287"/>
      <c r="BN198" s="132"/>
      <c r="BO198" s="289"/>
      <c r="BP198" s="48"/>
      <c r="BQ198" s="290"/>
      <c r="BR198" s="290"/>
      <c r="BS198" s="397">
        <f t="shared" si="411"/>
        <v>71</v>
      </c>
      <c r="BT198" s="279">
        <f t="shared" ref="BT198" si="435">BE198</f>
        <v>2</v>
      </c>
      <c r="BU198" s="285">
        <f>20-20+15-15+80</f>
        <v>80</v>
      </c>
      <c r="BV198" s="47">
        <f t="shared" ref="BV198" si="436">BU198-BT198</f>
        <v>78</v>
      </c>
      <c r="BW198" s="646">
        <v>25</v>
      </c>
      <c r="BX198" s="253">
        <f>9+15+1+28</f>
        <v>53</v>
      </c>
      <c r="BY198" s="290">
        <f t="shared" ref="BY198:BY199" si="437">BT198+BW198-BX198</f>
        <v>-26</v>
      </c>
      <c r="BZ198" s="288"/>
      <c r="CA198" s="289"/>
      <c r="CB198" s="524" t="s">
        <v>848</v>
      </c>
      <c r="CC198" s="721"/>
      <c r="CD198" s="288"/>
      <c r="CE198" s="289"/>
      <c r="CF198" s="48"/>
      <c r="CG198" s="287"/>
      <c r="CH198" s="132"/>
      <c r="CI198" s="289"/>
      <c r="CJ198" s="48"/>
      <c r="CK198" s="290"/>
      <c r="CL198" s="290"/>
      <c r="CM198" s="397">
        <f t="shared" si="413"/>
        <v>71</v>
      </c>
      <c r="CN198" s="279">
        <f t="shared" ref="CN198" si="438">BY198</f>
        <v>-26</v>
      </c>
      <c r="CO198" s="253"/>
      <c r="CP198" s="47">
        <f t="shared" ref="CP198" si="439">CO198-CN198</f>
        <v>26</v>
      </c>
      <c r="CQ198" s="253"/>
      <c r="CR198" s="253"/>
      <c r="CS198" s="290">
        <f t="shared" ref="CS198" si="440">CN198+CQ198-CR198</f>
        <v>-26</v>
      </c>
      <c r="CT198" s="288"/>
      <c r="CU198" s="289"/>
      <c r="CV198" s="524"/>
      <c r="CW198" s="721"/>
      <c r="CX198" s="288"/>
      <c r="CY198" s="289"/>
      <c r="CZ198" s="48"/>
      <c r="DA198" s="287"/>
      <c r="DB198" s="132"/>
      <c r="DC198" s="289"/>
      <c r="DD198" s="48"/>
      <c r="DE198" s="290"/>
      <c r="DF198" s="290"/>
      <c r="DG198" s="397">
        <f t="shared" si="415"/>
        <v>71</v>
      </c>
      <c r="DH198" s="279">
        <f>BY198</f>
        <v>-26</v>
      </c>
      <c r="DI198" s="253"/>
      <c r="DJ198" s="47">
        <f t="shared" si="416"/>
        <v>26</v>
      </c>
      <c r="DK198" s="253"/>
      <c r="DL198" s="253"/>
      <c r="DM198" s="290">
        <f t="shared" si="426"/>
        <v>-26</v>
      </c>
    </row>
    <row r="199" spans="1:117" x14ac:dyDescent="0.25">
      <c r="A199" s="262"/>
      <c r="B199" s="431" t="s">
        <v>862</v>
      </c>
      <c r="C199" s="262">
        <v>1</v>
      </c>
      <c r="D199" s="309" t="s">
        <v>239</v>
      </c>
      <c r="E199" s="419"/>
      <c r="F199" s="510"/>
      <c r="G199" s="431"/>
      <c r="H199" s="420"/>
      <c r="I199" s="420"/>
      <c r="J199" s="618"/>
      <c r="K199" s="406"/>
      <c r="L199" s="546"/>
      <c r="M199" s="425"/>
      <c r="N199" s="432"/>
      <c r="O199" s="425"/>
      <c r="P199" s="315"/>
      <c r="Q199" s="619"/>
      <c r="R199" s="433"/>
      <c r="S199" s="416"/>
      <c r="T199" s="450"/>
      <c r="U199" s="248"/>
      <c r="V199" s="433"/>
      <c r="W199" s="416"/>
      <c r="X199" s="415"/>
      <c r="Z199" s="421"/>
      <c r="AA199" s="416"/>
      <c r="AB199" s="415"/>
      <c r="AC199" s="619"/>
      <c r="AD199" s="619"/>
      <c r="AE199" s="406"/>
      <c r="AF199" s="451"/>
      <c r="AG199" s="425"/>
      <c r="AH199" s="432"/>
      <c r="AI199" s="432"/>
      <c r="AJ199" s="315"/>
      <c r="AK199" s="619"/>
      <c r="AL199" s="433"/>
      <c r="AM199" s="416"/>
      <c r="AN199" s="450"/>
      <c r="AO199" s="248"/>
      <c r="AP199" s="433"/>
      <c r="AQ199" s="416"/>
      <c r="AR199" s="415"/>
      <c r="AT199" s="421"/>
      <c r="AU199" s="416"/>
      <c r="AV199" s="415"/>
      <c r="AW199" s="619"/>
      <c r="AX199" s="619"/>
      <c r="AY199" s="406"/>
      <c r="AZ199" s="451"/>
      <c r="BA199" s="425"/>
      <c r="BB199" s="432"/>
      <c r="BC199" s="315"/>
      <c r="BD199" s="315"/>
      <c r="BE199" s="619"/>
      <c r="BF199" s="433"/>
      <c r="BG199" s="416"/>
      <c r="BH199" s="450"/>
      <c r="BI199" s="248"/>
      <c r="BJ199" s="433"/>
      <c r="BK199" s="416"/>
      <c r="BL199" s="415"/>
      <c r="BN199" s="421"/>
      <c r="BO199" s="416"/>
      <c r="BP199" s="415"/>
      <c r="BQ199" s="619"/>
      <c r="BR199" s="619"/>
      <c r="BS199" s="406"/>
      <c r="BT199" s="620">
        <v>12</v>
      </c>
      <c r="BU199" s="256">
        <v>80</v>
      </c>
      <c r="BV199" s="47">
        <f>BU199-BT199</f>
        <v>68</v>
      </c>
      <c r="BW199" s="621">
        <v>25</v>
      </c>
      <c r="BX199" s="240">
        <f>9+15+1+28</f>
        <v>53</v>
      </c>
      <c r="BY199" s="290">
        <f t="shared" si="437"/>
        <v>-16</v>
      </c>
      <c r="BZ199" s="433"/>
      <c r="CA199" s="416"/>
      <c r="CB199" s="524" t="s">
        <v>848</v>
      </c>
      <c r="CC199" s="248"/>
      <c r="CD199" s="433"/>
      <c r="CE199" s="416"/>
      <c r="CF199" s="415"/>
      <c r="CH199" s="421"/>
      <c r="CI199" s="416"/>
      <c r="CJ199" s="415"/>
      <c r="CK199" s="619"/>
      <c r="CL199" s="619"/>
      <c r="CM199" s="406"/>
      <c r="CN199" s="451"/>
      <c r="CO199" s="315"/>
      <c r="CP199" s="432"/>
      <c r="CQ199" s="315"/>
      <c r="CR199" s="315"/>
      <c r="CS199" s="619"/>
      <c r="CT199" s="433"/>
      <c r="CU199" s="416"/>
      <c r="CV199" s="450"/>
      <c r="CW199" s="248"/>
      <c r="CX199" s="433"/>
      <c r="CY199" s="416"/>
      <c r="CZ199" s="415"/>
      <c r="DB199" s="421"/>
      <c r="DC199" s="416"/>
      <c r="DD199" s="415"/>
      <c r="DE199" s="619"/>
      <c r="DF199" s="619"/>
      <c r="DG199" s="406"/>
      <c r="DH199" s="451"/>
      <c r="DI199" s="315"/>
      <c r="DJ199" s="432"/>
      <c r="DK199" s="315"/>
      <c r="DL199" s="315"/>
      <c r="DM199" s="619"/>
    </row>
    <row r="200" spans="1:117" ht="15.75" thickBot="1" x14ac:dyDescent="0.3">
      <c r="A200" s="63"/>
      <c r="B200" s="295" t="s">
        <v>638</v>
      </c>
      <c r="C200" s="63">
        <v>1</v>
      </c>
      <c r="D200" s="295" t="s">
        <v>239</v>
      </c>
      <c r="E200" s="295"/>
      <c r="F200" s="584">
        <v>25</v>
      </c>
      <c r="G200" s="62" t="s">
        <v>757</v>
      </c>
      <c r="H200" s="311"/>
      <c r="I200" s="311"/>
      <c r="J200" s="533">
        <f>SUM(M200,AG200,BA200,BU200)-L200</f>
        <v>82</v>
      </c>
      <c r="K200" s="396">
        <f t="shared" si="404"/>
        <v>-57</v>
      </c>
      <c r="L200" s="551">
        <v>66</v>
      </c>
      <c r="M200" s="547">
        <f>M198</f>
        <v>9</v>
      </c>
      <c r="N200" s="65">
        <f t="shared" si="405"/>
        <v>-57</v>
      </c>
      <c r="O200" s="286"/>
      <c r="P200" s="384">
        <f>P198</f>
        <v>10</v>
      </c>
      <c r="Q200" s="297">
        <f t="shared" si="421"/>
        <v>56</v>
      </c>
      <c r="R200" s="126"/>
      <c r="S200" s="127"/>
      <c r="T200" s="336"/>
      <c r="U200" s="722"/>
      <c r="V200" s="126"/>
      <c r="W200" s="127"/>
      <c r="X200" s="66"/>
      <c r="Y200" s="715"/>
      <c r="Z200" s="128"/>
      <c r="AA200" s="127"/>
      <c r="AB200" s="66"/>
      <c r="AC200" s="297"/>
      <c r="AD200" s="297"/>
      <c r="AE200" s="396">
        <f>SUM(M200,AG200)-SUM(O200,AI200)-L200</f>
        <v>-17</v>
      </c>
      <c r="AF200" s="296">
        <f>Q200</f>
        <v>56</v>
      </c>
      <c r="AG200" s="547">
        <f>AG198</f>
        <v>40</v>
      </c>
      <c r="AH200" s="65">
        <f t="shared" si="408"/>
        <v>-16</v>
      </c>
      <c r="AI200" s="250"/>
      <c r="AJ200" s="384">
        <f>AJ198</f>
        <v>40</v>
      </c>
      <c r="AK200" s="297">
        <f t="shared" si="422"/>
        <v>16</v>
      </c>
      <c r="AL200" s="126"/>
      <c r="AM200" s="127"/>
      <c r="AN200" s="336"/>
      <c r="AO200" s="722"/>
      <c r="AP200" s="126"/>
      <c r="AQ200" s="127"/>
      <c r="AR200" s="66"/>
      <c r="AS200" s="715"/>
      <c r="AT200" s="128"/>
      <c r="AU200" s="127"/>
      <c r="AV200" s="66"/>
      <c r="AW200" s="297"/>
      <c r="AX200" s="297"/>
      <c r="AY200" s="396">
        <f>SUM(M200,AG200,BA200)-SUM(O200,AI200,BC200)-L200</f>
        <v>-98</v>
      </c>
      <c r="AZ200" s="608">
        <v>5</v>
      </c>
      <c r="BA200" s="547">
        <f>BA198</f>
        <v>19</v>
      </c>
      <c r="BB200" s="65">
        <f t="shared" si="410"/>
        <v>14</v>
      </c>
      <c r="BC200" s="31">
        <v>100</v>
      </c>
      <c r="BD200" s="384">
        <f>BD198</f>
        <v>0</v>
      </c>
      <c r="BE200" s="297">
        <f t="shared" si="423"/>
        <v>105</v>
      </c>
      <c r="BF200" s="126"/>
      <c r="BG200" s="127"/>
      <c r="BH200" s="336"/>
      <c r="BI200" s="722"/>
      <c r="BJ200" s="470"/>
      <c r="BK200" s="127">
        <v>2500</v>
      </c>
      <c r="BL200" s="66" t="s">
        <v>789</v>
      </c>
      <c r="BM200" s="715"/>
      <c r="BN200" s="128"/>
      <c r="BO200" s="127"/>
      <c r="BP200" s="66"/>
      <c r="BQ200" s="297"/>
      <c r="BR200" s="297"/>
      <c r="BS200" s="396">
        <f>SUM(M200,AG200,BA200,BU200)-SUM(O200,AI200,BC200,BW200)-L200</f>
        <v>-18</v>
      </c>
      <c r="BT200" s="296">
        <f t="shared" si="419"/>
        <v>105</v>
      </c>
      <c r="BU200" s="547">
        <f>BU198</f>
        <v>80</v>
      </c>
      <c r="BV200" s="65">
        <f t="shared" si="412"/>
        <v>-25</v>
      </c>
      <c r="BW200" s="286"/>
      <c r="BX200" s="384">
        <f>BX198</f>
        <v>53</v>
      </c>
      <c r="BY200" s="297">
        <f t="shared" si="424"/>
        <v>52</v>
      </c>
      <c r="BZ200" s="126"/>
      <c r="CA200" s="127"/>
      <c r="CB200" s="336"/>
      <c r="CC200" s="722"/>
      <c r="CD200" s="126"/>
      <c r="CE200" s="127"/>
      <c r="CF200" s="66"/>
      <c r="CG200" s="715"/>
      <c r="CH200" s="128"/>
      <c r="CI200" s="127"/>
      <c r="CJ200" s="66"/>
      <c r="CK200" s="297"/>
      <c r="CL200" s="297"/>
      <c r="CM200" s="396">
        <f>SUM(M200,AG200,BA200,BU200,CO200)-SUM(O200,AI200,BC200,BW200,CQ200)-L200</f>
        <v>-18</v>
      </c>
      <c r="CN200" s="296">
        <f t="shared" si="420"/>
        <v>52</v>
      </c>
      <c r="CO200" s="547">
        <f>CO198</f>
        <v>0</v>
      </c>
      <c r="CP200" s="65">
        <f t="shared" si="414"/>
        <v>-52</v>
      </c>
      <c r="CQ200" s="250"/>
      <c r="CR200" s="384">
        <f>CR198</f>
        <v>0</v>
      </c>
      <c r="CS200" s="297">
        <f t="shared" si="425"/>
        <v>52</v>
      </c>
      <c r="CT200" s="126"/>
      <c r="CU200" s="127"/>
      <c r="CV200" s="336"/>
      <c r="CW200" s="722"/>
      <c r="CX200" s="126"/>
      <c r="CY200" s="127"/>
      <c r="CZ200" s="66"/>
      <c r="DA200" s="715"/>
      <c r="DB200" s="128"/>
      <c r="DC200" s="127"/>
      <c r="DD200" s="66"/>
      <c r="DE200" s="297"/>
      <c r="DF200" s="297"/>
      <c r="DG200" s="396">
        <f>SUM(M200,AG200,BA200,BU200,DI200)-SUM(O200,AI200,BC200,BW200,CQ200)-L200</f>
        <v>-18</v>
      </c>
      <c r="DH200" s="30">
        <f>BY200</f>
        <v>52</v>
      </c>
      <c r="DI200" s="547">
        <f>DI198</f>
        <v>0</v>
      </c>
      <c r="DJ200" s="65">
        <f t="shared" si="416"/>
        <v>-52</v>
      </c>
      <c r="DK200" s="250"/>
      <c r="DL200" s="384">
        <f>DL198</f>
        <v>0</v>
      </c>
      <c r="DM200" s="297">
        <f t="shared" si="426"/>
        <v>52</v>
      </c>
    </row>
    <row r="201" spans="1:117" ht="15.75" thickBot="1" x14ac:dyDescent="0.3">
      <c r="P201" s="248"/>
      <c r="AJ201" s="248"/>
      <c r="BD201" s="248"/>
      <c r="BX201" s="248"/>
      <c r="CR201" s="248"/>
      <c r="DL201" s="248"/>
    </row>
    <row r="202" spans="1:117" ht="15.75" thickBot="1" x14ac:dyDescent="0.3">
      <c r="A202" s="95"/>
      <c r="B202" s="94" t="s">
        <v>489</v>
      </c>
      <c r="C202" s="95"/>
      <c r="D202" s="93"/>
      <c r="E202" s="93"/>
      <c r="F202" s="340"/>
      <c r="G202" s="93"/>
      <c r="H202" s="96"/>
      <c r="I202" s="96"/>
      <c r="J202" s="96">
        <f>SUM(M202,AG202,BA202,BU202)</f>
        <v>0</v>
      </c>
      <c r="K202" s="69"/>
      <c r="L202" s="97"/>
      <c r="M202" s="98">
        <v>0</v>
      </c>
      <c r="N202" s="98"/>
      <c r="O202" s="98"/>
      <c r="P202" s="249"/>
      <c r="Q202" s="237"/>
      <c r="R202" s="124">
        <f>SUM(R203:R210)</f>
        <v>0</v>
      </c>
      <c r="S202" s="125">
        <f>SUM(S203:S210)</f>
        <v>0</v>
      </c>
      <c r="T202" s="99"/>
      <c r="U202" s="221"/>
      <c r="V202" s="124">
        <f>SUM(V203:V210)</f>
        <v>0</v>
      </c>
      <c r="W202" s="125">
        <f>SUM(W203:W210)</f>
        <v>0</v>
      </c>
      <c r="X202" s="99"/>
      <c r="Y202" s="221"/>
      <c r="Z202" s="124">
        <f>SUM(Z203:Z210)</f>
        <v>0</v>
      </c>
      <c r="AA202" s="125">
        <f>SUM(AA203:AA210)</f>
        <v>0</v>
      </c>
      <c r="AB202" s="99"/>
      <c r="AC202" s="736"/>
      <c r="AD202" s="736"/>
      <c r="AE202" s="69">
        <f>SUM(AG202,BA202,BU202)</f>
        <v>0</v>
      </c>
      <c r="AF202" s="97"/>
      <c r="AG202" s="98">
        <v>0</v>
      </c>
      <c r="AH202" s="98"/>
      <c r="AI202" s="98"/>
      <c r="AJ202" s="249"/>
      <c r="AK202" s="237"/>
      <c r="AL202" s="124">
        <f>SUM(AL203:AL210)</f>
        <v>0</v>
      </c>
      <c r="AM202" s="125">
        <f>SUM(AM203:AM210)</f>
        <v>0</v>
      </c>
      <c r="AN202" s="99"/>
      <c r="AO202" s="221"/>
      <c r="AP202" s="124">
        <f>SUM(AP203:AP210)</f>
        <v>0</v>
      </c>
      <c r="AQ202" s="125">
        <f>SUM(AQ203:AQ210)</f>
        <v>0</v>
      </c>
      <c r="AR202" s="99"/>
      <c r="AS202" s="221"/>
      <c r="AT202" s="124">
        <f>SUM(AT203:AT210)</f>
        <v>0</v>
      </c>
      <c r="AU202" s="125">
        <f>SUM(AU203:AU210)</f>
        <v>0</v>
      </c>
      <c r="AV202" s="99"/>
      <c r="AW202" s="736"/>
      <c r="AX202" s="736"/>
      <c r="AY202" s="69">
        <f>SUM(BA202,BU202)</f>
        <v>0</v>
      </c>
      <c r="AZ202" s="97"/>
      <c r="BA202" s="98"/>
      <c r="BB202" s="98"/>
      <c r="BC202" s="98"/>
      <c r="BD202" s="249"/>
      <c r="BE202" s="237"/>
      <c r="BF202" s="124">
        <f>SUM(BF203:BF210)</f>
        <v>0</v>
      </c>
      <c r="BG202" s="125">
        <f>SUM(BG203:BG210)</f>
        <v>0</v>
      </c>
      <c r="BH202" s="99"/>
      <c r="BI202" s="221"/>
      <c r="BJ202" s="124">
        <f>SUM(BJ203:BJ210)</f>
        <v>0</v>
      </c>
      <c r="BK202" s="125">
        <f>SUM(BK203:BK210)</f>
        <v>0</v>
      </c>
      <c r="BL202" s="99"/>
      <c r="BM202" s="221"/>
      <c r="BN202" s="124">
        <f>SUM(BN203:BN210)</f>
        <v>0</v>
      </c>
      <c r="BO202" s="125">
        <f>SUM(BO203:BO210)</f>
        <v>0</v>
      </c>
      <c r="BP202" s="99"/>
      <c r="BQ202" s="736"/>
      <c r="BR202" s="736"/>
      <c r="BS202" s="401">
        <f>BU202</f>
        <v>0</v>
      </c>
      <c r="BT202" s="97"/>
      <c r="BU202" s="98">
        <v>0</v>
      </c>
      <c r="BV202" s="98"/>
      <c r="BW202" s="98"/>
      <c r="BX202" s="249"/>
      <c r="BY202" s="237"/>
      <c r="BZ202" s="124">
        <f>SUM(BZ203:BZ210)</f>
        <v>0</v>
      </c>
      <c r="CA202" s="125">
        <f>SUM(CA203:CA210)</f>
        <v>0</v>
      </c>
      <c r="CB202" s="99"/>
      <c r="CC202" s="221"/>
      <c r="CD202" s="124">
        <f>SUM(CD203:CD210)</f>
        <v>0</v>
      </c>
      <c r="CE202" s="125">
        <f>SUM(CE203:CE210)</f>
        <v>0</v>
      </c>
      <c r="CF202" s="99"/>
      <c r="CG202" s="221"/>
      <c r="CH202" s="124">
        <f>SUM(CH203:CH210)</f>
        <v>0</v>
      </c>
      <c r="CI202" s="125">
        <f>SUM(CI203:CI210)</f>
        <v>0</v>
      </c>
      <c r="CJ202" s="99"/>
      <c r="CK202" s="736"/>
      <c r="CL202" s="736"/>
      <c r="CM202" s="401">
        <f>CO202</f>
        <v>0</v>
      </c>
      <c r="CN202" s="97"/>
      <c r="CO202" s="249">
        <v>0</v>
      </c>
      <c r="CP202" s="98"/>
      <c r="CQ202" s="98"/>
      <c r="CR202" s="249"/>
      <c r="CS202" s="237"/>
      <c r="CT202" s="124">
        <f>SUM(CT203:CT210)</f>
        <v>0</v>
      </c>
      <c r="CU202" s="125">
        <f>SUM(CU203:CU210)</f>
        <v>0</v>
      </c>
      <c r="CV202" s="99"/>
      <c r="CW202" s="221"/>
      <c r="CX202" s="124">
        <f>SUM(CX203:CX210)</f>
        <v>0</v>
      </c>
      <c r="CY202" s="125">
        <f>SUM(CY203:CY210)</f>
        <v>0</v>
      </c>
      <c r="CZ202" s="99"/>
      <c r="DA202" s="221"/>
      <c r="DB202" s="124">
        <f>SUM(DB203:DB210)</f>
        <v>0</v>
      </c>
      <c r="DC202" s="125">
        <f>SUM(DC203:DC210)</f>
        <v>0</v>
      </c>
      <c r="DD202" s="99"/>
      <c r="DE202" s="736"/>
      <c r="DF202" s="736"/>
      <c r="DG202" s="401">
        <f>DI202</f>
        <v>0</v>
      </c>
      <c r="DH202" s="97"/>
      <c r="DI202" s="249">
        <v>0</v>
      </c>
      <c r="DJ202" s="98"/>
      <c r="DK202" s="98"/>
      <c r="DL202" s="249"/>
      <c r="DM202" s="237"/>
    </row>
    <row r="203" spans="1:117" x14ac:dyDescent="0.25">
      <c r="A203" s="45"/>
      <c r="B203" s="44"/>
      <c r="C203" s="45"/>
      <c r="D203" s="44"/>
      <c r="E203" s="44"/>
      <c r="F203" s="342"/>
      <c r="G203" s="44"/>
      <c r="H203" s="278"/>
      <c r="I203" s="278"/>
      <c r="J203" s="538"/>
      <c r="K203" s="278"/>
      <c r="L203" s="279">
        <v>0</v>
      </c>
      <c r="M203" s="306">
        <f>M202</f>
        <v>0</v>
      </c>
      <c r="N203" s="47">
        <f>M203-L203</f>
        <v>0</v>
      </c>
      <c r="O203" s="285"/>
      <c r="P203" s="253"/>
      <c r="Q203" s="35">
        <f>L203+O203-P203</f>
        <v>0</v>
      </c>
      <c r="R203" s="288"/>
      <c r="S203" s="214"/>
      <c r="T203" s="48"/>
      <c r="U203" s="723"/>
      <c r="V203" s="214"/>
      <c r="W203" s="289"/>
      <c r="X203" s="48"/>
      <c r="Y203" s="287"/>
      <c r="Z203" s="132"/>
      <c r="AA203" s="289"/>
      <c r="AB203" s="48"/>
      <c r="AC203" s="287"/>
      <c r="AD203" s="287"/>
      <c r="AE203" s="278"/>
      <c r="AF203" s="279">
        <f>Q203</f>
        <v>0</v>
      </c>
      <c r="AG203" s="306">
        <f>AG202</f>
        <v>0</v>
      </c>
      <c r="AH203" s="47">
        <f>AG203-AF203</f>
        <v>0</v>
      </c>
      <c r="AI203" s="253"/>
      <c r="AJ203" s="253"/>
      <c r="AK203" s="48">
        <f>AF203+AI203-AJ203</f>
        <v>0</v>
      </c>
      <c r="AL203" s="288"/>
      <c r="AM203" s="214"/>
      <c r="AN203" s="48"/>
      <c r="AO203" s="723"/>
      <c r="AP203" s="214"/>
      <c r="AQ203" s="289"/>
      <c r="AR203" s="48"/>
      <c r="AS203" s="287"/>
      <c r="AT203" s="132"/>
      <c r="AU203" s="289"/>
      <c r="AV203" s="48"/>
      <c r="AW203" s="287"/>
      <c r="AX203" s="287"/>
      <c r="AY203" s="278"/>
      <c r="AZ203" s="279">
        <f>AK203</f>
        <v>0</v>
      </c>
      <c r="BA203" s="306">
        <f>BA202</f>
        <v>0</v>
      </c>
      <c r="BB203" s="47">
        <f>BA203-AZ203</f>
        <v>0</v>
      </c>
      <c r="BC203" s="285"/>
      <c r="BD203" s="253"/>
      <c r="BE203" s="35">
        <f>AZ203+BC203-BD203</f>
        <v>0</v>
      </c>
      <c r="BF203" s="288"/>
      <c r="BG203" s="214"/>
      <c r="BH203" s="48"/>
      <c r="BI203" s="723"/>
      <c r="BJ203" s="214"/>
      <c r="BK203" s="289"/>
      <c r="BL203" s="48"/>
      <c r="BM203" s="287"/>
      <c r="BN203" s="132"/>
      <c r="BO203" s="289"/>
      <c r="BP203" s="48"/>
      <c r="BQ203" s="287"/>
      <c r="BR203" s="287"/>
      <c r="BS203" s="278"/>
      <c r="BT203" s="279">
        <f>BE203</f>
        <v>0</v>
      </c>
      <c r="BU203" s="306">
        <f>BU202</f>
        <v>0</v>
      </c>
      <c r="BV203" s="47">
        <f>BU203-BT203</f>
        <v>0</v>
      </c>
      <c r="BW203" s="285"/>
      <c r="BX203" s="253"/>
      <c r="BY203" s="35">
        <f>BT203+BW203-BX203</f>
        <v>0</v>
      </c>
      <c r="BZ203" s="288"/>
      <c r="CA203" s="214"/>
      <c r="CB203" s="48"/>
      <c r="CC203" s="723"/>
      <c r="CD203" s="214"/>
      <c r="CE203" s="289"/>
      <c r="CF203" s="48"/>
      <c r="CG203" s="287"/>
      <c r="CH203" s="132"/>
      <c r="CI203" s="289"/>
      <c r="CJ203" s="48"/>
      <c r="CK203" s="287"/>
      <c r="CL203" s="287"/>
      <c r="CM203" s="278"/>
      <c r="CN203" s="279">
        <f>BY203</f>
        <v>0</v>
      </c>
      <c r="CO203" s="306">
        <f>CO202</f>
        <v>0</v>
      </c>
      <c r="CP203" s="47">
        <f>CO203-CN203</f>
        <v>0</v>
      </c>
      <c r="CQ203" s="253"/>
      <c r="CR203" s="253"/>
      <c r="CS203" s="35">
        <f>CN203+CQ203-CR203</f>
        <v>0</v>
      </c>
      <c r="CT203" s="288"/>
      <c r="CU203" s="214"/>
      <c r="CV203" s="48"/>
      <c r="CW203" s="723"/>
      <c r="CX203" s="214"/>
      <c r="CY203" s="289"/>
      <c r="CZ203" s="48"/>
      <c r="DA203" s="287"/>
      <c r="DB203" s="132"/>
      <c r="DC203" s="289"/>
      <c r="DD203" s="48"/>
      <c r="DE203" s="287"/>
      <c r="DF203" s="287"/>
      <c r="DG203" s="278"/>
      <c r="DH203" s="279">
        <f>BY203</f>
        <v>0</v>
      </c>
      <c r="DI203" s="306">
        <f>DI202</f>
        <v>0</v>
      </c>
      <c r="DJ203" s="47">
        <f>DI203-DH203</f>
        <v>0</v>
      </c>
      <c r="DK203" s="253"/>
      <c r="DL203" s="253"/>
      <c r="DM203" s="48">
        <f>DH203+DK203-DL203</f>
        <v>0</v>
      </c>
    </row>
    <row r="204" spans="1:117" ht="30" x14ac:dyDescent="0.25">
      <c r="A204" s="18"/>
      <c r="B204" s="11" t="s">
        <v>53</v>
      </c>
      <c r="C204" s="18">
        <v>1</v>
      </c>
      <c r="D204" s="274"/>
      <c r="E204" s="274"/>
      <c r="F204" s="149">
        <v>7126.33</v>
      </c>
      <c r="G204" s="15" t="s">
        <v>762</v>
      </c>
      <c r="H204" s="25"/>
      <c r="I204" s="25"/>
      <c r="J204" s="530">
        <f>SUM(M204,AG204,BA204,BU204)-L204</f>
        <v>0</v>
      </c>
      <c r="K204" s="395">
        <f t="shared" ref="K204" si="441">M204-O204-L204</f>
        <v>0</v>
      </c>
      <c r="L204" s="29">
        <v>0</v>
      </c>
      <c r="M204" s="298">
        <f>M202</f>
        <v>0</v>
      </c>
      <c r="N204" s="5">
        <f>M204-L204</f>
        <v>0</v>
      </c>
      <c r="O204" s="256"/>
      <c r="P204" s="240"/>
      <c r="Q204" s="35">
        <f>L204+O204-P204</f>
        <v>0</v>
      </c>
      <c r="R204" s="121"/>
      <c r="S204" s="6"/>
      <c r="T204" s="35"/>
      <c r="U204" s="612"/>
      <c r="V204" s="121"/>
      <c r="W204" s="6"/>
      <c r="X204" s="35"/>
      <c r="Y204" s="612"/>
      <c r="Z204" s="21"/>
      <c r="AA204" s="6"/>
      <c r="AB204" s="35"/>
      <c r="AC204" s="234"/>
      <c r="AD204" s="234"/>
      <c r="AE204" s="395">
        <f>SUM(M204,AG204)-SUM(O204,AI204)-L204</f>
        <v>0</v>
      </c>
      <c r="AF204" s="29">
        <f>Q204</f>
        <v>0</v>
      </c>
      <c r="AG204" s="298">
        <f>AG202</f>
        <v>0</v>
      </c>
      <c r="AH204" s="5">
        <f>AG204-AF204</f>
        <v>0</v>
      </c>
      <c r="AI204" s="256"/>
      <c r="AJ204" s="240"/>
      <c r="AK204" s="35">
        <f>AF204+AI204-AJ204</f>
        <v>0</v>
      </c>
      <c r="AL204" s="21"/>
      <c r="AM204" s="6"/>
      <c r="AN204" s="35"/>
      <c r="AO204" s="612"/>
      <c r="AP204" s="121"/>
      <c r="AQ204" s="6"/>
      <c r="AR204" s="35"/>
      <c r="AS204" s="612"/>
      <c r="AT204" s="21"/>
      <c r="AU204" s="6"/>
      <c r="AV204" s="35"/>
      <c r="AW204" s="234"/>
      <c r="AX204" s="234"/>
      <c r="AY204" s="395">
        <f>SUM(M204,AG204,BA204)-SUM(O204,AI204,BC204)-L204</f>
        <v>0</v>
      </c>
      <c r="AZ204" s="29">
        <f>AK204</f>
        <v>0</v>
      </c>
      <c r="BA204" s="298">
        <f>BA202</f>
        <v>0</v>
      </c>
      <c r="BB204" s="5">
        <f>BA204-AZ204</f>
        <v>0</v>
      </c>
      <c r="BC204" s="256"/>
      <c r="BD204" s="240"/>
      <c r="BE204" s="35">
        <f>AZ204+BC204-BD204</f>
        <v>0</v>
      </c>
      <c r="BF204" s="121"/>
      <c r="BG204" s="6"/>
      <c r="BH204" s="35"/>
      <c r="BI204" s="612"/>
      <c r="BJ204" s="121"/>
      <c r="BK204" s="6"/>
      <c r="BL204" s="35"/>
      <c r="BM204" s="612"/>
      <c r="BN204" s="21"/>
      <c r="BO204" s="6"/>
      <c r="BP204" s="35"/>
      <c r="BQ204" s="234"/>
      <c r="BR204" s="234"/>
      <c r="BS204" s="395">
        <f>SUM(M204,AG204,BA204,BU204)-SUM(O204,AI204,BC204,BW204)-L204</f>
        <v>0</v>
      </c>
      <c r="BT204" s="29">
        <f>BE204</f>
        <v>0</v>
      </c>
      <c r="BU204" s="298">
        <f>BU202</f>
        <v>0</v>
      </c>
      <c r="BV204" s="5">
        <f>BU204-BT204</f>
        <v>0</v>
      </c>
      <c r="BW204" s="258"/>
      <c r="BX204" s="240"/>
      <c r="BY204" s="35">
        <f>BT204+BW204-BX204</f>
        <v>0</v>
      </c>
      <c r="BZ204" s="526"/>
      <c r="CA204" s="6"/>
      <c r="CB204" s="35"/>
      <c r="CC204" s="612"/>
      <c r="CD204" s="121"/>
      <c r="CE204" s="6"/>
      <c r="CF204" s="35"/>
      <c r="CG204" s="612"/>
      <c r="CH204" s="21"/>
      <c r="CI204" s="6"/>
      <c r="CJ204" s="35"/>
      <c r="CK204" s="234"/>
      <c r="CL204" s="234"/>
      <c r="CM204" s="395">
        <f>SUM(M204,AG204,BA204,BU204,CO204)-SUM(O204,AI204,BC204,BW204,CQ204)-L204</f>
        <v>0</v>
      </c>
      <c r="CN204" s="29">
        <f>BY204</f>
        <v>0</v>
      </c>
      <c r="CO204" s="298">
        <f>CO202</f>
        <v>0</v>
      </c>
      <c r="CP204" s="5">
        <f>CO204-CN204</f>
        <v>0</v>
      </c>
      <c r="CQ204" s="240"/>
      <c r="CR204" s="240"/>
      <c r="CS204" s="35">
        <f>CN204+CQ204-CR204</f>
        <v>0</v>
      </c>
      <c r="CT204" s="121"/>
      <c r="CU204" s="6"/>
      <c r="CV204" s="35"/>
      <c r="CW204" s="612"/>
      <c r="CX204" s="121"/>
      <c r="CY204" s="6"/>
      <c r="CZ204" s="35"/>
      <c r="DA204" s="612"/>
      <c r="DB204" s="21"/>
      <c r="DC204" s="6"/>
      <c r="DD204" s="35"/>
      <c r="DE204" s="234"/>
      <c r="DF204" s="234"/>
      <c r="DG204" s="395">
        <f>SUM(M204,AG204,BA204,BU204,DI204)-SUM(O204,AI204,BC204,BW204,CQ204)-L204</f>
        <v>0</v>
      </c>
      <c r="DH204" s="29">
        <f t="shared" ref="DH204:DH205" si="442">BY204</f>
        <v>0</v>
      </c>
      <c r="DI204" s="298">
        <f>DI202</f>
        <v>0</v>
      </c>
      <c r="DJ204" s="5">
        <f>DI204-DH204</f>
        <v>0</v>
      </c>
      <c r="DK204" s="240"/>
      <c r="DL204" s="240"/>
      <c r="DM204" s="35">
        <f>DH204+DK204-DL204</f>
        <v>0</v>
      </c>
    </row>
    <row r="205" spans="1:117" x14ac:dyDescent="0.25">
      <c r="A205" s="75"/>
      <c r="B205" s="11"/>
      <c r="C205" s="75"/>
      <c r="D205" s="74"/>
      <c r="E205" s="74"/>
      <c r="F205" s="275"/>
      <c r="G205" s="11"/>
      <c r="H205" s="25"/>
      <c r="I205" s="25"/>
      <c r="J205" s="539"/>
      <c r="K205" s="25"/>
      <c r="L205" s="29">
        <v>0</v>
      </c>
      <c r="M205" s="299">
        <f>M202</f>
        <v>0</v>
      </c>
      <c r="N205" s="78">
        <f>M205-L205</f>
        <v>0</v>
      </c>
      <c r="O205" s="277"/>
      <c r="P205" s="244"/>
      <c r="Q205" s="35">
        <f>L205+O205-P205</f>
        <v>0</v>
      </c>
      <c r="R205" s="129"/>
      <c r="S205" s="130"/>
      <c r="T205" s="79"/>
      <c r="U205" s="712"/>
      <c r="V205" s="129"/>
      <c r="W205" s="130"/>
      <c r="X205" s="79"/>
      <c r="Y205" s="712"/>
      <c r="Z205" s="131"/>
      <c r="AA205" s="130"/>
      <c r="AB205" s="79"/>
      <c r="AC205" s="712"/>
      <c r="AD205" s="712"/>
      <c r="AE205" s="25"/>
      <c r="AF205" s="29">
        <f>Q205</f>
        <v>0</v>
      </c>
      <c r="AG205" s="299">
        <f>AG202</f>
        <v>0</v>
      </c>
      <c r="AH205" s="78">
        <f>AG205-AF205</f>
        <v>0</v>
      </c>
      <c r="AI205" s="244"/>
      <c r="AJ205" s="244"/>
      <c r="AK205" s="35">
        <f>AF205+AI205-AJ205</f>
        <v>0</v>
      </c>
      <c r="AL205" s="129"/>
      <c r="AM205" s="130"/>
      <c r="AN205" s="79"/>
      <c r="AO205" s="712"/>
      <c r="AP205" s="129"/>
      <c r="AQ205" s="130"/>
      <c r="AR205" s="79"/>
      <c r="AS205" s="712"/>
      <c r="AT205" s="131"/>
      <c r="AU205" s="130"/>
      <c r="AV205" s="79"/>
      <c r="AW205" s="712"/>
      <c r="AX205" s="712"/>
      <c r="AY205" s="25"/>
      <c r="AZ205" s="29">
        <f t="shared" ref="AZ205:AZ207" si="443">AK205</f>
        <v>0</v>
      </c>
      <c r="BA205" s="299">
        <f>BA202</f>
        <v>0</v>
      </c>
      <c r="BB205" s="78">
        <f>BA205-AZ205</f>
        <v>0</v>
      </c>
      <c r="BC205" s="277"/>
      <c r="BD205" s="244"/>
      <c r="BE205" s="35">
        <f>AZ205+BC205-BD205</f>
        <v>0</v>
      </c>
      <c r="BF205" s="129"/>
      <c r="BG205" s="130"/>
      <c r="BH205" s="79"/>
      <c r="BI205" s="712"/>
      <c r="BJ205" s="129"/>
      <c r="BK205" s="130"/>
      <c r="BL205" s="79"/>
      <c r="BM205" s="712"/>
      <c r="BN205" s="131"/>
      <c r="BO205" s="130"/>
      <c r="BP205" s="79"/>
      <c r="BQ205" s="712"/>
      <c r="BR205" s="712"/>
      <c r="BS205" s="25"/>
      <c r="BT205" s="29">
        <f t="shared" ref="BT205:BT207" si="444">BE205</f>
        <v>0</v>
      </c>
      <c r="BU205" s="299">
        <f>BU202</f>
        <v>0</v>
      </c>
      <c r="BV205" s="78">
        <f>BU205-BT205</f>
        <v>0</v>
      </c>
      <c r="BW205" s="277"/>
      <c r="BX205" s="244"/>
      <c r="BY205" s="35">
        <f>BT205+BW205-BX205</f>
        <v>0</v>
      </c>
      <c r="BZ205" s="129"/>
      <c r="CA205" s="130"/>
      <c r="CB205" s="79"/>
      <c r="CC205" s="712"/>
      <c r="CD205" s="129"/>
      <c r="CE205" s="130"/>
      <c r="CF205" s="79"/>
      <c r="CG205" s="712"/>
      <c r="CH205" s="131"/>
      <c r="CI205" s="130"/>
      <c r="CJ205" s="79"/>
      <c r="CK205" s="712"/>
      <c r="CL205" s="712"/>
      <c r="CM205" s="25"/>
      <c r="CN205" s="29">
        <f t="shared" ref="CN205:CN207" si="445">BY205</f>
        <v>0</v>
      </c>
      <c r="CO205" s="299">
        <f>CO202</f>
        <v>0</v>
      </c>
      <c r="CP205" s="78">
        <f>CO205-CN205</f>
        <v>0</v>
      </c>
      <c r="CQ205" s="244"/>
      <c r="CR205" s="244"/>
      <c r="CS205" s="35">
        <f>CN205+CQ205-CR205</f>
        <v>0</v>
      </c>
      <c r="CT205" s="129"/>
      <c r="CU205" s="130"/>
      <c r="CV205" s="79"/>
      <c r="CW205" s="712"/>
      <c r="CX205" s="129"/>
      <c r="CY205" s="130"/>
      <c r="CZ205" s="79"/>
      <c r="DA205" s="712"/>
      <c r="DB205" s="131"/>
      <c r="DC205" s="130"/>
      <c r="DD205" s="79"/>
      <c r="DE205" s="712"/>
      <c r="DF205" s="712"/>
      <c r="DG205" s="25"/>
      <c r="DH205" s="29">
        <f t="shared" si="442"/>
        <v>0</v>
      </c>
      <c r="DI205" s="299">
        <f>DI202</f>
        <v>0</v>
      </c>
      <c r="DJ205" s="78">
        <f>DI205-DH205</f>
        <v>0</v>
      </c>
      <c r="DK205" s="244"/>
      <c r="DL205" s="244"/>
      <c r="DM205" s="35">
        <f>DH205+DK205-DL205</f>
        <v>0</v>
      </c>
    </row>
    <row r="206" spans="1:117" x14ac:dyDescent="0.25">
      <c r="A206" s="360"/>
      <c r="B206" s="347" t="s">
        <v>35</v>
      </c>
      <c r="C206" s="360"/>
      <c r="D206" s="361"/>
      <c r="E206" s="361"/>
      <c r="F206" s="362"/>
      <c r="G206" s="361" t="s">
        <v>28</v>
      </c>
      <c r="H206" s="363"/>
      <c r="I206" s="363"/>
      <c r="J206" s="363"/>
      <c r="K206" s="363"/>
      <c r="L206" s="364"/>
      <c r="M206" s="374"/>
      <c r="N206" s="374"/>
      <c r="O206" s="375"/>
      <c r="P206" s="375"/>
      <c r="Q206" s="365"/>
      <c r="R206" s="366"/>
      <c r="S206" s="367"/>
      <c r="T206" s="368"/>
      <c r="U206" s="718"/>
      <c r="V206" s="366"/>
      <c r="W206" s="367"/>
      <c r="X206" s="368"/>
      <c r="Y206" s="718"/>
      <c r="Z206" s="369"/>
      <c r="AA206" s="367"/>
      <c r="AB206" s="368"/>
      <c r="AC206" s="718"/>
      <c r="AD206" s="718"/>
      <c r="AE206" s="363"/>
      <c r="AF206" s="364"/>
      <c r="AG206" s="374"/>
      <c r="AH206" s="374"/>
      <c r="AI206" s="375"/>
      <c r="AJ206" s="375"/>
      <c r="AK206" s="365"/>
      <c r="AL206" s="366"/>
      <c r="AM206" s="367"/>
      <c r="AN206" s="368"/>
      <c r="AO206" s="718"/>
      <c r="AP206" s="366"/>
      <c r="AQ206" s="367"/>
      <c r="AR206" s="368"/>
      <c r="AS206" s="718"/>
      <c r="AT206" s="369"/>
      <c r="AU206" s="367"/>
      <c r="AV206" s="368"/>
      <c r="AW206" s="718"/>
      <c r="AX206" s="718"/>
      <c r="AY206" s="363"/>
      <c r="AZ206" s="364"/>
      <c r="BA206" s="374"/>
      <c r="BB206" s="374"/>
      <c r="BC206" s="375"/>
      <c r="BD206" s="375"/>
      <c r="BE206" s="365"/>
      <c r="BF206" s="366"/>
      <c r="BG206" s="367"/>
      <c r="BH206" s="368"/>
      <c r="BI206" s="718"/>
      <c r="BJ206" s="366"/>
      <c r="BK206" s="367"/>
      <c r="BL206" s="368"/>
      <c r="BM206" s="718"/>
      <c r="BN206" s="369"/>
      <c r="BO206" s="367"/>
      <c r="BP206" s="368"/>
      <c r="BQ206" s="718"/>
      <c r="BR206" s="718"/>
      <c r="BS206" s="363"/>
      <c r="BT206" s="364"/>
      <c r="BU206" s="374"/>
      <c r="BV206" s="374"/>
      <c r="BW206" s="375"/>
      <c r="BX206" s="375"/>
      <c r="BY206" s="365"/>
      <c r="BZ206" s="366"/>
      <c r="CA206" s="367"/>
      <c r="CB206" s="368"/>
      <c r="CC206" s="718"/>
      <c r="CD206" s="366"/>
      <c r="CE206" s="367"/>
      <c r="CF206" s="368"/>
      <c r="CG206" s="718"/>
      <c r="CH206" s="369"/>
      <c r="CI206" s="367"/>
      <c r="CJ206" s="368"/>
      <c r="CK206" s="718"/>
      <c r="CL206" s="718"/>
      <c r="CM206" s="363"/>
      <c r="CN206" s="364"/>
      <c r="CO206" s="374"/>
      <c r="CP206" s="374"/>
      <c r="CQ206" s="375"/>
      <c r="CR206" s="375"/>
      <c r="CS206" s="365"/>
      <c r="CT206" s="366"/>
      <c r="CU206" s="367"/>
      <c r="CV206" s="368"/>
      <c r="CW206" s="718"/>
      <c r="CX206" s="366"/>
      <c r="CY206" s="367"/>
      <c r="CZ206" s="368"/>
      <c r="DA206" s="718"/>
      <c r="DB206" s="369"/>
      <c r="DC206" s="367"/>
      <c r="DD206" s="368"/>
      <c r="DE206" s="718"/>
      <c r="DF206" s="718"/>
      <c r="DG206" s="363"/>
      <c r="DH206" s="364"/>
      <c r="DI206" s="374"/>
      <c r="DJ206" s="374"/>
      <c r="DK206" s="375"/>
      <c r="DL206" s="375"/>
      <c r="DM206" s="365"/>
    </row>
    <row r="207" spans="1:117" x14ac:dyDescent="0.25">
      <c r="A207" s="75"/>
      <c r="B207" s="11" t="s">
        <v>490</v>
      </c>
      <c r="C207" s="75">
        <v>1</v>
      </c>
      <c r="D207" s="74"/>
      <c r="E207" s="74"/>
      <c r="F207" s="149">
        <v>1265.44</v>
      </c>
      <c r="G207" s="11"/>
      <c r="H207" s="77"/>
      <c r="I207" s="77"/>
      <c r="J207" s="530">
        <f>SUM(M207,AG207,BA207,BU207)-L207</f>
        <v>0</v>
      </c>
      <c r="K207" s="395">
        <f t="shared" ref="K207:K209" si="446">M207-O207-L207</f>
        <v>0</v>
      </c>
      <c r="L207" s="29">
        <v>0</v>
      </c>
      <c r="M207" s="299">
        <f>M202</f>
        <v>0</v>
      </c>
      <c r="N207" s="78">
        <f>M207-L207</f>
        <v>0</v>
      </c>
      <c r="O207" s="277"/>
      <c r="P207" s="244"/>
      <c r="Q207" s="35">
        <f>L207+O207-P207</f>
        <v>0</v>
      </c>
      <c r="R207" s="129"/>
      <c r="S207" s="130"/>
      <c r="T207" s="79"/>
      <c r="U207" s="712"/>
      <c r="V207" s="129"/>
      <c r="W207" s="130"/>
      <c r="X207" s="79"/>
      <c r="Y207" s="712"/>
      <c r="Z207" s="131"/>
      <c r="AA207" s="130"/>
      <c r="AB207" s="79"/>
      <c r="AC207" s="619"/>
      <c r="AD207" s="619"/>
      <c r="AE207" s="395">
        <f>SUM(M207,AG207)-SUM(O207,AI207)-L207</f>
        <v>0</v>
      </c>
      <c r="AF207" s="29">
        <f>Q207</f>
        <v>0</v>
      </c>
      <c r="AG207" s="299">
        <f>AG202</f>
        <v>0</v>
      </c>
      <c r="AH207" s="78">
        <f>AG207-AF207</f>
        <v>0</v>
      </c>
      <c r="AI207" s="244"/>
      <c r="AJ207" s="244"/>
      <c r="AK207" s="35">
        <f>AF207+AI207-AJ207</f>
        <v>0</v>
      </c>
      <c r="AL207" s="129"/>
      <c r="AM207" s="130"/>
      <c r="AN207" s="79"/>
      <c r="AO207" s="712"/>
      <c r="AP207" s="129"/>
      <c r="AQ207" s="130"/>
      <c r="AR207" s="79"/>
      <c r="AS207" s="712"/>
      <c r="AT207" s="131"/>
      <c r="AU207" s="130"/>
      <c r="AV207" s="79"/>
      <c r="AW207" s="619"/>
      <c r="AX207" s="619"/>
      <c r="AY207" s="395">
        <f>SUM(M207,AG207,BA207)-SUM(O207,AI207,BC207)-L207</f>
        <v>0</v>
      </c>
      <c r="AZ207" s="29">
        <f t="shared" si="443"/>
        <v>0</v>
      </c>
      <c r="BA207" s="299">
        <f>BA202</f>
        <v>0</v>
      </c>
      <c r="BB207" s="78">
        <f>BA207-AZ207</f>
        <v>0</v>
      </c>
      <c r="BC207" s="277"/>
      <c r="BD207" s="244"/>
      <c r="BE207" s="35">
        <f>AZ207+BC207-BD207</f>
        <v>0</v>
      </c>
      <c r="BF207" s="129"/>
      <c r="BG207" s="130"/>
      <c r="BH207" s="79"/>
      <c r="BI207" s="712"/>
      <c r="BJ207" s="129"/>
      <c r="BK207" s="130"/>
      <c r="BL207" s="79"/>
      <c r="BM207" s="712"/>
      <c r="BN207" s="131"/>
      <c r="BO207" s="130"/>
      <c r="BP207" s="79"/>
      <c r="BQ207" s="619"/>
      <c r="BR207" s="619"/>
      <c r="BS207" s="395">
        <f>SUM(M207,AG207,BA207,BU207)-SUM(O207,AI207,BC207,BW207)-L207</f>
        <v>0</v>
      </c>
      <c r="BT207" s="29">
        <f t="shared" si="444"/>
        <v>0</v>
      </c>
      <c r="BU207" s="299">
        <f>BU202</f>
        <v>0</v>
      </c>
      <c r="BV207" s="78">
        <f>BU207-BT207</f>
        <v>0</v>
      </c>
      <c r="BW207" s="277"/>
      <c r="BX207" s="244"/>
      <c r="BY207" s="35">
        <f>BT207+BW207-BX207</f>
        <v>0</v>
      </c>
      <c r="BZ207" s="129"/>
      <c r="CA207" s="130"/>
      <c r="CB207" s="79"/>
      <c r="CC207" s="712"/>
      <c r="CD207" s="129"/>
      <c r="CE207" s="130"/>
      <c r="CF207" s="79"/>
      <c r="CG207" s="712"/>
      <c r="CH207" s="131"/>
      <c r="CI207" s="130"/>
      <c r="CJ207" s="79"/>
      <c r="CK207" s="619"/>
      <c r="CL207" s="619"/>
      <c r="CM207" s="395">
        <f>SUM(M207,AG207,BA207,BU207,CO207)-SUM(O207,AI207,BC207,BW207,CQ207)-L207</f>
        <v>0</v>
      </c>
      <c r="CN207" s="29">
        <f t="shared" si="445"/>
        <v>0</v>
      </c>
      <c r="CO207" s="299">
        <f>CO202</f>
        <v>0</v>
      </c>
      <c r="CP207" s="78">
        <f>CO207-CN207</f>
        <v>0</v>
      </c>
      <c r="CQ207" s="244"/>
      <c r="CR207" s="244"/>
      <c r="CS207" s="35">
        <f>CN207+CQ207-CR207</f>
        <v>0</v>
      </c>
      <c r="CT207" s="129"/>
      <c r="CU207" s="130"/>
      <c r="CV207" s="79"/>
      <c r="CW207" s="712"/>
      <c r="CX207" s="129"/>
      <c r="CY207" s="130"/>
      <c r="CZ207" s="79"/>
      <c r="DA207" s="712"/>
      <c r="DB207" s="131"/>
      <c r="DC207" s="130"/>
      <c r="DD207" s="79"/>
      <c r="DE207" s="619"/>
      <c r="DF207" s="619"/>
      <c r="DG207" s="395">
        <f>SUM(M207,AG207,BA207,BU207,DI207)-SUM(O207,AI207,BC207,BW207,CQ207)-L207</f>
        <v>0</v>
      </c>
      <c r="DH207" s="29">
        <f>BY207</f>
        <v>0</v>
      </c>
      <c r="DI207" s="299">
        <f>DI202</f>
        <v>0</v>
      </c>
      <c r="DJ207" s="78">
        <f>DI207-DH207</f>
        <v>0</v>
      </c>
      <c r="DK207" s="244"/>
      <c r="DL207" s="244"/>
      <c r="DM207" s="35">
        <f>DH207+DK207-DL207</f>
        <v>0</v>
      </c>
    </row>
    <row r="208" spans="1:117" x14ac:dyDescent="0.25">
      <c r="A208" s="75"/>
      <c r="B208" s="74" t="s">
        <v>491</v>
      </c>
      <c r="C208" s="75">
        <v>1</v>
      </c>
      <c r="D208" s="74"/>
      <c r="E208" s="74"/>
      <c r="F208" s="275">
        <v>402.66</v>
      </c>
      <c r="G208" s="11"/>
      <c r="H208" s="25"/>
      <c r="I208" s="25"/>
      <c r="J208" s="530">
        <f>SUM(M208,AG208,BA208,BU208)-L208</f>
        <v>0</v>
      </c>
      <c r="K208" s="395">
        <f t="shared" si="446"/>
        <v>0</v>
      </c>
      <c r="L208" s="29">
        <v>0</v>
      </c>
      <c r="M208" s="299">
        <f>M202</f>
        <v>0</v>
      </c>
      <c r="N208" s="78">
        <f>M208-L208</f>
        <v>0</v>
      </c>
      <c r="O208" s="277"/>
      <c r="P208" s="244"/>
      <c r="Q208" s="35">
        <f>L208+O208-P208</f>
        <v>0</v>
      </c>
      <c r="R208" s="129"/>
      <c r="S208" s="130"/>
      <c r="T208" s="79"/>
      <c r="U208" s="712"/>
      <c r="V208" s="129"/>
      <c r="W208" s="130"/>
      <c r="X208" s="79"/>
      <c r="Y208" s="712"/>
      <c r="Z208" s="131"/>
      <c r="AA208" s="130"/>
      <c r="AB208" s="79"/>
      <c r="AC208" s="619"/>
      <c r="AD208" s="619"/>
      <c r="AE208" s="395">
        <f>SUM(M208,AG208)-SUM(O208,AI208)-L208</f>
        <v>0</v>
      </c>
      <c r="AF208" s="29">
        <f>Q208</f>
        <v>0</v>
      </c>
      <c r="AG208" s="299">
        <f>AG202</f>
        <v>0</v>
      </c>
      <c r="AH208" s="78">
        <f>AG208-AF208</f>
        <v>0</v>
      </c>
      <c r="AI208" s="244"/>
      <c r="AJ208" s="244"/>
      <c r="AK208" s="35">
        <f>AF208+AI208-AJ208</f>
        <v>0</v>
      </c>
      <c r="AL208" s="129"/>
      <c r="AM208" s="130"/>
      <c r="AN208" s="79"/>
      <c r="AO208" s="712"/>
      <c r="AP208" s="129"/>
      <c r="AQ208" s="130"/>
      <c r="AR208" s="79"/>
      <c r="AS208" s="712"/>
      <c r="AT208" s="131"/>
      <c r="AU208" s="130"/>
      <c r="AV208" s="79"/>
      <c r="AW208" s="619"/>
      <c r="AX208" s="619"/>
      <c r="AY208" s="395">
        <f>SUM(M208,AG208,BA208)-SUM(O208,AI208,BC208)-L208</f>
        <v>0</v>
      </c>
      <c r="AZ208" s="29">
        <f t="shared" ref="AZ208:AZ210" si="447">AK208</f>
        <v>0</v>
      </c>
      <c r="BA208" s="299">
        <f>BA202</f>
        <v>0</v>
      </c>
      <c r="BB208" s="78">
        <f>BA208-AZ208</f>
        <v>0</v>
      </c>
      <c r="BC208" s="277"/>
      <c r="BD208" s="244"/>
      <c r="BE208" s="35">
        <f>AZ208+BC208-BD208</f>
        <v>0</v>
      </c>
      <c r="BF208" s="129"/>
      <c r="BG208" s="130"/>
      <c r="BH208" s="79"/>
      <c r="BI208" s="712"/>
      <c r="BJ208" s="129"/>
      <c r="BK208" s="130"/>
      <c r="BL208" s="79"/>
      <c r="BM208" s="712"/>
      <c r="BN208" s="131"/>
      <c r="BO208" s="130"/>
      <c r="BP208" s="79"/>
      <c r="BQ208" s="619"/>
      <c r="BR208" s="619"/>
      <c r="BS208" s="395">
        <f>SUM(M208,AG208,BA208,BU208)-SUM(O208,AI208,BC208,BW208)-L208</f>
        <v>0</v>
      </c>
      <c r="BT208" s="29">
        <f t="shared" ref="BT208:BT210" si="448">BE208</f>
        <v>0</v>
      </c>
      <c r="BU208" s="299">
        <f>BU202</f>
        <v>0</v>
      </c>
      <c r="BV208" s="78">
        <f>BU208-BT208</f>
        <v>0</v>
      </c>
      <c r="BW208" s="277"/>
      <c r="BX208" s="244"/>
      <c r="BY208" s="35">
        <f>BT208+BW208-BX208</f>
        <v>0</v>
      </c>
      <c r="BZ208" s="129"/>
      <c r="CA208" s="130"/>
      <c r="CB208" s="79"/>
      <c r="CC208" s="712"/>
      <c r="CD208" s="129"/>
      <c r="CE208" s="130"/>
      <c r="CF208" s="79"/>
      <c r="CG208" s="712"/>
      <c r="CH208" s="131"/>
      <c r="CI208" s="130"/>
      <c r="CJ208" s="79"/>
      <c r="CK208" s="619"/>
      <c r="CL208" s="619"/>
      <c r="CM208" s="395">
        <f>SUM(M208,AG208,BA208,BU208,CO208)-SUM(O208,AI208,BC208,BW208,CQ208)-L208</f>
        <v>0</v>
      </c>
      <c r="CN208" s="29">
        <f t="shared" ref="CN208:CN210" si="449">BY208</f>
        <v>0</v>
      </c>
      <c r="CO208" s="299">
        <f>CO202</f>
        <v>0</v>
      </c>
      <c r="CP208" s="78">
        <f>CO208-CN208</f>
        <v>0</v>
      </c>
      <c r="CQ208" s="244"/>
      <c r="CR208" s="244"/>
      <c r="CS208" s="35">
        <f>CN208+CQ208-CR208</f>
        <v>0</v>
      </c>
      <c r="CT208" s="129"/>
      <c r="CU208" s="130"/>
      <c r="CV208" s="79"/>
      <c r="CW208" s="712"/>
      <c r="CX208" s="129"/>
      <c r="CY208" s="130"/>
      <c r="CZ208" s="79"/>
      <c r="DA208" s="712"/>
      <c r="DB208" s="131"/>
      <c r="DC208" s="130"/>
      <c r="DD208" s="79"/>
      <c r="DE208" s="619"/>
      <c r="DF208" s="619"/>
      <c r="DG208" s="395">
        <f>SUM(M208,AG208,BA208,BU208,DI208)-SUM(O208,AI208,BC208,BW208,CQ208)-L208</f>
        <v>0</v>
      </c>
      <c r="DH208" s="29">
        <f t="shared" ref="DH208:DH210" si="450">BY208</f>
        <v>0</v>
      </c>
      <c r="DI208" s="299">
        <f>DI202</f>
        <v>0</v>
      </c>
      <c r="DJ208" s="78">
        <f>DI208-DH208</f>
        <v>0</v>
      </c>
      <c r="DK208" s="244"/>
      <c r="DL208" s="244"/>
      <c r="DM208" s="35">
        <f>DH208+DK208-DL208</f>
        <v>0</v>
      </c>
    </row>
    <row r="209" spans="1:117" x14ac:dyDescent="0.25">
      <c r="A209" s="75"/>
      <c r="B209" s="11" t="s">
        <v>492</v>
      </c>
      <c r="C209" s="75">
        <v>1</v>
      </c>
      <c r="D209" s="74"/>
      <c r="E209" s="74"/>
      <c r="F209" s="149">
        <v>494.63</v>
      </c>
      <c r="G209" s="11"/>
      <c r="H209" s="77"/>
      <c r="I209" s="77"/>
      <c r="J209" s="530">
        <f>SUM(M209,AG209,BA209,BU209)-L209</f>
        <v>0</v>
      </c>
      <c r="K209" s="395">
        <f t="shared" si="446"/>
        <v>0</v>
      </c>
      <c r="L209" s="29">
        <v>0</v>
      </c>
      <c r="M209" s="299">
        <f>M202</f>
        <v>0</v>
      </c>
      <c r="N209" s="78">
        <f>M209-L209</f>
        <v>0</v>
      </c>
      <c r="O209" s="277"/>
      <c r="P209" s="244"/>
      <c r="Q209" s="35">
        <f>L209+O209-P209</f>
        <v>0</v>
      </c>
      <c r="R209" s="129"/>
      <c r="S209" s="130"/>
      <c r="T209" s="79"/>
      <c r="U209" s="712"/>
      <c r="V209" s="129"/>
      <c r="W209" s="130"/>
      <c r="X209" s="79"/>
      <c r="Y209" s="712"/>
      <c r="Z209" s="131"/>
      <c r="AA209" s="130"/>
      <c r="AB209" s="79"/>
      <c r="AC209" s="619"/>
      <c r="AD209" s="619"/>
      <c r="AE209" s="395">
        <f>SUM(M209,AG209)-SUM(O209,AI209)-L209</f>
        <v>0</v>
      </c>
      <c r="AF209" s="29">
        <f>Q209</f>
        <v>0</v>
      </c>
      <c r="AG209" s="299">
        <f>AG202</f>
        <v>0</v>
      </c>
      <c r="AH209" s="78">
        <f>AG209-AF209</f>
        <v>0</v>
      </c>
      <c r="AI209" s="244"/>
      <c r="AJ209" s="244"/>
      <c r="AK209" s="35">
        <f>AF209+AI209-AJ209</f>
        <v>0</v>
      </c>
      <c r="AL209" s="129"/>
      <c r="AM209" s="130"/>
      <c r="AN209" s="79"/>
      <c r="AO209" s="712"/>
      <c r="AP209" s="129"/>
      <c r="AQ209" s="130"/>
      <c r="AR209" s="79"/>
      <c r="AS209" s="712"/>
      <c r="AT209" s="131"/>
      <c r="AU209" s="130"/>
      <c r="AV209" s="79"/>
      <c r="AW209" s="619"/>
      <c r="AX209" s="619"/>
      <c r="AY209" s="395">
        <f>SUM(M209,AG209,BA209)-SUM(O209,AI209,BC209)-L209</f>
        <v>0</v>
      </c>
      <c r="AZ209" s="29">
        <f t="shared" si="447"/>
        <v>0</v>
      </c>
      <c r="BA209" s="299">
        <f>BA202</f>
        <v>0</v>
      </c>
      <c r="BB209" s="78">
        <f>BA209-AZ209</f>
        <v>0</v>
      </c>
      <c r="BC209" s="277"/>
      <c r="BD209" s="244"/>
      <c r="BE209" s="35">
        <f>AZ209+BC209-BD209</f>
        <v>0</v>
      </c>
      <c r="BF209" s="129"/>
      <c r="BG209" s="130"/>
      <c r="BH209" s="79"/>
      <c r="BI209" s="712"/>
      <c r="BJ209" s="129"/>
      <c r="BK209" s="130"/>
      <c r="BL209" s="79"/>
      <c r="BM209" s="712"/>
      <c r="BN209" s="131"/>
      <c r="BO209" s="130"/>
      <c r="BP209" s="79"/>
      <c r="BQ209" s="619"/>
      <c r="BR209" s="619"/>
      <c r="BS209" s="395">
        <f>SUM(M209,AG209,BA209,BU209)-SUM(O209,AI209,BC209,BW209)-L209</f>
        <v>0</v>
      </c>
      <c r="BT209" s="29">
        <f t="shared" si="448"/>
        <v>0</v>
      </c>
      <c r="BU209" s="299">
        <f>BU202</f>
        <v>0</v>
      </c>
      <c r="BV209" s="78">
        <f>BU209-BT209</f>
        <v>0</v>
      </c>
      <c r="BW209" s="277"/>
      <c r="BX209" s="244"/>
      <c r="BY209" s="35">
        <f>BT209+BW209-BX209</f>
        <v>0</v>
      </c>
      <c r="BZ209" s="129"/>
      <c r="CA209" s="130"/>
      <c r="CB209" s="79"/>
      <c r="CC209" s="712"/>
      <c r="CD209" s="129"/>
      <c r="CE209" s="130"/>
      <c r="CF209" s="79"/>
      <c r="CG209" s="712"/>
      <c r="CH209" s="131"/>
      <c r="CI209" s="130"/>
      <c r="CJ209" s="79"/>
      <c r="CK209" s="619"/>
      <c r="CL209" s="619"/>
      <c r="CM209" s="395">
        <f>SUM(M209,AG209,BA209,BU209,CO209)-SUM(O209,AI209,BC209,BW209,CQ209)-L209</f>
        <v>0</v>
      </c>
      <c r="CN209" s="29">
        <f t="shared" si="449"/>
        <v>0</v>
      </c>
      <c r="CO209" s="299">
        <f>CO202</f>
        <v>0</v>
      </c>
      <c r="CP209" s="78">
        <f>CO209-CN209</f>
        <v>0</v>
      </c>
      <c r="CQ209" s="244"/>
      <c r="CR209" s="244"/>
      <c r="CS209" s="35">
        <f>CN209+CQ209-CR209</f>
        <v>0</v>
      </c>
      <c r="CT209" s="129"/>
      <c r="CU209" s="130"/>
      <c r="CV209" s="79"/>
      <c r="CW209" s="712"/>
      <c r="CX209" s="129"/>
      <c r="CY209" s="130"/>
      <c r="CZ209" s="79"/>
      <c r="DA209" s="712"/>
      <c r="DB209" s="131"/>
      <c r="DC209" s="130"/>
      <c r="DD209" s="79"/>
      <c r="DE209" s="619"/>
      <c r="DF209" s="619"/>
      <c r="DG209" s="395">
        <f>SUM(M209,AG209,BA209,BU209,DI209)-SUM(O209,AI209,BC209,BW209,CQ209)-L209</f>
        <v>0</v>
      </c>
      <c r="DH209" s="29">
        <f t="shared" si="450"/>
        <v>0</v>
      </c>
      <c r="DI209" s="299">
        <f>DI202</f>
        <v>0</v>
      </c>
      <c r="DJ209" s="78">
        <f>DI209-DH209</f>
        <v>0</v>
      </c>
      <c r="DK209" s="244"/>
      <c r="DL209" s="244"/>
      <c r="DM209" s="35">
        <f>DH209+DK209-DL209</f>
        <v>0</v>
      </c>
    </row>
    <row r="210" spans="1:117" ht="15.75" thickBot="1" x14ac:dyDescent="0.3">
      <c r="A210" s="19"/>
      <c r="B210" s="12"/>
      <c r="C210" s="19"/>
      <c r="D210" s="12"/>
      <c r="E210" s="12"/>
      <c r="F210" s="146"/>
      <c r="G210" s="12"/>
      <c r="H210" s="28"/>
      <c r="I210" s="28"/>
      <c r="J210" s="537"/>
      <c r="K210" s="28"/>
      <c r="L210" s="30"/>
      <c r="M210" s="31"/>
      <c r="N210" s="31"/>
      <c r="O210" s="31"/>
      <c r="P210" s="241"/>
      <c r="Q210" s="36">
        <f>L210+O210-P210</f>
        <v>0</v>
      </c>
      <c r="R210" s="200"/>
      <c r="S210" s="201"/>
      <c r="T210" s="36"/>
      <c r="U210" s="220"/>
      <c r="V210" s="200"/>
      <c r="W210" s="201"/>
      <c r="X210" s="36"/>
      <c r="Y210" s="220"/>
      <c r="Z210" s="122"/>
      <c r="AA210" s="201"/>
      <c r="AB210" s="36"/>
      <c r="AC210" s="220"/>
      <c r="AD210" s="220"/>
      <c r="AE210" s="28"/>
      <c r="AF210" s="30">
        <f>Q210</f>
        <v>0</v>
      </c>
      <c r="AG210" s="31"/>
      <c r="AH210" s="31"/>
      <c r="AI210" s="31"/>
      <c r="AJ210" s="241"/>
      <c r="AK210" s="36">
        <f>AF210+AI210-AJ210</f>
        <v>0</v>
      </c>
      <c r="AL210" s="200"/>
      <c r="AM210" s="201"/>
      <c r="AN210" s="36"/>
      <c r="AO210" s="220"/>
      <c r="AP210" s="200"/>
      <c r="AQ210" s="201"/>
      <c r="AR210" s="36"/>
      <c r="AS210" s="220"/>
      <c r="AT210" s="122"/>
      <c r="AU210" s="201"/>
      <c r="AV210" s="36"/>
      <c r="AW210" s="220"/>
      <c r="AX210" s="220"/>
      <c r="AY210" s="28"/>
      <c r="AZ210" s="30">
        <f t="shared" si="447"/>
        <v>0</v>
      </c>
      <c r="BA210" s="31"/>
      <c r="BB210" s="31"/>
      <c r="BC210" s="31"/>
      <c r="BD210" s="241"/>
      <c r="BE210" s="36">
        <f>AZ210+BC210-BD210</f>
        <v>0</v>
      </c>
      <c r="BF210" s="200"/>
      <c r="BG210" s="201"/>
      <c r="BH210" s="36"/>
      <c r="BI210" s="220"/>
      <c r="BJ210" s="200"/>
      <c r="BK210" s="201"/>
      <c r="BL210" s="36"/>
      <c r="BM210" s="220"/>
      <c r="BN210" s="122"/>
      <c r="BO210" s="201"/>
      <c r="BP210" s="36"/>
      <c r="BQ210" s="220"/>
      <c r="BR210" s="220"/>
      <c r="BS210" s="28"/>
      <c r="BT210" s="30">
        <f t="shared" si="448"/>
        <v>0</v>
      </c>
      <c r="BU210" s="31"/>
      <c r="BV210" s="31"/>
      <c r="BW210" s="31"/>
      <c r="BX210" s="241"/>
      <c r="BY210" s="36">
        <f>BT210+BW210-BX210</f>
        <v>0</v>
      </c>
      <c r="BZ210" s="200"/>
      <c r="CA210" s="201"/>
      <c r="CB210" s="36"/>
      <c r="CC210" s="220"/>
      <c r="CD210" s="200"/>
      <c r="CE210" s="201"/>
      <c r="CF210" s="36"/>
      <c r="CG210" s="220"/>
      <c r="CH210" s="122"/>
      <c r="CI210" s="201"/>
      <c r="CJ210" s="36"/>
      <c r="CK210" s="220"/>
      <c r="CL210" s="220"/>
      <c r="CM210" s="28"/>
      <c r="CN210" s="30">
        <f t="shared" si="449"/>
        <v>0</v>
      </c>
      <c r="CO210" s="31"/>
      <c r="CP210" s="31"/>
      <c r="CQ210" s="31"/>
      <c r="CR210" s="241"/>
      <c r="CS210" s="36">
        <f>CN210+CQ210-CR210</f>
        <v>0</v>
      </c>
      <c r="CT210" s="200"/>
      <c r="CU210" s="201"/>
      <c r="CV210" s="36"/>
      <c r="CW210" s="220"/>
      <c r="CX210" s="200"/>
      <c r="CY210" s="201"/>
      <c r="CZ210" s="36"/>
      <c r="DA210" s="220"/>
      <c r="DB210" s="122"/>
      <c r="DC210" s="201"/>
      <c r="DD210" s="36"/>
      <c r="DE210" s="220"/>
      <c r="DF210" s="220"/>
      <c r="DG210" s="28"/>
      <c r="DH210" s="30">
        <f t="shared" si="450"/>
        <v>0</v>
      </c>
      <c r="DI210" s="31"/>
      <c r="DJ210" s="31"/>
      <c r="DK210" s="31"/>
      <c r="DL210" s="241"/>
      <c r="DM210" s="36">
        <f>DH210+DK210-DL210</f>
        <v>0</v>
      </c>
    </row>
    <row r="211" spans="1:117" ht="15.75" thickBot="1" x14ac:dyDescent="0.3">
      <c r="P211" s="248"/>
      <c r="AJ211" s="248"/>
      <c r="BD211" s="248"/>
      <c r="BX211" s="248"/>
      <c r="CR211" s="248"/>
      <c r="DL211" s="248"/>
    </row>
    <row r="212" spans="1:117" ht="15.75" thickBot="1" x14ac:dyDescent="0.3">
      <c r="A212" s="95"/>
      <c r="B212" s="94" t="s">
        <v>268</v>
      </c>
      <c r="C212" s="95"/>
      <c r="D212" s="93"/>
      <c r="E212" s="93"/>
      <c r="F212" s="340"/>
      <c r="G212" s="93"/>
      <c r="H212" s="96"/>
      <c r="I212" s="96"/>
      <c r="J212" s="95">
        <f>SUM(M212,AG212,BA212,BU212)</f>
        <v>125</v>
      </c>
      <c r="K212" s="95"/>
      <c r="L212" s="96"/>
      <c r="M212" s="98">
        <f>25+0-25</f>
        <v>0</v>
      </c>
      <c r="N212" s="98"/>
      <c r="O212" s="98"/>
      <c r="P212" s="249"/>
      <c r="Q212" s="237"/>
      <c r="R212" s="124">
        <f>SUM(R213:R237)</f>
        <v>0</v>
      </c>
      <c r="S212" s="125">
        <f>SUM(S213:S237)</f>
        <v>0</v>
      </c>
      <c r="T212" s="99"/>
      <c r="U212" s="221"/>
      <c r="V212" s="124">
        <f>SUM(V213:V237)</f>
        <v>18000</v>
      </c>
      <c r="W212" s="125">
        <f>SUM(W213:W237)</f>
        <v>0</v>
      </c>
      <c r="X212" s="99"/>
      <c r="Y212" s="221"/>
      <c r="Z212" s="124">
        <f>SUM(Z213:Z237)</f>
        <v>0</v>
      </c>
      <c r="AA212" s="125">
        <f>SUM(AA213:AA237)</f>
        <v>0</v>
      </c>
      <c r="AB212" s="99"/>
      <c r="AC212" s="237"/>
      <c r="AD212" s="237"/>
      <c r="AE212" s="95">
        <f>SUM(AG212,BA212,BU212)</f>
        <v>125</v>
      </c>
      <c r="AF212" s="97"/>
      <c r="AG212" s="98">
        <f>60-60+35-35</f>
        <v>0</v>
      </c>
      <c r="AH212" s="98"/>
      <c r="AI212" s="98"/>
      <c r="AJ212" s="249"/>
      <c r="AK212" s="237"/>
      <c r="AL212" s="124">
        <f>SUM(AL213:AL237)</f>
        <v>0</v>
      </c>
      <c r="AM212" s="125">
        <f>SUM(AM213:AM237)</f>
        <v>0</v>
      </c>
      <c r="AN212" s="99"/>
      <c r="AO212" s="221"/>
      <c r="AP212" s="124">
        <f>SUM(AP213:AP237)</f>
        <v>0</v>
      </c>
      <c r="AQ212" s="125">
        <f>SUM(AQ213:AQ237)</f>
        <v>0</v>
      </c>
      <c r="AR212" s="99"/>
      <c r="AS212" s="221"/>
      <c r="AT212" s="124">
        <f>SUM(AT213:AT237)</f>
        <v>0</v>
      </c>
      <c r="AU212" s="125">
        <f>SUM(AU213:AU237)</f>
        <v>0</v>
      </c>
      <c r="AV212" s="99"/>
      <c r="AW212" s="237"/>
      <c r="AX212" s="237"/>
      <c r="AY212" s="95">
        <f>SUM(BA212,BU212)</f>
        <v>125</v>
      </c>
      <c r="AZ212" s="97"/>
      <c r="BA212" s="98">
        <f>65-65+60-60+50</f>
        <v>50</v>
      </c>
      <c r="BB212" s="98"/>
      <c r="BC212" s="98"/>
      <c r="BD212" s="249"/>
      <c r="BE212" s="237"/>
      <c r="BF212" s="124">
        <f>SUM(BF213:BF237)</f>
        <v>0</v>
      </c>
      <c r="BG212" s="125">
        <f>SUM(BG213:BG237)</f>
        <v>0</v>
      </c>
      <c r="BH212" s="99"/>
      <c r="BI212" s="221"/>
      <c r="BJ212" s="124">
        <f>SUM(BJ213:BJ237)</f>
        <v>0</v>
      </c>
      <c r="BK212" s="125">
        <f>SUM(BK213:BK237)</f>
        <v>0</v>
      </c>
      <c r="BL212" s="99"/>
      <c r="BM212" s="221"/>
      <c r="BN212" s="124">
        <f>SUM(BN213:BN237)</f>
        <v>0</v>
      </c>
      <c r="BO212" s="125">
        <f>SUM(BO213:BO237)</f>
        <v>0</v>
      </c>
      <c r="BP212" s="99"/>
      <c r="BQ212" s="237"/>
      <c r="BR212" s="237"/>
      <c r="BS212" s="95">
        <f>BU212</f>
        <v>75</v>
      </c>
      <c r="BT212" s="97"/>
      <c r="BU212" s="98">
        <f>100-100+85-85+75</f>
        <v>75</v>
      </c>
      <c r="BV212" s="98"/>
      <c r="BW212" s="98"/>
      <c r="BX212" s="249"/>
      <c r="BY212" s="237">
        <f>BT212+BW212-BX212</f>
        <v>0</v>
      </c>
      <c r="BZ212" s="124">
        <f>SUM(BZ213:BZ237)</f>
        <v>0</v>
      </c>
      <c r="CA212" s="125">
        <f>SUM(CA213:CA237)</f>
        <v>0</v>
      </c>
      <c r="CB212" s="99"/>
      <c r="CC212" s="221"/>
      <c r="CD212" s="124">
        <f>SUM(CD213:CD237)</f>
        <v>0</v>
      </c>
      <c r="CE212" s="125">
        <f>SUM(CE213:CE237)</f>
        <v>0</v>
      </c>
      <c r="CF212" s="99"/>
      <c r="CG212" s="221"/>
      <c r="CH212" s="124">
        <f>SUM(CH213:CH237)</f>
        <v>0</v>
      </c>
      <c r="CI212" s="125">
        <f>SUM(CI213:CI237)</f>
        <v>0</v>
      </c>
      <c r="CJ212" s="99"/>
      <c r="CK212" s="237"/>
      <c r="CL212" s="237"/>
      <c r="CM212" s="95">
        <f>CO212</f>
        <v>0</v>
      </c>
      <c r="CN212" s="97">
        <f>BY212</f>
        <v>0</v>
      </c>
      <c r="CO212" s="249"/>
      <c r="CP212" s="98"/>
      <c r="CQ212" s="98"/>
      <c r="CR212" s="249"/>
      <c r="CS212" s="237">
        <f>CN212+CQ212-CR212</f>
        <v>0</v>
      </c>
      <c r="CT212" s="124">
        <f>SUM(CT213:CT237)</f>
        <v>0</v>
      </c>
      <c r="CU212" s="125">
        <f>SUM(CU213:CU237)</f>
        <v>0</v>
      </c>
      <c r="CV212" s="99"/>
      <c r="CW212" s="221"/>
      <c r="CX212" s="124">
        <f>SUM(CX213:CX237)</f>
        <v>0</v>
      </c>
      <c r="CY212" s="125">
        <f>SUM(CY213:CY237)</f>
        <v>0</v>
      </c>
      <c r="CZ212" s="99"/>
      <c r="DA212" s="221"/>
      <c r="DB212" s="124">
        <f>SUM(DB213:DB237)</f>
        <v>0</v>
      </c>
      <c r="DC212" s="125">
        <f>SUM(DC213:DC237)</f>
        <v>0</v>
      </c>
      <c r="DD212" s="99"/>
      <c r="DE212" s="237"/>
      <c r="DF212" s="237"/>
      <c r="DG212" s="95">
        <f>DI212</f>
        <v>0</v>
      </c>
      <c r="DH212" s="97">
        <f>CS212</f>
        <v>0</v>
      </c>
      <c r="DI212" s="249"/>
      <c r="DJ212" s="98"/>
      <c r="DK212" s="98"/>
      <c r="DL212" s="249"/>
      <c r="DM212" s="237">
        <f>DH212+DK212-DL212</f>
        <v>0</v>
      </c>
    </row>
    <row r="213" spans="1:117" x14ac:dyDescent="0.25">
      <c r="A213" s="17"/>
      <c r="B213" s="10" t="s">
        <v>568</v>
      </c>
      <c r="C213" s="24">
        <v>1</v>
      </c>
      <c r="D213" s="44"/>
      <c r="E213" s="742"/>
      <c r="F213" s="473">
        <v>3352.52</v>
      </c>
      <c r="G213" s="10" t="s">
        <v>211</v>
      </c>
      <c r="H213" s="382"/>
      <c r="I213" s="382"/>
      <c r="J213" s="530">
        <f t="shared" ref="J213:J237" si="451">SUM(M213,AG213,BA213,BU213)-L213</f>
        <v>-1016</v>
      </c>
      <c r="K213" s="395">
        <f t="shared" ref="K213:K237" si="452">M213-O213-L213</f>
        <v>-1141</v>
      </c>
      <c r="L213" s="147">
        <v>1141</v>
      </c>
      <c r="M213" s="298">
        <f>M212</f>
        <v>0</v>
      </c>
      <c r="N213" s="5">
        <f>M213-L213</f>
        <v>-1141</v>
      </c>
      <c r="O213" s="258"/>
      <c r="P213" s="304">
        <f>P212</f>
        <v>0</v>
      </c>
      <c r="Q213" s="35">
        <f>L213+O213-P213</f>
        <v>1141</v>
      </c>
      <c r="R213" s="123"/>
      <c r="S213" s="213"/>
      <c r="T213" s="34"/>
      <c r="U213" s="713"/>
      <c r="V213" s="312"/>
      <c r="W213" s="8"/>
      <c r="X213" s="34"/>
      <c r="Y213" s="713"/>
      <c r="Z213" s="20"/>
      <c r="AA213" s="8"/>
      <c r="AB213" s="34"/>
      <c r="AC213" s="234"/>
      <c r="AD213" s="234"/>
      <c r="AE213" s="395">
        <f t="shared" ref="AE213:AE237" si="453">SUM(M213,AG213)-SUM(O213,AI213)-L213</f>
        <v>-1141</v>
      </c>
      <c r="AF213" s="29">
        <f t="shared" ref="AF213:AF237" si="454">Q213</f>
        <v>1141</v>
      </c>
      <c r="AG213" s="298">
        <f>AG212</f>
        <v>0</v>
      </c>
      <c r="AH213" s="5">
        <f>AG213-AF213</f>
        <v>-1141</v>
      </c>
      <c r="AI213" s="258"/>
      <c r="AJ213" s="304">
        <f>AJ212</f>
        <v>0</v>
      </c>
      <c r="AK213" s="35">
        <f>AF213+AI213-AJ213</f>
        <v>1141</v>
      </c>
      <c r="AL213" s="20"/>
      <c r="AM213" s="8"/>
      <c r="AN213" s="34"/>
      <c r="AO213" s="713"/>
      <c r="AP213" s="312"/>
      <c r="AQ213" s="8"/>
      <c r="AR213" s="34"/>
      <c r="AS213" s="713"/>
      <c r="AT213" s="20"/>
      <c r="AU213" s="8"/>
      <c r="AV213" s="34"/>
      <c r="AW213" s="234"/>
      <c r="AX213" s="234"/>
      <c r="AY213" s="395">
        <f t="shared" ref="AY213:AY237" si="455">SUM(M213,AG213,BA213)-SUM(O213,AI213,BC213)-L213</f>
        <v>-1091</v>
      </c>
      <c r="AZ213" s="279">
        <f>AK213</f>
        <v>1141</v>
      </c>
      <c r="BA213" s="306">
        <f>BA212</f>
        <v>50</v>
      </c>
      <c r="BB213" s="47">
        <f>BA213-AZ213</f>
        <v>-1091</v>
      </c>
      <c r="BC213" s="253"/>
      <c r="BD213" s="304">
        <f>BD212</f>
        <v>0</v>
      </c>
      <c r="BE213" s="48">
        <f>AZ213+BC213-BD213</f>
        <v>1141</v>
      </c>
      <c r="BF213" s="20"/>
      <c r="BG213" s="8"/>
      <c r="BH213" s="34"/>
      <c r="BI213" s="713"/>
      <c r="BJ213" s="20"/>
      <c r="BK213" s="8"/>
      <c r="BL213" s="34"/>
      <c r="BM213" s="713"/>
      <c r="BN213" s="20"/>
      <c r="BO213" s="8"/>
      <c r="BP213" s="34"/>
      <c r="BQ213" s="234"/>
      <c r="BR213" s="234"/>
      <c r="BS213" s="395">
        <f t="shared" ref="BS213:BS237" si="456">SUM(M213,AG213,BA213,BU213)-SUM(O213,AI213,BC213,BW213)-L213</f>
        <v>-1016</v>
      </c>
      <c r="BT213" s="279">
        <f>BE213</f>
        <v>1141</v>
      </c>
      <c r="BU213" s="306">
        <f>BU212</f>
        <v>75</v>
      </c>
      <c r="BV213" s="47">
        <f>BU213-BT213</f>
        <v>-1066</v>
      </c>
      <c r="BW213" s="253"/>
      <c r="BX213" s="304">
        <f>BX212</f>
        <v>0</v>
      </c>
      <c r="BY213" s="48">
        <f>BT213+BW213-BX213</f>
        <v>1141</v>
      </c>
      <c r="BZ213" s="20"/>
      <c r="CA213" s="8"/>
      <c r="CB213" s="34"/>
      <c r="CC213" s="713"/>
      <c r="CD213" s="20"/>
      <c r="CE213" s="8"/>
      <c r="CF213" s="34"/>
      <c r="CG213" s="713"/>
      <c r="CH213" s="20"/>
      <c r="CI213" s="8"/>
      <c r="CJ213" s="34"/>
      <c r="CK213" s="234"/>
      <c r="CL213" s="234"/>
      <c r="CM213" s="395">
        <f t="shared" ref="CM213:CM237" si="457">SUM(M213,AG213,BA213,BU213,CO213)-SUM(O213,AI213,BC213,BW213,CQ213)-L213</f>
        <v>-1016</v>
      </c>
      <c r="CN213" s="29">
        <f>BY213</f>
        <v>1141</v>
      </c>
      <c r="CO213" s="298">
        <f>CO212</f>
        <v>0</v>
      </c>
      <c r="CP213" s="5">
        <f>CO213-CN213</f>
        <v>-1141</v>
      </c>
      <c r="CQ213" s="242"/>
      <c r="CR213" s="304">
        <f>CR212</f>
        <v>0</v>
      </c>
      <c r="CS213" s="35">
        <f>CN213+CQ213-CR213</f>
        <v>1141</v>
      </c>
      <c r="CT213" s="123"/>
      <c r="CU213" s="213"/>
      <c r="CV213" s="34"/>
      <c r="CW213" s="713"/>
      <c r="CX213" s="312"/>
      <c r="CY213" s="8"/>
      <c r="CZ213" s="34"/>
      <c r="DA213" s="713"/>
      <c r="DB213" s="20"/>
      <c r="DC213" s="8"/>
      <c r="DD213" s="34"/>
      <c r="DE213" s="234"/>
      <c r="DF213" s="234"/>
      <c r="DG213" s="395">
        <f t="shared" ref="DG213:DG237" si="458">SUM(M213,AG213,BA213,BU213,DI213)-SUM(O213,AI213,BC213,BW213,CQ213)-L213</f>
        <v>-1016</v>
      </c>
      <c r="DH213" s="279">
        <f>BY213</f>
        <v>1141</v>
      </c>
      <c r="DI213" s="306">
        <f>DI212</f>
        <v>0</v>
      </c>
      <c r="DJ213" s="47">
        <f>DI213-DH213</f>
        <v>-1141</v>
      </c>
      <c r="DK213" s="253"/>
      <c r="DL213" s="377">
        <f>DL212</f>
        <v>0</v>
      </c>
      <c r="DM213" s="48">
        <f>DH213+DK213-DL213</f>
        <v>1141</v>
      </c>
    </row>
    <row r="214" spans="1:117" x14ac:dyDescent="0.25">
      <c r="A214" s="18"/>
      <c r="B214" s="11" t="s">
        <v>277</v>
      </c>
      <c r="C214" s="25">
        <v>1</v>
      </c>
      <c r="D214" s="274"/>
      <c r="E214" s="743"/>
      <c r="F214" s="466">
        <v>163.19999999999999</v>
      </c>
      <c r="G214" s="11" t="s">
        <v>335</v>
      </c>
      <c r="H214" s="25"/>
      <c r="I214" s="25"/>
      <c r="J214" s="530">
        <f t="shared" si="451"/>
        <v>-1197</v>
      </c>
      <c r="K214" s="395">
        <f t="shared" si="452"/>
        <v>-1322</v>
      </c>
      <c r="L214" s="147">
        <v>1322</v>
      </c>
      <c r="M214" s="298">
        <f>M212</f>
        <v>0</v>
      </c>
      <c r="N214" s="5">
        <f>M214-L214</f>
        <v>-1322</v>
      </c>
      <c r="O214" s="256"/>
      <c r="P214" s="304">
        <f>P212</f>
        <v>0</v>
      </c>
      <c r="Q214" s="35">
        <f>L214+O214-P214</f>
        <v>1322</v>
      </c>
      <c r="R214" s="121"/>
      <c r="S214" s="6"/>
      <c r="T214" s="35"/>
      <c r="U214" s="612"/>
      <c r="V214" s="121"/>
      <c r="W214" s="6"/>
      <c r="X214" s="35"/>
      <c r="Y214" s="612"/>
      <c r="Z214" s="21"/>
      <c r="AA214" s="6"/>
      <c r="AB214" s="35"/>
      <c r="AC214" s="234"/>
      <c r="AD214" s="234"/>
      <c r="AE214" s="395">
        <f t="shared" si="453"/>
        <v>-1322</v>
      </c>
      <c r="AF214" s="29">
        <f t="shared" si="454"/>
        <v>1322</v>
      </c>
      <c r="AG214" s="298">
        <f>AG212</f>
        <v>0</v>
      </c>
      <c r="AH214" s="5">
        <f>AG214-AF214</f>
        <v>-1322</v>
      </c>
      <c r="AI214" s="256"/>
      <c r="AJ214" s="304">
        <f>AJ212</f>
        <v>0</v>
      </c>
      <c r="AK214" s="35">
        <f>AF214+AI214-AJ214</f>
        <v>1322</v>
      </c>
      <c r="AL214" s="21"/>
      <c r="AM214" s="6"/>
      <c r="AN214" s="35"/>
      <c r="AO214" s="612"/>
      <c r="AP214" s="121"/>
      <c r="AQ214" s="6"/>
      <c r="AR214" s="35"/>
      <c r="AS214" s="612"/>
      <c r="AT214" s="121"/>
      <c r="AU214" s="6"/>
      <c r="AV214" s="35"/>
      <c r="AW214" s="234"/>
      <c r="AX214" s="234"/>
      <c r="AY214" s="395">
        <f t="shared" si="455"/>
        <v>-1272</v>
      </c>
      <c r="AZ214" s="29">
        <f>AK214</f>
        <v>1322</v>
      </c>
      <c r="BA214" s="298">
        <f>BA212</f>
        <v>50</v>
      </c>
      <c r="BB214" s="5">
        <f>BA214-AZ214</f>
        <v>-1272</v>
      </c>
      <c r="BC214" s="258"/>
      <c r="BD214" s="304">
        <f>BD212</f>
        <v>0</v>
      </c>
      <c r="BE214" s="35">
        <f>AZ214+BC214-BD214</f>
        <v>1322</v>
      </c>
      <c r="BF214" s="21"/>
      <c r="BG214" s="6"/>
      <c r="BH214" s="35"/>
      <c r="BI214" s="612"/>
      <c r="BJ214" s="21"/>
      <c r="BK214" s="6"/>
      <c r="BL214" s="35"/>
      <c r="BM214" s="612"/>
      <c r="BN214" s="21"/>
      <c r="BO214" s="6"/>
      <c r="BP214" s="35"/>
      <c r="BQ214" s="234"/>
      <c r="BR214" s="234"/>
      <c r="BS214" s="395">
        <f t="shared" si="456"/>
        <v>-1197</v>
      </c>
      <c r="BT214" s="29">
        <f>BE214</f>
        <v>1322</v>
      </c>
      <c r="BU214" s="298">
        <f>BU212</f>
        <v>75</v>
      </c>
      <c r="BV214" s="5">
        <f>BU214-BT214</f>
        <v>-1247</v>
      </c>
      <c r="BW214" s="244"/>
      <c r="BX214" s="304">
        <f>BX212</f>
        <v>0</v>
      </c>
      <c r="BY214" s="35">
        <f>BT214+BW214-BX214</f>
        <v>1322</v>
      </c>
      <c r="BZ214" s="21"/>
      <c r="CA214" s="6"/>
      <c r="CB214" s="35"/>
      <c r="CC214" s="612"/>
      <c r="CD214" s="21"/>
      <c r="CE214" s="6"/>
      <c r="CF214" s="35"/>
      <c r="CG214" s="612"/>
      <c r="CH214" s="21"/>
      <c r="CI214" s="6"/>
      <c r="CJ214" s="35"/>
      <c r="CK214" s="234"/>
      <c r="CL214" s="234"/>
      <c r="CM214" s="395">
        <f t="shared" si="457"/>
        <v>-1197</v>
      </c>
      <c r="CN214" s="29">
        <f>BY214</f>
        <v>1322</v>
      </c>
      <c r="CO214" s="298">
        <f>CO212</f>
        <v>0</v>
      </c>
      <c r="CP214" s="5">
        <f>CO214-CN214</f>
        <v>-1322</v>
      </c>
      <c r="CQ214" s="240"/>
      <c r="CR214" s="304">
        <f>CR212</f>
        <v>0</v>
      </c>
      <c r="CS214" s="35">
        <f>CN214+CQ214-CR214</f>
        <v>1322</v>
      </c>
      <c r="CT214" s="121"/>
      <c r="CU214" s="6"/>
      <c r="CV214" s="35"/>
      <c r="CW214" s="612"/>
      <c r="CX214" s="121"/>
      <c r="CY214" s="6"/>
      <c r="CZ214" s="35"/>
      <c r="DA214" s="612"/>
      <c r="DB214" s="21"/>
      <c r="DC214" s="6"/>
      <c r="DD214" s="35"/>
      <c r="DE214" s="234"/>
      <c r="DF214" s="234"/>
      <c r="DG214" s="395">
        <f t="shared" si="458"/>
        <v>-1197</v>
      </c>
      <c r="DH214" s="29">
        <f t="shared" ref="DH214:DH237" si="459">BY214</f>
        <v>1322</v>
      </c>
      <c r="DI214" s="298">
        <f>DI212</f>
        <v>0</v>
      </c>
      <c r="DJ214" s="5">
        <f>DI214-DH214</f>
        <v>-1322</v>
      </c>
      <c r="DK214" s="240"/>
      <c r="DL214" s="304">
        <f>DL212</f>
        <v>0</v>
      </c>
      <c r="DM214" s="35">
        <f>DH214+DK214-DL214</f>
        <v>1322</v>
      </c>
    </row>
    <row r="215" spans="1:117" x14ac:dyDescent="0.25">
      <c r="A215" s="18"/>
      <c r="B215" s="11" t="s">
        <v>345</v>
      </c>
      <c r="C215" s="18">
        <v>1</v>
      </c>
      <c r="D215" s="15"/>
      <c r="E215" s="15"/>
      <c r="F215" s="149"/>
      <c r="G215" s="23" t="s">
        <v>317</v>
      </c>
      <c r="H215" s="25"/>
      <c r="I215" s="25"/>
      <c r="J215" s="530">
        <f t="shared" si="451"/>
        <v>-2854</v>
      </c>
      <c r="K215" s="395">
        <f t="shared" si="452"/>
        <v>-2979</v>
      </c>
      <c r="L215" s="147">
        <v>2979</v>
      </c>
      <c r="M215" s="298">
        <f t="shared" ref="M215:M223" si="460">M212</f>
        <v>0</v>
      </c>
      <c r="N215" s="5">
        <f>M215-L215</f>
        <v>-2979</v>
      </c>
      <c r="O215" s="256"/>
      <c r="P215" s="303">
        <f t="shared" ref="P215:P223" si="461">P212</f>
        <v>0</v>
      </c>
      <c r="Q215" s="35">
        <f>L215+O215-P215</f>
        <v>2979</v>
      </c>
      <c r="R215" s="121"/>
      <c r="S215" s="6"/>
      <c r="T215" s="35"/>
      <c r="U215" s="612"/>
      <c r="V215" s="121"/>
      <c r="W215" s="6"/>
      <c r="X215" s="35"/>
      <c r="Y215" s="612"/>
      <c r="Z215" s="21"/>
      <c r="AA215" s="6"/>
      <c r="AB215" s="35"/>
      <c r="AC215" s="231"/>
      <c r="AD215" s="231"/>
      <c r="AE215" s="398">
        <f t="shared" si="453"/>
        <v>-2979</v>
      </c>
      <c r="AF215" s="29">
        <f t="shared" si="454"/>
        <v>2979</v>
      </c>
      <c r="AG215" s="298">
        <f t="shared" ref="AG215:AG223" si="462">AG212</f>
        <v>0</v>
      </c>
      <c r="AH215" s="5">
        <f>AG215-AF215</f>
        <v>-2979</v>
      </c>
      <c r="AI215" s="256"/>
      <c r="AJ215" s="303">
        <f t="shared" ref="AJ215:AJ223" si="463">AJ212</f>
        <v>0</v>
      </c>
      <c r="AK215" s="35">
        <f>AF215+AI215-AJ215</f>
        <v>2979</v>
      </c>
      <c r="AL215" s="121"/>
      <c r="AM215" s="6"/>
      <c r="AN215" s="35"/>
      <c r="AO215" s="612"/>
      <c r="AP215" s="121"/>
      <c r="AQ215" s="6"/>
      <c r="AR215" s="35"/>
      <c r="AS215" s="612"/>
      <c r="AT215" s="21"/>
      <c r="AU215" s="6"/>
      <c r="AV215" s="35"/>
      <c r="AW215" s="231"/>
      <c r="AX215" s="231"/>
      <c r="AY215" s="398">
        <f t="shared" si="455"/>
        <v>-2929</v>
      </c>
      <c r="AZ215" s="29">
        <f>AK215</f>
        <v>2979</v>
      </c>
      <c r="BA215" s="298">
        <f t="shared" ref="BA215:BA223" si="464">BA212</f>
        <v>50</v>
      </c>
      <c r="BB215" s="5">
        <f>BA215-AZ215</f>
        <v>-2929</v>
      </c>
      <c r="BC215" s="240"/>
      <c r="BD215" s="303">
        <f t="shared" ref="BD215:BD223" si="465">BD212</f>
        <v>0</v>
      </c>
      <c r="BE215" s="35">
        <f>AZ215+BC215-BD215</f>
        <v>2979</v>
      </c>
      <c r="BF215" s="121"/>
      <c r="BG215" s="6"/>
      <c r="BH215" s="35"/>
      <c r="BI215" s="612"/>
      <c r="BJ215" s="121"/>
      <c r="BK215" s="6"/>
      <c r="BL215" s="35"/>
      <c r="BM215" s="612"/>
      <c r="BN215" s="21"/>
      <c r="BO215" s="6"/>
      <c r="BP215" s="35"/>
      <c r="BQ215" s="231"/>
      <c r="BR215" s="231"/>
      <c r="BS215" s="398">
        <f t="shared" si="456"/>
        <v>-2854</v>
      </c>
      <c r="BT215" s="29">
        <f>BE215</f>
        <v>2979</v>
      </c>
      <c r="BU215" s="298">
        <f t="shared" ref="BU215:BU223" si="466">BU212</f>
        <v>75</v>
      </c>
      <c r="BV215" s="5">
        <f>BU215-BT215</f>
        <v>-2904</v>
      </c>
      <c r="BW215" s="240"/>
      <c r="BX215" s="303">
        <f t="shared" ref="BX215:BX223" si="467">BX212</f>
        <v>0</v>
      </c>
      <c r="BY215" s="35">
        <f>BT215+BW215-BX215</f>
        <v>2979</v>
      </c>
      <c r="BZ215" s="121"/>
      <c r="CA215" s="6"/>
      <c r="CB215" s="35"/>
      <c r="CC215" s="612"/>
      <c r="CD215" s="121"/>
      <c r="CE215" s="6"/>
      <c r="CF215" s="35"/>
      <c r="CG215" s="612"/>
      <c r="CH215" s="121"/>
      <c r="CI215" s="6"/>
      <c r="CJ215" s="35"/>
      <c r="CK215" s="234"/>
      <c r="CL215" s="234"/>
      <c r="CM215" s="395">
        <f t="shared" si="457"/>
        <v>-2854</v>
      </c>
      <c r="CN215" s="29">
        <f>BY215</f>
        <v>2979</v>
      </c>
      <c r="CO215" s="298">
        <f t="shared" ref="CO215:CO223" si="468">CO212</f>
        <v>0</v>
      </c>
      <c r="CP215" s="5">
        <f>CO215-CN215</f>
        <v>-2979</v>
      </c>
      <c r="CQ215" s="256"/>
      <c r="CR215" s="303">
        <f t="shared" ref="CR215:CR223" si="469">CR212</f>
        <v>0</v>
      </c>
      <c r="CS215" s="35">
        <f>CN215+CQ215-CR215</f>
        <v>2979</v>
      </c>
      <c r="CT215" s="129"/>
      <c r="CU215" s="130"/>
      <c r="CV215" s="79"/>
      <c r="CW215" s="712"/>
      <c r="CX215" s="129"/>
      <c r="CY215" s="130"/>
      <c r="CZ215" s="79"/>
      <c r="DA215" s="712"/>
      <c r="DB215" s="131"/>
      <c r="DC215" s="130"/>
      <c r="DD215" s="79"/>
      <c r="DE215" s="619"/>
      <c r="DF215" s="619"/>
      <c r="DG215" s="395">
        <f t="shared" si="458"/>
        <v>-2854</v>
      </c>
      <c r="DH215" s="29">
        <f t="shared" si="459"/>
        <v>2979</v>
      </c>
      <c r="DI215" s="298">
        <f t="shared" ref="DI215:DI223" si="470">DI212</f>
        <v>0</v>
      </c>
      <c r="DJ215" s="5">
        <f>DI215-DH215</f>
        <v>-2979</v>
      </c>
      <c r="DK215" s="256"/>
      <c r="DL215" s="303">
        <f t="shared" ref="DL215:DL223" si="471">DL212</f>
        <v>0</v>
      </c>
      <c r="DM215" s="35">
        <f>DH215+DK215-DL215</f>
        <v>2979</v>
      </c>
    </row>
    <row r="216" spans="1:117" x14ac:dyDescent="0.25">
      <c r="A216" s="17"/>
      <c r="B216" s="10" t="s">
        <v>420</v>
      </c>
      <c r="C216" s="24">
        <v>1</v>
      </c>
      <c r="D216" s="419"/>
      <c r="E216" s="744"/>
      <c r="F216" s="473"/>
      <c r="G216" s="23" t="s">
        <v>317</v>
      </c>
      <c r="H216" s="24"/>
      <c r="I216" s="24"/>
      <c r="J216" s="530">
        <f t="shared" si="451"/>
        <v>-2824</v>
      </c>
      <c r="K216" s="395">
        <f t="shared" si="452"/>
        <v>-2949</v>
      </c>
      <c r="L216" s="294">
        <v>2949</v>
      </c>
      <c r="M216" s="298">
        <f t="shared" si="460"/>
        <v>0</v>
      </c>
      <c r="N216" s="5">
        <f t="shared" ref="N216:N224" si="472">M216-L216</f>
        <v>-2949</v>
      </c>
      <c r="O216" s="258"/>
      <c r="P216" s="303">
        <f t="shared" si="461"/>
        <v>0</v>
      </c>
      <c r="Q216" s="35">
        <f t="shared" ref="Q216:Q224" si="473">L216+O216-P216</f>
        <v>2949</v>
      </c>
      <c r="R216" s="123"/>
      <c r="S216" s="8"/>
      <c r="T216" s="34"/>
      <c r="U216" s="713"/>
      <c r="V216" s="20"/>
      <c r="W216" s="8"/>
      <c r="X216" s="34"/>
      <c r="Y216" s="713"/>
      <c r="Z216" s="20"/>
      <c r="AA216" s="8"/>
      <c r="AB216" s="34"/>
      <c r="AC216" s="234"/>
      <c r="AD216" s="234"/>
      <c r="AE216" s="398">
        <f t="shared" si="453"/>
        <v>-2949</v>
      </c>
      <c r="AF216" s="29">
        <f t="shared" si="454"/>
        <v>2949</v>
      </c>
      <c r="AG216" s="298">
        <f t="shared" si="462"/>
        <v>0</v>
      </c>
      <c r="AH216" s="5">
        <f t="shared" ref="AH216:AH224" si="474">AG216-AF216</f>
        <v>-2949</v>
      </c>
      <c r="AI216" s="258"/>
      <c r="AJ216" s="303">
        <f t="shared" si="463"/>
        <v>0</v>
      </c>
      <c r="AK216" s="35">
        <f t="shared" ref="AK216:AK224" si="475">AF216+AI216-AJ216</f>
        <v>2949</v>
      </c>
      <c r="AL216" s="123"/>
      <c r="AM216" s="8"/>
      <c r="AN216" s="34"/>
      <c r="AO216" s="713"/>
      <c r="AP216" s="20"/>
      <c r="AQ216" s="8"/>
      <c r="AR216" s="34"/>
      <c r="AS216" s="713"/>
      <c r="AT216" s="20"/>
      <c r="AU216" s="8"/>
      <c r="AV216" s="34"/>
      <c r="AW216" s="234"/>
      <c r="AX216" s="234"/>
      <c r="AY216" s="398">
        <f t="shared" si="455"/>
        <v>-2899</v>
      </c>
      <c r="AZ216" s="29">
        <f t="shared" ref="AZ216:AZ224" si="476">AK216</f>
        <v>2949</v>
      </c>
      <c r="BA216" s="298">
        <f t="shared" si="464"/>
        <v>50</v>
      </c>
      <c r="BB216" s="5">
        <f t="shared" ref="BB216:BB224" si="477">BA216-AZ216</f>
        <v>-2899</v>
      </c>
      <c r="BC216" s="258"/>
      <c r="BD216" s="303">
        <f t="shared" si="465"/>
        <v>0</v>
      </c>
      <c r="BE216" s="35">
        <f t="shared" ref="BE216:BE224" si="478">AZ216+BC216-BD216</f>
        <v>2949</v>
      </c>
      <c r="BF216" s="20"/>
      <c r="BG216" s="8"/>
      <c r="BH216" s="34"/>
      <c r="BI216" s="713"/>
      <c r="BJ216" s="20"/>
      <c r="BK216" s="8"/>
      <c r="BL216" s="34"/>
      <c r="BM216" s="713"/>
      <c r="BN216" s="20"/>
      <c r="BO216" s="8"/>
      <c r="BP216" s="34"/>
      <c r="BQ216" s="234"/>
      <c r="BR216" s="234"/>
      <c r="BS216" s="398">
        <f t="shared" si="456"/>
        <v>-2824</v>
      </c>
      <c r="BT216" s="29">
        <f t="shared" ref="BT216:BT224" si="479">BE216</f>
        <v>2949</v>
      </c>
      <c r="BU216" s="298">
        <f t="shared" si="466"/>
        <v>75</v>
      </c>
      <c r="BV216" s="5">
        <f t="shared" ref="BV216:BV224" si="480">BU216-BT216</f>
        <v>-2874</v>
      </c>
      <c r="BW216" s="258"/>
      <c r="BX216" s="303">
        <f t="shared" si="467"/>
        <v>0</v>
      </c>
      <c r="BY216" s="35">
        <f t="shared" ref="BY216:BY224" si="481">BT216+BW216-BX216</f>
        <v>2949</v>
      </c>
      <c r="BZ216" s="20"/>
      <c r="CA216" s="8"/>
      <c r="CB216" s="34"/>
      <c r="CC216" s="713"/>
      <c r="CD216" s="20"/>
      <c r="CE216" s="8"/>
      <c r="CF216" s="34"/>
      <c r="CG216" s="713"/>
      <c r="CH216" s="20"/>
      <c r="CI216" s="8"/>
      <c r="CJ216" s="34"/>
      <c r="CK216" s="234"/>
      <c r="CL216" s="234"/>
      <c r="CM216" s="395">
        <f t="shared" si="457"/>
        <v>-2824</v>
      </c>
      <c r="CN216" s="29">
        <f t="shared" ref="CN216:CN224" si="482">BY216</f>
        <v>2949</v>
      </c>
      <c r="CO216" s="298">
        <f t="shared" si="468"/>
        <v>0</v>
      </c>
      <c r="CP216" s="5">
        <f t="shared" ref="CP216:CP224" si="483">CO216-CN216</f>
        <v>-2949</v>
      </c>
      <c r="CQ216" s="258"/>
      <c r="CR216" s="303">
        <f t="shared" si="469"/>
        <v>0</v>
      </c>
      <c r="CS216" s="35">
        <f t="shared" ref="CS216:CS224" si="484">CN216+CQ216-CR216</f>
        <v>2949</v>
      </c>
      <c r="CT216" s="123"/>
      <c r="CU216" s="8"/>
      <c r="CV216" s="34"/>
      <c r="CW216" s="713"/>
      <c r="CX216" s="20"/>
      <c r="CY216" s="8"/>
      <c r="CZ216" s="34"/>
      <c r="DA216" s="713"/>
      <c r="DB216" s="20"/>
      <c r="DC216" s="8"/>
      <c r="DD216" s="34"/>
      <c r="DE216" s="234"/>
      <c r="DF216" s="234"/>
      <c r="DG216" s="395">
        <f t="shared" si="458"/>
        <v>-2824</v>
      </c>
      <c r="DH216" s="29">
        <f t="shared" si="459"/>
        <v>2949</v>
      </c>
      <c r="DI216" s="298">
        <f t="shared" si="470"/>
        <v>0</v>
      </c>
      <c r="DJ216" s="5">
        <f t="shared" ref="DJ216:DJ228" si="485">DI216-DH216</f>
        <v>-2949</v>
      </c>
      <c r="DK216" s="258"/>
      <c r="DL216" s="303">
        <f t="shared" si="471"/>
        <v>0</v>
      </c>
      <c r="DM216" s="35">
        <f t="shared" ref="DM216:DM228" si="486">DH216+DK216-DL216</f>
        <v>2949</v>
      </c>
    </row>
    <row r="217" spans="1:117" x14ac:dyDescent="0.25">
      <c r="A217" s="17"/>
      <c r="B217" s="10" t="s">
        <v>421</v>
      </c>
      <c r="C217" s="24">
        <v>1</v>
      </c>
      <c r="D217" s="274"/>
      <c r="E217" s="744"/>
      <c r="F217" s="473"/>
      <c r="G217" s="23" t="s">
        <v>317</v>
      </c>
      <c r="H217" s="24"/>
      <c r="I217" s="24"/>
      <c r="J217" s="530">
        <f t="shared" si="451"/>
        <v>-2188</v>
      </c>
      <c r="K217" s="395">
        <f t="shared" si="452"/>
        <v>-2313</v>
      </c>
      <c r="L217" s="147">
        <v>2313</v>
      </c>
      <c r="M217" s="298">
        <f t="shared" si="460"/>
        <v>0</v>
      </c>
      <c r="N217" s="5">
        <f t="shared" si="472"/>
        <v>-2313</v>
      </c>
      <c r="O217" s="258"/>
      <c r="P217" s="303">
        <f t="shared" si="461"/>
        <v>0</v>
      </c>
      <c r="Q217" s="35">
        <f t="shared" si="473"/>
        <v>2313</v>
      </c>
      <c r="R217" s="123"/>
      <c r="S217" s="8"/>
      <c r="T217" s="34"/>
      <c r="U217" s="713"/>
      <c r="V217" s="20"/>
      <c r="W217" s="8"/>
      <c r="X217" s="34"/>
      <c r="Y217" s="713"/>
      <c r="Z217" s="20"/>
      <c r="AA217" s="8"/>
      <c r="AB217" s="34"/>
      <c r="AC217" s="234"/>
      <c r="AD217" s="234"/>
      <c r="AE217" s="398">
        <f t="shared" si="453"/>
        <v>-2313</v>
      </c>
      <c r="AF217" s="29">
        <f t="shared" si="454"/>
        <v>2313</v>
      </c>
      <c r="AG217" s="298">
        <f t="shared" si="462"/>
        <v>0</v>
      </c>
      <c r="AH217" s="5">
        <f t="shared" si="474"/>
        <v>-2313</v>
      </c>
      <c r="AI217" s="258"/>
      <c r="AJ217" s="303">
        <f t="shared" si="463"/>
        <v>0</v>
      </c>
      <c r="AK217" s="35">
        <f t="shared" si="475"/>
        <v>2313</v>
      </c>
      <c r="AL217" s="123"/>
      <c r="AM217" s="8"/>
      <c r="AN217" s="34"/>
      <c r="AO217" s="713"/>
      <c r="AP217" s="20"/>
      <c r="AQ217" s="8"/>
      <c r="AR217" s="34"/>
      <c r="AS217" s="713"/>
      <c r="AT217" s="20"/>
      <c r="AU217" s="8"/>
      <c r="AV217" s="34"/>
      <c r="AW217" s="234"/>
      <c r="AX217" s="234"/>
      <c r="AY217" s="398">
        <f t="shared" si="455"/>
        <v>-2263</v>
      </c>
      <c r="AZ217" s="29">
        <f t="shared" si="476"/>
        <v>2313</v>
      </c>
      <c r="BA217" s="298">
        <f t="shared" si="464"/>
        <v>50</v>
      </c>
      <c r="BB217" s="5">
        <f t="shared" si="477"/>
        <v>-2263</v>
      </c>
      <c r="BC217" s="258"/>
      <c r="BD217" s="303">
        <f t="shared" si="465"/>
        <v>0</v>
      </c>
      <c r="BE217" s="35">
        <f t="shared" si="478"/>
        <v>2313</v>
      </c>
      <c r="BF217" s="20"/>
      <c r="BG217" s="8"/>
      <c r="BH217" s="34"/>
      <c r="BI217" s="713"/>
      <c r="BJ217" s="20"/>
      <c r="BK217" s="8"/>
      <c r="BL217" s="34"/>
      <c r="BM217" s="713"/>
      <c r="BN217" s="20"/>
      <c r="BO217" s="8"/>
      <c r="BP217" s="34"/>
      <c r="BQ217" s="234"/>
      <c r="BR217" s="234"/>
      <c r="BS217" s="398">
        <f t="shared" si="456"/>
        <v>-2188</v>
      </c>
      <c r="BT217" s="29">
        <f t="shared" si="479"/>
        <v>2313</v>
      </c>
      <c r="BU217" s="298">
        <f t="shared" si="466"/>
        <v>75</v>
      </c>
      <c r="BV217" s="5">
        <f t="shared" si="480"/>
        <v>-2238</v>
      </c>
      <c r="BW217" s="258"/>
      <c r="BX217" s="303">
        <f t="shared" si="467"/>
        <v>0</v>
      </c>
      <c r="BY217" s="35">
        <f t="shared" si="481"/>
        <v>2313</v>
      </c>
      <c r="BZ217" s="20"/>
      <c r="CA217" s="8"/>
      <c r="CB217" s="34"/>
      <c r="CC217" s="713"/>
      <c r="CD217" s="20"/>
      <c r="CE217" s="8"/>
      <c r="CF217" s="34"/>
      <c r="CG217" s="713"/>
      <c r="CH217" s="20"/>
      <c r="CI217" s="8"/>
      <c r="CJ217" s="34"/>
      <c r="CK217" s="234"/>
      <c r="CL217" s="234"/>
      <c r="CM217" s="395">
        <f t="shared" si="457"/>
        <v>-2188</v>
      </c>
      <c r="CN217" s="29">
        <f t="shared" si="482"/>
        <v>2313</v>
      </c>
      <c r="CO217" s="298">
        <f t="shared" si="468"/>
        <v>0</v>
      </c>
      <c r="CP217" s="5">
        <f t="shared" si="483"/>
        <v>-2313</v>
      </c>
      <c r="CQ217" s="258"/>
      <c r="CR217" s="303">
        <f t="shared" si="469"/>
        <v>0</v>
      </c>
      <c r="CS217" s="35">
        <f t="shared" si="484"/>
        <v>2313</v>
      </c>
      <c r="CT217" s="123"/>
      <c r="CU217" s="8"/>
      <c r="CV217" s="34"/>
      <c r="CW217" s="713"/>
      <c r="CX217" s="20"/>
      <c r="CY217" s="8"/>
      <c r="CZ217" s="34"/>
      <c r="DA217" s="713"/>
      <c r="DB217" s="20"/>
      <c r="DC217" s="8"/>
      <c r="DD217" s="34"/>
      <c r="DE217" s="234"/>
      <c r="DF217" s="234"/>
      <c r="DG217" s="395">
        <f t="shared" si="458"/>
        <v>-2188</v>
      </c>
      <c r="DH217" s="29">
        <f t="shared" si="459"/>
        <v>2313</v>
      </c>
      <c r="DI217" s="298">
        <f t="shared" si="470"/>
        <v>0</v>
      </c>
      <c r="DJ217" s="5">
        <f t="shared" si="485"/>
        <v>-2313</v>
      </c>
      <c r="DK217" s="258"/>
      <c r="DL217" s="303">
        <f t="shared" si="471"/>
        <v>0</v>
      </c>
      <c r="DM217" s="35">
        <f t="shared" si="486"/>
        <v>2313</v>
      </c>
    </row>
    <row r="218" spans="1:117" x14ac:dyDescent="0.25">
      <c r="A218" s="17"/>
      <c r="B218" s="10" t="s">
        <v>422</v>
      </c>
      <c r="C218" s="24">
        <v>1</v>
      </c>
      <c r="D218" s="274"/>
      <c r="E218" s="744"/>
      <c r="F218" s="473"/>
      <c r="G218" s="23" t="s">
        <v>317</v>
      </c>
      <c r="H218" s="24"/>
      <c r="I218" s="24"/>
      <c r="J218" s="530">
        <f t="shared" si="451"/>
        <v>-3126</v>
      </c>
      <c r="K218" s="395">
        <f t="shared" si="452"/>
        <v>-3251</v>
      </c>
      <c r="L218" s="147">
        <v>3251</v>
      </c>
      <c r="M218" s="298">
        <f t="shared" si="460"/>
        <v>0</v>
      </c>
      <c r="N218" s="5">
        <f t="shared" si="472"/>
        <v>-3251</v>
      </c>
      <c r="O218" s="258"/>
      <c r="P218" s="303">
        <f t="shared" si="461"/>
        <v>0</v>
      </c>
      <c r="Q218" s="35">
        <f t="shared" si="473"/>
        <v>3251</v>
      </c>
      <c r="R218" s="123"/>
      <c r="S218" s="8"/>
      <c r="T218" s="34"/>
      <c r="U218" s="713"/>
      <c r="V218" s="20"/>
      <c r="W218" s="8"/>
      <c r="X218" s="34"/>
      <c r="Y218" s="713"/>
      <c r="Z218" s="20"/>
      <c r="AA218" s="8"/>
      <c r="AB218" s="34"/>
      <c r="AC218" s="234"/>
      <c r="AD218" s="234"/>
      <c r="AE218" s="398">
        <f t="shared" si="453"/>
        <v>-3251</v>
      </c>
      <c r="AF218" s="29">
        <f t="shared" si="454"/>
        <v>3251</v>
      </c>
      <c r="AG218" s="298">
        <f t="shared" si="462"/>
        <v>0</v>
      </c>
      <c r="AH218" s="5">
        <f t="shared" si="474"/>
        <v>-3251</v>
      </c>
      <c r="AI218" s="258"/>
      <c r="AJ218" s="303">
        <f t="shared" si="463"/>
        <v>0</v>
      </c>
      <c r="AK218" s="35">
        <f t="shared" si="475"/>
        <v>3251</v>
      </c>
      <c r="AL218" s="123"/>
      <c r="AM218" s="8"/>
      <c r="AN218" s="34"/>
      <c r="AO218" s="713"/>
      <c r="AP218" s="20"/>
      <c r="AQ218" s="8"/>
      <c r="AR218" s="34"/>
      <c r="AS218" s="713"/>
      <c r="AT218" s="20"/>
      <c r="AU218" s="8"/>
      <c r="AV218" s="34"/>
      <c r="AW218" s="234"/>
      <c r="AX218" s="234"/>
      <c r="AY218" s="398">
        <f t="shared" si="455"/>
        <v>-3201</v>
      </c>
      <c r="AZ218" s="29">
        <f t="shared" si="476"/>
        <v>3251</v>
      </c>
      <c r="BA218" s="298">
        <f t="shared" si="464"/>
        <v>50</v>
      </c>
      <c r="BB218" s="5">
        <f t="shared" si="477"/>
        <v>-3201</v>
      </c>
      <c r="BC218" s="258"/>
      <c r="BD218" s="303">
        <f t="shared" si="465"/>
        <v>0</v>
      </c>
      <c r="BE218" s="35">
        <f t="shared" si="478"/>
        <v>3251</v>
      </c>
      <c r="BF218" s="20"/>
      <c r="BG218" s="8"/>
      <c r="BH218" s="34"/>
      <c r="BI218" s="713"/>
      <c r="BJ218" s="20"/>
      <c r="BK218" s="8"/>
      <c r="BL218" s="34"/>
      <c r="BM218" s="713"/>
      <c r="BN218" s="20"/>
      <c r="BO218" s="8"/>
      <c r="BP218" s="34"/>
      <c r="BQ218" s="234"/>
      <c r="BR218" s="234"/>
      <c r="BS218" s="398">
        <f t="shared" si="456"/>
        <v>-3126</v>
      </c>
      <c r="BT218" s="29">
        <f t="shared" si="479"/>
        <v>3251</v>
      </c>
      <c r="BU218" s="298">
        <f t="shared" si="466"/>
        <v>75</v>
      </c>
      <c r="BV218" s="5">
        <f t="shared" si="480"/>
        <v>-3176</v>
      </c>
      <c r="BW218" s="258"/>
      <c r="BX218" s="303">
        <f t="shared" si="467"/>
        <v>0</v>
      </c>
      <c r="BY218" s="35">
        <f t="shared" si="481"/>
        <v>3251</v>
      </c>
      <c r="BZ218" s="20"/>
      <c r="CA218" s="8"/>
      <c r="CB218" s="34"/>
      <c r="CC218" s="713"/>
      <c r="CD218" s="20"/>
      <c r="CE218" s="8"/>
      <c r="CF218" s="34"/>
      <c r="CG218" s="713"/>
      <c r="CH218" s="20"/>
      <c r="CI218" s="8"/>
      <c r="CJ218" s="34"/>
      <c r="CK218" s="234"/>
      <c r="CL218" s="234"/>
      <c r="CM218" s="395">
        <f t="shared" si="457"/>
        <v>-3126</v>
      </c>
      <c r="CN218" s="29">
        <f t="shared" si="482"/>
        <v>3251</v>
      </c>
      <c r="CO218" s="298">
        <f t="shared" si="468"/>
        <v>0</v>
      </c>
      <c r="CP218" s="5">
        <f t="shared" si="483"/>
        <v>-3251</v>
      </c>
      <c r="CQ218" s="258"/>
      <c r="CR218" s="303">
        <f t="shared" si="469"/>
        <v>0</v>
      </c>
      <c r="CS218" s="35">
        <f t="shared" si="484"/>
        <v>3251</v>
      </c>
      <c r="CT218" s="123"/>
      <c r="CU218" s="8"/>
      <c r="CV218" s="34"/>
      <c r="CW218" s="713"/>
      <c r="CX218" s="20"/>
      <c r="CY218" s="8"/>
      <c r="CZ218" s="34"/>
      <c r="DA218" s="713"/>
      <c r="DB218" s="20"/>
      <c r="DC218" s="8"/>
      <c r="DD218" s="34"/>
      <c r="DE218" s="234"/>
      <c r="DF218" s="234"/>
      <c r="DG218" s="395">
        <f t="shared" si="458"/>
        <v>-3126</v>
      </c>
      <c r="DH218" s="29">
        <f t="shared" si="459"/>
        <v>3251</v>
      </c>
      <c r="DI218" s="298">
        <f t="shared" si="470"/>
        <v>0</v>
      </c>
      <c r="DJ218" s="5">
        <f t="shared" si="485"/>
        <v>-3251</v>
      </c>
      <c r="DK218" s="258"/>
      <c r="DL218" s="303">
        <f t="shared" si="471"/>
        <v>0</v>
      </c>
      <c r="DM218" s="35">
        <f t="shared" si="486"/>
        <v>3251</v>
      </c>
    </row>
    <row r="219" spans="1:117" x14ac:dyDescent="0.25">
      <c r="A219" s="17"/>
      <c r="B219" s="10" t="s">
        <v>428</v>
      </c>
      <c r="C219" s="24">
        <v>1</v>
      </c>
      <c r="D219" s="274"/>
      <c r="E219" s="744"/>
      <c r="F219" s="473"/>
      <c r="G219" s="23" t="s">
        <v>317</v>
      </c>
      <c r="H219" s="24"/>
      <c r="I219" s="24"/>
      <c r="J219" s="530">
        <f t="shared" si="451"/>
        <v>-2125</v>
      </c>
      <c r="K219" s="395">
        <f t="shared" si="452"/>
        <v>-2250</v>
      </c>
      <c r="L219" s="147">
        <v>2250</v>
      </c>
      <c r="M219" s="298">
        <f t="shared" si="460"/>
        <v>0</v>
      </c>
      <c r="N219" s="5">
        <f t="shared" si="472"/>
        <v>-2250</v>
      </c>
      <c r="O219" s="258"/>
      <c r="P219" s="303">
        <f t="shared" si="461"/>
        <v>0</v>
      </c>
      <c r="Q219" s="35">
        <f t="shared" si="473"/>
        <v>2250</v>
      </c>
      <c r="R219" s="123"/>
      <c r="S219" s="8"/>
      <c r="T219" s="34"/>
      <c r="U219" s="713"/>
      <c r="V219" s="20"/>
      <c r="W219" s="8"/>
      <c r="X219" s="34"/>
      <c r="Y219" s="713"/>
      <c r="Z219" s="20"/>
      <c r="AA219" s="8"/>
      <c r="AB219" s="34"/>
      <c r="AC219" s="234"/>
      <c r="AD219" s="234"/>
      <c r="AE219" s="398">
        <f t="shared" si="453"/>
        <v>-2250</v>
      </c>
      <c r="AF219" s="29">
        <f t="shared" si="454"/>
        <v>2250</v>
      </c>
      <c r="AG219" s="298">
        <f t="shared" si="462"/>
        <v>0</v>
      </c>
      <c r="AH219" s="5">
        <f t="shared" si="474"/>
        <v>-2250</v>
      </c>
      <c r="AI219" s="258"/>
      <c r="AJ219" s="303">
        <f t="shared" si="463"/>
        <v>0</v>
      </c>
      <c r="AK219" s="35">
        <f t="shared" si="475"/>
        <v>2250</v>
      </c>
      <c r="AL219" s="123"/>
      <c r="AM219" s="8"/>
      <c r="AN219" s="34"/>
      <c r="AO219" s="713"/>
      <c r="AP219" s="20"/>
      <c r="AQ219" s="8"/>
      <c r="AR219" s="34"/>
      <c r="AS219" s="713"/>
      <c r="AT219" s="20"/>
      <c r="AU219" s="8"/>
      <c r="AV219" s="34"/>
      <c r="AW219" s="234"/>
      <c r="AX219" s="234"/>
      <c r="AY219" s="398">
        <f t="shared" si="455"/>
        <v>-2200</v>
      </c>
      <c r="AZ219" s="29">
        <f t="shared" si="476"/>
        <v>2250</v>
      </c>
      <c r="BA219" s="298">
        <f t="shared" si="464"/>
        <v>50</v>
      </c>
      <c r="BB219" s="5">
        <f t="shared" si="477"/>
        <v>-2200</v>
      </c>
      <c r="BC219" s="258"/>
      <c r="BD219" s="303">
        <f t="shared" si="465"/>
        <v>0</v>
      </c>
      <c r="BE219" s="35">
        <f t="shared" si="478"/>
        <v>2250</v>
      </c>
      <c r="BF219" s="20"/>
      <c r="BG219" s="8"/>
      <c r="BH219" s="34"/>
      <c r="BI219" s="713"/>
      <c r="BJ219" s="20"/>
      <c r="BK219" s="8"/>
      <c r="BL219" s="34"/>
      <c r="BM219" s="713"/>
      <c r="BN219" s="20"/>
      <c r="BO219" s="8"/>
      <c r="BP219" s="34"/>
      <c r="BQ219" s="234"/>
      <c r="BR219" s="234"/>
      <c r="BS219" s="398">
        <f t="shared" si="456"/>
        <v>-2125</v>
      </c>
      <c r="BT219" s="29">
        <f t="shared" si="479"/>
        <v>2250</v>
      </c>
      <c r="BU219" s="298">
        <f t="shared" si="466"/>
        <v>75</v>
      </c>
      <c r="BV219" s="5">
        <f t="shared" si="480"/>
        <v>-2175</v>
      </c>
      <c r="BW219" s="258"/>
      <c r="BX219" s="303">
        <f t="shared" si="467"/>
        <v>0</v>
      </c>
      <c r="BY219" s="35">
        <f t="shared" si="481"/>
        <v>2250</v>
      </c>
      <c r="BZ219" s="20"/>
      <c r="CA219" s="8"/>
      <c r="CB219" s="34"/>
      <c r="CC219" s="713"/>
      <c r="CD219" s="20"/>
      <c r="CE219" s="8"/>
      <c r="CF219" s="34"/>
      <c r="CG219" s="713"/>
      <c r="CH219" s="20"/>
      <c r="CI219" s="8"/>
      <c r="CJ219" s="34"/>
      <c r="CK219" s="234"/>
      <c r="CL219" s="234"/>
      <c r="CM219" s="395">
        <f t="shared" si="457"/>
        <v>-2125</v>
      </c>
      <c r="CN219" s="29">
        <f t="shared" si="482"/>
        <v>2250</v>
      </c>
      <c r="CO219" s="298">
        <f t="shared" si="468"/>
        <v>0</v>
      </c>
      <c r="CP219" s="5">
        <f t="shared" si="483"/>
        <v>-2250</v>
      </c>
      <c r="CQ219" s="258"/>
      <c r="CR219" s="303">
        <f t="shared" si="469"/>
        <v>0</v>
      </c>
      <c r="CS219" s="35">
        <f t="shared" si="484"/>
        <v>2250</v>
      </c>
      <c r="CT219" s="123"/>
      <c r="CU219" s="8"/>
      <c r="CV219" s="34"/>
      <c r="CW219" s="713"/>
      <c r="CX219" s="20"/>
      <c r="CY219" s="8"/>
      <c r="CZ219" s="34"/>
      <c r="DA219" s="713"/>
      <c r="DB219" s="20"/>
      <c r="DC219" s="8"/>
      <c r="DD219" s="34"/>
      <c r="DE219" s="234"/>
      <c r="DF219" s="234"/>
      <c r="DG219" s="395">
        <f t="shared" si="458"/>
        <v>-2125</v>
      </c>
      <c r="DH219" s="29">
        <f t="shared" si="459"/>
        <v>2250</v>
      </c>
      <c r="DI219" s="298">
        <f t="shared" si="470"/>
        <v>0</v>
      </c>
      <c r="DJ219" s="5">
        <f t="shared" si="485"/>
        <v>-2250</v>
      </c>
      <c r="DK219" s="258"/>
      <c r="DL219" s="303">
        <f t="shared" si="471"/>
        <v>0</v>
      </c>
      <c r="DM219" s="35">
        <f t="shared" si="486"/>
        <v>2250</v>
      </c>
    </row>
    <row r="220" spans="1:117" x14ac:dyDescent="0.25">
      <c r="A220" s="17"/>
      <c r="B220" s="10" t="s">
        <v>423</v>
      </c>
      <c r="C220" s="24">
        <v>1</v>
      </c>
      <c r="D220" s="274"/>
      <c r="E220" s="744"/>
      <c r="F220" s="473"/>
      <c r="G220" s="23" t="s">
        <v>317</v>
      </c>
      <c r="H220" s="24"/>
      <c r="I220" s="24"/>
      <c r="J220" s="530">
        <f t="shared" si="451"/>
        <v>-2141</v>
      </c>
      <c r="K220" s="395">
        <f t="shared" si="452"/>
        <v>-2266</v>
      </c>
      <c r="L220" s="147">
        <v>2266</v>
      </c>
      <c r="M220" s="298">
        <f t="shared" si="460"/>
        <v>0</v>
      </c>
      <c r="N220" s="5">
        <f t="shared" si="472"/>
        <v>-2266</v>
      </c>
      <c r="O220" s="258"/>
      <c r="P220" s="303">
        <f t="shared" si="461"/>
        <v>0</v>
      </c>
      <c r="Q220" s="35">
        <f t="shared" si="473"/>
        <v>2266</v>
      </c>
      <c r="R220" s="123"/>
      <c r="S220" s="8"/>
      <c r="T220" s="34"/>
      <c r="U220" s="713"/>
      <c r="V220" s="20"/>
      <c r="W220" s="8"/>
      <c r="X220" s="34"/>
      <c r="Y220" s="713"/>
      <c r="Z220" s="20"/>
      <c r="AA220" s="8"/>
      <c r="AB220" s="34"/>
      <c r="AC220" s="234"/>
      <c r="AD220" s="234"/>
      <c r="AE220" s="398">
        <f t="shared" si="453"/>
        <v>-2266</v>
      </c>
      <c r="AF220" s="29">
        <f t="shared" si="454"/>
        <v>2266</v>
      </c>
      <c r="AG220" s="298">
        <f t="shared" si="462"/>
        <v>0</v>
      </c>
      <c r="AH220" s="5">
        <f t="shared" si="474"/>
        <v>-2266</v>
      </c>
      <c r="AI220" s="258"/>
      <c r="AJ220" s="303">
        <f t="shared" si="463"/>
        <v>0</v>
      </c>
      <c r="AK220" s="35">
        <f t="shared" si="475"/>
        <v>2266</v>
      </c>
      <c r="AL220" s="123"/>
      <c r="AM220" s="8"/>
      <c r="AN220" s="34"/>
      <c r="AO220" s="713"/>
      <c r="AP220" s="20"/>
      <c r="AQ220" s="8"/>
      <c r="AR220" s="34"/>
      <c r="AS220" s="713"/>
      <c r="AT220" s="20"/>
      <c r="AU220" s="8"/>
      <c r="AV220" s="34"/>
      <c r="AW220" s="234"/>
      <c r="AX220" s="234"/>
      <c r="AY220" s="398">
        <f t="shared" si="455"/>
        <v>-2216</v>
      </c>
      <c r="AZ220" s="29">
        <f t="shared" si="476"/>
        <v>2266</v>
      </c>
      <c r="BA220" s="298">
        <f t="shared" si="464"/>
        <v>50</v>
      </c>
      <c r="BB220" s="5">
        <f t="shared" si="477"/>
        <v>-2216</v>
      </c>
      <c r="BC220" s="258"/>
      <c r="BD220" s="303">
        <f t="shared" si="465"/>
        <v>0</v>
      </c>
      <c r="BE220" s="35">
        <f t="shared" si="478"/>
        <v>2266</v>
      </c>
      <c r="BF220" s="20"/>
      <c r="BG220" s="8"/>
      <c r="BH220" s="34"/>
      <c r="BI220" s="713"/>
      <c r="BJ220" s="20"/>
      <c r="BK220" s="8"/>
      <c r="BL220" s="34"/>
      <c r="BM220" s="713"/>
      <c r="BN220" s="20"/>
      <c r="BO220" s="8"/>
      <c r="BP220" s="34"/>
      <c r="BQ220" s="234"/>
      <c r="BR220" s="234"/>
      <c r="BS220" s="398">
        <f t="shared" si="456"/>
        <v>-2141</v>
      </c>
      <c r="BT220" s="29">
        <f t="shared" si="479"/>
        <v>2266</v>
      </c>
      <c r="BU220" s="298">
        <f t="shared" si="466"/>
        <v>75</v>
      </c>
      <c r="BV220" s="5">
        <f t="shared" si="480"/>
        <v>-2191</v>
      </c>
      <c r="BW220" s="258"/>
      <c r="BX220" s="303">
        <f t="shared" si="467"/>
        <v>0</v>
      </c>
      <c r="BY220" s="35">
        <f t="shared" si="481"/>
        <v>2266</v>
      </c>
      <c r="BZ220" s="20"/>
      <c r="CA220" s="8"/>
      <c r="CB220" s="34"/>
      <c r="CC220" s="713"/>
      <c r="CD220" s="20"/>
      <c r="CE220" s="8"/>
      <c r="CF220" s="34"/>
      <c r="CG220" s="713"/>
      <c r="CH220" s="20"/>
      <c r="CI220" s="8"/>
      <c r="CJ220" s="34"/>
      <c r="CK220" s="234"/>
      <c r="CL220" s="234"/>
      <c r="CM220" s="395">
        <f t="shared" si="457"/>
        <v>-2141</v>
      </c>
      <c r="CN220" s="29">
        <f t="shared" si="482"/>
        <v>2266</v>
      </c>
      <c r="CO220" s="298">
        <f t="shared" si="468"/>
        <v>0</v>
      </c>
      <c r="CP220" s="5">
        <f t="shared" si="483"/>
        <v>-2266</v>
      </c>
      <c r="CQ220" s="258"/>
      <c r="CR220" s="303">
        <f t="shared" si="469"/>
        <v>0</v>
      </c>
      <c r="CS220" s="35">
        <f t="shared" si="484"/>
        <v>2266</v>
      </c>
      <c r="CT220" s="123"/>
      <c r="CU220" s="8"/>
      <c r="CV220" s="34"/>
      <c r="CW220" s="713"/>
      <c r="CX220" s="20"/>
      <c r="CY220" s="8"/>
      <c r="CZ220" s="34"/>
      <c r="DA220" s="713"/>
      <c r="DB220" s="20"/>
      <c r="DC220" s="8"/>
      <c r="DD220" s="34"/>
      <c r="DE220" s="234"/>
      <c r="DF220" s="234"/>
      <c r="DG220" s="395">
        <f t="shared" si="458"/>
        <v>-2141</v>
      </c>
      <c r="DH220" s="29">
        <f t="shared" si="459"/>
        <v>2266</v>
      </c>
      <c r="DI220" s="298">
        <f t="shared" si="470"/>
        <v>0</v>
      </c>
      <c r="DJ220" s="5">
        <f t="shared" si="485"/>
        <v>-2266</v>
      </c>
      <c r="DK220" s="258"/>
      <c r="DL220" s="303">
        <f t="shared" si="471"/>
        <v>0</v>
      </c>
      <c r="DM220" s="35">
        <f t="shared" si="486"/>
        <v>2266</v>
      </c>
    </row>
    <row r="221" spans="1:117" x14ac:dyDescent="0.25">
      <c r="A221" s="17"/>
      <c r="B221" s="10" t="s">
        <v>424</v>
      </c>
      <c r="C221" s="24">
        <v>1</v>
      </c>
      <c r="D221" s="274"/>
      <c r="E221" s="744"/>
      <c r="F221" s="473"/>
      <c r="G221" s="23" t="s">
        <v>317</v>
      </c>
      <c r="H221" s="24"/>
      <c r="I221" s="24"/>
      <c r="J221" s="530">
        <f t="shared" si="451"/>
        <v>-2749</v>
      </c>
      <c r="K221" s="395">
        <f t="shared" si="452"/>
        <v>-2874</v>
      </c>
      <c r="L221" s="147">
        <v>2874</v>
      </c>
      <c r="M221" s="298">
        <f t="shared" si="460"/>
        <v>0</v>
      </c>
      <c r="N221" s="5">
        <f t="shared" si="472"/>
        <v>-2874</v>
      </c>
      <c r="O221" s="258"/>
      <c r="P221" s="303">
        <f t="shared" si="461"/>
        <v>0</v>
      </c>
      <c r="Q221" s="35">
        <f t="shared" si="473"/>
        <v>2874</v>
      </c>
      <c r="R221" s="123"/>
      <c r="S221" s="8"/>
      <c r="T221" s="34"/>
      <c r="U221" s="713"/>
      <c r="V221" s="20"/>
      <c r="W221" s="8"/>
      <c r="X221" s="34"/>
      <c r="Y221" s="713"/>
      <c r="Z221" s="20"/>
      <c r="AA221" s="8"/>
      <c r="AB221" s="34"/>
      <c r="AC221" s="234"/>
      <c r="AD221" s="234"/>
      <c r="AE221" s="398">
        <f t="shared" si="453"/>
        <v>-2874</v>
      </c>
      <c r="AF221" s="29">
        <f t="shared" si="454"/>
        <v>2874</v>
      </c>
      <c r="AG221" s="298">
        <f t="shared" si="462"/>
        <v>0</v>
      </c>
      <c r="AH221" s="5">
        <f t="shared" si="474"/>
        <v>-2874</v>
      </c>
      <c r="AI221" s="258"/>
      <c r="AJ221" s="303">
        <f t="shared" si="463"/>
        <v>0</v>
      </c>
      <c r="AK221" s="35">
        <f t="shared" si="475"/>
        <v>2874</v>
      </c>
      <c r="AL221" s="123"/>
      <c r="AM221" s="8"/>
      <c r="AN221" s="34"/>
      <c r="AO221" s="713"/>
      <c r="AP221" s="20"/>
      <c r="AQ221" s="8"/>
      <c r="AR221" s="34"/>
      <c r="AS221" s="713"/>
      <c r="AT221" s="20"/>
      <c r="AU221" s="8"/>
      <c r="AV221" s="34"/>
      <c r="AW221" s="234"/>
      <c r="AX221" s="234"/>
      <c r="AY221" s="398">
        <f t="shared" si="455"/>
        <v>-2824</v>
      </c>
      <c r="AZ221" s="29">
        <f t="shared" si="476"/>
        <v>2874</v>
      </c>
      <c r="BA221" s="298">
        <f t="shared" si="464"/>
        <v>50</v>
      </c>
      <c r="BB221" s="5">
        <f t="shared" si="477"/>
        <v>-2824</v>
      </c>
      <c r="BC221" s="258"/>
      <c r="BD221" s="303">
        <f t="shared" si="465"/>
        <v>0</v>
      </c>
      <c r="BE221" s="35">
        <f t="shared" si="478"/>
        <v>2874</v>
      </c>
      <c r="BF221" s="20"/>
      <c r="BG221" s="8"/>
      <c r="BH221" s="34"/>
      <c r="BI221" s="713"/>
      <c r="BJ221" s="20"/>
      <c r="BK221" s="8"/>
      <c r="BL221" s="34"/>
      <c r="BM221" s="713"/>
      <c r="BN221" s="20"/>
      <c r="BO221" s="8"/>
      <c r="BP221" s="34"/>
      <c r="BQ221" s="234"/>
      <c r="BR221" s="234"/>
      <c r="BS221" s="398">
        <f t="shared" si="456"/>
        <v>-2749</v>
      </c>
      <c r="BT221" s="29">
        <f t="shared" si="479"/>
        <v>2874</v>
      </c>
      <c r="BU221" s="298">
        <f t="shared" si="466"/>
        <v>75</v>
      </c>
      <c r="BV221" s="5">
        <f t="shared" si="480"/>
        <v>-2799</v>
      </c>
      <c r="BW221" s="258"/>
      <c r="BX221" s="303">
        <f t="shared" si="467"/>
        <v>0</v>
      </c>
      <c r="BY221" s="35">
        <f t="shared" si="481"/>
        <v>2874</v>
      </c>
      <c r="BZ221" s="20"/>
      <c r="CA221" s="8"/>
      <c r="CB221" s="34"/>
      <c r="CC221" s="713"/>
      <c r="CD221" s="20"/>
      <c r="CE221" s="8"/>
      <c r="CF221" s="34"/>
      <c r="CG221" s="713"/>
      <c r="CH221" s="20"/>
      <c r="CI221" s="8"/>
      <c r="CJ221" s="34"/>
      <c r="CK221" s="234"/>
      <c r="CL221" s="234"/>
      <c r="CM221" s="395">
        <f t="shared" si="457"/>
        <v>-2749</v>
      </c>
      <c r="CN221" s="29">
        <f t="shared" si="482"/>
        <v>2874</v>
      </c>
      <c r="CO221" s="298">
        <f t="shared" si="468"/>
        <v>0</v>
      </c>
      <c r="CP221" s="5">
        <f t="shared" si="483"/>
        <v>-2874</v>
      </c>
      <c r="CQ221" s="258"/>
      <c r="CR221" s="303">
        <f t="shared" si="469"/>
        <v>0</v>
      </c>
      <c r="CS221" s="35">
        <f t="shared" si="484"/>
        <v>2874</v>
      </c>
      <c r="CT221" s="123"/>
      <c r="CU221" s="8"/>
      <c r="CV221" s="34"/>
      <c r="CW221" s="713"/>
      <c r="CX221" s="20"/>
      <c r="CY221" s="8"/>
      <c r="CZ221" s="34"/>
      <c r="DA221" s="713"/>
      <c r="DB221" s="20"/>
      <c r="DC221" s="8"/>
      <c r="DD221" s="34"/>
      <c r="DE221" s="234"/>
      <c r="DF221" s="234"/>
      <c r="DG221" s="395">
        <f t="shared" si="458"/>
        <v>-2749</v>
      </c>
      <c r="DH221" s="29">
        <f t="shared" si="459"/>
        <v>2874</v>
      </c>
      <c r="DI221" s="298">
        <f t="shared" si="470"/>
        <v>0</v>
      </c>
      <c r="DJ221" s="5">
        <f t="shared" si="485"/>
        <v>-2874</v>
      </c>
      <c r="DK221" s="258"/>
      <c r="DL221" s="303">
        <f t="shared" si="471"/>
        <v>0</v>
      </c>
      <c r="DM221" s="35">
        <f t="shared" si="486"/>
        <v>2874</v>
      </c>
    </row>
    <row r="222" spans="1:117" x14ac:dyDescent="0.25">
      <c r="A222" s="17"/>
      <c r="B222" s="10" t="s">
        <v>425</v>
      </c>
      <c r="C222" s="24">
        <v>1</v>
      </c>
      <c r="D222" s="274"/>
      <c r="E222" s="744"/>
      <c r="F222" s="473"/>
      <c r="G222" s="23" t="s">
        <v>317</v>
      </c>
      <c r="H222" s="24"/>
      <c r="I222" s="24"/>
      <c r="J222" s="530">
        <f t="shared" si="451"/>
        <v>-4210</v>
      </c>
      <c r="K222" s="395">
        <f t="shared" si="452"/>
        <v>-4335</v>
      </c>
      <c r="L222" s="147">
        <v>4335</v>
      </c>
      <c r="M222" s="298">
        <f t="shared" si="460"/>
        <v>0</v>
      </c>
      <c r="N222" s="5">
        <f t="shared" si="472"/>
        <v>-4335</v>
      </c>
      <c r="O222" s="258"/>
      <c r="P222" s="303">
        <f t="shared" si="461"/>
        <v>0</v>
      </c>
      <c r="Q222" s="35">
        <f t="shared" si="473"/>
        <v>4335</v>
      </c>
      <c r="R222" s="123"/>
      <c r="S222" s="8"/>
      <c r="T222" s="34"/>
      <c r="U222" s="713"/>
      <c r="V222" s="20"/>
      <c r="W222" s="8"/>
      <c r="X222" s="34"/>
      <c r="Y222" s="713"/>
      <c r="Z222" s="20"/>
      <c r="AA222" s="8"/>
      <c r="AB222" s="34"/>
      <c r="AC222" s="234"/>
      <c r="AD222" s="234"/>
      <c r="AE222" s="398">
        <f t="shared" si="453"/>
        <v>-4335</v>
      </c>
      <c r="AF222" s="29">
        <f t="shared" si="454"/>
        <v>4335</v>
      </c>
      <c r="AG222" s="298">
        <f t="shared" si="462"/>
        <v>0</v>
      </c>
      <c r="AH222" s="5">
        <f t="shared" si="474"/>
        <v>-4335</v>
      </c>
      <c r="AI222" s="258"/>
      <c r="AJ222" s="303">
        <f t="shared" si="463"/>
        <v>0</v>
      </c>
      <c r="AK222" s="35">
        <f t="shared" si="475"/>
        <v>4335</v>
      </c>
      <c r="AL222" s="123"/>
      <c r="AM222" s="8"/>
      <c r="AN222" s="34"/>
      <c r="AO222" s="713"/>
      <c r="AP222" s="20"/>
      <c r="AQ222" s="8"/>
      <c r="AR222" s="34"/>
      <c r="AS222" s="713"/>
      <c r="AT222" s="20"/>
      <c r="AU222" s="8"/>
      <c r="AV222" s="34"/>
      <c r="AW222" s="234"/>
      <c r="AX222" s="234"/>
      <c r="AY222" s="398">
        <f t="shared" si="455"/>
        <v>-4285</v>
      </c>
      <c r="AZ222" s="29">
        <f t="shared" si="476"/>
        <v>4335</v>
      </c>
      <c r="BA222" s="298">
        <f t="shared" si="464"/>
        <v>50</v>
      </c>
      <c r="BB222" s="5">
        <f t="shared" si="477"/>
        <v>-4285</v>
      </c>
      <c r="BC222" s="258"/>
      <c r="BD222" s="303">
        <f t="shared" si="465"/>
        <v>0</v>
      </c>
      <c r="BE222" s="35">
        <f t="shared" si="478"/>
        <v>4335</v>
      </c>
      <c r="BF222" s="20"/>
      <c r="BG222" s="8"/>
      <c r="BH222" s="34"/>
      <c r="BI222" s="713"/>
      <c r="BJ222" s="20"/>
      <c r="BK222" s="8"/>
      <c r="BL222" s="34"/>
      <c r="BM222" s="713"/>
      <c r="BN222" s="20"/>
      <c r="BO222" s="8"/>
      <c r="BP222" s="34"/>
      <c r="BQ222" s="234"/>
      <c r="BR222" s="234"/>
      <c r="BS222" s="398">
        <f t="shared" si="456"/>
        <v>-4210</v>
      </c>
      <c r="BT222" s="29">
        <f t="shared" si="479"/>
        <v>4335</v>
      </c>
      <c r="BU222" s="298">
        <f t="shared" si="466"/>
        <v>75</v>
      </c>
      <c r="BV222" s="5">
        <f t="shared" si="480"/>
        <v>-4260</v>
      </c>
      <c r="BW222" s="258"/>
      <c r="BX222" s="303">
        <f t="shared" si="467"/>
        <v>0</v>
      </c>
      <c r="BY222" s="35">
        <f t="shared" si="481"/>
        <v>4335</v>
      </c>
      <c r="BZ222" s="20"/>
      <c r="CA222" s="8"/>
      <c r="CB222" s="34"/>
      <c r="CC222" s="713"/>
      <c r="CD222" s="20"/>
      <c r="CE222" s="8"/>
      <c r="CF222" s="34"/>
      <c r="CG222" s="713"/>
      <c r="CH222" s="20"/>
      <c r="CI222" s="8"/>
      <c r="CJ222" s="34"/>
      <c r="CK222" s="234"/>
      <c r="CL222" s="234"/>
      <c r="CM222" s="395">
        <f t="shared" si="457"/>
        <v>-4210</v>
      </c>
      <c r="CN222" s="29">
        <f t="shared" si="482"/>
        <v>4335</v>
      </c>
      <c r="CO222" s="298">
        <f t="shared" si="468"/>
        <v>0</v>
      </c>
      <c r="CP222" s="5">
        <f t="shared" si="483"/>
        <v>-4335</v>
      </c>
      <c r="CQ222" s="258"/>
      <c r="CR222" s="303">
        <f t="shared" si="469"/>
        <v>0</v>
      </c>
      <c r="CS222" s="35">
        <f t="shared" si="484"/>
        <v>4335</v>
      </c>
      <c r="CT222" s="123"/>
      <c r="CU222" s="8"/>
      <c r="CV222" s="34"/>
      <c r="CW222" s="713"/>
      <c r="CX222" s="20"/>
      <c r="CY222" s="8"/>
      <c r="CZ222" s="34"/>
      <c r="DA222" s="713"/>
      <c r="DB222" s="20"/>
      <c r="DC222" s="8"/>
      <c r="DD222" s="34"/>
      <c r="DE222" s="234"/>
      <c r="DF222" s="234"/>
      <c r="DG222" s="395">
        <f t="shared" si="458"/>
        <v>-4210</v>
      </c>
      <c r="DH222" s="29">
        <f t="shared" si="459"/>
        <v>4335</v>
      </c>
      <c r="DI222" s="298">
        <f t="shared" si="470"/>
        <v>0</v>
      </c>
      <c r="DJ222" s="5">
        <f t="shared" si="485"/>
        <v>-4335</v>
      </c>
      <c r="DK222" s="258"/>
      <c r="DL222" s="303">
        <f t="shared" si="471"/>
        <v>0</v>
      </c>
      <c r="DM222" s="35">
        <f t="shared" si="486"/>
        <v>4335</v>
      </c>
    </row>
    <row r="223" spans="1:117" x14ac:dyDescent="0.25">
      <c r="A223" s="17"/>
      <c r="B223" s="10" t="s">
        <v>429</v>
      </c>
      <c r="C223" s="24"/>
      <c r="D223" s="274"/>
      <c r="E223" s="744"/>
      <c r="F223" s="473"/>
      <c r="G223" s="23" t="s">
        <v>317</v>
      </c>
      <c r="H223" s="24"/>
      <c r="I223" s="24"/>
      <c r="J223" s="530">
        <f t="shared" si="451"/>
        <v>-1438</v>
      </c>
      <c r="K223" s="395">
        <f t="shared" si="452"/>
        <v>-1563</v>
      </c>
      <c r="L223" s="147">
        <v>1563</v>
      </c>
      <c r="M223" s="298">
        <f t="shared" si="460"/>
        <v>0</v>
      </c>
      <c r="N223" s="5">
        <f t="shared" si="472"/>
        <v>-1563</v>
      </c>
      <c r="O223" s="258"/>
      <c r="P223" s="303">
        <f t="shared" si="461"/>
        <v>0</v>
      </c>
      <c r="Q223" s="35">
        <f t="shared" si="473"/>
        <v>1563</v>
      </c>
      <c r="R223" s="123"/>
      <c r="S223" s="8"/>
      <c r="T223" s="34"/>
      <c r="U223" s="713"/>
      <c r="V223" s="20"/>
      <c r="W223" s="8"/>
      <c r="X223" s="34"/>
      <c r="Y223" s="713"/>
      <c r="Z223" s="20"/>
      <c r="AA223" s="8"/>
      <c r="AB223" s="34"/>
      <c r="AC223" s="234"/>
      <c r="AD223" s="234"/>
      <c r="AE223" s="398">
        <f t="shared" si="453"/>
        <v>-1563</v>
      </c>
      <c r="AF223" s="29">
        <f t="shared" si="454"/>
        <v>1563</v>
      </c>
      <c r="AG223" s="298">
        <f t="shared" si="462"/>
        <v>0</v>
      </c>
      <c r="AH223" s="5">
        <f t="shared" si="474"/>
        <v>-1563</v>
      </c>
      <c r="AI223" s="258"/>
      <c r="AJ223" s="303">
        <f t="shared" si="463"/>
        <v>0</v>
      </c>
      <c r="AK223" s="35">
        <f t="shared" si="475"/>
        <v>1563</v>
      </c>
      <c r="AL223" s="123"/>
      <c r="AM223" s="8"/>
      <c r="AN223" s="34"/>
      <c r="AO223" s="713"/>
      <c r="AP223" s="20"/>
      <c r="AQ223" s="8"/>
      <c r="AR223" s="34"/>
      <c r="AS223" s="713"/>
      <c r="AT223" s="20"/>
      <c r="AU223" s="8"/>
      <c r="AV223" s="34"/>
      <c r="AW223" s="234"/>
      <c r="AX223" s="234"/>
      <c r="AY223" s="398">
        <f t="shared" si="455"/>
        <v>-1513</v>
      </c>
      <c r="AZ223" s="29">
        <f t="shared" si="476"/>
        <v>1563</v>
      </c>
      <c r="BA223" s="298">
        <f t="shared" si="464"/>
        <v>50</v>
      </c>
      <c r="BB223" s="5">
        <f t="shared" si="477"/>
        <v>-1513</v>
      </c>
      <c r="BC223" s="258"/>
      <c r="BD223" s="303">
        <f t="shared" si="465"/>
        <v>0</v>
      </c>
      <c r="BE223" s="35">
        <f t="shared" si="478"/>
        <v>1563</v>
      </c>
      <c r="BF223" s="20"/>
      <c r="BG223" s="8"/>
      <c r="BH223" s="34"/>
      <c r="BI223" s="713"/>
      <c r="BJ223" s="20"/>
      <c r="BK223" s="8"/>
      <c r="BL223" s="34"/>
      <c r="BM223" s="713"/>
      <c r="BN223" s="20"/>
      <c r="BO223" s="8"/>
      <c r="BP223" s="34"/>
      <c r="BQ223" s="234"/>
      <c r="BR223" s="234"/>
      <c r="BS223" s="398">
        <f t="shared" si="456"/>
        <v>-1438</v>
      </c>
      <c r="BT223" s="29">
        <f t="shared" si="479"/>
        <v>1563</v>
      </c>
      <c r="BU223" s="298">
        <f t="shared" si="466"/>
        <v>75</v>
      </c>
      <c r="BV223" s="5">
        <f t="shared" si="480"/>
        <v>-1488</v>
      </c>
      <c r="BW223" s="258"/>
      <c r="BX223" s="303">
        <f t="shared" si="467"/>
        <v>0</v>
      </c>
      <c r="BY223" s="35">
        <f t="shared" si="481"/>
        <v>1563</v>
      </c>
      <c r="BZ223" s="20"/>
      <c r="CA223" s="8"/>
      <c r="CB223" s="34"/>
      <c r="CC223" s="713"/>
      <c r="CD223" s="20"/>
      <c r="CE223" s="8"/>
      <c r="CF223" s="34"/>
      <c r="CG223" s="713"/>
      <c r="CH223" s="20"/>
      <c r="CI223" s="8"/>
      <c r="CJ223" s="34"/>
      <c r="CK223" s="234"/>
      <c r="CL223" s="234"/>
      <c r="CM223" s="395">
        <f t="shared" si="457"/>
        <v>-1438</v>
      </c>
      <c r="CN223" s="29">
        <f t="shared" si="482"/>
        <v>1563</v>
      </c>
      <c r="CO223" s="298">
        <f t="shared" si="468"/>
        <v>0</v>
      </c>
      <c r="CP223" s="5">
        <f t="shared" si="483"/>
        <v>-1563</v>
      </c>
      <c r="CQ223" s="258"/>
      <c r="CR223" s="303">
        <f t="shared" si="469"/>
        <v>0</v>
      </c>
      <c r="CS223" s="35">
        <f t="shared" si="484"/>
        <v>1563</v>
      </c>
      <c r="CT223" s="123"/>
      <c r="CU223" s="8"/>
      <c r="CV223" s="34"/>
      <c r="CW223" s="713"/>
      <c r="CX223" s="20"/>
      <c r="CY223" s="8"/>
      <c r="CZ223" s="34"/>
      <c r="DA223" s="713"/>
      <c r="DB223" s="20"/>
      <c r="DC223" s="8"/>
      <c r="DD223" s="34"/>
      <c r="DE223" s="234"/>
      <c r="DF223" s="234"/>
      <c r="DG223" s="395">
        <f t="shared" si="458"/>
        <v>-1438</v>
      </c>
      <c r="DH223" s="29">
        <f t="shared" si="459"/>
        <v>1563</v>
      </c>
      <c r="DI223" s="298">
        <f t="shared" si="470"/>
        <v>0</v>
      </c>
      <c r="DJ223" s="5">
        <f t="shared" si="485"/>
        <v>-1563</v>
      </c>
      <c r="DK223" s="258"/>
      <c r="DL223" s="303">
        <f t="shared" si="471"/>
        <v>0</v>
      </c>
      <c r="DM223" s="35">
        <f t="shared" si="486"/>
        <v>1563</v>
      </c>
    </row>
    <row r="224" spans="1:117" ht="30" x14ac:dyDescent="0.25">
      <c r="A224" s="17"/>
      <c r="B224" s="80" t="s">
        <v>430</v>
      </c>
      <c r="C224" s="24">
        <v>1</v>
      </c>
      <c r="D224" s="274"/>
      <c r="E224" s="744"/>
      <c r="F224" s="473"/>
      <c r="G224" s="23" t="s">
        <v>317</v>
      </c>
      <c r="H224" s="24"/>
      <c r="I224" s="24"/>
      <c r="J224" s="530">
        <f t="shared" si="451"/>
        <v>-3725</v>
      </c>
      <c r="K224" s="395">
        <f t="shared" si="452"/>
        <v>-3850</v>
      </c>
      <c r="L224" s="147">
        <v>3850</v>
      </c>
      <c r="M224" s="298">
        <f>M220</f>
        <v>0</v>
      </c>
      <c r="N224" s="5">
        <f t="shared" si="472"/>
        <v>-3850</v>
      </c>
      <c r="O224" s="258"/>
      <c r="P224" s="303">
        <f>P220</f>
        <v>0</v>
      </c>
      <c r="Q224" s="35">
        <f t="shared" si="473"/>
        <v>3850</v>
      </c>
      <c r="R224" s="123"/>
      <c r="S224" s="8"/>
      <c r="T224" s="34"/>
      <c r="U224" s="713"/>
      <c r="V224" s="20"/>
      <c r="W224" s="8"/>
      <c r="X224" s="34"/>
      <c r="Y224" s="713"/>
      <c r="Z224" s="20"/>
      <c r="AA224" s="8"/>
      <c r="AB224" s="34"/>
      <c r="AC224" s="234"/>
      <c r="AD224" s="234"/>
      <c r="AE224" s="398">
        <f t="shared" si="453"/>
        <v>-3850</v>
      </c>
      <c r="AF224" s="29">
        <f t="shared" si="454"/>
        <v>3850</v>
      </c>
      <c r="AG224" s="298">
        <f>AG220</f>
        <v>0</v>
      </c>
      <c r="AH224" s="5">
        <f t="shared" si="474"/>
        <v>-3850</v>
      </c>
      <c r="AI224" s="258"/>
      <c r="AJ224" s="303">
        <f>AJ220</f>
        <v>0</v>
      </c>
      <c r="AK224" s="35">
        <f t="shared" si="475"/>
        <v>3850</v>
      </c>
      <c r="AL224" s="123"/>
      <c r="AM224" s="8"/>
      <c r="AN224" s="34"/>
      <c r="AO224" s="713"/>
      <c r="AP224" s="20"/>
      <c r="AQ224" s="8"/>
      <c r="AR224" s="34"/>
      <c r="AS224" s="713"/>
      <c r="AT224" s="20"/>
      <c r="AU224" s="8"/>
      <c r="AV224" s="34"/>
      <c r="AW224" s="234"/>
      <c r="AX224" s="234"/>
      <c r="AY224" s="398">
        <f t="shared" si="455"/>
        <v>-3800</v>
      </c>
      <c r="AZ224" s="29">
        <f t="shared" si="476"/>
        <v>3850</v>
      </c>
      <c r="BA224" s="298">
        <f>BA220</f>
        <v>50</v>
      </c>
      <c r="BB224" s="5">
        <f t="shared" si="477"/>
        <v>-3800</v>
      </c>
      <c r="BC224" s="258"/>
      <c r="BD224" s="303">
        <f>BD220</f>
        <v>0</v>
      </c>
      <c r="BE224" s="35">
        <f t="shared" si="478"/>
        <v>3850</v>
      </c>
      <c r="BF224" s="20"/>
      <c r="BG224" s="8"/>
      <c r="BH224" s="34"/>
      <c r="BI224" s="713"/>
      <c r="BJ224" s="20"/>
      <c r="BK224" s="8"/>
      <c r="BL224" s="34"/>
      <c r="BM224" s="713"/>
      <c r="BN224" s="20"/>
      <c r="BO224" s="8"/>
      <c r="BP224" s="34"/>
      <c r="BQ224" s="234"/>
      <c r="BR224" s="234"/>
      <c r="BS224" s="398">
        <f t="shared" si="456"/>
        <v>-3725</v>
      </c>
      <c r="BT224" s="29">
        <f t="shared" si="479"/>
        <v>3850</v>
      </c>
      <c r="BU224" s="298">
        <f>BU220</f>
        <v>75</v>
      </c>
      <c r="BV224" s="5">
        <f t="shared" si="480"/>
        <v>-3775</v>
      </c>
      <c r="BW224" s="258"/>
      <c r="BX224" s="303">
        <f>BX220</f>
        <v>0</v>
      </c>
      <c r="BY224" s="35">
        <f t="shared" si="481"/>
        <v>3850</v>
      </c>
      <c r="BZ224" s="20"/>
      <c r="CA224" s="8"/>
      <c r="CB224" s="34"/>
      <c r="CC224" s="713"/>
      <c r="CD224" s="20"/>
      <c r="CE224" s="8"/>
      <c r="CF224" s="34"/>
      <c r="CG224" s="713"/>
      <c r="CH224" s="20"/>
      <c r="CI224" s="8"/>
      <c r="CJ224" s="34"/>
      <c r="CK224" s="234"/>
      <c r="CL224" s="234"/>
      <c r="CM224" s="395">
        <f t="shared" si="457"/>
        <v>-3725</v>
      </c>
      <c r="CN224" s="29">
        <f t="shared" si="482"/>
        <v>3850</v>
      </c>
      <c r="CO224" s="298">
        <f>CO220</f>
        <v>0</v>
      </c>
      <c r="CP224" s="5">
        <f t="shared" si="483"/>
        <v>-3850</v>
      </c>
      <c r="CQ224" s="258"/>
      <c r="CR224" s="303">
        <f>CR220</f>
        <v>0</v>
      </c>
      <c r="CS224" s="35">
        <f t="shared" si="484"/>
        <v>3850</v>
      </c>
      <c r="CT224" s="123"/>
      <c r="CU224" s="8"/>
      <c r="CV224" s="34"/>
      <c r="CW224" s="713"/>
      <c r="CX224" s="20"/>
      <c r="CY224" s="8"/>
      <c r="CZ224" s="34"/>
      <c r="DA224" s="713"/>
      <c r="DB224" s="20"/>
      <c r="DC224" s="8"/>
      <c r="DD224" s="34"/>
      <c r="DE224" s="234"/>
      <c r="DF224" s="234"/>
      <c r="DG224" s="395">
        <f t="shared" si="458"/>
        <v>-3725</v>
      </c>
      <c r="DH224" s="29">
        <f t="shared" si="459"/>
        <v>3850</v>
      </c>
      <c r="DI224" s="298">
        <f>DI220</f>
        <v>0</v>
      </c>
      <c r="DJ224" s="5">
        <f t="shared" si="485"/>
        <v>-3850</v>
      </c>
      <c r="DK224" s="258"/>
      <c r="DL224" s="303">
        <f>DL220</f>
        <v>0</v>
      </c>
      <c r="DM224" s="35">
        <f t="shared" si="486"/>
        <v>3850</v>
      </c>
    </row>
    <row r="225" spans="1:117" x14ac:dyDescent="0.25">
      <c r="A225" s="75"/>
      <c r="B225" s="74" t="s">
        <v>355</v>
      </c>
      <c r="C225" s="77">
        <v>1</v>
      </c>
      <c r="D225" s="274"/>
      <c r="E225" s="743"/>
      <c r="F225" s="430">
        <v>39.299999999999997</v>
      </c>
      <c r="G225" s="11" t="s">
        <v>356</v>
      </c>
      <c r="H225" s="25"/>
      <c r="I225" s="25"/>
      <c r="J225" s="530">
        <f t="shared" si="451"/>
        <v>-4880</v>
      </c>
      <c r="K225" s="395">
        <f t="shared" si="452"/>
        <v>-5005</v>
      </c>
      <c r="L225" s="147">
        <v>5005</v>
      </c>
      <c r="M225" s="299">
        <f>M212</f>
        <v>0</v>
      </c>
      <c r="N225" s="5">
        <f t="shared" ref="N225:N236" si="487">M225-L225</f>
        <v>-5005</v>
      </c>
      <c r="O225" s="277"/>
      <c r="P225" s="304">
        <f>P212</f>
        <v>0</v>
      </c>
      <c r="Q225" s="35">
        <f t="shared" ref="Q225:Q236" si="488">L225+O225-P225</f>
        <v>5005</v>
      </c>
      <c r="R225" s="129"/>
      <c r="S225" s="130"/>
      <c r="T225" s="79"/>
      <c r="U225" s="712"/>
      <c r="V225" s="129"/>
      <c r="W225" s="130"/>
      <c r="X225" s="79"/>
      <c r="Y225" s="712"/>
      <c r="Z225" s="131"/>
      <c r="AA225" s="130"/>
      <c r="AB225" s="79"/>
      <c r="AC225" s="619"/>
      <c r="AD225" s="619"/>
      <c r="AE225" s="395">
        <f t="shared" si="453"/>
        <v>-5005</v>
      </c>
      <c r="AF225" s="29">
        <f t="shared" si="454"/>
        <v>5005</v>
      </c>
      <c r="AG225" s="299">
        <f>AG212</f>
        <v>0</v>
      </c>
      <c r="AH225" s="5">
        <f t="shared" ref="AH225:AH237" si="489">AG225-AF225</f>
        <v>-5005</v>
      </c>
      <c r="AI225" s="277"/>
      <c r="AJ225" s="304">
        <f>AJ212</f>
        <v>0</v>
      </c>
      <c r="AK225" s="35">
        <f t="shared" ref="AK225:AK237" si="490">AF225+AI225-AJ225</f>
        <v>5005</v>
      </c>
      <c r="AL225" s="129"/>
      <c r="AM225" s="130"/>
      <c r="AN225" s="79"/>
      <c r="AO225" s="712"/>
      <c r="AP225" s="129"/>
      <c r="AQ225" s="130"/>
      <c r="AR225" s="79"/>
      <c r="AS225" s="712"/>
      <c r="AT225" s="131"/>
      <c r="AU225" s="130"/>
      <c r="AV225" s="79"/>
      <c r="AW225" s="619"/>
      <c r="AX225" s="619"/>
      <c r="AY225" s="395">
        <f t="shared" si="455"/>
        <v>-4955</v>
      </c>
      <c r="AZ225" s="29">
        <f t="shared" ref="AZ225:AZ237" si="491">AK225</f>
        <v>5005</v>
      </c>
      <c r="BA225" s="299">
        <f>BA212</f>
        <v>50</v>
      </c>
      <c r="BB225" s="5">
        <f t="shared" ref="BB225:BB237" si="492">BA225-AZ225</f>
        <v>-4955</v>
      </c>
      <c r="BC225" s="277"/>
      <c r="BD225" s="304">
        <f>BD212</f>
        <v>0</v>
      </c>
      <c r="BE225" s="35">
        <f t="shared" ref="BE225:BE237" si="493">AZ225+BC225-BD225</f>
        <v>5005</v>
      </c>
      <c r="BF225" s="129"/>
      <c r="BG225" s="130"/>
      <c r="BH225" s="79"/>
      <c r="BI225" s="712"/>
      <c r="BJ225" s="129"/>
      <c r="BK225" s="130"/>
      <c r="BL225" s="79"/>
      <c r="BM225" s="712"/>
      <c r="BN225" s="131"/>
      <c r="BO225" s="130"/>
      <c r="BP225" s="79"/>
      <c r="BQ225" s="619"/>
      <c r="BR225" s="619"/>
      <c r="BS225" s="395">
        <f t="shared" si="456"/>
        <v>-4880</v>
      </c>
      <c r="BT225" s="29">
        <f t="shared" ref="BT225:BT237" si="494">BE225</f>
        <v>5005</v>
      </c>
      <c r="BU225" s="299">
        <f>BU212</f>
        <v>75</v>
      </c>
      <c r="BV225" s="5">
        <f t="shared" ref="BV225:BV237" si="495">BU225-BT225</f>
        <v>-4930</v>
      </c>
      <c r="BW225" s="277"/>
      <c r="BX225" s="304">
        <f>BX212</f>
        <v>0</v>
      </c>
      <c r="BY225" s="35">
        <f t="shared" ref="BY225:BY237" si="496">BT225+BW225-BX225</f>
        <v>5005</v>
      </c>
      <c r="BZ225" s="129"/>
      <c r="CA225" s="130"/>
      <c r="CB225" s="79"/>
      <c r="CC225" s="712"/>
      <c r="CD225" s="129"/>
      <c r="CE225" s="130"/>
      <c r="CF225" s="79"/>
      <c r="CG225" s="712"/>
      <c r="CH225" s="129"/>
      <c r="CI225" s="130"/>
      <c r="CJ225" s="79"/>
      <c r="CK225" s="619"/>
      <c r="CL225" s="619"/>
      <c r="CM225" s="395">
        <f t="shared" si="457"/>
        <v>-4880</v>
      </c>
      <c r="CN225" s="29">
        <f t="shared" ref="CN225:CN237" si="497">BY225</f>
        <v>5005</v>
      </c>
      <c r="CO225" s="299">
        <f>CO212</f>
        <v>0</v>
      </c>
      <c r="CP225" s="5">
        <f t="shared" ref="CP225:CP237" si="498">CO225-CN225</f>
        <v>-5005</v>
      </c>
      <c r="CQ225" s="277"/>
      <c r="CR225" s="304">
        <f>CR212</f>
        <v>0</v>
      </c>
      <c r="CS225" s="35">
        <f t="shared" ref="CS225:CS237" si="499">CN225+CQ225-CR225</f>
        <v>5005</v>
      </c>
      <c r="CT225" s="129"/>
      <c r="CU225" s="130"/>
      <c r="CV225" s="79"/>
      <c r="CW225" s="712"/>
      <c r="CX225" s="129"/>
      <c r="CY225" s="130"/>
      <c r="CZ225" s="79"/>
      <c r="DA225" s="712"/>
      <c r="DB225" s="131"/>
      <c r="DC225" s="130"/>
      <c r="DD225" s="79"/>
      <c r="DE225" s="619"/>
      <c r="DF225" s="619"/>
      <c r="DG225" s="395">
        <f t="shared" si="458"/>
        <v>-4880</v>
      </c>
      <c r="DH225" s="29">
        <f t="shared" si="459"/>
        <v>5005</v>
      </c>
      <c r="DI225" s="299">
        <f>DI212</f>
        <v>0</v>
      </c>
      <c r="DJ225" s="5">
        <f t="shared" si="485"/>
        <v>-5005</v>
      </c>
      <c r="DK225" s="277"/>
      <c r="DL225" s="304">
        <f>DL212</f>
        <v>0</v>
      </c>
      <c r="DM225" s="35">
        <f t="shared" si="486"/>
        <v>5005</v>
      </c>
    </row>
    <row r="226" spans="1:117" ht="30" x14ac:dyDescent="0.25">
      <c r="A226" s="75"/>
      <c r="B226" s="74" t="s">
        <v>590</v>
      </c>
      <c r="C226" s="77">
        <v>1</v>
      </c>
      <c r="D226" s="525" t="s">
        <v>633</v>
      </c>
      <c r="E226" s="745"/>
      <c r="F226" s="430">
        <v>6.21</v>
      </c>
      <c r="G226" s="23" t="s">
        <v>757</v>
      </c>
      <c r="H226" s="25"/>
      <c r="I226" s="25"/>
      <c r="J226" s="530">
        <f t="shared" si="451"/>
        <v>-529</v>
      </c>
      <c r="K226" s="395">
        <f t="shared" si="452"/>
        <v>-654</v>
      </c>
      <c r="L226" s="147">
        <v>654</v>
      </c>
      <c r="M226" s="299">
        <f>M212</f>
        <v>0</v>
      </c>
      <c r="N226" s="5">
        <f t="shared" si="487"/>
        <v>-654</v>
      </c>
      <c r="O226" s="240"/>
      <c r="P226" s="304">
        <f>P212</f>
        <v>0</v>
      </c>
      <c r="Q226" s="35">
        <f t="shared" si="488"/>
        <v>654</v>
      </c>
      <c r="R226" s="129"/>
      <c r="S226" s="130"/>
      <c r="T226" s="79"/>
      <c r="U226" s="712"/>
      <c r="V226" s="129"/>
      <c r="W226" s="130"/>
      <c r="X226" s="79"/>
      <c r="Y226" s="712"/>
      <c r="Z226" s="131"/>
      <c r="AA226" s="130"/>
      <c r="AB226" s="79"/>
      <c r="AC226" s="619"/>
      <c r="AD226" s="619"/>
      <c r="AE226" s="395">
        <f t="shared" si="453"/>
        <v>-654</v>
      </c>
      <c r="AF226" s="29">
        <f t="shared" si="454"/>
        <v>654</v>
      </c>
      <c r="AG226" s="299">
        <f>AG212</f>
        <v>0</v>
      </c>
      <c r="AH226" s="5">
        <f t="shared" si="489"/>
        <v>-654</v>
      </c>
      <c r="AI226" s="256"/>
      <c r="AJ226" s="304">
        <f>AJ212</f>
        <v>0</v>
      </c>
      <c r="AK226" s="35">
        <f t="shared" si="490"/>
        <v>654</v>
      </c>
      <c r="AL226" s="131"/>
      <c r="AM226" s="130"/>
      <c r="AN226" s="79"/>
      <c r="AO226" s="712"/>
      <c r="AP226" s="129"/>
      <c r="AQ226" s="130"/>
      <c r="AR226" s="79"/>
      <c r="AS226" s="712"/>
      <c r="AT226" s="131"/>
      <c r="AU226" s="130"/>
      <c r="AV226" s="79"/>
      <c r="AW226" s="619"/>
      <c r="AX226" s="619"/>
      <c r="AY226" s="395">
        <f t="shared" si="455"/>
        <v>-604</v>
      </c>
      <c r="AZ226" s="29">
        <f t="shared" si="491"/>
        <v>654</v>
      </c>
      <c r="BA226" s="299">
        <f>BA212</f>
        <v>50</v>
      </c>
      <c r="BB226" s="5">
        <f t="shared" si="492"/>
        <v>-604</v>
      </c>
      <c r="BC226" s="244"/>
      <c r="BD226" s="304">
        <f>BD212</f>
        <v>0</v>
      </c>
      <c r="BE226" s="35">
        <f t="shared" si="493"/>
        <v>654</v>
      </c>
      <c r="BF226" s="129"/>
      <c r="BG226" s="130"/>
      <c r="BH226" s="79"/>
      <c r="BI226" s="712"/>
      <c r="BJ226" s="129"/>
      <c r="BK226" s="130"/>
      <c r="BL226" s="79"/>
      <c r="BM226" s="712"/>
      <c r="BN226" s="131"/>
      <c r="BO226" s="130"/>
      <c r="BP226" s="79"/>
      <c r="BQ226" s="619"/>
      <c r="BR226" s="619"/>
      <c r="BS226" s="395">
        <f t="shared" si="456"/>
        <v>-529</v>
      </c>
      <c r="BT226" s="29">
        <f t="shared" si="494"/>
        <v>654</v>
      </c>
      <c r="BU226" s="299">
        <f>BU212</f>
        <v>75</v>
      </c>
      <c r="BV226" s="5">
        <f t="shared" si="495"/>
        <v>-579</v>
      </c>
      <c r="BW226" s="244"/>
      <c r="BX226" s="304">
        <f>BX212</f>
        <v>0</v>
      </c>
      <c r="BY226" s="35">
        <f t="shared" si="496"/>
        <v>654</v>
      </c>
      <c r="BZ226" s="129"/>
      <c r="CA226" s="130"/>
      <c r="CB226" s="79"/>
      <c r="CC226" s="712"/>
      <c r="CD226" s="129"/>
      <c r="CE226" s="130"/>
      <c r="CF226" s="79"/>
      <c r="CG226" s="712"/>
      <c r="CH226" s="129"/>
      <c r="CI226" s="130"/>
      <c r="CJ226" s="79"/>
      <c r="CK226" s="619"/>
      <c r="CL226" s="619"/>
      <c r="CM226" s="395">
        <f t="shared" si="457"/>
        <v>-529</v>
      </c>
      <c r="CN226" s="29">
        <f t="shared" si="497"/>
        <v>654</v>
      </c>
      <c r="CO226" s="299">
        <f>CO212</f>
        <v>0</v>
      </c>
      <c r="CP226" s="5">
        <f t="shared" si="498"/>
        <v>-654</v>
      </c>
      <c r="CQ226" s="277"/>
      <c r="CR226" s="304">
        <f>CR212</f>
        <v>0</v>
      </c>
      <c r="CS226" s="35">
        <f t="shared" si="499"/>
        <v>654</v>
      </c>
      <c r="CT226" s="129"/>
      <c r="CU226" s="130"/>
      <c r="CV226" s="79"/>
      <c r="CW226" s="712"/>
      <c r="CX226" s="129"/>
      <c r="CY226" s="130"/>
      <c r="CZ226" s="79"/>
      <c r="DA226" s="712"/>
      <c r="DB226" s="131"/>
      <c r="DC226" s="130"/>
      <c r="DD226" s="79"/>
      <c r="DE226" s="619"/>
      <c r="DF226" s="619"/>
      <c r="DG226" s="395">
        <f t="shared" si="458"/>
        <v>-529</v>
      </c>
      <c r="DH226" s="29">
        <f t="shared" si="459"/>
        <v>654</v>
      </c>
      <c r="DI226" s="299">
        <f>DI212</f>
        <v>0</v>
      </c>
      <c r="DJ226" s="5">
        <f t="shared" si="485"/>
        <v>-654</v>
      </c>
      <c r="DK226" s="277"/>
      <c r="DL226" s="304">
        <f>DL212</f>
        <v>0</v>
      </c>
      <c r="DM226" s="35">
        <f t="shared" si="486"/>
        <v>654</v>
      </c>
    </row>
    <row r="227" spans="1:117" x14ac:dyDescent="0.25">
      <c r="A227" s="75"/>
      <c r="B227" s="74" t="s">
        <v>344</v>
      </c>
      <c r="C227" s="77">
        <v>1</v>
      </c>
      <c r="D227" s="274"/>
      <c r="E227" s="743"/>
      <c r="F227" s="430">
        <v>1</v>
      </c>
      <c r="G227" s="23" t="s">
        <v>317</v>
      </c>
      <c r="H227" s="25"/>
      <c r="I227" s="25"/>
      <c r="J227" s="530">
        <f t="shared" si="451"/>
        <v>-4575</v>
      </c>
      <c r="K227" s="395">
        <f t="shared" si="452"/>
        <v>-4700</v>
      </c>
      <c r="L227" s="147">
        <v>4700</v>
      </c>
      <c r="M227" s="299">
        <f>M212</f>
        <v>0</v>
      </c>
      <c r="N227" s="5">
        <f t="shared" si="487"/>
        <v>-4700</v>
      </c>
      <c r="O227" s="277"/>
      <c r="P227" s="304">
        <f>P212</f>
        <v>0</v>
      </c>
      <c r="Q227" s="35">
        <f t="shared" si="488"/>
        <v>4700</v>
      </c>
      <c r="R227" s="129"/>
      <c r="S227" s="130"/>
      <c r="T227" s="79"/>
      <c r="U227" s="712"/>
      <c r="V227" s="129"/>
      <c r="W227" s="130"/>
      <c r="X227" s="79"/>
      <c r="Y227" s="712"/>
      <c r="Z227" s="131"/>
      <c r="AA227" s="130"/>
      <c r="AB227" s="79"/>
      <c r="AC227" s="619"/>
      <c r="AD227" s="619"/>
      <c r="AE227" s="395">
        <f t="shared" si="453"/>
        <v>-4700</v>
      </c>
      <c r="AF227" s="29">
        <f t="shared" si="454"/>
        <v>4700</v>
      </c>
      <c r="AG227" s="299">
        <f>AG212</f>
        <v>0</v>
      </c>
      <c r="AH227" s="5">
        <f t="shared" si="489"/>
        <v>-4700</v>
      </c>
      <c r="AI227" s="277"/>
      <c r="AJ227" s="304">
        <f>AJ212</f>
        <v>0</v>
      </c>
      <c r="AK227" s="35">
        <f t="shared" si="490"/>
        <v>4700</v>
      </c>
      <c r="AL227" s="129"/>
      <c r="AM227" s="130"/>
      <c r="AN227" s="79"/>
      <c r="AO227" s="712"/>
      <c r="AP227" s="129"/>
      <c r="AQ227" s="130"/>
      <c r="AR227" s="79"/>
      <c r="AS227" s="712"/>
      <c r="AT227" s="131"/>
      <c r="AU227" s="130"/>
      <c r="AV227" s="79"/>
      <c r="AW227" s="619"/>
      <c r="AX227" s="619"/>
      <c r="AY227" s="395">
        <f t="shared" si="455"/>
        <v>-4650</v>
      </c>
      <c r="AZ227" s="29">
        <f t="shared" si="491"/>
        <v>4700</v>
      </c>
      <c r="BA227" s="299">
        <f>BA212</f>
        <v>50</v>
      </c>
      <c r="BB227" s="5">
        <f t="shared" si="492"/>
        <v>-4650</v>
      </c>
      <c r="BC227" s="240"/>
      <c r="BD227" s="304">
        <f>BD212</f>
        <v>0</v>
      </c>
      <c r="BE227" s="35">
        <f t="shared" si="493"/>
        <v>4700</v>
      </c>
      <c r="BF227" s="129"/>
      <c r="BG227" s="130"/>
      <c r="BH227" s="79"/>
      <c r="BI227" s="712"/>
      <c r="BJ227" s="129"/>
      <c r="BK227" s="130"/>
      <c r="BL227" s="79"/>
      <c r="BM227" s="712"/>
      <c r="BN227" s="131"/>
      <c r="BO227" s="130"/>
      <c r="BP227" s="79"/>
      <c r="BQ227" s="619"/>
      <c r="BR227" s="619"/>
      <c r="BS227" s="395">
        <f t="shared" si="456"/>
        <v>-4575</v>
      </c>
      <c r="BT227" s="29">
        <f t="shared" si="494"/>
        <v>4700</v>
      </c>
      <c r="BU227" s="299">
        <f>BU212</f>
        <v>75</v>
      </c>
      <c r="BV227" s="5">
        <f t="shared" si="495"/>
        <v>-4625</v>
      </c>
      <c r="BW227" s="78"/>
      <c r="BX227" s="304">
        <f>BX212</f>
        <v>0</v>
      </c>
      <c r="BY227" s="35">
        <f t="shared" si="496"/>
        <v>4700</v>
      </c>
      <c r="BZ227" s="129"/>
      <c r="CA227" s="130"/>
      <c r="CB227" s="79"/>
      <c r="CC227" s="712"/>
      <c r="CD227" s="129"/>
      <c r="CE227" s="130"/>
      <c r="CF227" s="79"/>
      <c r="CG227" s="712"/>
      <c r="CH227" s="129"/>
      <c r="CI227" s="130"/>
      <c r="CJ227" s="79"/>
      <c r="CK227" s="619"/>
      <c r="CL227" s="619"/>
      <c r="CM227" s="395">
        <f t="shared" si="457"/>
        <v>-4575</v>
      </c>
      <c r="CN227" s="29">
        <f t="shared" si="497"/>
        <v>4700</v>
      </c>
      <c r="CO227" s="299">
        <f>CO212</f>
        <v>0</v>
      </c>
      <c r="CP227" s="5">
        <f t="shared" si="498"/>
        <v>-4700</v>
      </c>
      <c r="CQ227" s="277"/>
      <c r="CR227" s="304">
        <f>CR212</f>
        <v>0</v>
      </c>
      <c r="CS227" s="35">
        <f t="shared" si="499"/>
        <v>4700</v>
      </c>
      <c r="CT227" s="129"/>
      <c r="CU227" s="130"/>
      <c r="CV227" s="79"/>
      <c r="CW227" s="712"/>
      <c r="CX227" s="129"/>
      <c r="CY227" s="130"/>
      <c r="CZ227" s="79"/>
      <c r="DA227" s="712"/>
      <c r="DB227" s="131"/>
      <c r="DC227" s="130"/>
      <c r="DD227" s="79"/>
      <c r="DE227" s="619"/>
      <c r="DF227" s="619"/>
      <c r="DG227" s="395">
        <f t="shared" si="458"/>
        <v>-4575</v>
      </c>
      <c r="DH227" s="29">
        <f t="shared" si="459"/>
        <v>4700</v>
      </c>
      <c r="DI227" s="299">
        <f>DI212</f>
        <v>0</v>
      </c>
      <c r="DJ227" s="5">
        <f t="shared" si="485"/>
        <v>-4700</v>
      </c>
      <c r="DK227" s="277"/>
      <c r="DL227" s="304">
        <f>DL212</f>
        <v>0</v>
      </c>
      <c r="DM227" s="35">
        <f t="shared" si="486"/>
        <v>4700</v>
      </c>
    </row>
    <row r="228" spans="1:117" x14ac:dyDescent="0.25">
      <c r="A228" s="18"/>
      <c r="B228" s="11" t="s">
        <v>357</v>
      </c>
      <c r="C228" s="25">
        <v>2</v>
      </c>
      <c r="D228" s="15"/>
      <c r="E228" s="746"/>
      <c r="F228" s="577">
        <v>6</v>
      </c>
      <c r="G228" s="23" t="s">
        <v>763</v>
      </c>
      <c r="H228" s="25"/>
      <c r="I228" s="25"/>
      <c r="J228" s="530">
        <f t="shared" si="451"/>
        <v>-6689</v>
      </c>
      <c r="K228" s="395">
        <f t="shared" si="452"/>
        <v>-9939</v>
      </c>
      <c r="L228" s="147">
        <v>6939</v>
      </c>
      <c r="M228" s="298">
        <f>M212*2</f>
        <v>0</v>
      </c>
      <c r="N228" s="5">
        <f t="shared" si="487"/>
        <v>-6939</v>
      </c>
      <c r="O228" s="256">
        <v>3000</v>
      </c>
      <c r="P228" s="303">
        <f>P212*2</f>
        <v>0</v>
      </c>
      <c r="Q228" s="35">
        <f t="shared" si="488"/>
        <v>9939</v>
      </c>
      <c r="R228" s="121"/>
      <c r="S228" s="6"/>
      <c r="T228" s="35"/>
      <c r="U228" s="612"/>
      <c r="V228" s="570">
        <f>F228*100%*3000</f>
        <v>18000</v>
      </c>
      <c r="W228" s="6"/>
      <c r="X228" s="35" t="s">
        <v>709</v>
      </c>
      <c r="Y228" s="612"/>
      <c r="Z228" s="21"/>
      <c r="AA228" s="6"/>
      <c r="AB228" s="35"/>
      <c r="AC228" s="231"/>
      <c r="AD228" s="231"/>
      <c r="AE228" s="398">
        <f t="shared" si="453"/>
        <v>-9939</v>
      </c>
      <c r="AF228" s="29">
        <f t="shared" si="454"/>
        <v>9939</v>
      </c>
      <c r="AG228" s="298">
        <f>AG212*2</f>
        <v>0</v>
      </c>
      <c r="AH228" s="5">
        <f t="shared" si="489"/>
        <v>-9939</v>
      </c>
      <c r="AI228" s="256"/>
      <c r="AJ228" s="303">
        <f>AJ212*2</f>
        <v>0</v>
      </c>
      <c r="AK228" s="35">
        <f t="shared" si="490"/>
        <v>9939</v>
      </c>
      <c r="AL228" s="121"/>
      <c r="AM228" s="6"/>
      <c r="AN228" s="35"/>
      <c r="AO228" s="612"/>
      <c r="AP228" s="121"/>
      <c r="AQ228" s="6"/>
      <c r="AR228" s="35"/>
      <c r="AS228" s="612"/>
      <c r="AT228" s="21"/>
      <c r="AU228" s="6"/>
      <c r="AV228" s="35"/>
      <c r="AW228" s="231"/>
      <c r="AX228" s="231"/>
      <c r="AY228" s="398">
        <f t="shared" si="455"/>
        <v>-9839</v>
      </c>
      <c r="AZ228" s="29">
        <f t="shared" si="491"/>
        <v>9939</v>
      </c>
      <c r="BA228" s="298">
        <f>BA212*2</f>
        <v>100</v>
      </c>
      <c r="BB228" s="5">
        <f t="shared" si="492"/>
        <v>-9839</v>
      </c>
      <c r="BC228" s="240"/>
      <c r="BD228" s="303">
        <f>BD212*2</f>
        <v>0</v>
      </c>
      <c r="BE228" s="35">
        <f t="shared" si="493"/>
        <v>9939</v>
      </c>
      <c r="BF228" s="121"/>
      <c r="BG228" s="6"/>
      <c r="BH228" s="35"/>
      <c r="BI228" s="612"/>
      <c r="BJ228" s="121"/>
      <c r="BK228" s="6"/>
      <c r="BL228" s="35"/>
      <c r="BM228" s="612"/>
      <c r="BN228" s="21"/>
      <c r="BO228" s="6"/>
      <c r="BP228" s="35"/>
      <c r="BQ228" s="231"/>
      <c r="BR228" s="231"/>
      <c r="BS228" s="398">
        <f t="shared" si="456"/>
        <v>-9689</v>
      </c>
      <c r="BT228" s="29">
        <f t="shared" si="494"/>
        <v>9939</v>
      </c>
      <c r="BU228" s="298">
        <f>BU212*2</f>
        <v>150</v>
      </c>
      <c r="BV228" s="5">
        <f t="shared" si="495"/>
        <v>-9789</v>
      </c>
      <c r="BW228" s="240"/>
      <c r="BX228" s="303">
        <f>BX212*2</f>
        <v>0</v>
      </c>
      <c r="BY228" s="35">
        <f t="shared" si="496"/>
        <v>9939</v>
      </c>
      <c r="BZ228" s="121"/>
      <c r="CA228" s="6"/>
      <c r="CB228" s="35"/>
      <c r="CC228" s="612"/>
      <c r="CD228" s="121"/>
      <c r="CE228" s="6"/>
      <c r="CF228" s="35"/>
      <c r="CG228" s="612"/>
      <c r="CH228" s="121"/>
      <c r="CI228" s="6"/>
      <c r="CJ228" s="35"/>
      <c r="CK228" s="234"/>
      <c r="CL228" s="234"/>
      <c r="CM228" s="395">
        <f t="shared" si="457"/>
        <v>-9689</v>
      </c>
      <c r="CN228" s="29">
        <f t="shared" si="497"/>
        <v>9939</v>
      </c>
      <c r="CO228" s="298">
        <f>CO212*2</f>
        <v>0</v>
      </c>
      <c r="CP228" s="5">
        <f t="shared" si="498"/>
        <v>-9939</v>
      </c>
      <c r="CQ228" s="256"/>
      <c r="CR228" s="303">
        <f>CR212*2</f>
        <v>0</v>
      </c>
      <c r="CS228" s="35">
        <f t="shared" si="499"/>
        <v>9939</v>
      </c>
      <c r="CT228" s="129"/>
      <c r="CU228" s="130"/>
      <c r="CV228" s="79"/>
      <c r="CW228" s="712"/>
      <c r="CX228" s="129"/>
      <c r="CY228" s="130"/>
      <c r="CZ228" s="79"/>
      <c r="DA228" s="712"/>
      <c r="DB228" s="131"/>
      <c r="DC228" s="130"/>
      <c r="DD228" s="79"/>
      <c r="DE228" s="619"/>
      <c r="DF228" s="619"/>
      <c r="DG228" s="395">
        <f t="shared" si="458"/>
        <v>-9689</v>
      </c>
      <c r="DH228" s="29">
        <f t="shared" si="459"/>
        <v>9939</v>
      </c>
      <c r="DI228" s="298">
        <f>DI212*2</f>
        <v>0</v>
      </c>
      <c r="DJ228" s="5">
        <f t="shared" si="485"/>
        <v>-9939</v>
      </c>
      <c r="DK228" s="256"/>
      <c r="DL228" s="303">
        <f>DL212*2</f>
        <v>0</v>
      </c>
      <c r="DM228" s="35">
        <f t="shared" si="486"/>
        <v>9939</v>
      </c>
    </row>
    <row r="229" spans="1:117" x14ac:dyDescent="0.25">
      <c r="A229" s="17"/>
      <c r="B229" s="10" t="s">
        <v>426</v>
      </c>
      <c r="C229" s="24">
        <v>1</v>
      </c>
      <c r="D229" s="10"/>
      <c r="E229" s="742"/>
      <c r="F229" s="473"/>
      <c r="G229" s="10" t="s">
        <v>317</v>
      </c>
      <c r="H229" s="382"/>
      <c r="I229" s="382"/>
      <c r="J229" s="534">
        <f t="shared" si="451"/>
        <v>-4371</v>
      </c>
      <c r="K229" s="395">
        <f t="shared" si="452"/>
        <v>-4496</v>
      </c>
      <c r="L229" s="515">
        <v>4496</v>
      </c>
      <c r="M229" s="302">
        <f>M212</f>
        <v>0</v>
      </c>
      <c r="N229" s="7">
        <f>M229-L229</f>
        <v>-4496</v>
      </c>
      <c r="O229" s="258"/>
      <c r="P229" s="304">
        <f>P212</f>
        <v>0</v>
      </c>
      <c r="Q229" s="34">
        <f>L229+O229-P229</f>
        <v>4496</v>
      </c>
      <c r="R229" s="123"/>
      <c r="S229" s="213"/>
      <c r="T229" s="34"/>
      <c r="U229" s="713"/>
      <c r="V229" s="312"/>
      <c r="W229" s="8"/>
      <c r="X229" s="34"/>
      <c r="Y229" s="713"/>
      <c r="Z229" s="20"/>
      <c r="AA229" s="8"/>
      <c r="AB229" s="34"/>
      <c r="AC229" s="234"/>
      <c r="AD229" s="234"/>
      <c r="AE229" s="395">
        <f t="shared" si="453"/>
        <v>-4495</v>
      </c>
      <c r="AF229" s="32">
        <f t="shared" si="454"/>
        <v>4496</v>
      </c>
      <c r="AG229" s="302">
        <f>AG212</f>
        <v>0</v>
      </c>
      <c r="AH229" s="7">
        <f>AG229-AF229</f>
        <v>-4496</v>
      </c>
      <c r="AI229" s="258">
        <f>-1</f>
        <v>-1</v>
      </c>
      <c r="AJ229" s="304">
        <f>AJ212</f>
        <v>0</v>
      </c>
      <c r="AK229" s="34">
        <f>AF229+AI229-AJ229</f>
        <v>4495</v>
      </c>
      <c r="AL229" s="123"/>
      <c r="AM229" s="213"/>
      <c r="AN229" s="34"/>
      <c r="AO229" s="713"/>
      <c r="AP229" s="312"/>
      <c r="AQ229" s="8"/>
      <c r="AR229" s="34"/>
      <c r="AS229" s="713"/>
      <c r="AT229" s="20"/>
      <c r="AU229" s="8"/>
      <c r="AV229" s="34"/>
      <c r="AW229" s="234"/>
      <c r="AX229" s="234"/>
      <c r="AY229" s="395">
        <f t="shared" si="455"/>
        <v>-4445</v>
      </c>
      <c r="AZ229" s="32">
        <f>AK229</f>
        <v>4495</v>
      </c>
      <c r="BA229" s="302">
        <f>BA212</f>
        <v>50</v>
      </c>
      <c r="BB229" s="7">
        <f>BA229-AZ229</f>
        <v>-4445</v>
      </c>
      <c r="BC229" s="258"/>
      <c r="BD229" s="304">
        <f>BD212</f>
        <v>0</v>
      </c>
      <c r="BE229" s="34">
        <f>AZ229+BC229-BD229</f>
        <v>4495</v>
      </c>
      <c r="BF229" s="20"/>
      <c r="BG229" s="8"/>
      <c r="BH229" s="34"/>
      <c r="BI229" s="713"/>
      <c r="BJ229" s="312"/>
      <c r="BK229" s="8"/>
      <c r="BL229" s="34"/>
      <c r="BM229" s="713"/>
      <c r="BN229" s="20"/>
      <c r="BO229" s="8"/>
      <c r="BP229" s="34"/>
      <c r="BQ229" s="234"/>
      <c r="BR229" s="234"/>
      <c r="BS229" s="395">
        <f t="shared" si="456"/>
        <v>-4370</v>
      </c>
      <c r="BT229" s="32">
        <f>BE229</f>
        <v>4495</v>
      </c>
      <c r="BU229" s="302">
        <f>BU212</f>
        <v>75</v>
      </c>
      <c r="BV229" s="7">
        <f>BU229-BT229</f>
        <v>-4420</v>
      </c>
      <c r="BW229" s="258"/>
      <c r="BX229" s="304">
        <v>29</v>
      </c>
      <c r="BY229" s="34">
        <f>BT229+BW229-BX229</f>
        <v>4466</v>
      </c>
      <c r="BZ229" s="123"/>
      <c r="CA229" s="213"/>
      <c r="CB229" s="34"/>
      <c r="CC229" s="713"/>
      <c r="CD229" s="123"/>
      <c r="CE229" s="213"/>
      <c r="CF229" s="34"/>
      <c r="CG229" s="713"/>
      <c r="CH229" s="123"/>
      <c r="CI229" s="213"/>
      <c r="CJ229" s="34"/>
      <c r="CK229" s="234"/>
      <c r="CL229" s="234"/>
      <c r="CM229" s="395">
        <f t="shared" si="457"/>
        <v>-4370</v>
      </c>
      <c r="CN229" s="32">
        <f>BY229</f>
        <v>4466</v>
      </c>
      <c r="CO229" s="302">
        <f>CO212</f>
        <v>0</v>
      </c>
      <c r="CP229" s="7">
        <f>CO229-CN229</f>
        <v>-4466</v>
      </c>
      <c r="CQ229" s="258"/>
      <c r="CR229" s="304">
        <f>CR212</f>
        <v>0</v>
      </c>
      <c r="CS229" s="34">
        <f>CN229+CQ229-CR229</f>
        <v>4466</v>
      </c>
      <c r="CT229" s="123"/>
      <c r="CU229" s="213"/>
      <c r="CV229" s="34"/>
      <c r="CW229" s="713"/>
      <c r="CX229" s="312"/>
      <c r="CY229" s="8"/>
      <c r="CZ229" s="34"/>
      <c r="DA229" s="713"/>
      <c r="DB229" s="20"/>
      <c r="DC229" s="8"/>
      <c r="DD229" s="34"/>
      <c r="DE229" s="234"/>
      <c r="DF229" s="234"/>
      <c r="DG229" s="395">
        <f t="shared" si="458"/>
        <v>-4370</v>
      </c>
      <c r="DH229" s="29">
        <f t="shared" si="459"/>
        <v>4466</v>
      </c>
      <c r="DI229" s="302">
        <f>DI212</f>
        <v>0</v>
      </c>
      <c r="DJ229" s="7">
        <f>DI229-DH229</f>
        <v>-4466</v>
      </c>
      <c r="DK229" s="258"/>
      <c r="DL229" s="304">
        <f>DL212</f>
        <v>0</v>
      </c>
      <c r="DM229" s="34">
        <f>DH229+DK229-DL229</f>
        <v>4466</v>
      </c>
    </row>
    <row r="230" spans="1:117" x14ac:dyDescent="0.25">
      <c r="A230" s="17"/>
      <c r="B230" s="10" t="s">
        <v>453</v>
      </c>
      <c r="C230" s="24">
        <v>1</v>
      </c>
      <c r="D230" s="11"/>
      <c r="E230" s="742"/>
      <c r="F230" s="473"/>
      <c r="G230" s="10" t="s">
        <v>198</v>
      </c>
      <c r="H230" s="382"/>
      <c r="I230" s="382"/>
      <c r="J230" s="530">
        <f t="shared" si="451"/>
        <v>-951</v>
      </c>
      <c r="K230" s="395">
        <f t="shared" si="452"/>
        <v>-1076</v>
      </c>
      <c r="L230" s="544">
        <v>1076</v>
      </c>
      <c r="M230" s="298">
        <f>M212</f>
        <v>0</v>
      </c>
      <c r="N230" s="5">
        <f>M230-L230</f>
        <v>-1076</v>
      </c>
      <c r="O230" s="256"/>
      <c r="P230" s="304">
        <f>P212</f>
        <v>0</v>
      </c>
      <c r="Q230" s="35">
        <f>L230+O230-P230</f>
        <v>1076</v>
      </c>
      <c r="R230" s="123"/>
      <c r="S230" s="213"/>
      <c r="T230" s="34"/>
      <c r="U230" s="713"/>
      <c r="V230" s="312"/>
      <c r="W230" s="8"/>
      <c r="X230" s="34"/>
      <c r="Y230" s="713"/>
      <c r="Z230" s="20"/>
      <c r="AA230" s="8"/>
      <c r="AB230" s="34"/>
      <c r="AC230" s="234"/>
      <c r="AD230" s="234"/>
      <c r="AE230" s="395">
        <f t="shared" si="453"/>
        <v>-1076</v>
      </c>
      <c r="AF230" s="29">
        <f t="shared" si="454"/>
        <v>1076</v>
      </c>
      <c r="AG230" s="298">
        <f>AG212</f>
        <v>0</v>
      </c>
      <c r="AH230" s="5">
        <f>AG230-AF230</f>
        <v>-1076</v>
      </c>
      <c r="AI230" s="258"/>
      <c r="AJ230" s="304">
        <f>AJ212</f>
        <v>0</v>
      </c>
      <c r="AK230" s="35">
        <f>AF230+AI230-AJ230</f>
        <v>1076</v>
      </c>
      <c r="AL230" s="123"/>
      <c r="AM230" s="213"/>
      <c r="AN230" s="34"/>
      <c r="AO230" s="713"/>
      <c r="AP230" s="312"/>
      <c r="AQ230" s="8"/>
      <c r="AR230" s="34"/>
      <c r="AS230" s="713"/>
      <c r="AT230" s="20"/>
      <c r="AU230" s="8"/>
      <c r="AV230" s="34"/>
      <c r="AW230" s="234"/>
      <c r="AX230" s="234"/>
      <c r="AY230" s="395">
        <f t="shared" si="455"/>
        <v>-1026</v>
      </c>
      <c r="AZ230" s="29">
        <f>AK230</f>
        <v>1076</v>
      </c>
      <c r="BA230" s="298">
        <f>BA212</f>
        <v>50</v>
      </c>
      <c r="BB230" s="5">
        <f>BA230-AZ230</f>
        <v>-1026</v>
      </c>
      <c r="BC230" s="242"/>
      <c r="BD230" s="304">
        <f>BD212</f>
        <v>0</v>
      </c>
      <c r="BE230" s="35">
        <f>AZ230+BC230-BD230</f>
        <v>1076</v>
      </c>
      <c r="BF230" s="20"/>
      <c r="BG230" s="8"/>
      <c r="BH230" s="34"/>
      <c r="BI230" s="713"/>
      <c r="BJ230" s="312"/>
      <c r="BK230" s="8"/>
      <c r="BL230" s="34"/>
      <c r="BM230" s="713"/>
      <c r="BN230" s="20"/>
      <c r="BO230" s="8"/>
      <c r="BP230" s="34"/>
      <c r="BQ230" s="234"/>
      <c r="BR230" s="234"/>
      <c r="BS230" s="395">
        <f t="shared" si="456"/>
        <v>-951</v>
      </c>
      <c r="BT230" s="29">
        <f>BE230</f>
        <v>1076</v>
      </c>
      <c r="BU230" s="298">
        <f>BU212</f>
        <v>75</v>
      </c>
      <c r="BV230" s="5">
        <f>BU230-BT230</f>
        <v>-1001</v>
      </c>
      <c r="BW230" s="242"/>
      <c r="BX230" s="304">
        <f>BX212</f>
        <v>0</v>
      </c>
      <c r="BY230" s="35">
        <f>BT230+BW230-BX230</f>
        <v>1076</v>
      </c>
      <c r="BZ230" s="123"/>
      <c r="CA230" s="213"/>
      <c r="CB230" s="34"/>
      <c r="CC230" s="713"/>
      <c r="CD230" s="123"/>
      <c r="CE230" s="213"/>
      <c r="CF230" s="34"/>
      <c r="CG230" s="713"/>
      <c r="CH230" s="123"/>
      <c r="CI230" s="213"/>
      <c r="CJ230" s="34"/>
      <c r="CK230" s="234"/>
      <c r="CL230" s="234"/>
      <c r="CM230" s="395">
        <f t="shared" si="457"/>
        <v>-951</v>
      </c>
      <c r="CN230" s="29">
        <f>BY230</f>
        <v>1076</v>
      </c>
      <c r="CO230" s="298">
        <f>CO212</f>
        <v>0</v>
      </c>
      <c r="CP230" s="5">
        <f>CO230-CN230</f>
        <v>-1076</v>
      </c>
      <c r="CQ230" s="258"/>
      <c r="CR230" s="304">
        <f>CR212</f>
        <v>0</v>
      </c>
      <c r="CS230" s="35">
        <f>CN230+CQ230-CR230</f>
        <v>1076</v>
      </c>
      <c r="CT230" s="123"/>
      <c r="CU230" s="213"/>
      <c r="CV230" s="34"/>
      <c r="CW230" s="713"/>
      <c r="CX230" s="312"/>
      <c r="CY230" s="8"/>
      <c r="CZ230" s="34"/>
      <c r="DA230" s="713"/>
      <c r="DB230" s="20"/>
      <c r="DC230" s="8"/>
      <c r="DD230" s="34"/>
      <c r="DE230" s="234"/>
      <c r="DF230" s="234"/>
      <c r="DG230" s="395">
        <f t="shared" si="458"/>
        <v>-951</v>
      </c>
      <c r="DH230" s="29">
        <f t="shared" si="459"/>
        <v>1076</v>
      </c>
      <c r="DI230" s="298">
        <f>DI212</f>
        <v>0</v>
      </c>
      <c r="DJ230" s="5">
        <f>DI230-DH230</f>
        <v>-1076</v>
      </c>
      <c r="DK230" s="258"/>
      <c r="DL230" s="304">
        <f>DL212</f>
        <v>0</v>
      </c>
      <c r="DM230" s="35">
        <f>DH230+DK230-DL230</f>
        <v>1076</v>
      </c>
    </row>
    <row r="231" spans="1:117" x14ac:dyDescent="0.25">
      <c r="A231" s="75"/>
      <c r="B231" s="74" t="s">
        <v>346</v>
      </c>
      <c r="C231" s="77">
        <v>1</v>
      </c>
      <c r="D231" s="274"/>
      <c r="E231" s="743"/>
      <c r="F231" s="430">
        <v>18</v>
      </c>
      <c r="G231" s="11" t="s">
        <v>33</v>
      </c>
      <c r="H231" s="25"/>
      <c r="I231" s="25"/>
      <c r="J231" s="530">
        <f t="shared" si="451"/>
        <v>-799</v>
      </c>
      <c r="K231" s="395">
        <f t="shared" si="452"/>
        <v>-924</v>
      </c>
      <c r="L231" s="147">
        <v>924</v>
      </c>
      <c r="M231" s="299">
        <f>M212</f>
        <v>0</v>
      </c>
      <c r="N231" s="5">
        <f t="shared" si="487"/>
        <v>-924</v>
      </c>
      <c r="O231" s="277"/>
      <c r="P231" s="304">
        <f>P212</f>
        <v>0</v>
      </c>
      <c r="Q231" s="35">
        <f t="shared" si="488"/>
        <v>924</v>
      </c>
      <c r="R231" s="129"/>
      <c r="S231" s="130"/>
      <c r="T231" s="79"/>
      <c r="U231" s="712"/>
      <c r="V231" s="129"/>
      <c r="W231" s="130"/>
      <c r="X231" s="79"/>
      <c r="Y231" s="712"/>
      <c r="Z231" s="131"/>
      <c r="AA231" s="130"/>
      <c r="AB231" s="79"/>
      <c r="AC231" s="619"/>
      <c r="AD231" s="619"/>
      <c r="AE231" s="395">
        <f t="shared" si="453"/>
        <v>-924</v>
      </c>
      <c r="AF231" s="29">
        <f t="shared" si="454"/>
        <v>924</v>
      </c>
      <c r="AG231" s="299">
        <f>AG212</f>
        <v>0</v>
      </c>
      <c r="AH231" s="5">
        <f t="shared" si="489"/>
        <v>-924</v>
      </c>
      <c r="AI231" s="240"/>
      <c r="AJ231" s="304">
        <f>AJ212</f>
        <v>0</v>
      </c>
      <c r="AK231" s="35">
        <f t="shared" si="490"/>
        <v>924</v>
      </c>
      <c r="AL231" s="131"/>
      <c r="AM231" s="130"/>
      <c r="AN231" s="79"/>
      <c r="AO231" s="712"/>
      <c r="AP231" s="131"/>
      <c r="AQ231" s="130"/>
      <c r="AR231" s="79"/>
      <c r="AS231" s="712"/>
      <c r="AT231" s="131"/>
      <c r="AU231" s="130"/>
      <c r="AV231" s="79"/>
      <c r="AW231" s="619"/>
      <c r="AX231" s="619"/>
      <c r="AY231" s="395">
        <f t="shared" si="455"/>
        <v>-874</v>
      </c>
      <c r="AZ231" s="29">
        <f t="shared" si="491"/>
        <v>924</v>
      </c>
      <c r="BA231" s="299">
        <f>BA212</f>
        <v>50</v>
      </c>
      <c r="BB231" s="5">
        <f t="shared" si="492"/>
        <v>-874</v>
      </c>
      <c r="BC231" s="242"/>
      <c r="BD231" s="304">
        <f>BD212</f>
        <v>0</v>
      </c>
      <c r="BE231" s="35">
        <f t="shared" si="493"/>
        <v>924</v>
      </c>
      <c r="BF231" s="131"/>
      <c r="BG231" s="130"/>
      <c r="BH231" s="79"/>
      <c r="BI231" s="712"/>
      <c r="BJ231" s="129"/>
      <c r="BK231" s="130"/>
      <c r="BL231" s="467"/>
      <c r="BM231" s="762"/>
      <c r="BN231" s="131"/>
      <c r="BO231" s="130"/>
      <c r="BP231" s="79"/>
      <c r="BQ231" s="619"/>
      <c r="BR231" s="619"/>
      <c r="BS231" s="395">
        <f t="shared" si="456"/>
        <v>-799</v>
      </c>
      <c r="BT231" s="29">
        <f t="shared" si="494"/>
        <v>924</v>
      </c>
      <c r="BU231" s="299">
        <f>BU212</f>
        <v>75</v>
      </c>
      <c r="BV231" s="5">
        <f t="shared" si="495"/>
        <v>-849</v>
      </c>
      <c r="BW231" s="242"/>
      <c r="BX231" s="304">
        <f>BX212</f>
        <v>0</v>
      </c>
      <c r="BY231" s="35">
        <f t="shared" si="496"/>
        <v>924</v>
      </c>
      <c r="BZ231" s="131"/>
      <c r="CA231" s="130"/>
      <c r="CB231" s="79"/>
      <c r="CC231" s="712"/>
      <c r="CD231" s="131"/>
      <c r="CE231" s="130"/>
      <c r="CF231" s="79"/>
      <c r="CG231" s="712"/>
      <c r="CH231" s="131"/>
      <c r="CI231" s="130"/>
      <c r="CJ231" s="79"/>
      <c r="CK231" s="619"/>
      <c r="CL231" s="619"/>
      <c r="CM231" s="395">
        <f t="shared" si="457"/>
        <v>-799</v>
      </c>
      <c r="CN231" s="29">
        <f t="shared" si="497"/>
        <v>924</v>
      </c>
      <c r="CO231" s="299">
        <f>CO212</f>
        <v>0</v>
      </c>
      <c r="CP231" s="5">
        <f t="shared" si="498"/>
        <v>-924</v>
      </c>
      <c r="CQ231" s="277"/>
      <c r="CR231" s="304">
        <f>CR212</f>
        <v>0</v>
      </c>
      <c r="CS231" s="35">
        <f t="shared" si="499"/>
        <v>924</v>
      </c>
      <c r="CT231" s="129"/>
      <c r="CU231" s="130"/>
      <c r="CV231" s="79"/>
      <c r="CW231" s="712"/>
      <c r="CX231" s="129"/>
      <c r="CY231" s="130"/>
      <c r="CZ231" s="79"/>
      <c r="DA231" s="712"/>
      <c r="DB231" s="131"/>
      <c r="DC231" s="130"/>
      <c r="DD231" s="79"/>
      <c r="DE231" s="619"/>
      <c r="DF231" s="619"/>
      <c r="DG231" s="395">
        <f t="shared" si="458"/>
        <v>-799</v>
      </c>
      <c r="DH231" s="29">
        <f t="shared" si="459"/>
        <v>924</v>
      </c>
      <c r="DI231" s="299">
        <f>DI212</f>
        <v>0</v>
      </c>
      <c r="DJ231" s="5">
        <f t="shared" ref="DJ231:DJ237" si="500">DI231-DH231</f>
        <v>-924</v>
      </c>
      <c r="DK231" s="277"/>
      <c r="DL231" s="304">
        <f>DL212</f>
        <v>0</v>
      </c>
      <c r="DM231" s="35">
        <f t="shared" ref="DM231:DM237" si="501">DH231+DK231-DL231</f>
        <v>924</v>
      </c>
    </row>
    <row r="232" spans="1:117" x14ac:dyDescent="0.25">
      <c r="A232" s="75"/>
      <c r="B232" s="74" t="s">
        <v>360</v>
      </c>
      <c r="C232" s="77">
        <v>1</v>
      </c>
      <c r="D232" s="274"/>
      <c r="E232" s="743"/>
      <c r="F232" s="430">
        <v>32.130000000000003</v>
      </c>
      <c r="G232" s="381" t="s">
        <v>334</v>
      </c>
      <c r="H232" s="25"/>
      <c r="I232" s="25"/>
      <c r="J232" s="530">
        <f t="shared" si="451"/>
        <v>-1184</v>
      </c>
      <c r="K232" s="395">
        <f t="shared" si="452"/>
        <v>-1309</v>
      </c>
      <c r="L232" s="147">
        <v>1309</v>
      </c>
      <c r="M232" s="298">
        <f>M212</f>
        <v>0</v>
      </c>
      <c r="N232" s="5">
        <f t="shared" si="487"/>
        <v>-1309</v>
      </c>
      <c r="O232" s="256"/>
      <c r="P232" s="304">
        <f>P212</f>
        <v>0</v>
      </c>
      <c r="Q232" s="35">
        <f t="shared" si="488"/>
        <v>1309</v>
      </c>
      <c r="R232" s="129"/>
      <c r="S232" s="130"/>
      <c r="T232" s="79"/>
      <c r="U232" s="712"/>
      <c r="V232" s="129"/>
      <c r="W232" s="130"/>
      <c r="X232" s="79"/>
      <c r="Y232" s="712"/>
      <c r="Z232" s="131"/>
      <c r="AA232" s="130"/>
      <c r="AB232" s="79"/>
      <c r="AC232" s="619"/>
      <c r="AD232" s="619"/>
      <c r="AE232" s="395">
        <f t="shared" si="453"/>
        <v>-1309</v>
      </c>
      <c r="AF232" s="29">
        <f t="shared" si="454"/>
        <v>1309</v>
      </c>
      <c r="AG232" s="298">
        <f>AG212</f>
        <v>0</v>
      </c>
      <c r="AH232" s="5">
        <f t="shared" si="489"/>
        <v>-1309</v>
      </c>
      <c r="AI232" s="256"/>
      <c r="AJ232" s="304">
        <f>AJ212</f>
        <v>0</v>
      </c>
      <c r="AK232" s="35">
        <f t="shared" si="490"/>
        <v>1309</v>
      </c>
      <c r="AL232" s="129"/>
      <c r="AM232" s="130"/>
      <c r="AN232" s="79"/>
      <c r="AO232" s="712"/>
      <c r="AP232" s="129"/>
      <c r="AQ232" s="130"/>
      <c r="AR232" s="79"/>
      <c r="AS232" s="712"/>
      <c r="AT232" s="131"/>
      <c r="AU232" s="130"/>
      <c r="AV232" s="79"/>
      <c r="AW232" s="619"/>
      <c r="AX232" s="619"/>
      <c r="AY232" s="395">
        <f t="shared" si="455"/>
        <v>-1259</v>
      </c>
      <c r="AZ232" s="29">
        <f t="shared" si="491"/>
        <v>1309</v>
      </c>
      <c r="BA232" s="298">
        <f>BA212</f>
        <v>50</v>
      </c>
      <c r="BB232" s="5">
        <f t="shared" si="492"/>
        <v>-1259</v>
      </c>
      <c r="BC232" s="258"/>
      <c r="BD232" s="304">
        <f>BD212</f>
        <v>0</v>
      </c>
      <c r="BE232" s="35">
        <f t="shared" si="493"/>
        <v>1309</v>
      </c>
      <c r="BF232" s="129"/>
      <c r="BG232" s="130"/>
      <c r="BH232" s="79"/>
      <c r="BI232" s="712"/>
      <c r="BJ232" s="129"/>
      <c r="BK232" s="130"/>
      <c r="BL232" s="79"/>
      <c r="BM232" s="712"/>
      <c r="BN232" s="131"/>
      <c r="BO232" s="130"/>
      <c r="BP232" s="79"/>
      <c r="BQ232" s="619"/>
      <c r="BR232" s="619"/>
      <c r="BS232" s="395">
        <f t="shared" si="456"/>
        <v>-1184</v>
      </c>
      <c r="BT232" s="29">
        <f t="shared" si="494"/>
        <v>1309</v>
      </c>
      <c r="BU232" s="298">
        <f>BU212</f>
        <v>75</v>
      </c>
      <c r="BV232" s="5">
        <f t="shared" si="495"/>
        <v>-1234</v>
      </c>
      <c r="BW232" s="240"/>
      <c r="BX232" s="304">
        <f>BX212</f>
        <v>0</v>
      </c>
      <c r="BY232" s="35">
        <f t="shared" si="496"/>
        <v>1309</v>
      </c>
      <c r="BZ232" s="131"/>
      <c r="CA232" s="130"/>
      <c r="CB232" s="79"/>
      <c r="CC232" s="712"/>
      <c r="CD232" s="131"/>
      <c r="CE232" s="130"/>
      <c r="CF232" s="79"/>
      <c r="CG232" s="712"/>
      <c r="CH232" s="131"/>
      <c r="CI232" s="130"/>
      <c r="CJ232" s="79"/>
      <c r="CK232" s="619"/>
      <c r="CL232" s="619"/>
      <c r="CM232" s="395">
        <f t="shared" si="457"/>
        <v>-1184</v>
      </c>
      <c r="CN232" s="29">
        <f t="shared" si="497"/>
        <v>1309</v>
      </c>
      <c r="CO232" s="298">
        <f>CO212</f>
        <v>0</v>
      </c>
      <c r="CP232" s="5">
        <f t="shared" si="498"/>
        <v>-1309</v>
      </c>
      <c r="CQ232" s="256"/>
      <c r="CR232" s="304">
        <f>CR212</f>
        <v>0</v>
      </c>
      <c r="CS232" s="35">
        <f t="shared" si="499"/>
        <v>1309</v>
      </c>
      <c r="CT232" s="129"/>
      <c r="CU232" s="130"/>
      <c r="CV232" s="79"/>
      <c r="CW232" s="712"/>
      <c r="CX232" s="129"/>
      <c r="CY232" s="130"/>
      <c r="CZ232" s="79"/>
      <c r="DA232" s="712"/>
      <c r="DB232" s="131"/>
      <c r="DC232" s="130"/>
      <c r="DD232" s="79"/>
      <c r="DE232" s="619"/>
      <c r="DF232" s="619"/>
      <c r="DG232" s="395">
        <f t="shared" si="458"/>
        <v>-1184</v>
      </c>
      <c r="DH232" s="29">
        <f t="shared" si="459"/>
        <v>1309</v>
      </c>
      <c r="DI232" s="298">
        <f>DI212</f>
        <v>0</v>
      </c>
      <c r="DJ232" s="5">
        <f t="shared" si="500"/>
        <v>-1309</v>
      </c>
      <c r="DK232" s="256"/>
      <c r="DL232" s="304">
        <f>DL212</f>
        <v>0</v>
      </c>
      <c r="DM232" s="35">
        <f t="shared" si="501"/>
        <v>1309</v>
      </c>
    </row>
    <row r="233" spans="1:117" x14ac:dyDescent="0.25">
      <c r="A233" s="75"/>
      <c r="B233" s="74" t="s">
        <v>358</v>
      </c>
      <c r="C233" s="77" t="s">
        <v>51</v>
      </c>
      <c r="D233" s="274"/>
      <c r="E233" s="743"/>
      <c r="F233" s="430">
        <v>22.5</v>
      </c>
      <c r="G233" s="74" t="s">
        <v>761</v>
      </c>
      <c r="H233" s="77"/>
      <c r="I233" s="77"/>
      <c r="J233" s="530">
        <f t="shared" si="451"/>
        <v>-1252</v>
      </c>
      <c r="K233" s="395">
        <f t="shared" si="452"/>
        <v>-1377</v>
      </c>
      <c r="L233" s="147">
        <v>1377</v>
      </c>
      <c r="M233" s="299">
        <f>M212</f>
        <v>0</v>
      </c>
      <c r="N233" s="5">
        <f t="shared" si="487"/>
        <v>-1377</v>
      </c>
      <c r="O233" s="258"/>
      <c r="P233" s="304">
        <f>P212</f>
        <v>0</v>
      </c>
      <c r="Q233" s="35">
        <f t="shared" si="488"/>
        <v>1377</v>
      </c>
      <c r="R233" s="129"/>
      <c r="S233" s="130"/>
      <c r="T233" s="79"/>
      <c r="U233" s="712"/>
      <c r="V233" s="129"/>
      <c r="W233" s="130"/>
      <c r="X233" s="79"/>
      <c r="Y233" s="712"/>
      <c r="Z233" s="131"/>
      <c r="AA233" s="130"/>
      <c r="AB233" s="79"/>
      <c r="AC233" s="619"/>
      <c r="AD233" s="619"/>
      <c r="AE233" s="395">
        <f t="shared" si="453"/>
        <v>-1377</v>
      </c>
      <c r="AF233" s="29">
        <f t="shared" si="454"/>
        <v>1377</v>
      </c>
      <c r="AG233" s="299">
        <f>AG212</f>
        <v>0</v>
      </c>
      <c r="AH233" s="5">
        <f t="shared" si="489"/>
        <v>-1377</v>
      </c>
      <c r="AI233" s="277"/>
      <c r="AJ233" s="304">
        <f>AJ212</f>
        <v>0</v>
      </c>
      <c r="AK233" s="35">
        <f t="shared" si="490"/>
        <v>1377</v>
      </c>
      <c r="AL233" s="129"/>
      <c r="AM233" s="130"/>
      <c r="AN233" s="79"/>
      <c r="AO233" s="712"/>
      <c r="AP233" s="129"/>
      <c r="AQ233" s="130"/>
      <c r="AR233" s="79"/>
      <c r="AS233" s="712"/>
      <c r="AT233" s="131"/>
      <c r="AU233" s="130"/>
      <c r="AV233" s="79"/>
      <c r="AW233" s="619"/>
      <c r="AX233" s="619"/>
      <c r="AY233" s="395">
        <f t="shared" si="455"/>
        <v>-1327</v>
      </c>
      <c r="AZ233" s="29">
        <f t="shared" si="491"/>
        <v>1377</v>
      </c>
      <c r="BA233" s="299">
        <f>BA212</f>
        <v>50</v>
      </c>
      <c r="BB233" s="5">
        <f t="shared" si="492"/>
        <v>-1327</v>
      </c>
      <c r="BC233" s="244"/>
      <c r="BD233" s="304">
        <f>BD212</f>
        <v>0</v>
      </c>
      <c r="BE233" s="35">
        <f t="shared" si="493"/>
        <v>1377</v>
      </c>
      <c r="BF233" s="129"/>
      <c r="BG233" s="130"/>
      <c r="BH233" s="79"/>
      <c r="BI233" s="712"/>
      <c r="BJ233" s="129"/>
      <c r="BK233" s="130"/>
      <c r="BL233" s="79"/>
      <c r="BM233" s="712"/>
      <c r="BN233" s="131"/>
      <c r="BO233" s="130"/>
      <c r="BP233" s="79"/>
      <c r="BQ233" s="619"/>
      <c r="BR233" s="619"/>
      <c r="BS233" s="395">
        <f t="shared" si="456"/>
        <v>-1252</v>
      </c>
      <c r="BT233" s="29">
        <f t="shared" si="494"/>
        <v>1377</v>
      </c>
      <c r="BU233" s="299">
        <f>BU212</f>
        <v>75</v>
      </c>
      <c r="BV233" s="5">
        <f t="shared" si="495"/>
        <v>-1302</v>
      </c>
      <c r="BW233" s="256"/>
      <c r="BX233" s="304">
        <f>BX212</f>
        <v>0</v>
      </c>
      <c r="BY233" s="35">
        <f t="shared" si="496"/>
        <v>1377</v>
      </c>
      <c r="BZ233" s="129"/>
      <c r="CA233" s="130"/>
      <c r="CB233" s="79"/>
      <c r="CC233" s="712"/>
      <c r="CD233" s="129"/>
      <c r="CE233" s="130"/>
      <c r="CF233" s="79"/>
      <c r="CG233" s="712"/>
      <c r="CH233" s="129"/>
      <c r="CI233" s="130"/>
      <c r="CJ233" s="79"/>
      <c r="CK233" s="619"/>
      <c r="CL233" s="619"/>
      <c r="CM233" s="395">
        <f t="shared" si="457"/>
        <v>-1252</v>
      </c>
      <c r="CN233" s="29">
        <f t="shared" si="497"/>
        <v>1377</v>
      </c>
      <c r="CO233" s="299">
        <f>CO212</f>
        <v>0</v>
      </c>
      <c r="CP233" s="5">
        <f t="shared" si="498"/>
        <v>-1377</v>
      </c>
      <c r="CQ233" s="277"/>
      <c r="CR233" s="304">
        <f>CR212</f>
        <v>0</v>
      </c>
      <c r="CS233" s="35">
        <f t="shared" si="499"/>
        <v>1377</v>
      </c>
      <c r="CT233" s="129"/>
      <c r="CU233" s="130"/>
      <c r="CV233" s="79"/>
      <c r="CW233" s="712"/>
      <c r="CX233" s="129"/>
      <c r="CY233" s="130"/>
      <c r="CZ233" s="79"/>
      <c r="DA233" s="712"/>
      <c r="DB233" s="131"/>
      <c r="DC233" s="130"/>
      <c r="DD233" s="79"/>
      <c r="DE233" s="619"/>
      <c r="DF233" s="619"/>
      <c r="DG233" s="395">
        <f t="shared" si="458"/>
        <v>-1252</v>
      </c>
      <c r="DH233" s="29">
        <f t="shared" si="459"/>
        <v>1377</v>
      </c>
      <c r="DI233" s="299">
        <f>DI212</f>
        <v>0</v>
      </c>
      <c r="DJ233" s="5">
        <f t="shared" si="500"/>
        <v>-1377</v>
      </c>
      <c r="DK233" s="277"/>
      <c r="DL233" s="304">
        <f>DL212</f>
        <v>0</v>
      </c>
      <c r="DM233" s="35">
        <f t="shared" si="501"/>
        <v>1377</v>
      </c>
    </row>
    <row r="234" spans="1:117" x14ac:dyDescent="0.25">
      <c r="A234" s="75"/>
      <c r="B234" s="74" t="s">
        <v>417</v>
      </c>
      <c r="C234" s="77">
        <v>1</v>
      </c>
      <c r="D234" s="525" t="s">
        <v>493</v>
      </c>
      <c r="E234" s="745"/>
      <c r="F234" s="430">
        <v>2.5</v>
      </c>
      <c r="G234" s="74" t="s">
        <v>761</v>
      </c>
      <c r="H234" s="77"/>
      <c r="I234" s="77"/>
      <c r="J234" s="530">
        <f t="shared" si="451"/>
        <v>-1088</v>
      </c>
      <c r="K234" s="395">
        <f t="shared" si="452"/>
        <v>-1213</v>
      </c>
      <c r="L234" s="147">
        <v>1213</v>
      </c>
      <c r="M234" s="299">
        <f>M212</f>
        <v>0</v>
      </c>
      <c r="N234" s="5">
        <f t="shared" si="487"/>
        <v>-1213</v>
      </c>
      <c r="O234" s="256"/>
      <c r="P234" s="304">
        <f>P212</f>
        <v>0</v>
      </c>
      <c r="Q234" s="35">
        <f t="shared" si="488"/>
        <v>1213</v>
      </c>
      <c r="R234" s="129"/>
      <c r="S234" s="130"/>
      <c r="T234" s="79"/>
      <c r="U234" s="712"/>
      <c r="V234" s="129"/>
      <c r="W234" s="130"/>
      <c r="X234" s="79"/>
      <c r="Y234" s="712"/>
      <c r="Z234" s="131"/>
      <c r="AA234" s="130"/>
      <c r="AB234" s="79"/>
      <c r="AC234" s="619"/>
      <c r="AD234" s="619"/>
      <c r="AE234" s="395">
        <f t="shared" si="453"/>
        <v>-1213</v>
      </c>
      <c r="AF234" s="29">
        <f t="shared" si="454"/>
        <v>1213</v>
      </c>
      <c r="AG234" s="299">
        <f>AG212</f>
        <v>0</v>
      </c>
      <c r="AH234" s="5">
        <f t="shared" si="489"/>
        <v>-1213</v>
      </c>
      <c r="AI234" s="277"/>
      <c r="AJ234" s="304">
        <f>AJ212</f>
        <v>0</v>
      </c>
      <c r="AK234" s="35">
        <f t="shared" si="490"/>
        <v>1213</v>
      </c>
      <c r="AL234" s="129"/>
      <c r="AM234" s="130"/>
      <c r="AN234" s="79"/>
      <c r="AO234" s="712"/>
      <c r="AP234" s="129"/>
      <c r="AQ234" s="130"/>
      <c r="AR234" s="79"/>
      <c r="AS234" s="712"/>
      <c r="AT234" s="131"/>
      <c r="AU234" s="130"/>
      <c r="AV234" s="79"/>
      <c r="AW234" s="619"/>
      <c r="AX234" s="619"/>
      <c r="AY234" s="395">
        <f t="shared" si="455"/>
        <v>-1163</v>
      </c>
      <c r="AZ234" s="29">
        <f t="shared" si="491"/>
        <v>1213</v>
      </c>
      <c r="BA234" s="299">
        <f>BA212</f>
        <v>50</v>
      </c>
      <c r="BB234" s="5">
        <f t="shared" si="492"/>
        <v>-1163</v>
      </c>
      <c r="BC234" s="244"/>
      <c r="BD234" s="304">
        <f>BD212</f>
        <v>0</v>
      </c>
      <c r="BE234" s="35">
        <f t="shared" si="493"/>
        <v>1213</v>
      </c>
      <c r="BF234" s="129"/>
      <c r="BG234" s="130"/>
      <c r="BH234" s="79"/>
      <c r="BI234" s="712"/>
      <c r="BJ234" s="129"/>
      <c r="BK234" s="130"/>
      <c r="BL234" s="79"/>
      <c r="BM234" s="712"/>
      <c r="BN234" s="129"/>
      <c r="BO234" s="130"/>
      <c r="BP234" s="79"/>
      <c r="BQ234" s="619"/>
      <c r="BR234" s="619"/>
      <c r="BS234" s="395">
        <f t="shared" si="456"/>
        <v>-1088</v>
      </c>
      <c r="BT234" s="29">
        <f t="shared" si="494"/>
        <v>1213</v>
      </c>
      <c r="BU234" s="299">
        <f>BU212</f>
        <v>75</v>
      </c>
      <c r="BV234" s="5">
        <f t="shared" si="495"/>
        <v>-1138</v>
      </c>
      <c r="BW234" s="244"/>
      <c r="BX234" s="304">
        <f>BX212</f>
        <v>0</v>
      </c>
      <c r="BY234" s="35">
        <f t="shared" si="496"/>
        <v>1213</v>
      </c>
      <c r="BZ234" s="129"/>
      <c r="CA234" s="130"/>
      <c r="CB234" s="79"/>
      <c r="CC234" s="712"/>
      <c r="CD234" s="129"/>
      <c r="CE234" s="130"/>
      <c r="CF234" s="79"/>
      <c r="CG234" s="712"/>
      <c r="CH234" s="129"/>
      <c r="CI234" s="130"/>
      <c r="CJ234" s="79"/>
      <c r="CK234" s="619"/>
      <c r="CL234" s="619"/>
      <c r="CM234" s="395">
        <f t="shared" si="457"/>
        <v>-1088</v>
      </c>
      <c r="CN234" s="29">
        <f t="shared" si="497"/>
        <v>1213</v>
      </c>
      <c r="CO234" s="299">
        <f>CO212</f>
        <v>0</v>
      </c>
      <c r="CP234" s="5">
        <f t="shared" si="498"/>
        <v>-1213</v>
      </c>
      <c r="CQ234" s="277"/>
      <c r="CR234" s="304">
        <f>CR212</f>
        <v>0</v>
      </c>
      <c r="CS234" s="35">
        <f t="shared" si="499"/>
        <v>1213</v>
      </c>
      <c r="CT234" s="129"/>
      <c r="CU234" s="130"/>
      <c r="CV234" s="79"/>
      <c r="CW234" s="712"/>
      <c r="CX234" s="129"/>
      <c r="CY234" s="130"/>
      <c r="CZ234" s="79"/>
      <c r="DA234" s="712"/>
      <c r="DB234" s="131"/>
      <c r="DC234" s="130"/>
      <c r="DD234" s="79"/>
      <c r="DE234" s="619"/>
      <c r="DF234" s="619"/>
      <c r="DG234" s="395">
        <f t="shared" si="458"/>
        <v>-1088</v>
      </c>
      <c r="DH234" s="29">
        <f t="shared" si="459"/>
        <v>1213</v>
      </c>
      <c r="DI234" s="299">
        <f>DI212</f>
        <v>0</v>
      </c>
      <c r="DJ234" s="5">
        <f t="shared" si="500"/>
        <v>-1213</v>
      </c>
      <c r="DK234" s="277"/>
      <c r="DL234" s="304">
        <f>DL212</f>
        <v>0</v>
      </c>
      <c r="DM234" s="35">
        <f t="shared" si="501"/>
        <v>1213</v>
      </c>
    </row>
    <row r="235" spans="1:117" x14ac:dyDescent="0.25">
      <c r="A235" s="75"/>
      <c r="B235" s="74" t="s">
        <v>418</v>
      </c>
      <c r="C235" s="77">
        <v>1</v>
      </c>
      <c r="D235" s="274"/>
      <c r="E235" s="743"/>
      <c r="F235" s="430">
        <v>2.5</v>
      </c>
      <c r="G235" s="74" t="s">
        <v>761</v>
      </c>
      <c r="H235" s="77"/>
      <c r="I235" s="77"/>
      <c r="J235" s="530">
        <f t="shared" si="451"/>
        <v>-1138</v>
      </c>
      <c r="K235" s="395">
        <f t="shared" si="452"/>
        <v>-1263</v>
      </c>
      <c r="L235" s="147">
        <v>1263</v>
      </c>
      <c r="M235" s="299">
        <f>M213</f>
        <v>0</v>
      </c>
      <c r="N235" s="5">
        <f t="shared" ref="N235" si="502">M235-L235</f>
        <v>-1263</v>
      </c>
      <c r="O235" s="256"/>
      <c r="P235" s="304">
        <f>P212</f>
        <v>0</v>
      </c>
      <c r="Q235" s="35">
        <f t="shared" ref="Q235" si="503">L235+O235-P235</f>
        <v>1263</v>
      </c>
      <c r="R235" s="129"/>
      <c r="S235" s="130"/>
      <c r="T235" s="79"/>
      <c r="U235" s="712"/>
      <c r="V235" s="129"/>
      <c r="W235" s="130"/>
      <c r="X235" s="79"/>
      <c r="Y235" s="712"/>
      <c r="Z235" s="131"/>
      <c r="AA235" s="130"/>
      <c r="AB235" s="79"/>
      <c r="AC235" s="619"/>
      <c r="AD235" s="619"/>
      <c r="AE235" s="395">
        <f t="shared" si="453"/>
        <v>-1263</v>
      </c>
      <c r="AF235" s="29">
        <f t="shared" si="454"/>
        <v>1263</v>
      </c>
      <c r="AG235" s="299">
        <f>AG213</f>
        <v>0</v>
      </c>
      <c r="AH235" s="5">
        <f t="shared" ref="AH235" si="504">AG235-AF235</f>
        <v>-1263</v>
      </c>
      <c r="AI235" s="277"/>
      <c r="AJ235" s="304">
        <f>AJ212</f>
        <v>0</v>
      </c>
      <c r="AK235" s="35">
        <f t="shared" ref="AK235" si="505">AF235+AI235-AJ235</f>
        <v>1263</v>
      </c>
      <c r="AL235" s="129"/>
      <c r="AM235" s="130"/>
      <c r="AN235" s="79"/>
      <c r="AO235" s="712"/>
      <c r="AP235" s="129"/>
      <c r="AQ235" s="130"/>
      <c r="AR235" s="79"/>
      <c r="AS235" s="712"/>
      <c r="AT235" s="131"/>
      <c r="AU235" s="130"/>
      <c r="AV235" s="79"/>
      <c r="AW235" s="619"/>
      <c r="AX235" s="619"/>
      <c r="AY235" s="395">
        <f t="shared" si="455"/>
        <v>-1213</v>
      </c>
      <c r="AZ235" s="29">
        <f t="shared" ref="AZ235" si="506">AK235</f>
        <v>1263</v>
      </c>
      <c r="BA235" s="299">
        <f>BA213</f>
        <v>50</v>
      </c>
      <c r="BB235" s="5">
        <f t="shared" ref="BB235" si="507">BA235-AZ235</f>
        <v>-1213</v>
      </c>
      <c r="BC235" s="244"/>
      <c r="BD235" s="304">
        <f>BD212</f>
        <v>0</v>
      </c>
      <c r="BE235" s="35">
        <f t="shared" ref="BE235" si="508">AZ235+BC235-BD235</f>
        <v>1263</v>
      </c>
      <c r="BF235" s="129"/>
      <c r="BG235" s="130"/>
      <c r="BH235" s="79"/>
      <c r="BI235" s="712"/>
      <c r="BJ235" s="129"/>
      <c r="BK235" s="130"/>
      <c r="BL235" s="79"/>
      <c r="BM235" s="712"/>
      <c r="BN235" s="129"/>
      <c r="BO235" s="130"/>
      <c r="BP235" s="79"/>
      <c r="BQ235" s="619"/>
      <c r="BR235" s="619"/>
      <c r="BS235" s="395">
        <f t="shared" si="456"/>
        <v>-1138</v>
      </c>
      <c r="BT235" s="29">
        <f t="shared" ref="BT235" si="509">BE235</f>
        <v>1263</v>
      </c>
      <c r="BU235" s="299">
        <f>BU213</f>
        <v>75</v>
      </c>
      <c r="BV235" s="5">
        <f t="shared" ref="BV235" si="510">BU235-BT235</f>
        <v>-1188</v>
      </c>
      <c r="BW235" s="244"/>
      <c r="BX235" s="304">
        <f>BX212</f>
        <v>0</v>
      </c>
      <c r="BY235" s="35">
        <f t="shared" ref="BY235" si="511">BT235+BW235-BX235</f>
        <v>1263</v>
      </c>
      <c r="BZ235" s="129"/>
      <c r="CA235" s="130"/>
      <c r="CB235" s="79"/>
      <c r="CC235" s="712"/>
      <c r="CD235" s="129"/>
      <c r="CE235" s="130"/>
      <c r="CF235" s="79"/>
      <c r="CG235" s="712"/>
      <c r="CH235" s="129"/>
      <c r="CI235" s="130"/>
      <c r="CJ235" s="79"/>
      <c r="CK235" s="619"/>
      <c r="CL235" s="619"/>
      <c r="CM235" s="395">
        <f t="shared" si="457"/>
        <v>-1138</v>
      </c>
      <c r="CN235" s="29">
        <f t="shared" ref="CN235" si="512">BY235</f>
        <v>1263</v>
      </c>
      <c r="CO235" s="299">
        <f>CO213</f>
        <v>0</v>
      </c>
      <c r="CP235" s="5">
        <f t="shared" ref="CP235" si="513">CO235-CN235</f>
        <v>-1263</v>
      </c>
      <c r="CQ235" s="277"/>
      <c r="CR235" s="304">
        <f>CR212</f>
        <v>0</v>
      </c>
      <c r="CS235" s="35">
        <f t="shared" ref="CS235" si="514">CN235+CQ235-CR235</f>
        <v>1263</v>
      </c>
      <c r="CT235" s="129"/>
      <c r="CU235" s="130"/>
      <c r="CV235" s="79"/>
      <c r="CW235" s="712"/>
      <c r="CX235" s="129"/>
      <c r="CY235" s="130"/>
      <c r="CZ235" s="79"/>
      <c r="DA235" s="712"/>
      <c r="DB235" s="131"/>
      <c r="DC235" s="130"/>
      <c r="DD235" s="79"/>
      <c r="DE235" s="619"/>
      <c r="DF235" s="619"/>
      <c r="DG235" s="395">
        <f t="shared" si="458"/>
        <v>-1138</v>
      </c>
      <c r="DH235" s="29">
        <f t="shared" si="459"/>
        <v>1263</v>
      </c>
      <c r="DI235" s="299">
        <f>DI213</f>
        <v>0</v>
      </c>
      <c r="DJ235" s="5">
        <f t="shared" si="500"/>
        <v>-1263</v>
      </c>
      <c r="DK235" s="277"/>
      <c r="DL235" s="304">
        <f>DL212</f>
        <v>0</v>
      </c>
      <c r="DM235" s="35">
        <f t="shared" si="501"/>
        <v>1263</v>
      </c>
    </row>
    <row r="236" spans="1:117" x14ac:dyDescent="0.25">
      <c r="A236" s="75"/>
      <c r="B236" s="453" t="s">
        <v>347</v>
      </c>
      <c r="C236" s="77">
        <v>1</v>
      </c>
      <c r="D236" s="74"/>
      <c r="E236" s="747"/>
      <c r="F236" s="430"/>
      <c r="G236" s="74" t="s">
        <v>359</v>
      </c>
      <c r="H236" s="77"/>
      <c r="I236" s="77"/>
      <c r="J236" s="530">
        <f t="shared" si="451"/>
        <v>125</v>
      </c>
      <c r="K236" s="395">
        <f t="shared" si="452"/>
        <v>0</v>
      </c>
      <c r="L236" s="147">
        <v>0</v>
      </c>
      <c r="M236" s="299">
        <f>M212</f>
        <v>0</v>
      </c>
      <c r="N236" s="5">
        <f t="shared" si="487"/>
        <v>0</v>
      </c>
      <c r="O236" s="277"/>
      <c r="P236" s="240"/>
      <c r="Q236" s="35">
        <f t="shared" si="488"/>
        <v>0</v>
      </c>
      <c r="R236" s="129"/>
      <c r="S236" s="130"/>
      <c r="T236" s="79"/>
      <c r="U236" s="712"/>
      <c r="V236" s="129"/>
      <c r="W236" s="130"/>
      <c r="X236" s="79"/>
      <c r="Y236" s="712"/>
      <c r="Z236" s="131"/>
      <c r="AA236" s="130"/>
      <c r="AB236" s="79"/>
      <c r="AC236" s="619"/>
      <c r="AD236" s="619"/>
      <c r="AE236" s="395">
        <f t="shared" si="453"/>
        <v>0</v>
      </c>
      <c r="AF236" s="29">
        <f t="shared" si="454"/>
        <v>0</v>
      </c>
      <c r="AG236" s="299">
        <f>AG212</f>
        <v>0</v>
      </c>
      <c r="AH236" s="5">
        <f t="shared" si="489"/>
        <v>0</v>
      </c>
      <c r="AI236" s="277"/>
      <c r="AJ236" s="240"/>
      <c r="AK236" s="35">
        <f t="shared" si="490"/>
        <v>0</v>
      </c>
      <c r="AL236" s="129"/>
      <c r="AM236" s="130"/>
      <c r="AN236" s="79"/>
      <c r="AO236" s="712"/>
      <c r="AP236" s="129"/>
      <c r="AQ236" s="130"/>
      <c r="AR236" s="79"/>
      <c r="AS236" s="712"/>
      <c r="AT236" s="131"/>
      <c r="AU236" s="130"/>
      <c r="AV236" s="79"/>
      <c r="AW236" s="619"/>
      <c r="AX236" s="619"/>
      <c r="AY236" s="395">
        <f t="shared" si="455"/>
        <v>50</v>
      </c>
      <c r="AZ236" s="29">
        <f t="shared" si="491"/>
        <v>0</v>
      </c>
      <c r="BA236" s="299">
        <f>BA212</f>
        <v>50</v>
      </c>
      <c r="BB236" s="5">
        <f t="shared" si="492"/>
        <v>50</v>
      </c>
      <c r="BC236" s="277"/>
      <c r="BD236" s="240"/>
      <c r="BE236" s="35">
        <f t="shared" si="493"/>
        <v>0</v>
      </c>
      <c r="BF236" s="129"/>
      <c r="BG236" s="130"/>
      <c r="BH236" s="79"/>
      <c r="BI236" s="712"/>
      <c r="BJ236" s="129"/>
      <c r="BK236" s="130"/>
      <c r="BL236" s="79"/>
      <c r="BM236" s="712"/>
      <c r="BN236" s="131"/>
      <c r="BO236" s="130"/>
      <c r="BP236" s="79"/>
      <c r="BQ236" s="619"/>
      <c r="BR236" s="619"/>
      <c r="BS236" s="395">
        <f t="shared" si="456"/>
        <v>125</v>
      </c>
      <c r="BT236" s="29">
        <f t="shared" si="494"/>
        <v>0</v>
      </c>
      <c r="BU236" s="299">
        <f>BU212</f>
        <v>75</v>
      </c>
      <c r="BV236" s="5">
        <f t="shared" si="495"/>
        <v>75</v>
      </c>
      <c r="BW236" s="277"/>
      <c r="BX236" s="240"/>
      <c r="BY236" s="35">
        <f t="shared" si="496"/>
        <v>0</v>
      </c>
      <c r="BZ236" s="129"/>
      <c r="CA236" s="130"/>
      <c r="CB236" s="79"/>
      <c r="CC236" s="712"/>
      <c r="CD236" s="129"/>
      <c r="CE236" s="130"/>
      <c r="CF236" s="79"/>
      <c r="CG236" s="712"/>
      <c r="CH236" s="129"/>
      <c r="CI236" s="130"/>
      <c r="CJ236" s="79"/>
      <c r="CK236" s="619"/>
      <c r="CL236" s="619"/>
      <c r="CM236" s="395">
        <f t="shared" si="457"/>
        <v>125</v>
      </c>
      <c r="CN236" s="29">
        <f t="shared" si="497"/>
        <v>0</v>
      </c>
      <c r="CO236" s="299">
        <f>CO212</f>
        <v>0</v>
      </c>
      <c r="CP236" s="5">
        <f t="shared" si="498"/>
        <v>0</v>
      </c>
      <c r="CQ236" s="277"/>
      <c r="CR236" s="240"/>
      <c r="CS236" s="35">
        <f t="shared" si="499"/>
        <v>0</v>
      </c>
      <c r="CT236" s="129"/>
      <c r="CU236" s="130"/>
      <c r="CV236" s="79"/>
      <c r="CW236" s="712"/>
      <c r="CX236" s="129"/>
      <c r="CY236" s="130"/>
      <c r="CZ236" s="79"/>
      <c r="DA236" s="712"/>
      <c r="DB236" s="131"/>
      <c r="DC236" s="130"/>
      <c r="DD236" s="79"/>
      <c r="DE236" s="619"/>
      <c r="DF236" s="619"/>
      <c r="DG236" s="395">
        <f t="shared" si="458"/>
        <v>125</v>
      </c>
      <c r="DH236" s="29">
        <f t="shared" si="459"/>
        <v>0</v>
      </c>
      <c r="DI236" s="299">
        <f>DI212</f>
        <v>0</v>
      </c>
      <c r="DJ236" s="5">
        <f t="shared" si="500"/>
        <v>0</v>
      </c>
      <c r="DK236" s="277"/>
      <c r="DL236" s="240"/>
      <c r="DM236" s="35">
        <f t="shared" si="501"/>
        <v>0</v>
      </c>
    </row>
    <row r="237" spans="1:117" ht="15.75" thickBot="1" x14ac:dyDescent="0.3">
      <c r="A237" s="19"/>
      <c r="B237" s="12" t="s">
        <v>348</v>
      </c>
      <c r="C237" s="28">
        <v>1</v>
      </c>
      <c r="D237" s="12"/>
      <c r="E237" s="748"/>
      <c r="F237" s="452">
        <v>0.55000000000000004</v>
      </c>
      <c r="G237" s="12" t="s">
        <v>359</v>
      </c>
      <c r="H237" s="28"/>
      <c r="I237" s="28"/>
      <c r="J237" s="531">
        <f t="shared" si="451"/>
        <v>125</v>
      </c>
      <c r="K237" s="396">
        <f t="shared" si="452"/>
        <v>0</v>
      </c>
      <c r="L237" s="552">
        <v>0</v>
      </c>
      <c r="M237" s="301">
        <f>M213</f>
        <v>0</v>
      </c>
      <c r="N237" s="31">
        <f t="shared" ref="N237" si="515">M237-L237</f>
        <v>0</v>
      </c>
      <c r="O237" s="284"/>
      <c r="P237" s="241"/>
      <c r="Q237" s="36">
        <f t="shared" ref="Q237" si="516">L237+O237-P237</f>
        <v>0</v>
      </c>
      <c r="R237" s="200"/>
      <c r="S237" s="201"/>
      <c r="T237" s="36"/>
      <c r="U237" s="220"/>
      <c r="V237" s="200"/>
      <c r="W237" s="201"/>
      <c r="X237" s="36"/>
      <c r="Y237" s="220"/>
      <c r="Z237" s="122"/>
      <c r="AA237" s="201"/>
      <c r="AB237" s="36"/>
      <c r="AC237" s="297"/>
      <c r="AD237" s="297"/>
      <c r="AE237" s="396">
        <f t="shared" si="453"/>
        <v>0</v>
      </c>
      <c r="AF237" s="30">
        <f t="shared" si="454"/>
        <v>0</v>
      </c>
      <c r="AG237" s="301">
        <f>AG212</f>
        <v>0</v>
      </c>
      <c r="AH237" s="31">
        <f t="shared" si="489"/>
        <v>0</v>
      </c>
      <c r="AI237" s="284"/>
      <c r="AJ237" s="305">
        <f>AJ212</f>
        <v>0</v>
      </c>
      <c r="AK237" s="36">
        <f t="shared" si="490"/>
        <v>0</v>
      </c>
      <c r="AL237" s="200"/>
      <c r="AM237" s="201"/>
      <c r="AN237" s="36"/>
      <c r="AO237" s="220"/>
      <c r="AP237" s="200"/>
      <c r="AQ237" s="201"/>
      <c r="AR237" s="36"/>
      <c r="AS237" s="220"/>
      <c r="AT237" s="122"/>
      <c r="AU237" s="201"/>
      <c r="AV237" s="36"/>
      <c r="AW237" s="297"/>
      <c r="AX237" s="297"/>
      <c r="AY237" s="396">
        <f t="shared" si="455"/>
        <v>50</v>
      </c>
      <c r="AZ237" s="30">
        <f t="shared" si="491"/>
        <v>0</v>
      </c>
      <c r="BA237" s="301">
        <f>BA212</f>
        <v>50</v>
      </c>
      <c r="BB237" s="31">
        <f t="shared" si="492"/>
        <v>50</v>
      </c>
      <c r="BC237" s="284"/>
      <c r="BD237" s="305">
        <f>BD212</f>
        <v>0</v>
      </c>
      <c r="BE237" s="36">
        <f t="shared" si="493"/>
        <v>0</v>
      </c>
      <c r="BF237" s="200"/>
      <c r="BG237" s="201"/>
      <c r="BH237" s="36"/>
      <c r="BI237" s="220"/>
      <c r="BJ237" s="200"/>
      <c r="BK237" s="201"/>
      <c r="BL237" s="36"/>
      <c r="BM237" s="220"/>
      <c r="BN237" s="122"/>
      <c r="BO237" s="201"/>
      <c r="BP237" s="36"/>
      <c r="BQ237" s="297"/>
      <c r="BR237" s="297"/>
      <c r="BS237" s="396">
        <f t="shared" si="456"/>
        <v>125</v>
      </c>
      <c r="BT237" s="30">
        <f t="shared" si="494"/>
        <v>0</v>
      </c>
      <c r="BU237" s="301">
        <f>BU212</f>
        <v>75</v>
      </c>
      <c r="BV237" s="31">
        <f t="shared" si="495"/>
        <v>75</v>
      </c>
      <c r="BW237" s="241"/>
      <c r="BX237" s="305">
        <f>BX212</f>
        <v>0</v>
      </c>
      <c r="BY237" s="36">
        <f t="shared" si="496"/>
        <v>0</v>
      </c>
      <c r="BZ237" s="200"/>
      <c r="CA237" s="201"/>
      <c r="CB237" s="36"/>
      <c r="CC237" s="220"/>
      <c r="CD237" s="200"/>
      <c r="CE237" s="201"/>
      <c r="CF237" s="36"/>
      <c r="CG237" s="220"/>
      <c r="CH237" s="200"/>
      <c r="CI237" s="201"/>
      <c r="CJ237" s="36"/>
      <c r="CK237" s="297"/>
      <c r="CL237" s="297"/>
      <c r="CM237" s="396">
        <f t="shared" si="457"/>
        <v>125</v>
      </c>
      <c r="CN237" s="30">
        <f t="shared" si="497"/>
        <v>0</v>
      </c>
      <c r="CO237" s="301">
        <f>CO212</f>
        <v>0</v>
      </c>
      <c r="CP237" s="31">
        <f t="shared" si="498"/>
        <v>0</v>
      </c>
      <c r="CQ237" s="284"/>
      <c r="CR237" s="305">
        <f>CR212</f>
        <v>0</v>
      </c>
      <c r="CS237" s="36">
        <f t="shared" si="499"/>
        <v>0</v>
      </c>
      <c r="CT237" s="200"/>
      <c r="CU237" s="201"/>
      <c r="CV237" s="36"/>
      <c r="CW237" s="220"/>
      <c r="CX237" s="200"/>
      <c r="CY237" s="201"/>
      <c r="CZ237" s="36"/>
      <c r="DA237" s="220"/>
      <c r="DB237" s="122"/>
      <c r="DC237" s="201"/>
      <c r="DD237" s="36"/>
      <c r="DE237" s="297"/>
      <c r="DF237" s="297"/>
      <c r="DG237" s="396">
        <f t="shared" si="458"/>
        <v>125</v>
      </c>
      <c r="DH237" s="30">
        <f t="shared" si="459"/>
        <v>0</v>
      </c>
      <c r="DI237" s="301">
        <f>DI212</f>
        <v>0</v>
      </c>
      <c r="DJ237" s="31">
        <f t="shared" si="500"/>
        <v>0</v>
      </c>
      <c r="DK237" s="284"/>
      <c r="DL237" s="305">
        <f>DL212</f>
        <v>0</v>
      </c>
      <c r="DM237" s="36">
        <f t="shared" si="501"/>
        <v>0</v>
      </c>
    </row>
    <row r="238" spans="1:117" ht="15.75" thickBot="1" x14ac:dyDescent="0.3">
      <c r="P238" s="248"/>
      <c r="AJ238" s="248"/>
      <c r="BD238" s="248"/>
      <c r="BX238" s="248"/>
      <c r="CR238" s="248"/>
      <c r="DL238" s="248"/>
    </row>
    <row r="239" spans="1:117" ht="15.75" thickBot="1" x14ac:dyDescent="0.3">
      <c r="A239" s="95"/>
      <c r="B239" s="94" t="s">
        <v>269</v>
      </c>
      <c r="C239" s="95"/>
      <c r="D239" s="93"/>
      <c r="E239" s="93"/>
      <c r="F239" s="340"/>
      <c r="G239" s="93"/>
      <c r="H239" s="96"/>
      <c r="I239" s="96"/>
      <c r="J239" s="96">
        <f>SUM(M239,AG239,BA239,BU239)</f>
        <v>5</v>
      </c>
      <c r="K239" s="69"/>
      <c r="L239" s="97"/>
      <c r="M239" s="98"/>
      <c r="N239" s="98"/>
      <c r="O239" s="98"/>
      <c r="P239" s="249"/>
      <c r="Q239" s="237"/>
      <c r="R239" s="124">
        <f>SUM(R240:R244)</f>
        <v>0</v>
      </c>
      <c r="S239" s="125">
        <f>SUM(S240:S244)</f>
        <v>0</v>
      </c>
      <c r="T239" s="99"/>
      <c r="U239" s="221"/>
      <c r="V239" s="124">
        <f>SUM(V240:V244)</f>
        <v>0</v>
      </c>
      <c r="W239" s="125">
        <f>SUM(W240:W244)</f>
        <v>0</v>
      </c>
      <c r="X239" s="99"/>
      <c r="Y239" s="221"/>
      <c r="Z239" s="124">
        <f>SUM(Z240:Z244)</f>
        <v>0</v>
      </c>
      <c r="AA239" s="125">
        <f>SUM(AA240:AA244)</f>
        <v>0</v>
      </c>
      <c r="AB239" s="99"/>
      <c r="AC239" s="736"/>
      <c r="AD239" s="736"/>
      <c r="AE239" s="69">
        <f>SUM(AG239,BA239,BU239)</f>
        <v>5</v>
      </c>
      <c r="AF239" s="97"/>
      <c r="AG239" s="98"/>
      <c r="AH239" s="98"/>
      <c r="AI239" s="98"/>
      <c r="AJ239" s="249"/>
      <c r="AK239" s="237"/>
      <c r="AL239" s="124">
        <f>SUM(AL240:AL244)</f>
        <v>0</v>
      </c>
      <c r="AM239" s="125">
        <f>SUM(AM240:AM244)</f>
        <v>0</v>
      </c>
      <c r="AN239" s="99"/>
      <c r="AO239" s="221"/>
      <c r="AP239" s="124">
        <f>SUM(AP240:AP244)</f>
        <v>0</v>
      </c>
      <c r="AQ239" s="125">
        <f>SUM(AQ240:AQ244)</f>
        <v>0</v>
      </c>
      <c r="AR239" s="99"/>
      <c r="AS239" s="221"/>
      <c r="AT239" s="124">
        <f>SUM(AT240:AT244)</f>
        <v>0</v>
      </c>
      <c r="AU239" s="125">
        <f>SUM(AU240:AU244)</f>
        <v>0</v>
      </c>
      <c r="AV239" s="99"/>
      <c r="AW239" s="736"/>
      <c r="AX239" s="736"/>
      <c r="AY239" s="69">
        <f>SUM(BA239,BU239)</f>
        <v>5</v>
      </c>
      <c r="AZ239" s="97"/>
      <c r="BA239" s="98">
        <f>5-5+3</f>
        <v>3</v>
      </c>
      <c r="BB239" s="98"/>
      <c r="BC239" s="98"/>
      <c r="BD239" s="249"/>
      <c r="BE239" s="237"/>
      <c r="BF239" s="124">
        <f>SUM(BF240:BF244)</f>
        <v>0</v>
      </c>
      <c r="BG239" s="125">
        <f>SUM(BG240:BG244)</f>
        <v>0</v>
      </c>
      <c r="BH239" s="99"/>
      <c r="BI239" s="221"/>
      <c r="BJ239" s="124">
        <f>SUM(BJ240:BJ244)</f>
        <v>0</v>
      </c>
      <c r="BK239" s="125">
        <f>SUM(BK240:BK244)</f>
        <v>0</v>
      </c>
      <c r="BL239" s="99"/>
      <c r="BM239" s="221"/>
      <c r="BN239" s="124">
        <f>SUM(BN240:BN244)</f>
        <v>0</v>
      </c>
      <c r="BO239" s="125">
        <f>SUM(BO240:BO244)</f>
        <v>0</v>
      </c>
      <c r="BP239" s="99"/>
      <c r="BQ239" s="736"/>
      <c r="BR239" s="736"/>
      <c r="BS239" s="401">
        <f>BU239</f>
        <v>2</v>
      </c>
      <c r="BT239" s="97"/>
      <c r="BU239" s="98">
        <f>3-3+2</f>
        <v>2</v>
      </c>
      <c r="BV239" s="98"/>
      <c r="BW239" s="98"/>
      <c r="BX239" s="249"/>
      <c r="BY239" s="237"/>
      <c r="BZ239" s="124">
        <f>SUM(BZ240:BZ244)</f>
        <v>0</v>
      </c>
      <c r="CA239" s="125">
        <f>SUM(CA240:CA244)</f>
        <v>0</v>
      </c>
      <c r="CB239" s="99"/>
      <c r="CC239" s="221"/>
      <c r="CD239" s="124">
        <f>SUM(CD240:CD244)</f>
        <v>0</v>
      </c>
      <c r="CE239" s="125">
        <f>SUM(CE240:CE244)</f>
        <v>0</v>
      </c>
      <c r="CF239" s="99"/>
      <c r="CG239" s="221"/>
      <c r="CH239" s="124">
        <f>SUM(CH240:CH244)</f>
        <v>0</v>
      </c>
      <c r="CI239" s="125">
        <f>SUM(CI240:CI244)</f>
        <v>0</v>
      </c>
      <c r="CJ239" s="99"/>
      <c r="CK239" s="736"/>
      <c r="CL239" s="736"/>
      <c r="CM239" s="401">
        <f>CO239</f>
        <v>0</v>
      </c>
      <c r="CN239" s="97"/>
      <c r="CO239" s="249"/>
      <c r="CP239" s="98"/>
      <c r="CQ239" s="98"/>
      <c r="CR239" s="249"/>
      <c r="CS239" s="237"/>
      <c r="CT239" s="124">
        <f>SUM(CT240:CT244)</f>
        <v>0</v>
      </c>
      <c r="CU239" s="125">
        <f>SUM(CU240:CU244)</f>
        <v>0</v>
      </c>
      <c r="CV239" s="99"/>
      <c r="CW239" s="221"/>
      <c r="CX239" s="124">
        <f>SUM(CX240:CX244)</f>
        <v>0</v>
      </c>
      <c r="CY239" s="125">
        <f>SUM(CY240:CY244)</f>
        <v>0</v>
      </c>
      <c r="CZ239" s="99"/>
      <c r="DA239" s="221"/>
      <c r="DB239" s="124">
        <f>SUM(DB240:DB244)</f>
        <v>0</v>
      </c>
      <c r="DC239" s="125">
        <f>SUM(DC240:DC244)</f>
        <v>0</v>
      </c>
      <c r="DD239" s="99"/>
      <c r="DE239" s="736"/>
      <c r="DF239" s="736"/>
      <c r="DG239" s="401">
        <f>DI239</f>
        <v>0</v>
      </c>
      <c r="DH239" s="97"/>
      <c r="DI239" s="249"/>
      <c r="DJ239" s="98"/>
      <c r="DK239" s="98"/>
      <c r="DL239" s="249"/>
      <c r="DM239" s="237"/>
    </row>
    <row r="240" spans="1:117" x14ac:dyDescent="0.25">
      <c r="A240" s="45"/>
      <c r="B240" s="44"/>
      <c r="C240" s="45">
        <v>1</v>
      </c>
      <c r="D240" s="44"/>
      <c r="E240" s="44"/>
      <c r="F240" s="342"/>
      <c r="G240" s="44"/>
      <c r="H240" s="278"/>
      <c r="I240" s="278"/>
      <c r="J240" s="538"/>
      <c r="K240" s="278"/>
      <c r="L240" s="279">
        <v>0</v>
      </c>
      <c r="M240" s="306">
        <f>M239</f>
        <v>0</v>
      </c>
      <c r="N240" s="47">
        <f>M240-L240</f>
        <v>0</v>
      </c>
      <c r="O240" s="285"/>
      <c r="P240" s="253"/>
      <c r="Q240" s="35">
        <f>L240+O240-P240</f>
        <v>0</v>
      </c>
      <c r="R240" s="288"/>
      <c r="S240" s="214"/>
      <c r="T240" s="48"/>
      <c r="U240" s="723"/>
      <c r="V240" s="214"/>
      <c r="W240" s="289"/>
      <c r="X240" s="48"/>
      <c r="Y240" s="287"/>
      <c r="Z240" s="132"/>
      <c r="AA240" s="289"/>
      <c r="AB240" s="48"/>
      <c r="AC240" s="287"/>
      <c r="AD240" s="287"/>
      <c r="AE240" s="278"/>
      <c r="AF240" s="279">
        <f>Q240</f>
        <v>0</v>
      </c>
      <c r="AG240" s="306">
        <f>AG239</f>
        <v>0</v>
      </c>
      <c r="AH240" s="47">
        <f>AG240-AF240</f>
        <v>0</v>
      </c>
      <c r="AI240" s="253"/>
      <c r="AJ240" s="253"/>
      <c r="AK240" s="35">
        <f>AF240+AI240-AJ240</f>
        <v>0</v>
      </c>
      <c r="AL240" s="288"/>
      <c r="AM240" s="214"/>
      <c r="AN240" s="48"/>
      <c r="AO240" s="723"/>
      <c r="AP240" s="214"/>
      <c r="AQ240" s="289"/>
      <c r="AR240" s="48"/>
      <c r="AS240" s="287"/>
      <c r="AT240" s="132"/>
      <c r="AU240" s="289"/>
      <c r="AV240" s="48"/>
      <c r="AW240" s="287"/>
      <c r="AX240" s="287"/>
      <c r="AY240" s="278"/>
      <c r="AZ240" s="279">
        <f>AK240</f>
        <v>0</v>
      </c>
      <c r="BA240" s="306">
        <f>BA239</f>
        <v>3</v>
      </c>
      <c r="BB240" s="47">
        <f>BA240-AZ240</f>
        <v>3</v>
      </c>
      <c r="BC240" s="285"/>
      <c r="BD240" s="253"/>
      <c r="BE240" s="35">
        <f>AZ240+BC240-BD240</f>
        <v>0</v>
      </c>
      <c r="BF240" s="288"/>
      <c r="BG240" s="214"/>
      <c r="BH240" s="48"/>
      <c r="BI240" s="723"/>
      <c r="BJ240" s="214"/>
      <c r="BK240" s="289"/>
      <c r="BL240" s="48"/>
      <c r="BM240" s="287"/>
      <c r="BN240" s="132"/>
      <c r="BO240" s="289"/>
      <c r="BP240" s="48"/>
      <c r="BQ240" s="287"/>
      <c r="BR240" s="287"/>
      <c r="BS240" s="278"/>
      <c r="BT240" s="279">
        <f>BE240</f>
        <v>0</v>
      </c>
      <c r="BU240" s="306">
        <f>BU239</f>
        <v>2</v>
      </c>
      <c r="BV240" s="47"/>
      <c r="BW240" s="285"/>
      <c r="BX240" s="253"/>
      <c r="BY240" s="35">
        <f>BT240+BW240-BX240</f>
        <v>0</v>
      </c>
      <c r="BZ240" s="288"/>
      <c r="CA240" s="214"/>
      <c r="CB240" s="48"/>
      <c r="CC240" s="723"/>
      <c r="CD240" s="214"/>
      <c r="CE240" s="289"/>
      <c r="CF240" s="48"/>
      <c r="CG240" s="287"/>
      <c r="CH240" s="132"/>
      <c r="CI240" s="289"/>
      <c r="CJ240" s="48"/>
      <c r="CK240" s="287"/>
      <c r="CL240" s="287"/>
      <c r="CM240" s="278"/>
      <c r="CN240" s="279">
        <f>BY240</f>
        <v>0</v>
      </c>
      <c r="CO240" s="306">
        <f>CO239</f>
        <v>0</v>
      </c>
      <c r="CP240" s="47">
        <f>CO240-CN240</f>
        <v>0</v>
      </c>
      <c r="CQ240" s="253"/>
      <c r="CR240" s="253"/>
      <c r="CS240" s="35">
        <f>CN240+CQ240-CR240</f>
        <v>0</v>
      </c>
      <c r="CT240" s="288"/>
      <c r="CU240" s="214"/>
      <c r="CV240" s="48"/>
      <c r="CW240" s="723"/>
      <c r="CX240" s="214"/>
      <c r="CY240" s="289"/>
      <c r="CZ240" s="48"/>
      <c r="DA240" s="287"/>
      <c r="DB240" s="132"/>
      <c r="DC240" s="289"/>
      <c r="DD240" s="48"/>
      <c r="DE240" s="287"/>
      <c r="DF240" s="287"/>
      <c r="DG240" s="278"/>
      <c r="DH240" s="279">
        <f>BY240</f>
        <v>0</v>
      </c>
      <c r="DI240" s="306">
        <f>DI239</f>
        <v>0</v>
      </c>
      <c r="DJ240" s="47">
        <f>DI240-DH240</f>
        <v>0</v>
      </c>
      <c r="DK240" s="253"/>
      <c r="DL240" s="253"/>
      <c r="DM240" s="48">
        <f>DH240+DK240-DL240</f>
        <v>0</v>
      </c>
    </row>
    <row r="241" spans="1:117" x14ac:dyDescent="0.25">
      <c r="A241" s="18"/>
      <c r="B241" s="11" t="s">
        <v>365</v>
      </c>
      <c r="C241" s="18">
        <v>1</v>
      </c>
      <c r="D241" s="274"/>
      <c r="E241" s="274"/>
      <c r="F241" s="149">
        <v>3000</v>
      </c>
      <c r="G241" s="11"/>
      <c r="H241" s="25"/>
      <c r="I241" s="25"/>
      <c r="J241" s="530">
        <f>SUM(M241,AG241,BA241,BU241)-L241</f>
        <v>5</v>
      </c>
      <c r="K241" s="395">
        <f t="shared" ref="K241" si="517">M241-O241-L241</f>
        <v>0</v>
      </c>
      <c r="L241" s="29">
        <v>0</v>
      </c>
      <c r="M241" s="298">
        <f>M239</f>
        <v>0</v>
      </c>
      <c r="N241" s="5">
        <f>M241-L241</f>
        <v>0</v>
      </c>
      <c r="O241" s="256"/>
      <c r="P241" s="240"/>
      <c r="Q241" s="35">
        <f>L241+O241-P241</f>
        <v>0</v>
      </c>
      <c r="R241" s="121"/>
      <c r="S241" s="6"/>
      <c r="T241" s="35"/>
      <c r="U241" s="612"/>
      <c r="V241" s="121"/>
      <c r="W241" s="6"/>
      <c r="X241" s="35"/>
      <c r="Y241" s="612"/>
      <c r="Z241" s="21"/>
      <c r="AA241" s="6"/>
      <c r="AB241" s="35"/>
      <c r="AC241" s="234"/>
      <c r="AD241" s="234"/>
      <c r="AE241" s="395">
        <f>SUM(M241,AG241)-SUM(O241,AI241)-L241</f>
        <v>0</v>
      </c>
      <c r="AF241" s="29">
        <f>Q241</f>
        <v>0</v>
      </c>
      <c r="AG241" s="298">
        <f>AG239</f>
        <v>0</v>
      </c>
      <c r="AH241" s="5">
        <f>AG241-AF241</f>
        <v>0</v>
      </c>
      <c r="AI241" s="240"/>
      <c r="AJ241" s="240"/>
      <c r="AK241" s="35">
        <f>AF241+AI241-AJ241</f>
        <v>0</v>
      </c>
      <c r="AL241" s="21"/>
      <c r="AM241" s="6"/>
      <c r="AN241" s="35"/>
      <c r="AO241" s="612"/>
      <c r="AP241" s="121"/>
      <c r="AQ241" s="6"/>
      <c r="AR241" s="35"/>
      <c r="AS241" s="612"/>
      <c r="AT241" s="21"/>
      <c r="AU241" s="6"/>
      <c r="AV241" s="35"/>
      <c r="AW241" s="234"/>
      <c r="AX241" s="234"/>
      <c r="AY241" s="395">
        <f>SUM(M241,AG241,BA241)-SUM(O241,AI241,BC241)-L241</f>
        <v>3</v>
      </c>
      <c r="AZ241" s="29">
        <f>AK241</f>
        <v>0</v>
      </c>
      <c r="BA241" s="298">
        <f>BA239</f>
        <v>3</v>
      </c>
      <c r="BB241" s="5">
        <f>BA241-AZ241</f>
        <v>3</v>
      </c>
      <c r="BC241" s="256"/>
      <c r="BD241" s="240"/>
      <c r="BE241" s="35">
        <f>AZ241+BC241-BD241</f>
        <v>0</v>
      </c>
      <c r="BF241" s="121"/>
      <c r="BG241" s="6"/>
      <c r="BH241" s="35"/>
      <c r="BI241" s="612"/>
      <c r="BJ241" s="121"/>
      <c r="BK241" s="6"/>
      <c r="BL241" s="35"/>
      <c r="BM241" s="612"/>
      <c r="BN241" s="21"/>
      <c r="BO241" s="6"/>
      <c r="BP241" s="35"/>
      <c r="BQ241" s="234"/>
      <c r="BR241" s="234"/>
      <c r="BS241" s="395">
        <f>SUM(M241,AG241,BA241,BU241)-SUM(O241,AI241,BC241,BW241)-L241</f>
        <v>5</v>
      </c>
      <c r="BT241" s="29">
        <f>BE241</f>
        <v>0</v>
      </c>
      <c r="BU241" s="298">
        <f>BU239</f>
        <v>2</v>
      </c>
      <c r="BV241" s="5">
        <f>BU241-BT241</f>
        <v>2</v>
      </c>
      <c r="BW241" s="256"/>
      <c r="BX241" s="240"/>
      <c r="BY241" s="35">
        <f>BT241+BW241-BX241</f>
        <v>0</v>
      </c>
      <c r="BZ241" s="121"/>
      <c r="CA241" s="6"/>
      <c r="CB241" s="35"/>
      <c r="CC241" s="612"/>
      <c r="CD241" s="121"/>
      <c r="CE241" s="6"/>
      <c r="CF241" s="35"/>
      <c r="CG241" s="612"/>
      <c r="CH241" s="21"/>
      <c r="CI241" s="6"/>
      <c r="CJ241" s="35"/>
      <c r="CK241" s="234"/>
      <c r="CL241" s="234"/>
      <c r="CM241" s="395">
        <f>SUM(M241,AG241,BA241,BU241,CO241)-SUM(O241,AI241,BC241,BW241,CQ241)-L241</f>
        <v>5</v>
      </c>
      <c r="CN241" s="29">
        <f>BY241</f>
        <v>0</v>
      </c>
      <c r="CO241" s="298">
        <f>CO239</f>
        <v>0</v>
      </c>
      <c r="CP241" s="5">
        <f>CO241-CN241</f>
        <v>0</v>
      </c>
      <c r="CQ241" s="240"/>
      <c r="CR241" s="240"/>
      <c r="CS241" s="35">
        <f>CN241+CQ241-CR241</f>
        <v>0</v>
      </c>
      <c r="CT241" s="121"/>
      <c r="CU241" s="6"/>
      <c r="CV241" s="35"/>
      <c r="CW241" s="612"/>
      <c r="CX241" s="121"/>
      <c r="CY241" s="6"/>
      <c r="CZ241" s="35"/>
      <c r="DA241" s="612"/>
      <c r="DB241" s="21"/>
      <c r="DC241" s="6"/>
      <c r="DD241" s="35"/>
      <c r="DE241" s="234"/>
      <c r="DF241" s="234"/>
      <c r="DG241" s="395">
        <f>SUM(M241,AG241,BA241,BU241,DI241)-SUM(O241,AI241,BC241,BW241,CQ241)-L241</f>
        <v>5</v>
      </c>
      <c r="DH241" s="29">
        <f t="shared" ref="DH241:DH244" si="518">BY241</f>
        <v>0</v>
      </c>
      <c r="DI241" s="298">
        <f>DI239</f>
        <v>0</v>
      </c>
      <c r="DJ241" s="5">
        <f>DI241-DH241</f>
        <v>0</v>
      </c>
      <c r="DK241" s="240"/>
      <c r="DL241" s="240"/>
      <c r="DM241" s="35">
        <f>DH241+DK241-DL241</f>
        <v>0</v>
      </c>
    </row>
    <row r="242" spans="1:117" x14ac:dyDescent="0.25">
      <c r="A242" s="75"/>
      <c r="B242" s="74"/>
      <c r="C242" s="75">
        <v>1</v>
      </c>
      <c r="D242" s="74"/>
      <c r="E242" s="74"/>
      <c r="F242" s="275"/>
      <c r="G242" s="11"/>
      <c r="H242" s="25"/>
      <c r="I242" s="25"/>
      <c r="J242" s="539"/>
      <c r="K242" s="25"/>
      <c r="L242" s="29">
        <v>0</v>
      </c>
      <c r="M242" s="299">
        <f>M239</f>
        <v>0</v>
      </c>
      <c r="N242" s="78">
        <f>M242-L242</f>
        <v>0</v>
      </c>
      <c r="O242" s="277"/>
      <c r="P242" s="244"/>
      <c r="Q242" s="35">
        <f>L242+O242-P242</f>
        <v>0</v>
      </c>
      <c r="R242" s="129"/>
      <c r="S242" s="130"/>
      <c r="T242" s="79"/>
      <c r="U242" s="712"/>
      <c r="V242" s="129"/>
      <c r="W242" s="130"/>
      <c r="X242" s="79"/>
      <c r="Y242" s="712"/>
      <c r="Z242" s="131"/>
      <c r="AA242" s="130"/>
      <c r="AB242" s="79"/>
      <c r="AC242" s="712"/>
      <c r="AD242" s="712"/>
      <c r="AE242" s="25"/>
      <c r="AF242" s="29">
        <f>Q242</f>
        <v>0</v>
      </c>
      <c r="AG242" s="299">
        <f>AG239</f>
        <v>0</v>
      </c>
      <c r="AH242" s="78">
        <f>AG242-AF242</f>
        <v>0</v>
      </c>
      <c r="AI242" s="244"/>
      <c r="AJ242" s="244"/>
      <c r="AK242" s="35">
        <f>AF242+AI242-AJ242</f>
        <v>0</v>
      </c>
      <c r="AL242" s="129"/>
      <c r="AM242" s="130"/>
      <c r="AN242" s="79"/>
      <c r="AO242" s="712"/>
      <c r="AP242" s="129"/>
      <c r="AQ242" s="130"/>
      <c r="AR242" s="79"/>
      <c r="AS242" s="712"/>
      <c r="AT242" s="131"/>
      <c r="AU242" s="130"/>
      <c r="AV242" s="79"/>
      <c r="AW242" s="712"/>
      <c r="AX242" s="712"/>
      <c r="AY242" s="25"/>
      <c r="AZ242" s="29">
        <f t="shared" ref="AZ242:AZ244" si="519">AK242</f>
        <v>0</v>
      </c>
      <c r="BA242" s="299">
        <f>BA239</f>
        <v>3</v>
      </c>
      <c r="BB242" s="78">
        <f>BA242-AZ242</f>
        <v>3</v>
      </c>
      <c r="BC242" s="277"/>
      <c r="BD242" s="244"/>
      <c r="BE242" s="35">
        <f>AZ242+BC242-BD242</f>
        <v>0</v>
      </c>
      <c r="BF242" s="129"/>
      <c r="BG242" s="130"/>
      <c r="BH242" s="79"/>
      <c r="BI242" s="712"/>
      <c r="BJ242" s="129"/>
      <c r="BK242" s="130"/>
      <c r="BL242" s="79"/>
      <c r="BM242" s="712"/>
      <c r="BN242" s="131"/>
      <c r="BO242" s="130"/>
      <c r="BP242" s="79"/>
      <c r="BQ242" s="712"/>
      <c r="BR242" s="712"/>
      <c r="BS242" s="25"/>
      <c r="BT242" s="29">
        <f t="shared" ref="BT242:BT244" si="520">BE242</f>
        <v>0</v>
      </c>
      <c r="BU242" s="299">
        <f>BU239</f>
        <v>2</v>
      </c>
      <c r="BV242" s="78"/>
      <c r="BW242" s="277"/>
      <c r="BX242" s="244"/>
      <c r="BY242" s="35">
        <f>BT242+BW242-BX242</f>
        <v>0</v>
      </c>
      <c r="BZ242" s="129"/>
      <c r="CA242" s="130"/>
      <c r="CB242" s="79"/>
      <c r="CC242" s="712"/>
      <c r="CD242" s="129"/>
      <c r="CE242" s="130"/>
      <c r="CF242" s="79"/>
      <c r="CG242" s="712"/>
      <c r="CH242" s="131"/>
      <c r="CI242" s="130"/>
      <c r="CJ242" s="79"/>
      <c r="CK242" s="712"/>
      <c r="CL242" s="712"/>
      <c r="CM242" s="25"/>
      <c r="CN242" s="29">
        <f t="shared" ref="CN242:CN244" si="521">BY242</f>
        <v>0</v>
      </c>
      <c r="CO242" s="299">
        <f>CO239</f>
        <v>0</v>
      </c>
      <c r="CP242" s="78">
        <f>CO242-CN242</f>
        <v>0</v>
      </c>
      <c r="CQ242" s="244"/>
      <c r="CR242" s="244"/>
      <c r="CS242" s="35">
        <f>CN242+CQ242-CR242</f>
        <v>0</v>
      </c>
      <c r="CT242" s="129"/>
      <c r="CU242" s="130"/>
      <c r="CV242" s="79"/>
      <c r="CW242" s="712"/>
      <c r="CX242" s="129"/>
      <c r="CY242" s="130"/>
      <c r="CZ242" s="79"/>
      <c r="DA242" s="712"/>
      <c r="DB242" s="131"/>
      <c r="DC242" s="130"/>
      <c r="DD242" s="79"/>
      <c r="DE242" s="712"/>
      <c r="DF242" s="712"/>
      <c r="DG242" s="25"/>
      <c r="DH242" s="29">
        <f t="shared" si="518"/>
        <v>0</v>
      </c>
      <c r="DI242" s="299">
        <f>DI239</f>
        <v>0</v>
      </c>
      <c r="DJ242" s="78">
        <f>DI242-DH242</f>
        <v>0</v>
      </c>
      <c r="DK242" s="244"/>
      <c r="DL242" s="244"/>
      <c r="DM242" s="35">
        <f>DH242+DK242-DL242</f>
        <v>0</v>
      </c>
    </row>
    <row r="243" spans="1:117" x14ac:dyDescent="0.25">
      <c r="A243" s="75"/>
      <c r="B243" s="11" t="s">
        <v>278</v>
      </c>
      <c r="C243" s="75">
        <v>1</v>
      </c>
      <c r="D243" s="74"/>
      <c r="E243" s="74"/>
      <c r="F243" s="149">
        <v>33.04</v>
      </c>
      <c r="G243" s="11" t="s">
        <v>548</v>
      </c>
      <c r="H243" s="77"/>
      <c r="I243" s="77"/>
      <c r="J243" s="540"/>
      <c r="K243" s="77"/>
      <c r="L243" s="29">
        <v>0</v>
      </c>
      <c r="M243" s="299">
        <f>M239</f>
        <v>0</v>
      </c>
      <c r="N243" s="78">
        <f>M243-L243</f>
        <v>0</v>
      </c>
      <c r="O243" s="277"/>
      <c r="P243" s="244"/>
      <c r="Q243" s="79"/>
      <c r="R243" s="129"/>
      <c r="S243" s="130"/>
      <c r="T243" s="79"/>
      <c r="U243" s="712"/>
      <c r="V243" s="129"/>
      <c r="W243" s="130"/>
      <c r="X243" s="79"/>
      <c r="Y243" s="712"/>
      <c r="Z243" s="131"/>
      <c r="AA243" s="130"/>
      <c r="AB243" s="79"/>
      <c r="AC243" s="712"/>
      <c r="AD243" s="712"/>
      <c r="AE243" s="77"/>
      <c r="AF243" s="29">
        <f>Q243</f>
        <v>0</v>
      </c>
      <c r="AG243" s="299">
        <f>AG239</f>
        <v>0</v>
      </c>
      <c r="AH243" s="78">
        <f>AG243-AF243</f>
        <v>0</v>
      </c>
      <c r="AI243" s="244"/>
      <c r="AJ243" s="244"/>
      <c r="AK243" s="79"/>
      <c r="AL243" s="129"/>
      <c r="AM243" s="130"/>
      <c r="AN243" s="79"/>
      <c r="AO243" s="712"/>
      <c r="AP243" s="129"/>
      <c r="AQ243" s="130"/>
      <c r="AR243" s="79"/>
      <c r="AS243" s="712"/>
      <c r="AT243" s="131"/>
      <c r="AU243" s="130"/>
      <c r="AV243" s="79"/>
      <c r="AW243" s="712"/>
      <c r="AX243" s="712"/>
      <c r="AY243" s="77"/>
      <c r="AZ243" s="29">
        <f t="shared" si="519"/>
        <v>0</v>
      </c>
      <c r="BA243" s="299">
        <f>BA239</f>
        <v>3</v>
      </c>
      <c r="BB243" s="78">
        <f>BA243-AZ243</f>
        <v>3</v>
      </c>
      <c r="BC243" s="277"/>
      <c r="BD243" s="244"/>
      <c r="BE243" s="79"/>
      <c r="BF243" s="129"/>
      <c r="BG243" s="130"/>
      <c r="BH243" s="79"/>
      <c r="BI243" s="712"/>
      <c r="BJ243" s="129"/>
      <c r="BK243" s="130"/>
      <c r="BL243" s="79"/>
      <c r="BM243" s="712"/>
      <c r="BN243" s="131"/>
      <c r="BO243" s="130"/>
      <c r="BP243" s="79"/>
      <c r="BQ243" s="712"/>
      <c r="BR243" s="712"/>
      <c r="BS243" s="77"/>
      <c r="BT243" s="29">
        <f t="shared" si="520"/>
        <v>0</v>
      </c>
      <c r="BU243" s="299">
        <f>BU239</f>
        <v>2</v>
      </c>
      <c r="BV243" s="78"/>
      <c r="BW243" s="277"/>
      <c r="BX243" s="244"/>
      <c r="BY243" s="79"/>
      <c r="BZ243" s="129"/>
      <c r="CA243" s="130"/>
      <c r="CB243" s="79"/>
      <c r="CC243" s="712"/>
      <c r="CD243" s="129"/>
      <c r="CE243" s="130"/>
      <c r="CF243" s="79"/>
      <c r="CG243" s="712"/>
      <c r="CH243" s="131"/>
      <c r="CI243" s="130"/>
      <c r="CJ243" s="79"/>
      <c r="CK243" s="712"/>
      <c r="CL243" s="712"/>
      <c r="CM243" s="77"/>
      <c r="CN243" s="29">
        <f t="shared" si="521"/>
        <v>0</v>
      </c>
      <c r="CO243" s="299">
        <f>CO239</f>
        <v>0</v>
      </c>
      <c r="CP243" s="78">
        <f>CO243-CN243</f>
        <v>0</v>
      </c>
      <c r="CQ243" s="244"/>
      <c r="CR243" s="244"/>
      <c r="CS243" s="79"/>
      <c r="CT243" s="129"/>
      <c r="CU243" s="130"/>
      <c r="CV243" s="79"/>
      <c r="CW243" s="712"/>
      <c r="CX243" s="129"/>
      <c r="CY243" s="130"/>
      <c r="CZ243" s="79"/>
      <c r="DA243" s="712"/>
      <c r="DB243" s="131"/>
      <c r="DC243" s="130"/>
      <c r="DD243" s="79"/>
      <c r="DE243" s="712"/>
      <c r="DF243" s="712"/>
      <c r="DG243" s="77"/>
      <c r="DH243" s="29">
        <f t="shared" si="518"/>
        <v>0</v>
      </c>
      <c r="DI243" s="299">
        <f>DI239</f>
        <v>0</v>
      </c>
      <c r="DJ243" s="78">
        <f>DI243-DH243</f>
        <v>0</v>
      </c>
      <c r="DK243" s="244"/>
      <c r="DL243" s="244"/>
      <c r="DM243" s="79"/>
    </row>
    <row r="244" spans="1:117" ht="15.75" thickBot="1" x14ac:dyDescent="0.3">
      <c r="A244" s="19"/>
      <c r="B244" s="12"/>
      <c r="C244" s="19"/>
      <c r="D244" s="12"/>
      <c r="E244" s="12"/>
      <c r="F244" s="146"/>
      <c r="G244" s="12"/>
      <c r="H244" s="28"/>
      <c r="I244" s="28"/>
      <c r="J244" s="537"/>
      <c r="K244" s="28"/>
      <c r="L244" s="30">
        <v>0</v>
      </c>
      <c r="M244" s="31"/>
      <c r="N244" s="31"/>
      <c r="O244" s="31"/>
      <c r="P244" s="241"/>
      <c r="Q244" s="36">
        <f>L244+O244-P244</f>
        <v>0</v>
      </c>
      <c r="R244" s="200"/>
      <c r="S244" s="201"/>
      <c r="T244" s="36"/>
      <c r="U244" s="220"/>
      <c r="V244" s="200"/>
      <c r="W244" s="201"/>
      <c r="X244" s="36"/>
      <c r="Y244" s="220"/>
      <c r="Z244" s="122"/>
      <c r="AA244" s="201"/>
      <c r="AB244" s="36"/>
      <c r="AC244" s="220"/>
      <c r="AD244" s="220"/>
      <c r="AE244" s="28"/>
      <c r="AF244" s="30">
        <f>Q244</f>
        <v>0</v>
      </c>
      <c r="AG244" s="31"/>
      <c r="AH244" s="31"/>
      <c r="AI244" s="31"/>
      <c r="AJ244" s="241"/>
      <c r="AK244" s="36">
        <f>AF244+AI244-AJ244</f>
        <v>0</v>
      </c>
      <c r="AL244" s="200"/>
      <c r="AM244" s="201"/>
      <c r="AN244" s="36"/>
      <c r="AO244" s="220"/>
      <c r="AP244" s="200"/>
      <c r="AQ244" s="201"/>
      <c r="AR244" s="36"/>
      <c r="AS244" s="220"/>
      <c r="AT244" s="122"/>
      <c r="AU244" s="201"/>
      <c r="AV244" s="36"/>
      <c r="AW244" s="220"/>
      <c r="AX244" s="220"/>
      <c r="AY244" s="28"/>
      <c r="AZ244" s="30">
        <f t="shared" si="519"/>
        <v>0</v>
      </c>
      <c r="BA244" s="31"/>
      <c r="BB244" s="31"/>
      <c r="BC244" s="31"/>
      <c r="BD244" s="241"/>
      <c r="BE244" s="36">
        <f>AZ244+BC244-BD244</f>
        <v>0</v>
      </c>
      <c r="BF244" s="200"/>
      <c r="BG244" s="201"/>
      <c r="BH244" s="36"/>
      <c r="BI244" s="220"/>
      <c r="BJ244" s="200"/>
      <c r="BK244" s="201"/>
      <c r="BL244" s="36"/>
      <c r="BM244" s="220"/>
      <c r="BN244" s="122"/>
      <c r="BO244" s="201"/>
      <c r="BP244" s="36"/>
      <c r="BQ244" s="220"/>
      <c r="BR244" s="220"/>
      <c r="BS244" s="28"/>
      <c r="BT244" s="30">
        <f t="shared" si="520"/>
        <v>0</v>
      </c>
      <c r="BU244" s="31"/>
      <c r="BV244" s="31"/>
      <c r="BW244" s="31"/>
      <c r="BX244" s="241"/>
      <c r="BY244" s="36">
        <f>BT244+BW244-BX244</f>
        <v>0</v>
      </c>
      <c r="BZ244" s="200"/>
      <c r="CA244" s="201"/>
      <c r="CB244" s="36"/>
      <c r="CC244" s="220"/>
      <c r="CD244" s="200"/>
      <c r="CE244" s="201"/>
      <c r="CF244" s="36"/>
      <c r="CG244" s="220"/>
      <c r="CH244" s="122"/>
      <c r="CI244" s="201"/>
      <c r="CJ244" s="36"/>
      <c r="CK244" s="220"/>
      <c r="CL244" s="220"/>
      <c r="CM244" s="28"/>
      <c r="CN244" s="30">
        <f t="shared" si="521"/>
        <v>0</v>
      </c>
      <c r="CO244" s="31"/>
      <c r="CP244" s="31"/>
      <c r="CQ244" s="31"/>
      <c r="CR244" s="241"/>
      <c r="CS244" s="36">
        <f>CN244+CQ244-CR244</f>
        <v>0</v>
      </c>
      <c r="CT244" s="200"/>
      <c r="CU244" s="201"/>
      <c r="CV244" s="36"/>
      <c r="CW244" s="220"/>
      <c r="CX244" s="200"/>
      <c r="CY244" s="201"/>
      <c r="CZ244" s="36"/>
      <c r="DA244" s="220"/>
      <c r="DB244" s="122"/>
      <c r="DC244" s="201"/>
      <c r="DD244" s="36"/>
      <c r="DE244" s="220"/>
      <c r="DF244" s="220"/>
      <c r="DG244" s="28"/>
      <c r="DH244" s="30">
        <f t="shared" si="518"/>
        <v>0</v>
      </c>
      <c r="DI244" s="31"/>
      <c r="DJ244" s="31"/>
      <c r="DK244" s="31"/>
      <c r="DL244" s="241"/>
      <c r="DM244" s="36">
        <f>DH244+DK244-DL244</f>
        <v>0</v>
      </c>
    </row>
    <row r="245" spans="1:117" ht="15.75" thickBot="1" x14ac:dyDescent="0.3">
      <c r="P245" s="248"/>
      <c r="AJ245" s="248"/>
      <c r="BD245" s="248"/>
      <c r="BX245" s="248"/>
      <c r="CR245" s="248"/>
      <c r="DL245" s="248"/>
    </row>
    <row r="246" spans="1:117" ht="15.75" thickBot="1" x14ac:dyDescent="0.3">
      <c r="A246" s="95"/>
      <c r="B246" s="590" t="s">
        <v>764</v>
      </c>
      <c r="C246" s="95"/>
      <c r="D246" s="93"/>
      <c r="E246" s="93"/>
      <c r="F246" s="340"/>
      <c r="G246" s="93"/>
      <c r="H246" s="96"/>
      <c r="I246" s="96"/>
      <c r="J246" s="96">
        <f>SUM(M246,AG246,BA246,BU246)</f>
        <v>0</v>
      </c>
      <c r="K246" s="95"/>
      <c r="L246" s="97"/>
      <c r="M246" s="98">
        <v>0</v>
      </c>
      <c r="N246" s="98"/>
      <c r="O246" s="98"/>
      <c r="P246" s="249"/>
      <c r="Q246" s="221"/>
      <c r="R246" s="307">
        <f>SUM(R247:R254, R255,R261)</f>
        <v>0</v>
      </c>
      <c r="S246" s="308">
        <f>SUM(S247:S254, S255,S261)</f>
        <v>0</v>
      </c>
      <c r="T246" s="99"/>
      <c r="U246" s="221"/>
      <c r="V246" s="307">
        <f>SUM(V247:V254, V255,V261)</f>
        <v>0</v>
      </c>
      <c r="W246" s="308">
        <f>SUM(W247:W254, W255,W261)</f>
        <v>0</v>
      </c>
      <c r="X246" s="99"/>
      <c r="Y246" s="221"/>
      <c r="Z246" s="307">
        <f>SUM(Z247:Z254, Z255,Z261)</f>
        <v>0</v>
      </c>
      <c r="AA246" s="308">
        <f>SUM(AA247:AA254, AA255,AA261)</f>
        <v>0</v>
      </c>
      <c r="AB246" s="99"/>
      <c r="AC246" s="237"/>
      <c r="AD246" s="237"/>
      <c r="AE246" s="95">
        <f>SUM(AG246,BA246,BU246)</f>
        <v>0</v>
      </c>
      <c r="AF246" s="97"/>
      <c r="AG246" s="98">
        <v>0</v>
      </c>
      <c r="AH246" s="98"/>
      <c r="AI246" s="98"/>
      <c r="AJ246" s="249"/>
      <c r="AK246" s="221"/>
      <c r="AL246" s="307">
        <f>SUM(AL247:AL254, AL255,AL261)</f>
        <v>0</v>
      </c>
      <c r="AM246" s="308">
        <f>SUM(AM247:AM254, AM255,AM261)</f>
        <v>0</v>
      </c>
      <c r="AN246" s="99"/>
      <c r="AO246" s="221"/>
      <c r="AP246" s="307">
        <f>SUM(AP247:AP254, AP255,AP261)</f>
        <v>0</v>
      </c>
      <c r="AQ246" s="308">
        <f>SUM(AQ247:AQ254, AQ255,AQ261)</f>
        <v>0</v>
      </c>
      <c r="AR246" s="99"/>
      <c r="AS246" s="221"/>
      <c r="AT246" s="307">
        <f>SUM(AT247:AT254, AT255,AT261)</f>
        <v>0</v>
      </c>
      <c r="AU246" s="308">
        <f>SUM(AU247:AU254, AU255,AU261)</f>
        <v>0</v>
      </c>
      <c r="AV246" s="99"/>
      <c r="AW246" s="237"/>
      <c r="AX246" s="237"/>
      <c r="AY246" s="95">
        <f>SUM(BA246,BU246)</f>
        <v>0</v>
      </c>
      <c r="AZ246" s="97"/>
      <c r="BA246" s="98">
        <v>0</v>
      </c>
      <c r="BB246" s="98"/>
      <c r="BC246" s="98"/>
      <c r="BD246" s="249"/>
      <c r="BE246" s="221"/>
      <c r="BF246" s="307">
        <f>SUM(BF247:BF254, BF255,BF261)</f>
        <v>0</v>
      </c>
      <c r="BG246" s="308">
        <f>SUM(BG247:BG254, BG255,BG261)</f>
        <v>0</v>
      </c>
      <c r="BH246" s="99"/>
      <c r="BI246" s="221"/>
      <c r="BJ246" s="307">
        <f>SUM(BJ247:BJ254, BJ255,BJ261)</f>
        <v>0</v>
      </c>
      <c r="BK246" s="308">
        <f>SUM(BK247:BK254, BK255,BK261)</f>
        <v>0</v>
      </c>
      <c r="BL246" s="99"/>
      <c r="BM246" s="221"/>
      <c r="BN246" s="307">
        <f>SUM(BN247:BN254, BN255,BN261)</f>
        <v>0</v>
      </c>
      <c r="BO246" s="308">
        <f>SUM(BO247:BO254, BO255,BO261)</f>
        <v>0</v>
      </c>
      <c r="BP246" s="99"/>
      <c r="BQ246" s="237"/>
      <c r="BR246" s="237"/>
      <c r="BS246" s="95">
        <f>BU246</f>
        <v>0</v>
      </c>
      <c r="BT246" s="97"/>
      <c r="BU246" s="98">
        <v>0</v>
      </c>
      <c r="BV246" s="98"/>
      <c r="BW246" s="98"/>
      <c r="BX246" s="249"/>
      <c r="BY246" s="221"/>
      <c r="BZ246" s="307">
        <f>SUM(BZ247:BZ254, BZ255,BZ261)</f>
        <v>0</v>
      </c>
      <c r="CA246" s="308">
        <f>SUM(CA247:CA254, CA255,CA261)</f>
        <v>0</v>
      </c>
      <c r="CB246" s="99"/>
      <c r="CC246" s="221"/>
      <c r="CD246" s="307">
        <f>SUM(CD247:CD254, CD255,CD261)</f>
        <v>0</v>
      </c>
      <c r="CE246" s="308">
        <f>SUM(CE247:CE254, CE255,CE261)</f>
        <v>0</v>
      </c>
      <c r="CF246" s="99"/>
      <c r="CG246" s="221"/>
      <c r="CH246" s="307">
        <f>SUM(CH247:CH254, CH255,CH261)</f>
        <v>0</v>
      </c>
      <c r="CI246" s="308">
        <f>SUM(CI247:CI254, CI255,CI261)</f>
        <v>0</v>
      </c>
      <c r="CJ246" s="99"/>
      <c r="CK246" s="237"/>
      <c r="CL246" s="237"/>
      <c r="CM246" s="95">
        <f>CO246</f>
        <v>0</v>
      </c>
      <c r="CN246" s="97"/>
      <c r="CO246" s="98">
        <v>0</v>
      </c>
      <c r="CP246" s="98"/>
      <c r="CQ246" s="98"/>
      <c r="CR246" s="249"/>
      <c r="CS246" s="237"/>
      <c r="CT246" s="307">
        <f>SUM(CT247:CT254, CT255,CT261)</f>
        <v>0</v>
      </c>
      <c r="CU246" s="308">
        <f>SUM(CU247:CU254, CU255,CU261)</f>
        <v>0</v>
      </c>
      <c r="CV246" s="99"/>
      <c r="CW246" s="221"/>
      <c r="CX246" s="307">
        <f>SUM(CX247:CX254, CX255,CX261)</f>
        <v>0</v>
      </c>
      <c r="CY246" s="308">
        <f>SUM(CY247:CY254, CY255,CY261)</f>
        <v>0</v>
      </c>
      <c r="CZ246" s="99"/>
      <c r="DA246" s="221"/>
      <c r="DB246" s="307">
        <f>SUM(DB247:DB254, DB255,DB261)</f>
        <v>0</v>
      </c>
      <c r="DC246" s="308">
        <f>SUM(DC247:DC254, DC255,DC261)</f>
        <v>0</v>
      </c>
      <c r="DD246" s="99"/>
      <c r="DE246" s="237"/>
      <c r="DF246" s="237"/>
      <c r="DG246" s="95">
        <f>DI246</f>
        <v>0</v>
      </c>
      <c r="DH246" s="97"/>
      <c r="DI246" s="98">
        <v>0</v>
      </c>
      <c r="DJ246" s="98"/>
      <c r="DK246" s="98"/>
      <c r="DL246" s="249"/>
      <c r="DM246" s="237"/>
    </row>
    <row r="247" spans="1:117" x14ac:dyDescent="0.25">
      <c r="A247" s="17"/>
      <c r="B247" s="10" t="s">
        <v>216</v>
      </c>
      <c r="C247" s="17"/>
      <c r="D247" s="10"/>
      <c r="E247" s="10"/>
      <c r="F247" s="337"/>
      <c r="G247" s="109"/>
      <c r="H247" s="24"/>
      <c r="I247" s="24"/>
      <c r="J247" s="532">
        <f t="shared" ref="J247:J254" si="522">SUM(M247,AG247,BA247,BU247)-L247</f>
        <v>0</v>
      </c>
      <c r="K247" s="395">
        <f t="shared" ref="K247:K264" si="523">M247-O247-L247</f>
        <v>0</v>
      </c>
      <c r="L247" s="29">
        <v>0</v>
      </c>
      <c r="M247" s="7"/>
      <c r="N247" s="7">
        <f t="shared" ref="N247:N260" si="524">M247-L247</f>
        <v>0</v>
      </c>
      <c r="O247" s="258"/>
      <c r="P247" s="242"/>
      <c r="Q247" s="231">
        <f>L247+O247-P247</f>
        <v>0</v>
      </c>
      <c r="R247" s="123"/>
      <c r="S247" s="8"/>
      <c r="T247" s="34"/>
      <c r="U247" s="713"/>
      <c r="V247" s="123"/>
      <c r="W247" s="8"/>
      <c r="X247" s="34"/>
      <c r="Y247" s="713"/>
      <c r="Z247" s="20"/>
      <c r="AA247" s="8"/>
      <c r="AB247" s="34"/>
      <c r="AC247" s="234"/>
      <c r="AD247" s="234"/>
      <c r="AE247" s="395">
        <f t="shared" ref="AE247:AE254" si="525">SUM(M247,AG247)-SUM(O247,AI247)-L247</f>
        <v>0</v>
      </c>
      <c r="AF247" s="29">
        <f t="shared" ref="AF247:AF260" si="526">Q247</f>
        <v>0</v>
      </c>
      <c r="AG247" s="7"/>
      <c r="AH247" s="7">
        <f t="shared" ref="AH247:AH260" si="527">AG247-AF247</f>
        <v>0</v>
      </c>
      <c r="AI247" s="242"/>
      <c r="AJ247" s="242"/>
      <c r="AK247" s="231">
        <f>AF247+AI247-AJ247</f>
        <v>0</v>
      </c>
      <c r="AL247" s="123"/>
      <c r="AM247" s="8"/>
      <c r="AN247" s="34"/>
      <c r="AO247" s="713"/>
      <c r="AP247" s="123"/>
      <c r="AQ247" s="8"/>
      <c r="AR247" s="34"/>
      <c r="AS247" s="713"/>
      <c r="AT247" s="20"/>
      <c r="AU247" s="8"/>
      <c r="AV247" s="34"/>
      <c r="AW247" s="234"/>
      <c r="AX247" s="234"/>
      <c r="AY247" s="395">
        <f t="shared" ref="AY247:AY254" si="528">SUM(M247,AG247,BA247)-SUM(O247,AI247,BC247)-L247</f>
        <v>0</v>
      </c>
      <c r="AZ247" s="29">
        <f>AK247</f>
        <v>0</v>
      </c>
      <c r="BA247" s="7"/>
      <c r="BB247" s="7">
        <f t="shared" ref="BB247:BB260" si="529">BA247-AZ247</f>
        <v>0</v>
      </c>
      <c r="BC247" s="242"/>
      <c r="BD247" s="242"/>
      <c r="BE247" s="231">
        <f>AZ247+BC247-BD247</f>
        <v>0</v>
      </c>
      <c r="BF247" s="123"/>
      <c r="BG247" s="8"/>
      <c r="BH247" s="34"/>
      <c r="BI247" s="713"/>
      <c r="BJ247" s="123"/>
      <c r="BK247" s="8"/>
      <c r="BL247" s="34"/>
      <c r="BM247" s="713"/>
      <c r="BN247" s="20"/>
      <c r="BO247" s="8"/>
      <c r="BP247" s="34"/>
      <c r="BQ247" s="234"/>
      <c r="BR247" s="234"/>
      <c r="BS247" s="395">
        <f t="shared" ref="BS247:BS254" si="530">SUM(M247,AG247,BA247,BU247)-SUM(O247,AI247,BC247,BW247)-L247</f>
        <v>0</v>
      </c>
      <c r="BT247" s="29">
        <f>BE247</f>
        <v>0</v>
      </c>
      <c r="BU247" s="7"/>
      <c r="BV247" s="7">
        <f t="shared" ref="BV247:BV260" si="531">BU247-BT247</f>
        <v>0</v>
      </c>
      <c r="BW247" s="242"/>
      <c r="BX247" s="242"/>
      <c r="BY247" s="231">
        <f>BT247+BW247-BX247</f>
        <v>0</v>
      </c>
      <c r="BZ247" s="123"/>
      <c r="CA247" s="8"/>
      <c r="CB247" s="34"/>
      <c r="CC247" s="713"/>
      <c r="CD247" s="123"/>
      <c r="CE247" s="8"/>
      <c r="CF247" s="34"/>
      <c r="CG247" s="713"/>
      <c r="CH247" s="20"/>
      <c r="CI247" s="8"/>
      <c r="CJ247" s="34"/>
      <c r="CK247" s="234"/>
      <c r="CL247" s="234"/>
      <c r="CM247" s="395">
        <f t="shared" ref="CM247:CM254" si="532">SUM(M247,AG247,BA247,BU247,CO247)-SUM(O247,AI247,BC247,BW247,CQ247)-L247</f>
        <v>0</v>
      </c>
      <c r="CN247" s="29">
        <f>BY247</f>
        <v>0</v>
      </c>
      <c r="CO247" s="7"/>
      <c r="CP247" s="7">
        <f t="shared" ref="CP247:CP260" si="533">CO247-CN247</f>
        <v>0</v>
      </c>
      <c r="CQ247" s="242"/>
      <c r="CR247" s="242"/>
      <c r="CS247" s="231">
        <f>CN247+CQ247-CR247</f>
        <v>0</v>
      </c>
      <c r="CT247" s="123"/>
      <c r="CU247" s="8"/>
      <c r="CV247" s="34"/>
      <c r="CW247" s="713"/>
      <c r="CX247" s="123"/>
      <c r="CY247" s="8"/>
      <c r="CZ247" s="34"/>
      <c r="DA247" s="713"/>
      <c r="DB247" s="20"/>
      <c r="DC247" s="8"/>
      <c r="DD247" s="34"/>
      <c r="DE247" s="234"/>
      <c r="DF247" s="234"/>
      <c r="DG247" s="395"/>
      <c r="DH247" s="29">
        <f t="shared" ref="DH247:DH264" si="534">BY247</f>
        <v>0</v>
      </c>
      <c r="DI247" s="7"/>
      <c r="DJ247" s="7">
        <f t="shared" ref="DJ247:DJ260" si="535">DI247-DH247</f>
        <v>0</v>
      </c>
      <c r="DK247" s="242"/>
      <c r="DL247" s="242"/>
      <c r="DM247" s="231">
        <f>DH247+DK247-DL247</f>
        <v>0</v>
      </c>
    </row>
    <row r="248" spans="1:117" x14ac:dyDescent="0.25">
      <c r="A248" s="17">
        <v>2300</v>
      </c>
      <c r="B248" s="10" t="s">
        <v>146</v>
      </c>
      <c r="C248" s="17">
        <v>1</v>
      </c>
      <c r="D248" s="10"/>
      <c r="E248" s="10"/>
      <c r="F248" s="337">
        <v>13500</v>
      </c>
      <c r="G248" s="109" t="s">
        <v>331</v>
      </c>
      <c r="H248" s="24" t="s">
        <v>170</v>
      </c>
      <c r="I248" s="24"/>
      <c r="J248" s="530">
        <f t="shared" si="522"/>
        <v>0</v>
      </c>
      <c r="K248" s="395">
        <f t="shared" si="523"/>
        <v>0</v>
      </c>
      <c r="L248" s="29">
        <v>0</v>
      </c>
      <c r="M248" s="302">
        <f>M246</f>
        <v>0</v>
      </c>
      <c r="N248" s="7">
        <f t="shared" si="524"/>
        <v>0</v>
      </c>
      <c r="O248" s="258"/>
      <c r="P248" s="304">
        <f>P246</f>
        <v>0</v>
      </c>
      <c r="Q248" s="231">
        <f>L248+O248-P248</f>
        <v>0</v>
      </c>
      <c r="R248" s="123"/>
      <c r="S248" s="8"/>
      <c r="T248" s="34"/>
      <c r="U248" s="713"/>
      <c r="V248" s="123"/>
      <c r="W248" s="8"/>
      <c r="X248" s="34"/>
      <c r="Y248" s="713"/>
      <c r="Z248" s="20"/>
      <c r="AA248" s="8"/>
      <c r="AB248" s="34"/>
      <c r="AC248" s="234"/>
      <c r="AD248" s="234"/>
      <c r="AE248" s="395">
        <f t="shared" si="525"/>
        <v>0</v>
      </c>
      <c r="AF248" s="29">
        <f t="shared" si="526"/>
        <v>0</v>
      </c>
      <c r="AG248" s="302">
        <f>AG246</f>
        <v>0</v>
      </c>
      <c r="AH248" s="7">
        <f t="shared" si="527"/>
        <v>0</v>
      </c>
      <c r="AI248" s="258"/>
      <c r="AJ248" s="304">
        <f>AJ246</f>
        <v>0</v>
      </c>
      <c r="AK248" s="231">
        <f>AF248+AI248-AJ248</f>
        <v>0</v>
      </c>
      <c r="AL248" s="123"/>
      <c r="AM248" s="8"/>
      <c r="AN248" s="34"/>
      <c r="AO248" s="713"/>
      <c r="AP248" s="123"/>
      <c r="AQ248" s="8"/>
      <c r="AR248" s="34"/>
      <c r="AS248" s="713"/>
      <c r="AT248" s="20"/>
      <c r="AU248" s="8"/>
      <c r="AV248" s="34"/>
      <c r="AW248" s="234"/>
      <c r="AX248" s="234"/>
      <c r="AY248" s="395">
        <f t="shared" si="528"/>
        <v>0</v>
      </c>
      <c r="AZ248" s="29">
        <f>AK248</f>
        <v>0</v>
      </c>
      <c r="BA248" s="302">
        <f>BA246</f>
        <v>0</v>
      </c>
      <c r="BB248" s="7">
        <f t="shared" si="529"/>
        <v>0</v>
      </c>
      <c r="BC248" s="258"/>
      <c r="BD248" s="304">
        <f>BD246</f>
        <v>0</v>
      </c>
      <c r="BE248" s="231">
        <f>AZ248+BC248-BD248</f>
        <v>0</v>
      </c>
      <c r="BF248" s="123"/>
      <c r="BG248" s="8"/>
      <c r="BH248" s="34"/>
      <c r="BI248" s="713"/>
      <c r="BJ248" s="123"/>
      <c r="BK248" s="8"/>
      <c r="BL248" s="34"/>
      <c r="BM248" s="713"/>
      <c r="BN248" s="20"/>
      <c r="BO248" s="8"/>
      <c r="BP248" s="34"/>
      <c r="BQ248" s="234"/>
      <c r="BR248" s="234"/>
      <c r="BS248" s="395">
        <f t="shared" si="530"/>
        <v>0</v>
      </c>
      <c r="BT248" s="29">
        <f>BE248</f>
        <v>0</v>
      </c>
      <c r="BU248" s="302">
        <f>BU246</f>
        <v>0</v>
      </c>
      <c r="BV248" s="7">
        <f t="shared" si="531"/>
        <v>0</v>
      </c>
      <c r="BW248" s="258"/>
      <c r="BX248" s="304">
        <f>BX246</f>
        <v>0</v>
      </c>
      <c r="BY248" s="231">
        <f>BT248+BW248-BX248</f>
        <v>0</v>
      </c>
      <c r="BZ248" s="123"/>
      <c r="CA248" s="8"/>
      <c r="CB248" s="34"/>
      <c r="CC248" s="713"/>
      <c r="CD248" s="123"/>
      <c r="CE248" s="8"/>
      <c r="CF248" s="34"/>
      <c r="CG248" s="713"/>
      <c r="CH248" s="20"/>
      <c r="CI248" s="8"/>
      <c r="CJ248" s="34"/>
      <c r="CK248" s="234"/>
      <c r="CL248" s="234"/>
      <c r="CM248" s="395">
        <f t="shared" si="532"/>
        <v>0</v>
      </c>
      <c r="CN248" s="29">
        <f>BY248</f>
        <v>0</v>
      </c>
      <c r="CO248" s="302">
        <f>CO246</f>
        <v>0</v>
      </c>
      <c r="CP248" s="7">
        <f t="shared" si="533"/>
        <v>0</v>
      </c>
      <c r="CQ248" s="242"/>
      <c r="CR248" s="304">
        <f>CR246</f>
        <v>0</v>
      </c>
      <c r="CS248" s="231">
        <f>CN248+CQ248-CR248</f>
        <v>0</v>
      </c>
      <c r="CT248" s="123"/>
      <c r="CU248" s="8"/>
      <c r="CV248" s="34"/>
      <c r="CW248" s="713"/>
      <c r="CX248" s="123"/>
      <c r="CY248" s="8"/>
      <c r="CZ248" s="34"/>
      <c r="DA248" s="713"/>
      <c r="DB248" s="20"/>
      <c r="DC248" s="8"/>
      <c r="DD248" s="34"/>
      <c r="DE248" s="234"/>
      <c r="DF248" s="234"/>
      <c r="DG248" s="395"/>
      <c r="DH248" s="29">
        <f t="shared" si="534"/>
        <v>0</v>
      </c>
      <c r="DI248" s="302">
        <f>DI246</f>
        <v>0</v>
      </c>
      <c r="DJ248" s="7">
        <f t="shared" si="535"/>
        <v>0</v>
      </c>
      <c r="DK248" s="242"/>
      <c r="DL248" s="304">
        <f>DL246</f>
        <v>0</v>
      </c>
      <c r="DM248" s="231">
        <f>DH248+DK248-DL248</f>
        <v>0</v>
      </c>
    </row>
    <row r="249" spans="1:117" x14ac:dyDescent="0.25">
      <c r="A249" s="18">
        <v>911</v>
      </c>
      <c r="B249" s="11" t="s">
        <v>89</v>
      </c>
      <c r="C249" s="18">
        <v>1</v>
      </c>
      <c r="D249" s="11"/>
      <c r="E249" s="11"/>
      <c r="F249" s="149">
        <v>8590</v>
      </c>
      <c r="G249" s="11" t="s">
        <v>91</v>
      </c>
      <c r="H249" s="25" t="s">
        <v>92</v>
      </c>
      <c r="I249" s="25"/>
      <c r="J249" s="530">
        <f t="shared" si="522"/>
        <v>-1</v>
      </c>
      <c r="K249" s="395">
        <f t="shared" si="523"/>
        <v>-1</v>
      </c>
      <c r="L249" s="29">
        <v>1</v>
      </c>
      <c r="M249" s="298">
        <f>M246</f>
        <v>0</v>
      </c>
      <c r="N249" s="7">
        <f t="shared" si="524"/>
        <v>-1</v>
      </c>
      <c r="O249" s="258"/>
      <c r="P249" s="304">
        <f>P246</f>
        <v>0</v>
      </c>
      <c r="Q249" s="231">
        <f t="shared" ref="Q249:Q260" si="536">L249+O249-P249</f>
        <v>1</v>
      </c>
      <c r="R249" s="121"/>
      <c r="S249" s="6"/>
      <c r="T249" s="35"/>
      <c r="U249" s="612"/>
      <c r="V249" s="121"/>
      <c r="W249" s="6"/>
      <c r="X249" s="35"/>
      <c r="Y249" s="612"/>
      <c r="Z249" s="21"/>
      <c r="AA249" s="6"/>
      <c r="AB249" s="35"/>
      <c r="AC249" s="234"/>
      <c r="AD249" s="234"/>
      <c r="AE249" s="395">
        <f t="shared" si="525"/>
        <v>-1</v>
      </c>
      <c r="AF249" s="29">
        <f t="shared" si="526"/>
        <v>1</v>
      </c>
      <c r="AG249" s="298">
        <f>AG246</f>
        <v>0</v>
      </c>
      <c r="AH249" s="7">
        <f t="shared" si="527"/>
        <v>-1</v>
      </c>
      <c r="AI249" s="258"/>
      <c r="AJ249" s="304">
        <f>AJ246</f>
        <v>0</v>
      </c>
      <c r="AK249" s="231">
        <f t="shared" ref="AK249:AK260" si="537">AF249+AI249-AJ249</f>
        <v>1</v>
      </c>
      <c r="AL249" s="121"/>
      <c r="AM249" s="6"/>
      <c r="AN249" s="35"/>
      <c r="AO249" s="612"/>
      <c r="AP249" s="121"/>
      <c r="AQ249" s="6"/>
      <c r="AR249" s="35"/>
      <c r="AS249" s="612"/>
      <c r="AT249" s="21"/>
      <c r="AU249" s="6"/>
      <c r="AV249" s="35"/>
      <c r="AW249" s="234"/>
      <c r="AX249" s="234"/>
      <c r="AY249" s="395">
        <f t="shared" si="528"/>
        <v>-1</v>
      </c>
      <c r="AZ249" s="29">
        <f>AK249</f>
        <v>1</v>
      </c>
      <c r="BA249" s="298">
        <f>BA246</f>
        <v>0</v>
      </c>
      <c r="BB249" s="7">
        <f t="shared" si="529"/>
        <v>-1</v>
      </c>
      <c r="BC249" s="258"/>
      <c r="BD249" s="304">
        <f>BD246</f>
        <v>0</v>
      </c>
      <c r="BE249" s="231">
        <f t="shared" ref="BE249:BE260" si="538">AZ249+BC249-BD249</f>
        <v>1</v>
      </c>
      <c r="BF249" s="121"/>
      <c r="BG249" s="6"/>
      <c r="BH249" s="35"/>
      <c r="BI249" s="612"/>
      <c r="BJ249" s="121"/>
      <c r="BK249" s="6"/>
      <c r="BL249" s="35"/>
      <c r="BM249" s="612"/>
      <c r="BN249" s="21"/>
      <c r="BO249" s="6"/>
      <c r="BP249" s="35"/>
      <c r="BQ249" s="234"/>
      <c r="BR249" s="234"/>
      <c r="BS249" s="395">
        <f t="shared" si="530"/>
        <v>-1</v>
      </c>
      <c r="BT249" s="29">
        <f>BE249</f>
        <v>1</v>
      </c>
      <c r="BU249" s="298">
        <f>BU246</f>
        <v>0</v>
      </c>
      <c r="BV249" s="7">
        <f t="shared" si="531"/>
        <v>-1</v>
      </c>
      <c r="BW249" s="258"/>
      <c r="BX249" s="304">
        <f>BX246</f>
        <v>0</v>
      </c>
      <c r="BY249" s="231">
        <f t="shared" ref="BY249:BY260" si="539">BT249+BW249-BX249</f>
        <v>1</v>
      </c>
      <c r="BZ249" s="121"/>
      <c r="CA249" s="6"/>
      <c r="CB249" s="35"/>
      <c r="CC249" s="612"/>
      <c r="CD249" s="121"/>
      <c r="CE249" s="6"/>
      <c r="CF249" s="35"/>
      <c r="CG249" s="612"/>
      <c r="CH249" s="21"/>
      <c r="CI249" s="6"/>
      <c r="CJ249" s="35"/>
      <c r="CK249" s="234"/>
      <c r="CL249" s="234"/>
      <c r="CM249" s="395">
        <f t="shared" si="532"/>
        <v>-1</v>
      </c>
      <c r="CN249" s="29">
        <f>BY249</f>
        <v>1</v>
      </c>
      <c r="CO249" s="298">
        <f>CO246</f>
        <v>0</v>
      </c>
      <c r="CP249" s="7">
        <f t="shared" si="533"/>
        <v>-1</v>
      </c>
      <c r="CQ249" s="242"/>
      <c r="CR249" s="304">
        <f>CR246</f>
        <v>0</v>
      </c>
      <c r="CS249" s="231">
        <f t="shared" ref="CS249:CS260" si="540">CN249+CQ249-CR249</f>
        <v>1</v>
      </c>
      <c r="CT249" s="121"/>
      <c r="CU249" s="6"/>
      <c r="CV249" s="35"/>
      <c r="CW249" s="612"/>
      <c r="CX249" s="121"/>
      <c r="CY249" s="6"/>
      <c r="CZ249" s="35"/>
      <c r="DA249" s="612"/>
      <c r="DB249" s="21"/>
      <c r="DC249" s="6"/>
      <c r="DD249" s="35"/>
      <c r="DE249" s="234"/>
      <c r="DF249" s="234"/>
      <c r="DG249" s="395"/>
      <c r="DH249" s="29">
        <f t="shared" si="534"/>
        <v>1</v>
      </c>
      <c r="DI249" s="298">
        <f>DI246</f>
        <v>0</v>
      </c>
      <c r="DJ249" s="7">
        <f t="shared" si="535"/>
        <v>-1</v>
      </c>
      <c r="DK249" s="242"/>
      <c r="DL249" s="304">
        <f>DL246</f>
        <v>0</v>
      </c>
      <c r="DM249" s="231">
        <f t="shared" ref="DM249:DM260" si="541">DH249+DK249-DL249</f>
        <v>1</v>
      </c>
    </row>
    <row r="250" spans="1:117" x14ac:dyDescent="0.25">
      <c r="A250" s="18"/>
      <c r="B250" s="11" t="s">
        <v>90</v>
      </c>
      <c r="C250" s="18">
        <v>1</v>
      </c>
      <c r="D250" s="11"/>
      <c r="E250" s="11"/>
      <c r="F250" s="149"/>
      <c r="G250" s="11" t="s">
        <v>28</v>
      </c>
      <c r="H250" s="25" t="s">
        <v>29</v>
      </c>
      <c r="I250" s="25"/>
      <c r="J250" s="530">
        <f t="shared" si="522"/>
        <v>-12</v>
      </c>
      <c r="K250" s="395">
        <f t="shared" si="523"/>
        <v>-12</v>
      </c>
      <c r="L250" s="29">
        <v>12</v>
      </c>
      <c r="M250" s="298">
        <f>M246</f>
        <v>0</v>
      </c>
      <c r="N250" s="7">
        <f t="shared" si="524"/>
        <v>-12</v>
      </c>
      <c r="O250" s="258"/>
      <c r="P250" s="304">
        <f>P246</f>
        <v>0</v>
      </c>
      <c r="Q250" s="231">
        <f t="shared" si="536"/>
        <v>12</v>
      </c>
      <c r="R250" s="121"/>
      <c r="S250" s="6"/>
      <c r="T250" s="35"/>
      <c r="U250" s="612"/>
      <c r="V250" s="121"/>
      <c r="W250" s="6"/>
      <c r="X250" s="35"/>
      <c r="Y250" s="612"/>
      <c r="Z250" s="21"/>
      <c r="AA250" s="6"/>
      <c r="AB250" s="35"/>
      <c r="AC250" s="234"/>
      <c r="AD250" s="234"/>
      <c r="AE250" s="395">
        <f t="shared" si="525"/>
        <v>-12</v>
      </c>
      <c r="AF250" s="29">
        <f t="shared" si="526"/>
        <v>12</v>
      </c>
      <c r="AG250" s="298">
        <f>AG246</f>
        <v>0</v>
      </c>
      <c r="AH250" s="7">
        <f t="shared" si="527"/>
        <v>-12</v>
      </c>
      <c r="AI250" s="258"/>
      <c r="AJ250" s="304">
        <f>AJ246</f>
        <v>0</v>
      </c>
      <c r="AK250" s="231">
        <f t="shared" si="537"/>
        <v>12</v>
      </c>
      <c r="AL250" s="121"/>
      <c r="AM250" s="6"/>
      <c r="AN250" s="35"/>
      <c r="AO250" s="612"/>
      <c r="AP250" s="121"/>
      <c r="AQ250" s="6"/>
      <c r="AR250" s="35"/>
      <c r="AS250" s="612"/>
      <c r="AT250" s="21"/>
      <c r="AU250" s="6"/>
      <c r="AV250" s="35"/>
      <c r="AW250" s="234"/>
      <c r="AX250" s="234"/>
      <c r="AY250" s="395">
        <f t="shared" si="528"/>
        <v>-12</v>
      </c>
      <c r="AZ250" s="29">
        <f>AK250</f>
        <v>12</v>
      </c>
      <c r="BA250" s="298">
        <f>BA246</f>
        <v>0</v>
      </c>
      <c r="BB250" s="7">
        <f t="shared" si="529"/>
        <v>-12</v>
      </c>
      <c r="BC250" s="258"/>
      <c r="BD250" s="304">
        <f>BD246</f>
        <v>0</v>
      </c>
      <c r="BE250" s="231">
        <f t="shared" si="538"/>
        <v>12</v>
      </c>
      <c r="BF250" s="121"/>
      <c r="BG250" s="6"/>
      <c r="BH250" s="35"/>
      <c r="BI250" s="612"/>
      <c r="BJ250" s="121"/>
      <c r="BK250" s="6"/>
      <c r="BL250" s="35"/>
      <c r="BM250" s="612"/>
      <c r="BN250" s="21"/>
      <c r="BO250" s="6"/>
      <c r="BP250" s="35"/>
      <c r="BQ250" s="234"/>
      <c r="BR250" s="234"/>
      <c r="BS250" s="395">
        <f t="shared" si="530"/>
        <v>-12</v>
      </c>
      <c r="BT250" s="29">
        <f>BE250</f>
        <v>12</v>
      </c>
      <c r="BU250" s="298">
        <f>BU246</f>
        <v>0</v>
      </c>
      <c r="BV250" s="7">
        <f t="shared" si="531"/>
        <v>-12</v>
      </c>
      <c r="BW250" s="258"/>
      <c r="BX250" s="304">
        <f>BX246</f>
        <v>0</v>
      </c>
      <c r="BY250" s="231">
        <f t="shared" si="539"/>
        <v>12</v>
      </c>
      <c r="BZ250" s="121"/>
      <c r="CA250" s="6"/>
      <c r="CB250" s="35"/>
      <c r="CC250" s="612"/>
      <c r="CD250" s="121"/>
      <c r="CE250" s="6"/>
      <c r="CF250" s="35"/>
      <c r="CG250" s="612"/>
      <c r="CH250" s="21"/>
      <c r="CI250" s="6"/>
      <c r="CJ250" s="35"/>
      <c r="CK250" s="234"/>
      <c r="CL250" s="234"/>
      <c r="CM250" s="395">
        <f t="shared" si="532"/>
        <v>-12</v>
      </c>
      <c r="CN250" s="29">
        <f>BY250</f>
        <v>12</v>
      </c>
      <c r="CO250" s="298">
        <f>CO246</f>
        <v>0</v>
      </c>
      <c r="CP250" s="7">
        <f t="shared" si="533"/>
        <v>-12</v>
      </c>
      <c r="CQ250" s="242"/>
      <c r="CR250" s="304">
        <f>CR246</f>
        <v>0</v>
      </c>
      <c r="CS250" s="231">
        <f t="shared" si="540"/>
        <v>12</v>
      </c>
      <c r="CT250" s="121"/>
      <c r="CU250" s="6"/>
      <c r="CV250" s="35"/>
      <c r="CW250" s="612"/>
      <c r="CX250" s="121"/>
      <c r="CY250" s="6"/>
      <c r="CZ250" s="35"/>
      <c r="DA250" s="612"/>
      <c r="DB250" s="21"/>
      <c r="DC250" s="6"/>
      <c r="DD250" s="35"/>
      <c r="DE250" s="234"/>
      <c r="DF250" s="234"/>
      <c r="DG250" s="395"/>
      <c r="DH250" s="29">
        <f t="shared" si="534"/>
        <v>12</v>
      </c>
      <c r="DI250" s="298">
        <f>DI246</f>
        <v>0</v>
      </c>
      <c r="DJ250" s="7">
        <f t="shared" si="535"/>
        <v>-12</v>
      </c>
      <c r="DK250" s="242"/>
      <c r="DL250" s="304">
        <f>DL246</f>
        <v>0</v>
      </c>
      <c r="DM250" s="231">
        <f t="shared" si="541"/>
        <v>12</v>
      </c>
    </row>
    <row r="251" spans="1:117" x14ac:dyDescent="0.25">
      <c r="A251" s="18"/>
      <c r="B251" s="23" t="s">
        <v>171</v>
      </c>
      <c r="C251" s="18" t="s">
        <v>51</v>
      </c>
      <c r="D251" s="11" t="s">
        <v>173</v>
      </c>
      <c r="E251" s="11"/>
      <c r="F251" s="149">
        <v>310</v>
      </c>
      <c r="G251" s="23" t="s">
        <v>172</v>
      </c>
      <c r="H251" s="25" t="s">
        <v>184</v>
      </c>
      <c r="I251" s="25"/>
      <c r="J251" s="530">
        <f t="shared" si="522"/>
        <v>0</v>
      </c>
      <c r="K251" s="395">
        <f t="shared" si="523"/>
        <v>0</v>
      </c>
      <c r="L251" s="29">
        <v>0</v>
      </c>
      <c r="M251" s="298">
        <f>M246*40</f>
        <v>0</v>
      </c>
      <c r="N251" s="7">
        <f t="shared" si="524"/>
        <v>0</v>
      </c>
      <c r="O251" s="258"/>
      <c r="P251" s="304">
        <f>P246*40</f>
        <v>0</v>
      </c>
      <c r="Q251" s="231">
        <f t="shared" si="536"/>
        <v>0</v>
      </c>
      <c r="R251" s="121"/>
      <c r="S251" s="6"/>
      <c r="T251" s="35"/>
      <c r="U251" s="612"/>
      <c r="V251" s="121"/>
      <c r="W251" s="6"/>
      <c r="X251" s="35"/>
      <c r="Y251" s="612"/>
      <c r="Z251" s="21"/>
      <c r="AA251" s="6"/>
      <c r="AB251" s="35"/>
      <c r="AC251" s="234"/>
      <c r="AD251" s="234"/>
      <c r="AE251" s="395">
        <f t="shared" si="525"/>
        <v>0</v>
      </c>
      <c r="AF251" s="29">
        <f t="shared" si="526"/>
        <v>0</v>
      </c>
      <c r="AG251" s="298">
        <f>AG246*40</f>
        <v>0</v>
      </c>
      <c r="AH251" s="7">
        <f t="shared" si="527"/>
        <v>0</v>
      </c>
      <c r="AI251" s="258"/>
      <c r="AJ251" s="304">
        <f>AJ246*40</f>
        <v>0</v>
      </c>
      <c r="AK251" s="231">
        <f t="shared" si="537"/>
        <v>0</v>
      </c>
      <c r="AL251" s="121"/>
      <c r="AM251" s="6"/>
      <c r="AN251" s="35"/>
      <c r="AO251" s="612"/>
      <c r="AP251" s="121"/>
      <c r="AQ251" s="6"/>
      <c r="AR251" s="35"/>
      <c r="AS251" s="612"/>
      <c r="AT251" s="21"/>
      <c r="AU251" s="6"/>
      <c r="AV251" s="35"/>
      <c r="AW251" s="234"/>
      <c r="AX251" s="234"/>
      <c r="AY251" s="395">
        <f t="shared" si="528"/>
        <v>0</v>
      </c>
      <c r="AZ251" s="29">
        <f t="shared" ref="AZ251:AZ254" si="542">AK251</f>
        <v>0</v>
      </c>
      <c r="BA251" s="298">
        <f>BA246*40</f>
        <v>0</v>
      </c>
      <c r="BB251" s="7">
        <f t="shared" si="529"/>
        <v>0</v>
      </c>
      <c r="BC251" s="258"/>
      <c r="BD251" s="304">
        <f>BD246*40</f>
        <v>0</v>
      </c>
      <c r="BE251" s="231">
        <f t="shared" si="538"/>
        <v>0</v>
      </c>
      <c r="BF251" s="121"/>
      <c r="BG251" s="6"/>
      <c r="BH251" s="35"/>
      <c r="BI251" s="612"/>
      <c r="BJ251" s="121"/>
      <c r="BK251" s="6"/>
      <c r="BL251" s="35"/>
      <c r="BM251" s="612"/>
      <c r="BN251" s="21"/>
      <c r="BO251" s="6"/>
      <c r="BP251" s="35"/>
      <c r="BQ251" s="234"/>
      <c r="BR251" s="234"/>
      <c r="BS251" s="395">
        <f t="shared" si="530"/>
        <v>0</v>
      </c>
      <c r="BT251" s="29">
        <f t="shared" ref="BT251:BT254" si="543">BE251</f>
        <v>0</v>
      </c>
      <c r="BU251" s="298">
        <f>BU246*40</f>
        <v>0</v>
      </c>
      <c r="BV251" s="7">
        <f t="shared" si="531"/>
        <v>0</v>
      </c>
      <c r="BW251" s="258"/>
      <c r="BX251" s="304">
        <f>BX246*40</f>
        <v>0</v>
      </c>
      <c r="BY251" s="231">
        <f t="shared" si="539"/>
        <v>0</v>
      </c>
      <c r="BZ251" s="121"/>
      <c r="CA251" s="6"/>
      <c r="CB251" s="35"/>
      <c r="CC251" s="612"/>
      <c r="CD251" s="121"/>
      <c r="CE251" s="6"/>
      <c r="CF251" s="35"/>
      <c r="CG251" s="612"/>
      <c r="CH251" s="21"/>
      <c r="CI251" s="6"/>
      <c r="CJ251" s="35"/>
      <c r="CK251" s="234"/>
      <c r="CL251" s="234"/>
      <c r="CM251" s="395">
        <f t="shared" si="532"/>
        <v>0</v>
      </c>
      <c r="CN251" s="29">
        <f t="shared" ref="CN251:CN254" si="544">BY251</f>
        <v>0</v>
      </c>
      <c r="CO251" s="298">
        <f>CO246*40</f>
        <v>0</v>
      </c>
      <c r="CP251" s="7">
        <f t="shared" si="533"/>
        <v>0</v>
      </c>
      <c r="CQ251" s="242"/>
      <c r="CR251" s="304">
        <f>CR246*40</f>
        <v>0</v>
      </c>
      <c r="CS251" s="231">
        <f t="shared" si="540"/>
        <v>0</v>
      </c>
      <c r="CT251" s="121"/>
      <c r="CU251" s="6"/>
      <c r="CV251" s="35"/>
      <c r="CW251" s="612"/>
      <c r="CX251" s="121"/>
      <c r="CY251" s="6"/>
      <c r="CZ251" s="35"/>
      <c r="DA251" s="612"/>
      <c r="DB251" s="21"/>
      <c r="DC251" s="6"/>
      <c r="DD251" s="35"/>
      <c r="DE251" s="234"/>
      <c r="DF251" s="234"/>
      <c r="DG251" s="395"/>
      <c r="DH251" s="29">
        <f t="shared" si="534"/>
        <v>0</v>
      </c>
      <c r="DI251" s="298">
        <f>DI246*40</f>
        <v>0</v>
      </c>
      <c r="DJ251" s="7">
        <f t="shared" si="535"/>
        <v>0</v>
      </c>
      <c r="DK251" s="242"/>
      <c r="DL251" s="304">
        <f>DL246*40</f>
        <v>0</v>
      </c>
      <c r="DM251" s="231">
        <f t="shared" si="541"/>
        <v>0</v>
      </c>
    </row>
    <row r="252" spans="1:117" x14ac:dyDescent="0.25">
      <c r="A252" s="18">
        <v>977</v>
      </c>
      <c r="B252" s="11" t="s">
        <v>94</v>
      </c>
      <c r="C252" s="18">
        <v>1</v>
      </c>
      <c r="D252" s="11" t="s">
        <v>97</v>
      </c>
      <c r="E252" s="11"/>
      <c r="F252" s="149">
        <v>49395</v>
      </c>
      <c r="G252" s="11" t="s">
        <v>91</v>
      </c>
      <c r="H252" s="25" t="s">
        <v>101</v>
      </c>
      <c r="I252" s="25"/>
      <c r="J252" s="530">
        <f t="shared" si="522"/>
        <v>0</v>
      </c>
      <c r="K252" s="395">
        <f t="shared" si="523"/>
        <v>0</v>
      </c>
      <c r="L252" s="29">
        <v>0</v>
      </c>
      <c r="M252" s="5">
        <v>0</v>
      </c>
      <c r="N252" s="7">
        <f t="shared" si="524"/>
        <v>0</v>
      </c>
      <c r="O252" s="258"/>
      <c r="P252" s="242"/>
      <c r="Q252" s="231">
        <f t="shared" si="536"/>
        <v>0</v>
      </c>
      <c r="R252" s="121"/>
      <c r="S252" s="6"/>
      <c r="T252" s="35"/>
      <c r="U252" s="612"/>
      <c r="V252" s="121"/>
      <c r="W252" s="6"/>
      <c r="X252" s="35"/>
      <c r="Y252" s="612"/>
      <c r="Z252" s="21"/>
      <c r="AA252" s="6"/>
      <c r="AB252" s="35"/>
      <c r="AC252" s="234"/>
      <c r="AD252" s="234"/>
      <c r="AE252" s="395">
        <f t="shared" si="525"/>
        <v>0</v>
      </c>
      <c r="AF252" s="29">
        <f t="shared" si="526"/>
        <v>0</v>
      </c>
      <c r="AG252" s="5"/>
      <c r="AH252" s="7">
        <f t="shared" si="527"/>
        <v>0</v>
      </c>
      <c r="AI252" s="258"/>
      <c r="AJ252" s="242"/>
      <c r="AK252" s="231">
        <f t="shared" si="537"/>
        <v>0</v>
      </c>
      <c r="AL252" s="121"/>
      <c r="AM252" s="6"/>
      <c r="AN252" s="35"/>
      <c r="AO252" s="612"/>
      <c r="AP252" s="121"/>
      <c r="AQ252" s="6"/>
      <c r="AR252" s="35"/>
      <c r="AS252" s="612"/>
      <c r="AT252" s="21"/>
      <c r="AU252" s="6"/>
      <c r="AV252" s="35"/>
      <c r="AW252" s="234"/>
      <c r="AX252" s="234"/>
      <c r="AY252" s="395">
        <f t="shared" si="528"/>
        <v>0</v>
      </c>
      <c r="AZ252" s="29">
        <f t="shared" si="542"/>
        <v>0</v>
      </c>
      <c r="BA252" s="5">
        <v>0</v>
      </c>
      <c r="BB252" s="7">
        <f t="shared" si="529"/>
        <v>0</v>
      </c>
      <c r="BC252" s="258"/>
      <c r="BD252" s="242"/>
      <c r="BE252" s="231">
        <f t="shared" si="538"/>
        <v>0</v>
      </c>
      <c r="BF252" s="121"/>
      <c r="BG252" s="6"/>
      <c r="BH252" s="35"/>
      <c r="BI252" s="612"/>
      <c r="BJ252" s="121"/>
      <c r="BK252" s="6"/>
      <c r="BL252" s="35"/>
      <c r="BM252" s="612"/>
      <c r="BN252" s="21"/>
      <c r="BO252" s="6"/>
      <c r="BP252" s="35"/>
      <c r="BQ252" s="234"/>
      <c r="BR252" s="234"/>
      <c r="BS252" s="395">
        <f t="shared" si="530"/>
        <v>0</v>
      </c>
      <c r="BT252" s="29">
        <f t="shared" si="543"/>
        <v>0</v>
      </c>
      <c r="BU252" s="5">
        <v>0</v>
      </c>
      <c r="BV252" s="7">
        <f t="shared" si="531"/>
        <v>0</v>
      </c>
      <c r="BW252" s="258"/>
      <c r="BX252" s="242"/>
      <c r="BY252" s="231">
        <f t="shared" si="539"/>
        <v>0</v>
      </c>
      <c r="BZ252" s="121"/>
      <c r="CA252" s="6"/>
      <c r="CB252" s="35"/>
      <c r="CC252" s="612"/>
      <c r="CD252" s="121"/>
      <c r="CE252" s="6"/>
      <c r="CF252" s="35"/>
      <c r="CG252" s="612"/>
      <c r="CH252" s="21"/>
      <c r="CI252" s="6"/>
      <c r="CJ252" s="35"/>
      <c r="CK252" s="234"/>
      <c r="CL252" s="234"/>
      <c r="CM252" s="395">
        <f t="shared" si="532"/>
        <v>0</v>
      </c>
      <c r="CN252" s="29">
        <f t="shared" si="544"/>
        <v>0</v>
      </c>
      <c r="CO252" s="5">
        <v>0</v>
      </c>
      <c r="CP252" s="7">
        <f t="shared" si="533"/>
        <v>0</v>
      </c>
      <c r="CQ252" s="242"/>
      <c r="CR252" s="242"/>
      <c r="CS252" s="231">
        <f t="shared" si="540"/>
        <v>0</v>
      </c>
      <c r="CT252" s="121"/>
      <c r="CU252" s="6"/>
      <c r="CV252" s="35"/>
      <c r="CW252" s="612"/>
      <c r="CX252" s="121"/>
      <c r="CY252" s="6"/>
      <c r="CZ252" s="35"/>
      <c r="DA252" s="612"/>
      <c r="DB252" s="21"/>
      <c r="DC252" s="6"/>
      <c r="DD252" s="35"/>
      <c r="DE252" s="234"/>
      <c r="DF252" s="234"/>
      <c r="DG252" s="395"/>
      <c r="DH252" s="29">
        <f t="shared" si="534"/>
        <v>0</v>
      </c>
      <c r="DI252" s="5">
        <v>0</v>
      </c>
      <c r="DJ252" s="7">
        <f t="shared" si="535"/>
        <v>0</v>
      </c>
      <c r="DK252" s="242"/>
      <c r="DL252" s="242"/>
      <c r="DM252" s="231">
        <f t="shared" si="541"/>
        <v>0</v>
      </c>
    </row>
    <row r="253" spans="1:117" x14ac:dyDescent="0.25">
      <c r="A253" s="18"/>
      <c r="B253" s="11" t="s">
        <v>95</v>
      </c>
      <c r="C253" s="18">
        <v>1</v>
      </c>
      <c r="D253" s="11" t="s">
        <v>97</v>
      </c>
      <c r="E253" s="11"/>
      <c r="F253" s="149">
        <v>5180</v>
      </c>
      <c r="G253" s="11" t="s">
        <v>646</v>
      </c>
      <c r="H253" s="25" t="s">
        <v>82</v>
      </c>
      <c r="I253" s="25"/>
      <c r="J253" s="530">
        <f t="shared" si="522"/>
        <v>-1</v>
      </c>
      <c r="K253" s="395">
        <f t="shared" si="523"/>
        <v>-1</v>
      </c>
      <c r="L253" s="29">
        <v>1</v>
      </c>
      <c r="M253" s="5">
        <v>0</v>
      </c>
      <c r="N253" s="7">
        <f t="shared" si="524"/>
        <v>-1</v>
      </c>
      <c r="O253" s="258"/>
      <c r="P253" s="242"/>
      <c r="Q253" s="231">
        <f t="shared" si="536"/>
        <v>1</v>
      </c>
      <c r="R253" s="121"/>
      <c r="S253" s="6"/>
      <c r="T253" s="35"/>
      <c r="U253" s="612"/>
      <c r="V253" s="121"/>
      <c r="W253" s="6"/>
      <c r="X253" s="35"/>
      <c r="Y253" s="612"/>
      <c r="Z253" s="21"/>
      <c r="AA253" s="6"/>
      <c r="AB253" s="35"/>
      <c r="AC253" s="234"/>
      <c r="AD253" s="234"/>
      <c r="AE253" s="395">
        <f t="shared" si="525"/>
        <v>-1</v>
      </c>
      <c r="AF253" s="29">
        <f t="shared" si="526"/>
        <v>1</v>
      </c>
      <c r="AG253" s="5">
        <v>0</v>
      </c>
      <c r="AH253" s="7">
        <f t="shared" si="527"/>
        <v>-1</v>
      </c>
      <c r="AI253" s="258"/>
      <c r="AJ253" s="242"/>
      <c r="AK253" s="231">
        <f t="shared" si="537"/>
        <v>1</v>
      </c>
      <c r="AL253" s="121"/>
      <c r="AM253" s="6"/>
      <c r="AN253" s="35"/>
      <c r="AO253" s="612"/>
      <c r="AP253" s="121"/>
      <c r="AQ253" s="6"/>
      <c r="AR253" s="35"/>
      <c r="AS253" s="612"/>
      <c r="AT253" s="21"/>
      <c r="AU253" s="6"/>
      <c r="AV253" s="35"/>
      <c r="AW253" s="234"/>
      <c r="AX253" s="234"/>
      <c r="AY253" s="395">
        <f t="shared" si="528"/>
        <v>-1</v>
      </c>
      <c r="AZ253" s="29">
        <f t="shared" si="542"/>
        <v>1</v>
      </c>
      <c r="BA253" s="5">
        <v>0</v>
      </c>
      <c r="BB253" s="7">
        <f t="shared" si="529"/>
        <v>-1</v>
      </c>
      <c r="BC253" s="258"/>
      <c r="BD253" s="242"/>
      <c r="BE253" s="231">
        <f t="shared" si="538"/>
        <v>1</v>
      </c>
      <c r="BF253" s="121"/>
      <c r="BG253" s="6"/>
      <c r="BH253" s="35"/>
      <c r="BI253" s="612"/>
      <c r="BJ253" s="121"/>
      <c r="BK253" s="6"/>
      <c r="BL253" s="35"/>
      <c r="BM253" s="612"/>
      <c r="BN253" s="21"/>
      <c r="BO253" s="6"/>
      <c r="BP253" s="35"/>
      <c r="BQ253" s="234"/>
      <c r="BR253" s="234"/>
      <c r="BS253" s="395">
        <f t="shared" si="530"/>
        <v>-1</v>
      </c>
      <c r="BT253" s="29">
        <f t="shared" si="543"/>
        <v>1</v>
      </c>
      <c r="BU253" s="5">
        <v>0</v>
      </c>
      <c r="BV253" s="7">
        <f t="shared" si="531"/>
        <v>-1</v>
      </c>
      <c r="BW253" s="258"/>
      <c r="BX253" s="242"/>
      <c r="BY253" s="231">
        <f t="shared" si="539"/>
        <v>1</v>
      </c>
      <c r="BZ253" s="121"/>
      <c r="CA253" s="6"/>
      <c r="CB253" s="35"/>
      <c r="CC253" s="612"/>
      <c r="CD253" s="121"/>
      <c r="CE253" s="6"/>
      <c r="CF253" s="35"/>
      <c r="CG253" s="612"/>
      <c r="CH253" s="21"/>
      <c r="CI253" s="6"/>
      <c r="CJ253" s="35"/>
      <c r="CK253" s="234"/>
      <c r="CL253" s="234"/>
      <c r="CM253" s="395">
        <f t="shared" si="532"/>
        <v>-1</v>
      </c>
      <c r="CN253" s="29">
        <f t="shared" si="544"/>
        <v>1</v>
      </c>
      <c r="CO253" s="5">
        <v>0</v>
      </c>
      <c r="CP253" s="7">
        <f t="shared" si="533"/>
        <v>-1</v>
      </c>
      <c r="CQ253" s="242"/>
      <c r="CR253" s="242"/>
      <c r="CS253" s="231">
        <f t="shared" si="540"/>
        <v>1</v>
      </c>
      <c r="CT253" s="121"/>
      <c r="CU253" s="6"/>
      <c r="CV253" s="35"/>
      <c r="CW253" s="612"/>
      <c r="CX253" s="121"/>
      <c r="CY253" s="6"/>
      <c r="CZ253" s="35"/>
      <c r="DA253" s="612"/>
      <c r="DB253" s="21"/>
      <c r="DC253" s="6"/>
      <c r="DD253" s="35"/>
      <c r="DE253" s="234"/>
      <c r="DF253" s="234"/>
      <c r="DG253" s="395"/>
      <c r="DH253" s="29">
        <f t="shared" si="534"/>
        <v>1</v>
      </c>
      <c r="DI253" s="5">
        <v>0</v>
      </c>
      <c r="DJ253" s="7">
        <f t="shared" si="535"/>
        <v>-1</v>
      </c>
      <c r="DK253" s="242"/>
      <c r="DL253" s="242"/>
      <c r="DM253" s="231">
        <f t="shared" si="541"/>
        <v>1</v>
      </c>
    </row>
    <row r="254" spans="1:117" ht="15.75" thickBot="1" x14ac:dyDescent="0.3">
      <c r="A254" s="262"/>
      <c r="B254" s="74" t="s">
        <v>103</v>
      </c>
      <c r="C254" s="75">
        <v>1</v>
      </c>
      <c r="D254" s="74" t="s">
        <v>134</v>
      </c>
      <c r="E254" s="74"/>
      <c r="F254" s="275"/>
      <c r="G254" s="76" t="s">
        <v>331</v>
      </c>
      <c r="H254" s="77"/>
      <c r="I254" s="77"/>
      <c r="J254" s="530">
        <f t="shared" si="522"/>
        <v>0</v>
      </c>
      <c r="K254" s="395">
        <f t="shared" si="523"/>
        <v>0</v>
      </c>
      <c r="L254" s="29">
        <v>0</v>
      </c>
      <c r="M254" s="78"/>
      <c r="N254" s="78">
        <f t="shared" si="524"/>
        <v>0</v>
      </c>
      <c r="O254" s="78"/>
      <c r="P254" s="244"/>
      <c r="Q254" s="231">
        <f t="shared" si="536"/>
        <v>0</v>
      </c>
      <c r="R254" s="129"/>
      <c r="S254" s="130"/>
      <c r="T254" s="79"/>
      <c r="U254" s="712"/>
      <c r="V254" s="129"/>
      <c r="W254" s="130"/>
      <c r="X254" s="79"/>
      <c r="Y254" s="712"/>
      <c r="Z254" s="131"/>
      <c r="AA254" s="130"/>
      <c r="AB254" s="79"/>
      <c r="AC254" s="619"/>
      <c r="AD254" s="619"/>
      <c r="AE254" s="395">
        <f t="shared" si="525"/>
        <v>0</v>
      </c>
      <c r="AF254" s="29">
        <f t="shared" si="526"/>
        <v>0</v>
      </c>
      <c r="AG254" s="78"/>
      <c r="AH254" s="78">
        <f t="shared" si="527"/>
        <v>0</v>
      </c>
      <c r="AI254" s="78"/>
      <c r="AJ254" s="244"/>
      <c r="AK254" s="231">
        <f t="shared" si="537"/>
        <v>0</v>
      </c>
      <c r="AL254" s="129"/>
      <c r="AM254" s="130"/>
      <c r="AN254" s="79"/>
      <c r="AO254" s="712"/>
      <c r="AP254" s="129"/>
      <c r="AQ254" s="130"/>
      <c r="AR254" s="79"/>
      <c r="AS254" s="712"/>
      <c r="AT254" s="131"/>
      <c r="AU254" s="130"/>
      <c r="AV254" s="79"/>
      <c r="AW254" s="619"/>
      <c r="AX254" s="619"/>
      <c r="AY254" s="395">
        <f t="shared" si="528"/>
        <v>0</v>
      </c>
      <c r="AZ254" s="29">
        <f t="shared" si="542"/>
        <v>0</v>
      </c>
      <c r="BA254" s="78"/>
      <c r="BB254" s="78">
        <f t="shared" si="529"/>
        <v>0</v>
      </c>
      <c r="BC254" s="78"/>
      <c r="BD254" s="244"/>
      <c r="BE254" s="231">
        <f t="shared" si="538"/>
        <v>0</v>
      </c>
      <c r="BF254" s="129"/>
      <c r="BG254" s="130"/>
      <c r="BH254" s="79"/>
      <c r="BI254" s="712"/>
      <c r="BJ254" s="129"/>
      <c r="BK254" s="130"/>
      <c r="BL254" s="79"/>
      <c r="BM254" s="712"/>
      <c r="BN254" s="131"/>
      <c r="BO254" s="130"/>
      <c r="BP254" s="79"/>
      <c r="BQ254" s="619"/>
      <c r="BR254" s="619"/>
      <c r="BS254" s="395">
        <f t="shared" si="530"/>
        <v>0</v>
      </c>
      <c r="BT254" s="29">
        <f t="shared" si="543"/>
        <v>0</v>
      </c>
      <c r="BU254" s="78"/>
      <c r="BV254" s="78">
        <f t="shared" si="531"/>
        <v>0</v>
      </c>
      <c r="BW254" s="78"/>
      <c r="BX254" s="244"/>
      <c r="BY254" s="231">
        <f t="shared" si="539"/>
        <v>0</v>
      </c>
      <c r="BZ254" s="129"/>
      <c r="CA254" s="130"/>
      <c r="CB254" s="79"/>
      <c r="CC254" s="712"/>
      <c r="CD254" s="129"/>
      <c r="CE254" s="130"/>
      <c r="CF254" s="79"/>
      <c r="CG254" s="712"/>
      <c r="CH254" s="131"/>
      <c r="CI254" s="130"/>
      <c r="CJ254" s="79"/>
      <c r="CK254" s="619"/>
      <c r="CL254" s="619"/>
      <c r="CM254" s="395">
        <f t="shared" si="532"/>
        <v>0</v>
      </c>
      <c r="CN254" s="29">
        <f t="shared" si="544"/>
        <v>0</v>
      </c>
      <c r="CO254" s="78"/>
      <c r="CP254" s="78">
        <f t="shared" si="533"/>
        <v>0</v>
      </c>
      <c r="CQ254" s="78"/>
      <c r="CR254" s="244"/>
      <c r="CS254" s="231">
        <f t="shared" si="540"/>
        <v>0</v>
      </c>
      <c r="CT254" s="129"/>
      <c r="CU254" s="130"/>
      <c r="CV254" s="79"/>
      <c r="CW254" s="712"/>
      <c r="CX254" s="129"/>
      <c r="CY254" s="130"/>
      <c r="CZ254" s="79"/>
      <c r="DA254" s="712"/>
      <c r="DB254" s="131"/>
      <c r="DC254" s="130"/>
      <c r="DD254" s="79"/>
      <c r="DE254" s="619"/>
      <c r="DF254" s="619"/>
      <c r="DG254" s="395"/>
      <c r="DH254" s="29">
        <f t="shared" si="534"/>
        <v>0</v>
      </c>
      <c r="DI254" s="78"/>
      <c r="DJ254" s="78">
        <f t="shared" si="535"/>
        <v>0</v>
      </c>
      <c r="DK254" s="78"/>
      <c r="DL254" s="244"/>
      <c r="DM254" s="231">
        <f t="shared" si="541"/>
        <v>0</v>
      </c>
    </row>
    <row r="255" spans="1:117" x14ac:dyDescent="0.25">
      <c r="A255" s="53">
        <v>928</v>
      </c>
      <c r="B255" s="91" t="s">
        <v>93</v>
      </c>
      <c r="C255" s="53">
        <v>1</v>
      </c>
      <c r="D255" s="51" t="s">
        <v>197</v>
      </c>
      <c r="E255" s="51"/>
      <c r="F255" s="338"/>
      <c r="G255" s="51"/>
      <c r="H255" s="54"/>
      <c r="I255" s="54"/>
      <c r="J255" s="53">
        <f>SUM(M255,AG255,BA255,BU255)</f>
        <v>0</v>
      </c>
      <c r="K255" s="53">
        <f>SUM(M255,AG255,BA255)</f>
        <v>0</v>
      </c>
      <c r="L255" s="55">
        <v>0</v>
      </c>
      <c r="M255" s="306">
        <f>M246</f>
        <v>0</v>
      </c>
      <c r="N255" s="56">
        <f t="shared" si="524"/>
        <v>0</v>
      </c>
      <c r="O255" s="56"/>
      <c r="P255" s="377">
        <f>P246</f>
        <v>0</v>
      </c>
      <c r="Q255" s="219">
        <f t="shared" si="536"/>
        <v>0</v>
      </c>
      <c r="R255" s="119">
        <f>SUM(R256:R260)</f>
        <v>0</v>
      </c>
      <c r="S255" s="120">
        <f>SUM(S256:S260)</f>
        <v>0</v>
      </c>
      <c r="T255" s="57"/>
      <c r="U255" s="219"/>
      <c r="V255" s="119">
        <f>SUM(V256:V260)</f>
        <v>0</v>
      </c>
      <c r="W255" s="120">
        <f>SUM(W256:W260)</f>
        <v>0</v>
      </c>
      <c r="X255" s="57"/>
      <c r="Y255" s="219"/>
      <c r="Z255" s="119">
        <f>SUM(Z256:Z260)</f>
        <v>0</v>
      </c>
      <c r="AA255" s="120">
        <f>SUM(AA256:AA260)</f>
        <v>0</v>
      </c>
      <c r="AB255" s="57"/>
      <c r="AC255" s="230"/>
      <c r="AD255" s="230"/>
      <c r="AE255" s="53">
        <f>SUM(AG255,BA255,BU255)</f>
        <v>0</v>
      </c>
      <c r="AF255" s="55">
        <f t="shared" si="526"/>
        <v>0</v>
      </c>
      <c r="AG255" s="306">
        <f>AG246</f>
        <v>0</v>
      </c>
      <c r="AH255" s="56">
        <f t="shared" si="527"/>
        <v>0</v>
      </c>
      <c r="AI255" s="56"/>
      <c r="AJ255" s="377">
        <f>AJ246</f>
        <v>0</v>
      </c>
      <c r="AK255" s="219">
        <f t="shared" si="537"/>
        <v>0</v>
      </c>
      <c r="AL255" s="119">
        <f>SUM(AL256:AL260)</f>
        <v>0</v>
      </c>
      <c r="AM255" s="120">
        <f>SUM(AM256:AM260)</f>
        <v>0</v>
      </c>
      <c r="AN255" s="57"/>
      <c r="AO255" s="219"/>
      <c r="AP255" s="119">
        <f>SUM(AP256:AP260)</f>
        <v>0</v>
      </c>
      <c r="AQ255" s="120">
        <f>SUM(AQ256:AQ260)</f>
        <v>0</v>
      </c>
      <c r="AR255" s="57"/>
      <c r="AS255" s="219"/>
      <c r="AT255" s="119">
        <f>SUM(AT256:AT260)</f>
        <v>0</v>
      </c>
      <c r="AU255" s="120">
        <f>SUM(AU256:AU260)</f>
        <v>0</v>
      </c>
      <c r="AV255" s="57"/>
      <c r="AW255" s="230"/>
      <c r="AX255" s="230"/>
      <c r="AY255" s="53">
        <f>SUM(BA255,BU255)</f>
        <v>0</v>
      </c>
      <c r="AZ255" s="55">
        <f>AK255</f>
        <v>0</v>
      </c>
      <c r="BA255" s="306">
        <f>BA246</f>
        <v>0</v>
      </c>
      <c r="BB255" s="56">
        <f t="shared" si="529"/>
        <v>0</v>
      </c>
      <c r="BC255" s="56"/>
      <c r="BD255" s="377">
        <f>BD246</f>
        <v>0</v>
      </c>
      <c r="BE255" s="219">
        <f t="shared" si="538"/>
        <v>0</v>
      </c>
      <c r="BF255" s="119">
        <f>SUM(BF256:BF260)</f>
        <v>0</v>
      </c>
      <c r="BG255" s="120">
        <f>SUM(BG256:BG260)</f>
        <v>0</v>
      </c>
      <c r="BH255" s="57"/>
      <c r="BI255" s="219"/>
      <c r="BJ255" s="119">
        <f>SUM(BJ256:BJ260)</f>
        <v>0</v>
      </c>
      <c r="BK255" s="120">
        <f>SUM(BK256:BK260)</f>
        <v>0</v>
      </c>
      <c r="BL255" s="57"/>
      <c r="BM255" s="219"/>
      <c r="BN255" s="119">
        <f>SUM(BN256:BN260)</f>
        <v>0</v>
      </c>
      <c r="BO255" s="120">
        <f>SUM(BO256:BO260)</f>
        <v>0</v>
      </c>
      <c r="BP255" s="57"/>
      <c r="BQ255" s="230"/>
      <c r="BR255" s="230"/>
      <c r="BS255" s="53">
        <f>BU255</f>
        <v>0</v>
      </c>
      <c r="BT255" s="55">
        <f>BE255</f>
        <v>0</v>
      </c>
      <c r="BU255" s="306">
        <f>BU246</f>
        <v>0</v>
      </c>
      <c r="BV255" s="56">
        <f t="shared" si="531"/>
        <v>0</v>
      </c>
      <c r="BW255" s="56"/>
      <c r="BX255" s="377">
        <f>BX246</f>
        <v>0</v>
      </c>
      <c r="BY255" s="219">
        <f t="shared" si="539"/>
        <v>0</v>
      </c>
      <c r="BZ255" s="119">
        <f>SUM(BZ256:BZ260)</f>
        <v>0</v>
      </c>
      <c r="CA255" s="120">
        <f>SUM(CA256:CA260)</f>
        <v>0</v>
      </c>
      <c r="CB255" s="57"/>
      <c r="CC255" s="219"/>
      <c r="CD255" s="119">
        <f>SUM(CD256:CD260)</f>
        <v>0</v>
      </c>
      <c r="CE255" s="120">
        <f>SUM(CE256:CE260)</f>
        <v>0</v>
      </c>
      <c r="CF255" s="57"/>
      <c r="CG255" s="219"/>
      <c r="CH255" s="119">
        <f>SUM(CH256:CH260)</f>
        <v>0</v>
      </c>
      <c r="CI255" s="120">
        <f>SUM(CI256:CI260)</f>
        <v>0</v>
      </c>
      <c r="CJ255" s="57"/>
      <c r="CK255" s="230"/>
      <c r="CL255" s="230"/>
      <c r="CM255" s="53">
        <f>CO255</f>
        <v>0</v>
      </c>
      <c r="CN255" s="55">
        <f>BY255</f>
        <v>0</v>
      </c>
      <c r="CO255" s="306">
        <f>CO246</f>
        <v>0</v>
      </c>
      <c r="CP255" s="56">
        <f t="shared" si="533"/>
        <v>0</v>
      </c>
      <c r="CQ255" s="56">
        <v>0</v>
      </c>
      <c r="CR255" s="377">
        <f>CR246</f>
        <v>0</v>
      </c>
      <c r="CS255" s="230">
        <f t="shared" si="540"/>
        <v>0</v>
      </c>
      <c r="CT255" s="119">
        <f>SUM(CT256:CT260)</f>
        <v>0</v>
      </c>
      <c r="CU255" s="120">
        <f>SUM(CU256:CU260)</f>
        <v>0</v>
      </c>
      <c r="CV255" s="57"/>
      <c r="CW255" s="219"/>
      <c r="CX255" s="119">
        <f>SUM(CX256:CX260)</f>
        <v>0</v>
      </c>
      <c r="CY255" s="120">
        <f>SUM(CY256:CY260)</f>
        <v>0</v>
      </c>
      <c r="CZ255" s="57"/>
      <c r="DA255" s="219"/>
      <c r="DB255" s="119">
        <f>SUM(DB256:DB260)</f>
        <v>0</v>
      </c>
      <c r="DC255" s="120">
        <f>SUM(DC256:DC260)</f>
        <v>0</v>
      </c>
      <c r="DD255" s="57"/>
      <c r="DE255" s="230"/>
      <c r="DF255" s="230"/>
      <c r="DG255" s="53">
        <f>DI255</f>
        <v>0</v>
      </c>
      <c r="DH255" s="55">
        <f>CS255</f>
        <v>0</v>
      </c>
      <c r="DI255" s="306">
        <f>DI246</f>
        <v>0</v>
      </c>
      <c r="DJ255" s="56">
        <f t="shared" si="535"/>
        <v>0</v>
      </c>
      <c r="DK255" s="56">
        <v>0</v>
      </c>
      <c r="DL255" s="377">
        <f>DL246</f>
        <v>0</v>
      </c>
      <c r="DM255" s="230">
        <f t="shared" si="541"/>
        <v>0</v>
      </c>
    </row>
    <row r="256" spans="1:117" x14ac:dyDescent="0.25">
      <c r="A256" s="17"/>
      <c r="B256" s="283" t="s">
        <v>215</v>
      </c>
      <c r="C256" s="17"/>
      <c r="D256" s="10"/>
      <c r="E256" s="10"/>
      <c r="F256" s="337"/>
      <c r="G256" s="11"/>
      <c r="H256" s="24"/>
      <c r="I256" s="24"/>
      <c r="J256" s="530">
        <f>SUM(M256,AG256,BA256,BU256)-L256</f>
        <v>0</v>
      </c>
      <c r="K256" s="395">
        <f t="shared" si="523"/>
        <v>0</v>
      </c>
      <c r="L256" s="32">
        <v>0</v>
      </c>
      <c r="M256" s="302">
        <f>M255</f>
        <v>0</v>
      </c>
      <c r="N256" s="5">
        <f t="shared" si="524"/>
        <v>0</v>
      </c>
      <c r="O256" s="256"/>
      <c r="P256" s="240"/>
      <c r="Q256" s="231">
        <f t="shared" si="536"/>
        <v>0</v>
      </c>
      <c r="R256" s="123"/>
      <c r="S256" s="8"/>
      <c r="T256" s="34"/>
      <c r="U256" s="713"/>
      <c r="V256" s="123"/>
      <c r="W256" s="8"/>
      <c r="X256" s="34"/>
      <c r="Y256" s="713"/>
      <c r="Z256" s="20"/>
      <c r="AA256" s="8"/>
      <c r="AB256" s="34"/>
      <c r="AC256" s="234"/>
      <c r="AD256" s="234"/>
      <c r="AE256" s="395">
        <f>SUM(M256,AG256)-SUM(O256,AI256)-L256</f>
        <v>0</v>
      </c>
      <c r="AF256" s="32">
        <f t="shared" si="526"/>
        <v>0</v>
      </c>
      <c r="AG256" s="302">
        <f>AG255</f>
        <v>0</v>
      </c>
      <c r="AH256" s="5">
        <f t="shared" si="527"/>
        <v>0</v>
      </c>
      <c r="AI256" s="256"/>
      <c r="AJ256" s="240"/>
      <c r="AK256" s="231">
        <f t="shared" si="537"/>
        <v>0</v>
      </c>
      <c r="AL256" s="123"/>
      <c r="AM256" s="8"/>
      <c r="AN256" s="34"/>
      <c r="AO256" s="713"/>
      <c r="AP256" s="123"/>
      <c r="AQ256" s="8"/>
      <c r="AR256" s="34"/>
      <c r="AS256" s="713"/>
      <c r="AT256" s="20"/>
      <c r="AU256" s="8"/>
      <c r="AV256" s="34"/>
      <c r="AW256" s="234"/>
      <c r="AX256" s="234"/>
      <c r="AY256" s="395">
        <f>SUM(M256,AG256,BA256)-SUM(O256,AI256,BC256)-L256</f>
        <v>0</v>
      </c>
      <c r="AZ256" s="32">
        <f>AK256</f>
        <v>0</v>
      </c>
      <c r="BA256" s="302">
        <f>BA255</f>
        <v>0</v>
      </c>
      <c r="BB256" s="5">
        <f t="shared" si="529"/>
        <v>0</v>
      </c>
      <c r="BC256" s="256"/>
      <c r="BD256" s="240"/>
      <c r="BE256" s="231">
        <f t="shared" si="538"/>
        <v>0</v>
      </c>
      <c r="BF256" s="123"/>
      <c r="BG256" s="8"/>
      <c r="BH256" s="34"/>
      <c r="BI256" s="713"/>
      <c r="BJ256" s="123"/>
      <c r="BK256" s="8"/>
      <c r="BL256" s="34"/>
      <c r="BM256" s="713"/>
      <c r="BN256" s="20"/>
      <c r="BO256" s="8"/>
      <c r="BP256" s="34"/>
      <c r="BQ256" s="234"/>
      <c r="BR256" s="234"/>
      <c r="BS256" s="395">
        <f>SUM(M256,AG256,BA256,BU256)-SUM(O256,AI256,BC256,BW256)-L256</f>
        <v>0</v>
      </c>
      <c r="BT256" s="32">
        <f>BE256</f>
        <v>0</v>
      </c>
      <c r="BU256" s="302">
        <f>BU255</f>
        <v>0</v>
      </c>
      <c r="BV256" s="5">
        <f t="shared" si="531"/>
        <v>0</v>
      </c>
      <c r="BW256" s="256"/>
      <c r="BX256" s="240"/>
      <c r="BY256" s="231">
        <f t="shared" si="539"/>
        <v>0</v>
      </c>
      <c r="BZ256" s="123"/>
      <c r="CA256" s="8"/>
      <c r="CB256" s="34"/>
      <c r="CC256" s="713"/>
      <c r="CD256" s="123"/>
      <c r="CE256" s="8"/>
      <c r="CF256" s="34"/>
      <c r="CG256" s="713"/>
      <c r="CH256" s="20"/>
      <c r="CI256" s="8"/>
      <c r="CJ256" s="34"/>
      <c r="CK256" s="234"/>
      <c r="CL256" s="234"/>
      <c r="CM256" s="395">
        <f>SUM(M256,AG256,BA256,BU256,CO256)-SUM(O256,AI256,BC256,BW256,CQ256)-L256</f>
        <v>0</v>
      </c>
      <c r="CN256" s="32">
        <f>BY256</f>
        <v>0</v>
      </c>
      <c r="CO256" s="302">
        <f>CO255</f>
        <v>0</v>
      </c>
      <c r="CP256" s="7">
        <f t="shared" si="533"/>
        <v>0</v>
      </c>
      <c r="CQ256" s="258"/>
      <c r="CR256" s="242"/>
      <c r="CS256" s="234">
        <f t="shared" si="540"/>
        <v>0</v>
      </c>
      <c r="CT256" s="123"/>
      <c r="CU256" s="8"/>
      <c r="CV256" s="34"/>
      <c r="CW256" s="713"/>
      <c r="CX256" s="123"/>
      <c r="CY256" s="8"/>
      <c r="CZ256" s="34"/>
      <c r="DA256" s="713"/>
      <c r="DB256" s="20"/>
      <c r="DC256" s="8"/>
      <c r="DD256" s="34"/>
      <c r="DE256" s="234"/>
      <c r="DF256" s="234"/>
      <c r="DG256" s="395"/>
      <c r="DH256" s="32">
        <f t="shared" si="534"/>
        <v>0</v>
      </c>
      <c r="DI256" s="302">
        <f>DI255</f>
        <v>0</v>
      </c>
      <c r="DJ256" s="7">
        <f t="shared" si="535"/>
        <v>0</v>
      </c>
      <c r="DK256" s="258"/>
      <c r="DL256" s="242"/>
      <c r="DM256" s="234">
        <f t="shared" si="541"/>
        <v>0</v>
      </c>
    </row>
    <row r="257" spans="1:117" x14ac:dyDescent="0.25">
      <c r="A257" s="17"/>
      <c r="B257" s="283" t="s">
        <v>234</v>
      </c>
      <c r="C257" s="17">
        <v>1</v>
      </c>
      <c r="D257" s="10"/>
      <c r="E257" s="10"/>
      <c r="F257" s="337">
        <v>370</v>
      </c>
      <c r="G257" s="109" t="s">
        <v>331</v>
      </c>
      <c r="H257" s="24" t="s">
        <v>34</v>
      </c>
      <c r="I257" s="24"/>
      <c r="J257" s="530">
        <f>SUM(M257,AG257,BA257,BU257)-L257</f>
        <v>0</v>
      </c>
      <c r="K257" s="395">
        <f t="shared" si="523"/>
        <v>0</v>
      </c>
      <c r="L257" s="32">
        <v>0</v>
      </c>
      <c r="M257" s="302">
        <f>M255</f>
        <v>0</v>
      </c>
      <c r="N257" s="5">
        <f t="shared" si="524"/>
        <v>0</v>
      </c>
      <c r="O257" s="256"/>
      <c r="P257" s="303">
        <f>P255</f>
        <v>0</v>
      </c>
      <c r="Q257" s="231">
        <f t="shared" si="536"/>
        <v>0</v>
      </c>
      <c r="R257" s="123"/>
      <c r="S257" s="8"/>
      <c r="T257" s="34"/>
      <c r="U257" s="713"/>
      <c r="V257" s="123"/>
      <c r="W257" s="8"/>
      <c r="X257" s="34"/>
      <c r="Y257" s="713"/>
      <c r="Z257" s="20"/>
      <c r="AA257" s="8"/>
      <c r="AB257" s="34"/>
      <c r="AC257" s="234"/>
      <c r="AD257" s="234"/>
      <c r="AE257" s="395">
        <f>SUM(M257,AG257)-SUM(O257,AI257)-L257</f>
        <v>0</v>
      </c>
      <c r="AF257" s="32">
        <f t="shared" si="526"/>
        <v>0</v>
      </c>
      <c r="AG257" s="302">
        <f>AG255</f>
        <v>0</v>
      </c>
      <c r="AH257" s="5">
        <f t="shared" si="527"/>
        <v>0</v>
      </c>
      <c r="AI257" s="256"/>
      <c r="AJ257" s="303">
        <f>AJ255</f>
        <v>0</v>
      </c>
      <c r="AK257" s="231">
        <f t="shared" si="537"/>
        <v>0</v>
      </c>
      <c r="AL257" s="123"/>
      <c r="AM257" s="8"/>
      <c r="AN257" s="34"/>
      <c r="AO257" s="713"/>
      <c r="AP257" s="123"/>
      <c r="AQ257" s="8"/>
      <c r="AR257" s="34"/>
      <c r="AS257" s="713"/>
      <c r="AT257" s="20"/>
      <c r="AU257" s="8"/>
      <c r="AV257" s="34"/>
      <c r="AW257" s="234"/>
      <c r="AX257" s="234"/>
      <c r="AY257" s="395">
        <f>SUM(M257,AG257,BA257)-SUM(O257,AI257,BC257)-L257</f>
        <v>0</v>
      </c>
      <c r="AZ257" s="32">
        <f t="shared" ref="AZ257:AZ260" si="545">AK257</f>
        <v>0</v>
      </c>
      <c r="BA257" s="302">
        <f>BA255</f>
        <v>0</v>
      </c>
      <c r="BB257" s="5">
        <f t="shared" si="529"/>
        <v>0</v>
      </c>
      <c r="BC257" s="256"/>
      <c r="BD257" s="303">
        <f>BD255</f>
        <v>0</v>
      </c>
      <c r="BE257" s="231">
        <f t="shared" si="538"/>
        <v>0</v>
      </c>
      <c r="BF257" s="123"/>
      <c r="BG257" s="8"/>
      <c r="BH257" s="34"/>
      <c r="BI257" s="713"/>
      <c r="BJ257" s="123"/>
      <c r="BK257" s="8"/>
      <c r="BL257" s="34"/>
      <c r="BM257" s="713"/>
      <c r="BN257" s="20"/>
      <c r="BO257" s="8"/>
      <c r="BP257" s="34"/>
      <c r="BQ257" s="234"/>
      <c r="BR257" s="234"/>
      <c r="BS257" s="395">
        <f>SUM(M257,AG257,BA257,BU257)-SUM(O257,AI257,BC257,BW257)-L257</f>
        <v>0</v>
      </c>
      <c r="BT257" s="32">
        <f t="shared" ref="BT257:BT260" si="546">BE257</f>
        <v>0</v>
      </c>
      <c r="BU257" s="302">
        <f>BU255</f>
        <v>0</v>
      </c>
      <c r="BV257" s="5">
        <f t="shared" si="531"/>
        <v>0</v>
      </c>
      <c r="BW257" s="256"/>
      <c r="BX257" s="303">
        <f>BX255</f>
        <v>0</v>
      </c>
      <c r="BY257" s="231">
        <f t="shared" si="539"/>
        <v>0</v>
      </c>
      <c r="BZ257" s="123"/>
      <c r="CA257" s="8"/>
      <c r="CB257" s="34"/>
      <c r="CC257" s="713"/>
      <c r="CD257" s="123"/>
      <c r="CE257" s="8"/>
      <c r="CF257" s="34"/>
      <c r="CG257" s="713"/>
      <c r="CH257" s="20"/>
      <c r="CI257" s="8"/>
      <c r="CJ257" s="34"/>
      <c r="CK257" s="234"/>
      <c r="CL257" s="234"/>
      <c r="CM257" s="395">
        <f>SUM(M257,AG257,BA257,BU257,CO257)-SUM(O257,AI257,BC257,BW257,CQ257)-L257</f>
        <v>0</v>
      </c>
      <c r="CN257" s="32">
        <f t="shared" ref="CN257:CN260" si="547">BY257</f>
        <v>0</v>
      </c>
      <c r="CO257" s="302">
        <f>CO255</f>
        <v>0</v>
      </c>
      <c r="CP257" s="5">
        <f t="shared" si="533"/>
        <v>0</v>
      </c>
      <c r="CQ257" s="240"/>
      <c r="CR257" s="303">
        <f>CR255</f>
        <v>0</v>
      </c>
      <c r="CS257" s="231">
        <f t="shared" si="540"/>
        <v>0</v>
      </c>
      <c r="CT257" s="123"/>
      <c r="CU257" s="8"/>
      <c r="CV257" s="34"/>
      <c r="CW257" s="713"/>
      <c r="CX257" s="123"/>
      <c r="CY257" s="8"/>
      <c r="CZ257" s="34"/>
      <c r="DA257" s="713"/>
      <c r="DB257" s="20"/>
      <c r="DC257" s="8"/>
      <c r="DD257" s="34"/>
      <c r="DE257" s="234"/>
      <c r="DF257" s="234"/>
      <c r="DG257" s="395"/>
      <c r="DH257" s="29">
        <f t="shared" si="534"/>
        <v>0</v>
      </c>
      <c r="DI257" s="302">
        <f>DI255</f>
        <v>0</v>
      </c>
      <c r="DJ257" s="5">
        <f t="shared" si="535"/>
        <v>0</v>
      </c>
      <c r="DK257" s="240"/>
      <c r="DL257" s="303">
        <f>DL255</f>
        <v>0</v>
      </c>
      <c r="DM257" s="231">
        <f t="shared" si="541"/>
        <v>0</v>
      </c>
    </row>
    <row r="258" spans="1:117" x14ac:dyDescent="0.25">
      <c r="A258" s="17"/>
      <c r="B258" s="283" t="s">
        <v>49</v>
      </c>
      <c r="C258" s="17" t="s">
        <v>51</v>
      </c>
      <c r="D258" s="10"/>
      <c r="E258" s="10"/>
      <c r="F258" s="337">
        <v>3000</v>
      </c>
      <c r="G258" s="16"/>
      <c r="H258" s="24"/>
      <c r="I258" s="24"/>
      <c r="J258" s="530">
        <f>SUM(M258,AG258,BA258,BU258)-L258</f>
        <v>0</v>
      </c>
      <c r="K258" s="395">
        <f t="shared" si="523"/>
        <v>0</v>
      </c>
      <c r="L258" s="32">
        <v>0</v>
      </c>
      <c r="M258" s="302">
        <f>M255</f>
        <v>0</v>
      </c>
      <c r="N258" s="5">
        <f t="shared" si="524"/>
        <v>0</v>
      </c>
      <c r="O258" s="256"/>
      <c r="P258" s="303">
        <f>P255</f>
        <v>0</v>
      </c>
      <c r="Q258" s="231">
        <f t="shared" si="536"/>
        <v>0</v>
      </c>
      <c r="R258" s="123"/>
      <c r="S258" s="8"/>
      <c r="T258" s="34"/>
      <c r="U258" s="713"/>
      <c r="V258" s="123"/>
      <c r="W258" s="8"/>
      <c r="X258" s="34"/>
      <c r="Y258" s="713"/>
      <c r="Z258" s="20"/>
      <c r="AA258" s="8"/>
      <c r="AB258" s="34"/>
      <c r="AC258" s="234"/>
      <c r="AD258" s="234"/>
      <c r="AE258" s="395">
        <f>SUM(M258,AG258)-SUM(O258,AI258)-L258</f>
        <v>0</v>
      </c>
      <c r="AF258" s="32">
        <f t="shared" si="526"/>
        <v>0</v>
      </c>
      <c r="AG258" s="302">
        <f>AG255</f>
        <v>0</v>
      </c>
      <c r="AH258" s="5">
        <f t="shared" si="527"/>
        <v>0</v>
      </c>
      <c r="AI258" s="256"/>
      <c r="AJ258" s="303">
        <f>AJ255</f>
        <v>0</v>
      </c>
      <c r="AK258" s="231">
        <f t="shared" si="537"/>
        <v>0</v>
      </c>
      <c r="AL258" s="123"/>
      <c r="AM258" s="8"/>
      <c r="AN258" s="34"/>
      <c r="AO258" s="713"/>
      <c r="AP258" s="123"/>
      <c r="AQ258" s="8"/>
      <c r="AR258" s="34"/>
      <c r="AS258" s="713"/>
      <c r="AT258" s="20"/>
      <c r="AU258" s="8"/>
      <c r="AV258" s="34"/>
      <c r="AW258" s="234"/>
      <c r="AX258" s="234"/>
      <c r="AY258" s="395">
        <f>SUM(M258,AG258,BA258)-SUM(O258,AI258,BC258)-L258</f>
        <v>0</v>
      </c>
      <c r="AZ258" s="32">
        <f t="shared" si="545"/>
        <v>0</v>
      </c>
      <c r="BA258" s="302">
        <f>BA255</f>
        <v>0</v>
      </c>
      <c r="BB258" s="5">
        <f t="shared" si="529"/>
        <v>0</v>
      </c>
      <c r="BC258" s="256"/>
      <c r="BD258" s="303">
        <f>BD255</f>
        <v>0</v>
      </c>
      <c r="BE258" s="231">
        <f t="shared" si="538"/>
        <v>0</v>
      </c>
      <c r="BF258" s="123"/>
      <c r="BG258" s="8"/>
      <c r="BH258" s="34"/>
      <c r="BI258" s="713"/>
      <c r="BJ258" s="123"/>
      <c r="BK258" s="8"/>
      <c r="BL258" s="34"/>
      <c r="BM258" s="713"/>
      <c r="BN258" s="20"/>
      <c r="BO258" s="8"/>
      <c r="BP258" s="34"/>
      <c r="BQ258" s="234"/>
      <c r="BR258" s="234"/>
      <c r="BS258" s="395">
        <f>SUM(M258,AG258,BA258,BU258)-SUM(O258,AI258,BC258,BW258)-L258</f>
        <v>0</v>
      </c>
      <c r="BT258" s="32">
        <f t="shared" si="546"/>
        <v>0</v>
      </c>
      <c r="BU258" s="302">
        <f>BU255</f>
        <v>0</v>
      </c>
      <c r="BV258" s="5">
        <f t="shared" si="531"/>
        <v>0</v>
      </c>
      <c r="BW258" s="256"/>
      <c r="BX258" s="303">
        <f>BX255</f>
        <v>0</v>
      </c>
      <c r="BY258" s="231">
        <f t="shared" si="539"/>
        <v>0</v>
      </c>
      <c r="BZ258" s="123"/>
      <c r="CA258" s="8"/>
      <c r="CB258" s="34"/>
      <c r="CC258" s="713"/>
      <c r="CD258" s="123"/>
      <c r="CE258" s="8"/>
      <c r="CF258" s="34"/>
      <c r="CG258" s="713"/>
      <c r="CH258" s="20"/>
      <c r="CI258" s="8"/>
      <c r="CJ258" s="34"/>
      <c r="CK258" s="234"/>
      <c r="CL258" s="234"/>
      <c r="CM258" s="395">
        <f>SUM(M258,AG258,BA258,BU258,CO258)-SUM(O258,AI258,BC258,BW258,CQ258)-L258</f>
        <v>0</v>
      </c>
      <c r="CN258" s="32">
        <f t="shared" si="547"/>
        <v>0</v>
      </c>
      <c r="CO258" s="302">
        <f>CO255</f>
        <v>0</v>
      </c>
      <c r="CP258" s="5">
        <f t="shared" si="533"/>
        <v>0</v>
      </c>
      <c r="CQ258" s="240"/>
      <c r="CR258" s="303">
        <f>CR255</f>
        <v>0</v>
      </c>
      <c r="CS258" s="231">
        <f t="shared" si="540"/>
        <v>0</v>
      </c>
      <c r="CT258" s="123"/>
      <c r="CU258" s="8"/>
      <c r="CV258" s="34"/>
      <c r="CW258" s="713"/>
      <c r="CX258" s="123"/>
      <c r="CY258" s="8"/>
      <c r="CZ258" s="34"/>
      <c r="DA258" s="713"/>
      <c r="DB258" s="20"/>
      <c r="DC258" s="8"/>
      <c r="DD258" s="34"/>
      <c r="DE258" s="234"/>
      <c r="DF258" s="234"/>
      <c r="DG258" s="395"/>
      <c r="DH258" s="29">
        <f t="shared" si="534"/>
        <v>0</v>
      </c>
      <c r="DI258" s="302">
        <f>DI255</f>
        <v>0</v>
      </c>
      <c r="DJ258" s="5">
        <f t="shared" si="535"/>
        <v>0</v>
      </c>
      <c r="DK258" s="240"/>
      <c r="DL258" s="303">
        <f>DL255</f>
        <v>0</v>
      </c>
      <c r="DM258" s="231">
        <f t="shared" si="541"/>
        <v>0</v>
      </c>
    </row>
    <row r="259" spans="1:117" x14ac:dyDescent="0.25">
      <c r="A259" s="17"/>
      <c r="B259" s="283" t="s">
        <v>27</v>
      </c>
      <c r="C259" s="17">
        <v>1</v>
      </c>
      <c r="D259" s="10"/>
      <c r="E259" s="10"/>
      <c r="F259" s="337">
        <v>28</v>
      </c>
      <c r="G259" s="381"/>
      <c r="H259" s="147" t="s">
        <v>34</v>
      </c>
      <c r="I259" s="147"/>
      <c r="J259" s="530">
        <f>SUM(M259,AG259,BA259,BU259)-L259</f>
        <v>-14</v>
      </c>
      <c r="K259" s="395">
        <f t="shared" si="523"/>
        <v>-14</v>
      </c>
      <c r="L259" s="32">
        <v>14</v>
      </c>
      <c r="M259" s="302">
        <f>M255</f>
        <v>0</v>
      </c>
      <c r="N259" s="5">
        <f t="shared" si="524"/>
        <v>-14</v>
      </c>
      <c r="O259" s="256"/>
      <c r="P259" s="303">
        <f>P255</f>
        <v>0</v>
      </c>
      <c r="Q259" s="231">
        <f t="shared" si="536"/>
        <v>14</v>
      </c>
      <c r="R259" s="123"/>
      <c r="S259" s="8"/>
      <c r="T259" s="34"/>
      <c r="U259" s="713"/>
      <c r="V259" s="123"/>
      <c r="W259" s="8"/>
      <c r="X259" s="34"/>
      <c r="Y259" s="713"/>
      <c r="Z259" s="20"/>
      <c r="AA259" s="8"/>
      <c r="AB259" s="34"/>
      <c r="AC259" s="234"/>
      <c r="AD259" s="234"/>
      <c r="AE259" s="395">
        <f>SUM(M259,AG259)-SUM(O259,AI259)-L259</f>
        <v>-14</v>
      </c>
      <c r="AF259" s="32">
        <f t="shared" si="526"/>
        <v>14</v>
      </c>
      <c r="AG259" s="302">
        <f>AG255</f>
        <v>0</v>
      </c>
      <c r="AH259" s="5">
        <f t="shared" si="527"/>
        <v>-14</v>
      </c>
      <c r="AI259" s="256"/>
      <c r="AJ259" s="303">
        <f>AJ255</f>
        <v>0</v>
      </c>
      <c r="AK259" s="231">
        <f t="shared" si="537"/>
        <v>14</v>
      </c>
      <c r="AL259" s="123"/>
      <c r="AM259" s="8"/>
      <c r="AN259" s="34"/>
      <c r="AO259" s="713"/>
      <c r="AP259" s="123"/>
      <c r="AQ259" s="8"/>
      <c r="AR259" s="34"/>
      <c r="AS259" s="713"/>
      <c r="AT259" s="20"/>
      <c r="AU259" s="8"/>
      <c r="AV259" s="34"/>
      <c r="AW259" s="234"/>
      <c r="AX259" s="234"/>
      <c r="AY259" s="395">
        <f>SUM(M259,AG259,BA259)-SUM(O259,AI259,BC259)-L259</f>
        <v>-14</v>
      </c>
      <c r="AZ259" s="32">
        <f t="shared" si="545"/>
        <v>14</v>
      </c>
      <c r="BA259" s="302">
        <f>BA255</f>
        <v>0</v>
      </c>
      <c r="BB259" s="5">
        <f t="shared" si="529"/>
        <v>-14</v>
      </c>
      <c r="BC259" s="256"/>
      <c r="BD259" s="303">
        <f>BD255</f>
        <v>0</v>
      </c>
      <c r="BE259" s="231">
        <f t="shared" si="538"/>
        <v>14</v>
      </c>
      <c r="BF259" s="123"/>
      <c r="BG259" s="8"/>
      <c r="BH259" s="34"/>
      <c r="BI259" s="713"/>
      <c r="BJ259" s="123"/>
      <c r="BK259" s="8"/>
      <c r="BL259" s="34"/>
      <c r="BM259" s="713"/>
      <c r="BN259" s="20"/>
      <c r="BO259" s="8"/>
      <c r="BP259" s="34"/>
      <c r="BQ259" s="234"/>
      <c r="BR259" s="234"/>
      <c r="BS259" s="395">
        <f>SUM(M259,AG259,BA259,BU259)-SUM(O259,AI259,BC259,BW259)-L259</f>
        <v>-14</v>
      </c>
      <c r="BT259" s="32">
        <f t="shared" si="546"/>
        <v>14</v>
      </c>
      <c r="BU259" s="302">
        <f>BU255</f>
        <v>0</v>
      </c>
      <c r="BV259" s="5">
        <f t="shared" si="531"/>
        <v>-14</v>
      </c>
      <c r="BW259" s="256"/>
      <c r="BX259" s="303">
        <f>BX255</f>
        <v>0</v>
      </c>
      <c r="BY259" s="231">
        <f t="shared" si="539"/>
        <v>14</v>
      </c>
      <c r="BZ259" s="123"/>
      <c r="CA259" s="8"/>
      <c r="CB259" s="34"/>
      <c r="CC259" s="713"/>
      <c r="CD259" s="123"/>
      <c r="CE259" s="8"/>
      <c r="CF259" s="34"/>
      <c r="CG259" s="713"/>
      <c r="CH259" s="20"/>
      <c r="CI259" s="8"/>
      <c r="CJ259" s="34"/>
      <c r="CK259" s="234"/>
      <c r="CL259" s="234"/>
      <c r="CM259" s="395">
        <f>SUM(M259,AG259,BA259,BU259,CO259)-SUM(O259,AI259,BC259,BW259,CQ259)-L259</f>
        <v>-14</v>
      </c>
      <c r="CN259" s="32">
        <f t="shared" si="547"/>
        <v>14</v>
      </c>
      <c r="CO259" s="302">
        <f>CO255</f>
        <v>0</v>
      </c>
      <c r="CP259" s="5">
        <f t="shared" si="533"/>
        <v>-14</v>
      </c>
      <c r="CQ259" s="240"/>
      <c r="CR259" s="303">
        <f>CR255</f>
        <v>0</v>
      </c>
      <c r="CS259" s="231">
        <f t="shared" si="540"/>
        <v>14</v>
      </c>
      <c r="CT259" s="123"/>
      <c r="CU259" s="8"/>
      <c r="CV259" s="34"/>
      <c r="CW259" s="713"/>
      <c r="CX259" s="123"/>
      <c r="CY259" s="8"/>
      <c r="CZ259" s="34"/>
      <c r="DA259" s="713"/>
      <c r="DB259" s="20"/>
      <c r="DC259" s="8"/>
      <c r="DD259" s="34"/>
      <c r="DE259" s="234"/>
      <c r="DF259" s="234"/>
      <c r="DG259" s="395"/>
      <c r="DH259" s="29">
        <f t="shared" si="534"/>
        <v>14</v>
      </c>
      <c r="DI259" s="302">
        <f>DI255</f>
        <v>0</v>
      </c>
      <c r="DJ259" s="5">
        <f t="shared" si="535"/>
        <v>-14</v>
      </c>
      <c r="DK259" s="240"/>
      <c r="DL259" s="303">
        <f>DL255</f>
        <v>0</v>
      </c>
      <c r="DM259" s="231">
        <f t="shared" si="541"/>
        <v>14</v>
      </c>
    </row>
    <row r="260" spans="1:117" ht="15.75" thickBot="1" x14ac:dyDescent="0.3">
      <c r="A260" s="17"/>
      <c r="B260" s="283"/>
      <c r="C260" s="17"/>
      <c r="D260" s="10"/>
      <c r="E260" s="10"/>
      <c r="F260" s="337"/>
      <c r="G260" s="11"/>
      <c r="H260" s="24"/>
      <c r="I260" s="24"/>
      <c r="J260" s="530">
        <f>SUM(M260,AG260,BA260,BU260)-L260</f>
        <v>0</v>
      </c>
      <c r="K260" s="395">
        <f t="shared" si="523"/>
        <v>0</v>
      </c>
      <c r="L260" s="32">
        <v>0</v>
      </c>
      <c r="M260" s="7"/>
      <c r="N260" s="5">
        <f t="shared" si="524"/>
        <v>0</v>
      </c>
      <c r="O260" s="256"/>
      <c r="P260" s="240"/>
      <c r="Q260" s="231">
        <f t="shared" si="536"/>
        <v>0</v>
      </c>
      <c r="R260" s="123"/>
      <c r="S260" s="8"/>
      <c r="T260" s="34"/>
      <c r="U260" s="713"/>
      <c r="V260" s="123"/>
      <c r="W260" s="8"/>
      <c r="X260" s="34"/>
      <c r="Y260" s="713"/>
      <c r="Z260" s="20"/>
      <c r="AA260" s="8"/>
      <c r="AB260" s="34"/>
      <c r="AC260" s="234"/>
      <c r="AD260" s="234"/>
      <c r="AE260" s="395">
        <f>SUM(M260,AG260)-SUM(O260,AI260)-L260</f>
        <v>0</v>
      </c>
      <c r="AF260" s="32">
        <f t="shared" si="526"/>
        <v>0</v>
      </c>
      <c r="AG260" s="7"/>
      <c r="AH260" s="5">
        <f t="shared" si="527"/>
        <v>0</v>
      </c>
      <c r="AI260" s="256"/>
      <c r="AJ260" s="240"/>
      <c r="AK260" s="231">
        <f t="shared" si="537"/>
        <v>0</v>
      </c>
      <c r="AL260" s="123"/>
      <c r="AM260" s="8"/>
      <c r="AN260" s="34"/>
      <c r="AO260" s="713"/>
      <c r="AP260" s="123"/>
      <c r="AQ260" s="8"/>
      <c r="AR260" s="34"/>
      <c r="AS260" s="713"/>
      <c r="AT260" s="20"/>
      <c r="AU260" s="8"/>
      <c r="AV260" s="34"/>
      <c r="AW260" s="234"/>
      <c r="AX260" s="234"/>
      <c r="AY260" s="395">
        <f>SUM(M260,AG260,BA260)-SUM(O260,AI260,BC260)-L260</f>
        <v>0</v>
      </c>
      <c r="AZ260" s="32">
        <f t="shared" si="545"/>
        <v>0</v>
      </c>
      <c r="BA260" s="7"/>
      <c r="BB260" s="5">
        <f t="shared" si="529"/>
        <v>0</v>
      </c>
      <c r="BC260" s="256"/>
      <c r="BD260" s="240"/>
      <c r="BE260" s="231">
        <f t="shared" si="538"/>
        <v>0</v>
      </c>
      <c r="BF260" s="123"/>
      <c r="BG260" s="8"/>
      <c r="BH260" s="34"/>
      <c r="BI260" s="713"/>
      <c r="BJ260" s="123"/>
      <c r="BK260" s="8"/>
      <c r="BL260" s="34"/>
      <c r="BM260" s="713"/>
      <c r="BN260" s="20"/>
      <c r="BO260" s="8"/>
      <c r="BP260" s="34"/>
      <c r="BQ260" s="234"/>
      <c r="BR260" s="234"/>
      <c r="BS260" s="395">
        <f>SUM(M260,AG260,BA260,BU260)-SUM(O260,AI260,BC260,BW260)-L260</f>
        <v>0</v>
      </c>
      <c r="BT260" s="32">
        <f t="shared" si="546"/>
        <v>0</v>
      </c>
      <c r="BU260" s="7"/>
      <c r="BV260" s="5">
        <f t="shared" si="531"/>
        <v>0</v>
      </c>
      <c r="BW260" s="256"/>
      <c r="BX260" s="240"/>
      <c r="BY260" s="231">
        <f t="shared" si="539"/>
        <v>0</v>
      </c>
      <c r="BZ260" s="123"/>
      <c r="CA260" s="8"/>
      <c r="CB260" s="34"/>
      <c r="CC260" s="713"/>
      <c r="CD260" s="123"/>
      <c r="CE260" s="8"/>
      <c r="CF260" s="34"/>
      <c r="CG260" s="713"/>
      <c r="CH260" s="20"/>
      <c r="CI260" s="8"/>
      <c r="CJ260" s="34"/>
      <c r="CK260" s="234"/>
      <c r="CL260" s="234"/>
      <c r="CM260" s="395">
        <f>SUM(M260,AG260,BA260,BU260,CO260)-SUM(O260,AI260,BC260,BW260,CQ260)-L260</f>
        <v>0</v>
      </c>
      <c r="CN260" s="32">
        <f t="shared" si="547"/>
        <v>0</v>
      </c>
      <c r="CO260" s="7"/>
      <c r="CP260" s="5">
        <f t="shared" si="533"/>
        <v>0</v>
      </c>
      <c r="CQ260" s="256"/>
      <c r="CR260" s="240"/>
      <c r="CS260" s="231">
        <f t="shared" si="540"/>
        <v>0</v>
      </c>
      <c r="CT260" s="123"/>
      <c r="CU260" s="8"/>
      <c r="CV260" s="34"/>
      <c r="CW260" s="713"/>
      <c r="CX260" s="123"/>
      <c r="CY260" s="8"/>
      <c r="CZ260" s="34"/>
      <c r="DA260" s="713"/>
      <c r="DB260" s="20"/>
      <c r="DC260" s="8"/>
      <c r="DD260" s="34"/>
      <c r="DE260" s="619"/>
      <c r="DF260" s="619"/>
      <c r="DG260" s="396"/>
      <c r="DH260" s="29">
        <f t="shared" si="534"/>
        <v>0</v>
      </c>
      <c r="DI260" s="7"/>
      <c r="DJ260" s="5">
        <f t="shared" si="535"/>
        <v>0</v>
      </c>
      <c r="DK260" s="256"/>
      <c r="DL260" s="240"/>
      <c r="DM260" s="231">
        <f t="shared" si="541"/>
        <v>0</v>
      </c>
    </row>
    <row r="261" spans="1:117" ht="30" x14ac:dyDescent="0.25">
      <c r="A261" s="53"/>
      <c r="B261" s="91" t="s">
        <v>96</v>
      </c>
      <c r="C261" s="53">
        <v>1</v>
      </c>
      <c r="D261" s="51" t="s">
        <v>97</v>
      </c>
      <c r="E261" s="51"/>
      <c r="F261" s="338"/>
      <c r="G261" s="51"/>
      <c r="H261" s="54"/>
      <c r="I261" s="54"/>
      <c r="J261" s="53"/>
      <c r="K261" s="53"/>
      <c r="L261" s="55"/>
      <c r="M261" s="56"/>
      <c r="N261" s="56"/>
      <c r="O261" s="56"/>
      <c r="P261" s="243"/>
      <c r="Q261" s="219"/>
      <c r="R261" s="119">
        <f>SUM(R262:R264)</f>
        <v>0</v>
      </c>
      <c r="S261" s="120">
        <f>SUM(S262:S264)</f>
        <v>0</v>
      </c>
      <c r="T261" s="57"/>
      <c r="U261" s="219"/>
      <c r="V261" s="119">
        <f>SUM(V262:V264)</f>
        <v>0</v>
      </c>
      <c r="W261" s="120">
        <f>SUM(W262:W264)</f>
        <v>0</v>
      </c>
      <c r="X261" s="57"/>
      <c r="Y261" s="219"/>
      <c r="Z261" s="119">
        <f>SUM(Z262:Z264)</f>
        <v>0</v>
      </c>
      <c r="AA261" s="120">
        <f>SUM(AA262:AA264)</f>
        <v>0</v>
      </c>
      <c r="AB261" s="57"/>
      <c r="AC261" s="230"/>
      <c r="AD261" s="230"/>
      <c r="AE261" s="53"/>
      <c r="AF261" s="55"/>
      <c r="AG261" s="56"/>
      <c r="AH261" s="56"/>
      <c r="AI261" s="56"/>
      <c r="AJ261" s="243"/>
      <c r="AK261" s="219"/>
      <c r="AL261" s="119">
        <f>SUM(AL262:AL264)</f>
        <v>0</v>
      </c>
      <c r="AM261" s="120">
        <f>SUM(AM262:AM264)</f>
        <v>0</v>
      </c>
      <c r="AN261" s="57"/>
      <c r="AO261" s="219"/>
      <c r="AP261" s="119">
        <f>SUM(AP262:AP264)</f>
        <v>0</v>
      </c>
      <c r="AQ261" s="120">
        <f>SUM(AQ262:AQ264)</f>
        <v>0</v>
      </c>
      <c r="AR261" s="57"/>
      <c r="AS261" s="219"/>
      <c r="AT261" s="119">
        <f>SUM(AT262:AT264)</f>
        <v>0</v>
      </c>
      <c r="AU261" s="120">
        <f>SUM(AU262:AU264)</f>
        <v>0</v>
      </c>
      <c r="AV261" s="57"/>
      <c r="AW261" s="230"/>
      <c r="AX261" s="230"/>
      <c r="AY261" s="53"/>
      <c r="AZ261" s="55"/>
      <c r="BA261" s="56"/>
      <c r="BB261" s="56"/>
      <c r="BC261" s="56"/>
      <c r="BD261" s="243"/>
      <c r="BE261" s="219"/>
      <c r="BF261" s="119">
        <f>SUM(BF262:BF264)</f>
        <v>0</v>
      </c>
      <c r="BG261" s="120">
        <f>SUM(BG262:BG264)</f>
        <v>0</v>
      </c>
      <c r="BH261" s="57"/>
      <c r="BI261" s="219"/>
      <c r="BJ261" s="119">
        <f>SUM(BJ262:BJ264)</f>
        <v>0</v>
      </c>
      <c r="BK261" s="120">
        <f>SUM(BK262:BK264)</f>
        <v>0</v>
      </c>
      <c r="BL261" s="57"/>
      <c r="BM261" s="219"/>
      <c r="BN261" s="119">
        <f>SUM(BN262:BN264)</f>
        <v>0</v>
      </c>
      <c r="BO261" s="120">
        <f>SUM(BO262:BO264)</f>
        <v>0</v>
      </c>
      <c r="BP261" s="57"/>
      <c r="BQ261" s="230"/>
      <c r="BR261" s="230"/>
      <c r="BS261" s="53"/>
      <c r="BT261" s="55"/>
      <c r="BU261" s="56"/>
      <c r="BV261" s="56"/>
      <c r="BW261" s="56"/>
      <c r="BX261" s="243"/>
      <c r="BY261" s="219"/>
      <c r="BZ261" s="119">
        <f>SUM(BZ262:BZ264)</f>
        <v>0</v>
      </c>
      <c r="CA261" s="120">
        <f>SUM(CA262:CA264)</f>
        <v>0</v>
      </c>
      <c r="CB261" s="57"/>
      <c r="CC261" s="219"/>
      <c r="CD261" s="119">
        <f>SUM(CD262:CD264)</f>
        <v>0</v>
      </c>
      <c r="CE261" s="120">
        <f>SUM(CE262:CE264)</f>
        <v>0</v>
      </c>
      <c r="CF261" s="57"/>
      <c r="CG261" s="219"/>
      <c r="CH261" s="119">
        <f>SUM(CH262:CH264)</f>
        <v>0</v>
      </c>
      <c r="CI261" s="120">
        <f>SUM(CI262:CI264)</f>
        <v>0</v>
      </c>
      <c r="CJ261" s="57"/>
      <c r="CK261" s="230"/>
      <c r="CL261" s="230"/>
      <c r="CM261" s="53"/>
      <c r="CN261" s="55"/>
      <c r="CO261" s="56"/>
      <c r="CP261" s="56"/>
      <c r="CQ261" s="56"/>
      <c r="CR261" s="243"/>
      <c r="CS261" s="230"/>
      <c r="CT261" s="119">
        <f>SUM(CT262:CT264)</f>
        <v>0</v>
      </c>
      <c r="CU261" s="120">
        <f>SUM(CU262:CU264)</f>
        <v>0</v>
      </c>
      <c r="CV261" s="57"/>
      <c r="CW261" s="219"/>
      <c r="CX261" s="119">
        <f>SUM(CX262:CX264)</f>
        <v>0</v>
      </c>
      <c r="CY261" s="120">
        <f>SUM(CY262:CY264)</f>
        <v>0</v>
      </c>
      <c r="CZ261" s="57"/>
      <c r="DA261" s="219"/>
      <c r="DB261" s="119">
        <f>SUM(DB262:DB264)</f>
        <v>0</v>
      </c>
      <c r="DC261" s="120">
        <f>SUM(DC262:DC264)</f>
        <v>0</v>
      </c>
      <c r="DD261" s="57"/>
      <c r="DE261" s="230"/>
      <c r="DF261" s="230"/>
      <c r="DG261" s="53"/>
      <c r="DH261" s="55"/>
      <c r="DI261" s="56"/>
      <c r="DJ261" s="56"/>
      <c r="DK261" s="56"/>
      <c r="DL261" s="243"/>
      <c r="DM261" s="230"/>
    </row>
    <row r="262" spans="1:117" x14ac:dyDescent="0.25">
      <c r="A262" s="17"/>
      <c r="B262" s="283" t="s">
        <v>214</v>
      </c>
      <c r="C262" s="17"/>
      <c r="D262" s="10"/>
      <c r="E262" s="10"/>
      <c r="F262" s="337">
        <v>1600</v>
      </c>
      <c r="G262" s="11" t="s">
        <v>91</v>
      </c>
      <c r="H262" s="24"/>
      <c r="I262" s="24"/>
      <c r="J262" s="530">
        <f>SUM(M262,AG262,BA262,BU262)-L262</f>
        <v>0</v>
      </c>
      <c r="K262" s="395">
        <f t="shared" si="523"/>
        <v>0</v>
      </c>
      <c r="L262" s="32">
        <v>0</v>
      </c>
      <c r="M262" s="302">
        <f>M261</f>
        <v>0</v>
      </c>
      <c r="N262" s="5">
        <f>M262-L262</f>
        <v>0</v>
      </c>
      <c r="O262" s="256"/>
      <c r="P262" s="240"/>
      <c r="Q262" s="231">
        <f>L262+O262-P262</f>
        <v>0</v>
      </c>
      <c r="R262" s="123"/>
      <c r="S262" s="8"/>
      <c r="T262" s="34"/>
      <c r="U262" s="713"/>
      <c r="V262" s="123"/>
      <c r="W262" s="8"/>
      <c r="X262" s="34"/>
      <c r="Y262" s="713"/>
      <c r="Z262" s="20"/>
      <c r="AA262" s="8"/>
      <c r="AB262" s="34"/>
      <c r="AC262" s="234"/>
      <c r="AD262" s="234"/>
      <c r="AE262" s="395">
        <f>SUM(M262,AG262)-SUM(O262,AI262)-L262</f>
        <v>0</v>
      </c>
      <c r="AF262" s="32">
        <f>Q262</f>
        <v>0</v>
      </c>
      <c r="AG262" s="302">
        <f>AG261</f>
        <v>0</v>
      </c>
      <c r="AH262" s="5">
        <f>AG262-AF262</f>
        <v>0</v>
      </c>
      <c r="AI262" s="256"/>
      <c r="AJ262" s="240"/>
      <c r="AK262" s="231">
        <f>AF262+AI262-AJ262</f>
        <v>0</v>
      </c>
      <c r="AL262" s="123"/>
      <c r="AM262" s="8"/>
      <c r="AN262" s="34"/>
      <c r="AO262" s="713"/>
      <c r="AP262" s="123"/>
      <c r="AQ262" s="8"/>
      <c r="AR262" s="34"/>
      <c r="AS262" s="713"/>
      <c r="AT262" s="20"/>
      <c r="AU262" s="8"/>
      <c r="AV262" s="34"/>
      <c r="AW262" s="234"/>
      <c r="AX262" s="234"/>
      <c r="AY262" s="395">
        <f>SUM(M262,AG262,BA262)-SUM(O262,AI262,BC262)-L262</f>
        <v>0</v>
      </c>
      <c r="AZ262" s="32">
        <f>AK262</f>
        <v>0</v>
      </c>
      <c r="BA262" s="302">
        <f>BA261</f>
        <v>0</v>
      </c>
      <c r="BB262" s="5">
        <f>BA262-AZ262</f>
        <v>0</v>
      </c>
      <c r="BC262" s="256"/>
      <c r="BD262" s="240"/>
      <c r="BE262" s="231">
        <f>AZ262+BC262-BD262</f>
        <v>0</v>
      </c>
      <c r="BF262" s="123"/>
      <c r="BG262" s="8"/>
      <c r="BH262" s="34"/>
      <c r="BI262" s="713"/>
      <c r="BJ262" s="123"/>
      <c r="BK262" s="8"/>
      <c r="BL262" s="34"/>
      <c r="BM262" s="713"/>
      <c r="BN262" s="20"/>
      <c r="BO262" s="8"/>
      <c r="BP262" s="34"/>
      <c r="BQ262" s="234"/>
      <c r="BR262" s="234"/>
      <c r="BS262" s="395">
        <f>SUM(M262,AG262,BA262,BU262)-SUM(O262,AI262,BC262,BW262)-L262</f>
        <v>0</v>
      </c>
      <c r="BT262" s="32">
        <f>BE262</f>
        <v>0</v>
      </c>
      <c r="BU262" s="302">
        <f>BU261</f>
        <v>0</v>
      </c>
      <c r="BV262" s="5">
        <f>BU262-BT262</f>
        <v>0</v>
      </c>
      <c r="BW262" s="256"/>
      <c r="BX262" s="240"/>
      <c r="BY262" s="231">
        <f>BT262+BW262-BX262</f>
        <v>0</v>
      </c>
      <c r="BZ262" s="123"/>
      <c r="CA262" s="8"/>
      <c r="CB262" s="34"/>
      <c r="CC262" s="713"/>
      <c r="CD262" s="123"/>
      <c r="CE262" s="8"/>
      <c r="CF262" s="34"/>
      <c r="CG262" s="713"/>
      <c r="CH262" s="20"/>
      <c r="CI262" s="8"/>
      <c r="CJ262" s="34"/>
      <c r="CK262" s="234"/>
      <c r="CL262" s="234"/>
      <c r="CM262" s="395">
        <f>SUM(M262,AG262,BA262,BU262,CO262)-SUM(O262,AI262,BC262,BW262,CQ262)-L262</f>
        <v>0</v>
      </c>
      <c r="CN262" s="32">
        <f>BY262</f>
        <v>0</v>
      </c>
      <c r="CO262" s="302">
        <f>CO261</f>
        <v>0</v>
      </c>
      <c r="CP262" s="7">
        <f>CO262-CN262</f>
        <v>0</v>
      </c>
      <c r="CQ262" s="258"/>
      <c r="CR262" s="242"/>
      <c r="CS262" s="234">
        <f>CN262+CQ262-CR262</f>
        <v>0</v>
      </c>
      <c r="CT262" s="123"/>
      <c r="CU262" s="8"/>
      <c r="CV262" s="34"/>
      <c r="CW262" s="713"/>
      <c r="CX262" s="123"/>
      <c r="CY262" s="8"/>
      <c r="CZ262" s="34"/>
      <c r="DA262" s="713"/>
      <c r="DB262" s="20"/>
      <c r="DC262" s="8"/>
      <c r="DD262" s="34"/>
      <c r="DE262" s="234"/>
      <c r="DF262" s="234"/>
      <c r="DG262" s="395"/>
      <c r="DH262" s="32">
        <f t="shared" si="534"/>
        <v>0</v>
      </c>
      <c r="DI262" s="302">
        <f>DI261</f>
        <v>0</v>
      </c>
      <c r="DJ262" s="7">
        <f>DI262-DH262</f>
        <v>0</v>
      </c>
      <c r="DK262" s="258"/>
      <c r="DL262" s="242"/>
      <c r="DM262" s="234">
        <f>DH262+DK262-DL262</f>
        <v>0</v>
      </c>
    </row>
    <row r="263" spans="1:117" x14ac:dyDescent="0.25">
      <c r="A263" s="18"/>
      <c r="B263" s="11" t="s">
        <v>98</v>
      </c>
      <c r="C263" s="18">
        <v>1</v>
      </c>
      <c r="D263" s="11"/>
      <c r="E263" s="11"/>
      <c r="F263" s="149">
        <v>6000</v>
      </c>
      <c r="G263" s="11" t="s">
        <v>100</v>
      </c>
      <c r="H263" s="25" t="s">
        <v>34</v>
      </c>
      <c r="I263" s="25"/>
      <c r="J263" s="530">
        <f>SUM(M263,AG263,BA263,BU263)-L263</f>
        <v>0</v>
      </c>
      <c r="K263" s="395">
        <f t="shared" si="523"/>
        <v>0</v>
      </c>
      <c r="L263" s="29">
        <v>0</v>
      </c>
      <c r="M263" s="298">
        <f>M261</f>
        <v>0</v>
      </c>
      <c r="N263" s="5">
        <f>M263-L263</f>
        <v>0</v>
      </c>
      <c r="O263" s="256"/>
      <c r="P263" s="240"/>
      <c r="Q263" s="231">
        <f>L263+O263-P263</f>
        <v>0</v>
      </c>
      <c r="R263" s="121"/>
      <c r="S263" s="6"/>
      <c r="T263" s="35"/>
      <c r="U263" s="612"/>
      <c r="V263" s="121"/>
      <c r="W263" s="6"/>
      <c r="X263" s="35"/>
      <c r="Y263" s="612"/>
      <c r="Z263" s="21"/>
      <c r="AA263" s="6"/>
      <c r="AB263" s="35"/>
      <c r="AC263" s="234"/>
      <c r="AD263" s="234"/>
      <c r="AE263" s="395">
        <f>SUM(M263,AG263)-SUM(O263,AI263)-L263</f>
        <v>0</v>
      </c>
      <c r="AF263" s="29">
        <f>Q263</f>
        <v>0</v>
      </c>
      <c r="AG263" s="298">
        <f>AG261</f>
        <v>0</v>
      </c>
      <c r="AH263" s="5">
        <f>AG263-AF263</f>
        <v>0</v>
      </c>
      <c r="AI263" s="256"/>
      <c r="AJ263" s="240"/>
      <c r="AK263" s="231">
        <f>AF263+AI263-AJ263</f>
        <v>0</v>
      </c>
      <c r="AL263" s="121"/>
      <c r="AM263" s="6"/>
      <c r="AN263" s="35"/>
      <c r="AO263" s="612"/>
      <c r="AP263" s="121"/>
      <c r="AQ263" s="6"/>
      <c r="AR263" s="35"/>
      <c r="AS263" s="612"/>
      <c r="AT263" s="21"/>
      <c r="AU263" s="6"/>
      <c r="AV263" s="35"/>
      <c r="AW263" s="234"/>
      <c r="AX263" s="234"/>
      <c r="AY263" s="395">
        <f>SUM(M263,AG263,BA263)-SUM(O263,AI263,BC263)-L263</f>
        <v>0</v>
      </c>
      <c r="AZ263" s="29">
        <f>AK263</f>
        <v>0</v>
      </c>
      <c r="BA263" s="298">
        <f>BA261</f>
        <v>0</v>
      </c>
      <c r="BB263" s="5">
        <f>BA263-AZ263</f>
        <v>0</v>
      </c>
      <c r="BC263" s="256"/>
      <c r="BD263" s="240"/>
      <c r="BE263" s="231">
        <f>AZ263+BC263-BD263</f>
        <v>0</v>
      </c>
      <c r="BF263" s="121"/>
      <c r="BG263" s="6"/>
      <c r="BH263" s="35"/>
      <c r="BI263" s="612"/>
      <c r="BJ263" s="121"/>
      <c r="BK263" s="6"/>
      <c r="BL263" s="35"/>
      <c r="BM263" s="612"/>
      <c r="BN263" s="21"/>
      <c r="BO263" s="6"/>
      <c r="BP263" s="35"/>
      <c r="BQ263" s="234"/>
      <c r="BR263" s="234"/>
      <c r="BS263" s="395">
        <f>SUM(M263,AG263,BA263,BU263)-SUM(O263,AI263,BC263,BW263)-L263</f>
        <v>0</v>
      </c>
      <c r="BT263" s="29">
        <f>BE263</f>
        <v>0</v>
      </c>
      <c r="BU263" s="298">
        <f>BU261</f>
        <v>0</v>
      </c>
      <c r="BV263" s="5">
        <f>BU263-BT263</f>
        <v>0</v>
      </c>
      <c r="BW263" s="256"/>
      <c r="BX263" s="240"/>
      <c r="BY263" s="231">
        <f>BT263+BW263-BX263</f>
        <v>0</v>
      </c>
      <c r="BZ263" s="121"/>
      <c r="CA263" s="6"/>
      <c r="CB263" s="35"/>
      <c r="CC263" s="612"/>
      <c r="CD263" s="121"/>
      <c r="CE263" s="6"/>
      <c r="CF263" s="35"/>
      <c r="CG263" s="612"/>
      <c r="CH263" s="21"/>
      <c r="CI263" s="6"/>
      <c r="CJ263" s="35"/>
      <c r="CK263" s="234"/>
      <c r="CL263" s="234"/>
      <c r="CM263" s="395">
        <f>SUM(M263,AG263,BA263,BU263,CO263)-SUM(O263,AI263,BC263,BW263,CQ263)-L263</f>
        <v>0</v>
      </c>
      <c r="CN263" s="29">
        <f>BY263</f>
        <v>0</v>
      </c>
      <c r="CO263" s="298">
        <f>CO261</f>
        <v>0</v>
      </c>
      <c r="CP263" s="5">
        <f>CO263-CN263</f>
        <v>0</v>
      </c>
      <c r="CQ263" s="256"/>
      <c r="CR263" s="240"/>
      <c r="CS263" s="231">
        <f>CN263+CQ263-CR263</f>
        <v>0</v>
      </c>
      <c r="CT263" s="121"/>
      <c r="CU263" s="6"/>
      <c r="CV263" s="35"/>
      <c r="CW263" s="612"/>
      <c r="CX263" s="121"/>
      <c r="CY263" s="6"/>
      <c r="CZ263" s="35"/>
      <c r="DA263" s="612"/>
      <c r="DB263" s="21"/>
      <c r="DC263" s="6"/>
      <c r="DD263" s="35"/>
      <c r="DE263" s="234"/>
      <c r="DF263" s="234"/>
      <c r="DG263" s="395"/>
      <c r="DH263" s="29">
        <f t="shared" si="534"/>
        <v>0</v>
      </c>
      <c r="DI263" s="298">
        <f>DI261</f>
        <v>0</v>
      </c>
      <c r="DJ263" s="5">
        <f>DI263-DH263</f>
        <v>0</v>
      </c>
      <c r="DK263" s="256"/>
      <c r="DL263" s="240"/>
      <c r="DM263" s="231">
        <f>DH263+DK263-DL263</f>
        <v>0</v>
      </c>
    </row>
    <row r="264" spans="1:117" ht="15.75" thickBot="1" x14ac:dyDescent="0.3">
      <c r="A264" s="19"/>
      <c r="B264" s="12" t="s">
        <v>99</v>
      </c>
      <c r="C264" s="19">
        <v>1</v>
      </c>
      <c r="D264" s="12"/>
      <c r="E264" s="12"/>
      <c r="F264" s="146">
        <v>6000</v>
      </c>
      <c r="G264" s="12" t="s">
        <v>100</v>
      </c>
      <c r="H264" s="28" t="s">
        <v>34</v>
      </c>
      <c r="I264" s="28"/>
      <c r="J264" s="531">
        <f>SUM(M264,AG264,BA264,BU264)-L264</f>
        <v>0</v>
      </c>
      <c r="K264" s="396">
        <f t="shared" si="523"/>
        <v>0</v>
      </c>
      <c r="L264" s="30">
        <v>0</v>
      </c>
      <c r="M264" s="301">
        <f>M261</f>
        <v>0</v>
      </c>
      <c r="N264" s="31">
        <f>M264-L264</f>
        <v>0</v>
      </c>
      <c r="O264" s="284"/>
      <c r="P264" s="241"/>
      <c r="Q264" s="232">
        <f>L264+O264-P264</f>
        <v>0</v>
      </c>
      <c r="R264" s="200"/>
      <c r="S264" s="201"/>
      <c r="T264" s="36"/>
      <c r="U264" s="220"/>
      <c r="V264" s="200"/>
      <c r="W264" s="201"/>
      <c r="X264" s="36"/>
      <c r="Y264" s="220"/>
      <c r="Z264" s="122"/>
      <c r="AA264" s="201"/>
      <c r="AB264" s="36"/>
      <c r="AC264" s="297"/>
      <c r="AD264" s="297"/>
      <c r="AE264" s="396">
        <f>SUM(M264,AG264)-SUM(O264,AI264)-L264</f>
        <v>0</v>
      </c>
      <c r="AF264" s="30">
        <f>Q264</f>
        <v>0</v>
      </c>
      <c r="AG264" s="301">
        <f>AG261</f>
        <v>0</v>
      </c>
      <c r="AH264" s="31">
        <f>AG264-AF264</f>
        <v>0</v>
      </c>
      <c r="AI264" s="284"/>
      <c r="AJ264" s="241"/>
      <c r="AK264" s="232">
        <f>AF264+AI264-AJ264</f>
        <v>0</v>
      </c>
      <c r="AL264" s="200"/>
      <c r="AM264" s="201"/>
      <c r="AN264" s="36"/>
      <c r="AO264" s="220"/>
      <c r="AP264" s="200"/>
      <c r="AQ264" s="201"/>
      <c r="AR264" s="36"/>
      <c r="AS264" s="220"/>
      <c r="AT264" s="122"/>
      <c r="AU264" s="201"/>
      <c r="AV264" s="36"/>
      <c r="AW264" s="297"/>
      <c r="AX264" s="297"/>
      <c r="AY264" s="396">
        <f>SUM(M264,AG264,BA264)-SUM(O264,AI264,BC264)-L264</f>
        <v>0</v>
      </c>
      <c r="AZ264" s="30">
        <f>AK264</f>
        <v>0</v>
      </c>
      <c r="BA264" s="301">
        <f>BA261</f>
        <v>0</v>
      </c>
      <c r="BB264" s="31">
        <f>BA264-AZ264</f>
        <v>0</v>
      </c>
      <c r="BC264" s="284"/>
      <c r="BD264" s="241"/>
      <c r="BE264" s="232">
        <f>AZ264+BC264-BD264</f>
        <v>0</v>
      </c>
      <c r="BF264" s="200"/>
      <c r="BG264" s="201"/>
      <c r="BH264" s="36"/>
      <c r="BI264" s="220"/>
      <c r="BJ264" s="200"/>
      <c r="BK264" s="201"/>
      <c r="BL264" s="36"/>
      <c r="BM264" s="220"/>
      <c r="BN264" s="122"/>
      <c r="BO264" s="201"/>
      <c r="BP264" s="36"/>
      <c r="BQ264" s="297"/>
      <c r="BR264" s="297"/>
      <c r="BS264" s="396">
        <f>SUM(M264,AG264,BA264,BU264)-SUM(O264,AI264,BC264,BW264)-L264</f>
        <v>0</v>
      </c>
      <c r="BT264" s="30">
        <f>BE264</f>
        <v>0</v>
      </c>
      <c r="BU264" s="301">
        <f>BU261</f>
        <v>0</v>
      </c>
      <c r="BV264" s="31">
        <f>BU264-BT264</f>
        <v>0</v>
      </c>
      <c r="BW264" s="284"/>
      <c r="BX264" s="241"/>
      <c r="BY264" s="232">
        <f>BT264+BW264-BX264</f>
        <v>0</v>
      </c>
      <c r="BZ264" s="200"/>
      <c r="CA264" s="201"/>
      <c r="CB264" s="36"/>
      <c r="CC264" s="220"/>
      <c r="CD264" s="200"/>
      <c r="CE264" s="201"/>
      <c r="CF264" s="36"/>
      <c r="CG264" s="220"/>
      <c r="CH264" s="122"/>
      <c r="CI264" s="201"/>
      <c r="CJ264" s="36"/>
      <c r="CK264" s="297"/>
      <c r="CL264" s="297"/>
      <c r="CM264" s="396">
        <f>SUM(M264,AG264,BA264,BU264,CO264)-SUM(O264,AI264,BC264,BW264,CQ264)-L264</f>
        <v>0</v>
      </c>
      <c r="CN264" s="30">
        <f>BY264</f>
        <v>0</v>
      </c>
      <c r="CO264" s="301">
        <f>CO261</f>
        <v>0</v>
      </c>
      <c r="CP264" s="31">
        <f>CO264-CN264</f>
        <v>0</v>
      </c>
      <c r="CQ264" s="284"/>
      <c r="CR264" s="241"/>
      <c r="CS264" s="232">
        <f>CN264+CQ264-CR264</f>
        <v>0</v>
      </c>
      <c r="CT264" s="200"/>
      <c r="CU264" s="201"/>
      <c r="CV264" s="36"/>
      <c r="CW264" s="220"/>
      <c r="CX264" s="200"/>
      <c r="CY264" s="201"/>
      <c r="CZ264" s="36"/>
      <c r="DA264" s="220"/>
      <c r="DB264" s="122"/>
      <c r="DC264" s="201"/>
      <c r="DD264" s="36"/>
      <c r="DE264" s="297"/>
      <c r="DF264" s="297"/>
      <c r="DG264" s="396"/>
      <c r="DH264" s="30">
        <f t="shared" si="534"/>
        <v>0</v>
      </c>
      <c r="DI264" s="301">
        <f>DI261</f>
        <v>0</v>
      </c>
      <c r="DJ264" s="31">
        <f>DI264-DH264</f>
        <v>0</v>
      </c>
      <c r="DK264" s="284"/>
      <c r="DL264" s="241"/>
      <c r="DM264" s="232">
        <f>DH264+DK264-DL264</f>
        <v>0</v>
      </c>
    </row>
    <row r="265" spans="1:117" ht="15.75" thickBot="1" x14ac:dyDescent="0.3">
      <c r="P265" s="248"/>
      <c r="AJ265" s="248"/>
      <c r="BD265" s="248"/>
      <c r="BX265" s="248"/>
      <c r="CR265" s="248"/>
      <c r="DL265" s="248"/>
    </row>
    <row r="266" spans="1:117" ht="15.75" thickBot="1" x14ac:dyDescent="0.3">
      <c r="A266" s="95"/>
      <c r="B266" s="94" t="s">
        <v>673</v>
      </c>
      <c r="C266" s="95"/>
      <c r="D266" s="110"/>
      <c r="E266" s="110"/>
      <c r="F266" s="340"/>
      <c r="G266" s="93"/>
      <c r="H266" s="96"/>
      <c r="I266" s="96"/>
      <c r="J266" s="96">
        <f>SUM(M266,AG266,BA266,BU266)</f>
        <v>9</v>
      </c>
      <c r="K266" s="95"/>
      <c r="L266" s="97"/>
      <c r="M266" s="98">
        <f>1+0-1</f>
        <v>0</v>
      </c>
      <c r="N266" s="98"/>
      <c r="O266" s="98"/>
      <c r="P266" s="249"/>
      <c r="Q266" s="221"/>
      <c r="R266" s="124">
        <f>SUM(R267:R270)</f>
        <v>0</v>
      </c>
      <c r="S266" s="125">
        <f>SUM(S267:S270)</f>
        <v>0</v>
      </c>
      <c r="T266" s="99"/>
      <c r="U266" s="221"/>
      <c r="V266" s="124">
        <f>SUM(V267:V270)</f>
        <v>0</v>
      </c>
      <c r="W266" s="125">
        <f>SUM(W267:W270)</f>
        <v>0</v>
      </c>
      <c r="X266" s="99"/>
      <c r="Y266" s="221"/>
      <c r="Z266" s="124">
        <f>SUM(Z267:Z270)</f>
        <v>0</v>
      </c>
      <c r="AA266" s="125">
        <f>SUM(AA267:AA270)</f>
        <v>0</v>
      </c>
      <c r="AB266" s="99"/>
      <c r="AC266" s="237"/>
      <c r="AD266" s="237"/>
      <c r="AE266" s="95">
        <f>SUM(AG266,BA266,BU266)</f>
        <v>9</v>
      </c>
      <c r="AF266" s="97"/>
      <c r="AG266" s="98">
        <f>3-3+0</f>
        <v>0</v>
      </c>
      <c r="AH266" s="98"/>
      <c r="AI266" s="98"/>
      <c r="AJ266" s="249"/>
      <c r="AK266" s="221"/>
      <c r="AL266" s="124">
        <f>SUM(AL267:AL270)</f>
        <v>0</v>
      </c>
      <c r="AM266" s="125">
        <f>SUM(AM267:AM270)</f>
        <v>0</v>
      </c>
      <c r="AN266" s="99"/>
      <c r="AO266" s="221"/>
      <c r="AP266" s="124">
        <f>SUM(AP267:AP270)</f>
        <v>0</v>
      </c>
      <c r="AQ266" s="125">
        <f>SUM(AQ267:AQ270)</f>
        <v>0</v>
      </c>
      <c r="AR266" s="99"/>
      <c r="AS266" s="221"/>
      <c r="AT266" s="124">
        <f>SUM(AT267:AT270)</f>
        <v>0</v>
      </c>
      <c r="AU266" s="125">
        <f>SUM(AU267:AU270)</f>
        <v>0</v>
      </c>
      <c r="AV266" s="99"/>
      <c r="AW266" s="237"/>
      <c r="AX266" s="237"/>
      <c r="AY266" s="95">
        <f>SUM(BA266,BU266)</f>
        <v>9</v>
      </c>
      <c r="AZ266" s="97"/>
      <c r="BA266" s="98">
        <f>4-4+6</f>
        <v>6</v>
      </c>
      <c r="BB266" s="98"/>
      <c r="BC266" s="98"/>
      <c r="BD266" s="249"/>
      <c r="BE266" s="221"/>
      <c r="BF266" s="124">
        <f>SUM(BF267:BF270)</f>
        <v>0</v>
      </c>
      <c r="BG266" s="125">
        <f>SUM(BG267:BG270)</f>
        <v>0</v>
      </c>
      <c r="BH266" s="99"/>
      <c r="BI266" s="221"/>
      <c r="BJ266" s="124">
        <f>SUM(BJ267:BJ270)</f>
        <v>0</v>
      </c>
      <c r="BK266" s="125">
        <f>SUM(BK267:BK270)</f>
        <v>0</v>
      </c>
      <c r="BL266" s="99"/>
      <c r="BM266" s="221"/>
      <c r="BN266" s="124">
        <f>SUM(BN267:BN270)</f>
        <v>0</v>
      </c>
      <c r="BO266" s="125">
        <f>SUM(BO267:BO270)</f>
        <v>0</v>
      </c>
      <c r="BP266" s="99"/>
      <c r="BQ266" s="237"/>
      <c r="BR266" s="237"/>
      <c r="BS266" s="95">
        <f>BU266</f>
        <v>3</v>
      </c>
      <c r="BT266" s="97"/>
      <c r="BU266" s="98">
        <f>4-4+3</f>
        <v>3</v>
      </c>
      <c r="BV266" s="98"/>
      <c r="BW266" s="98"/>
      <c r="BX266" s="249"/>
      <c r="BY266" s="221"/>
      <c r="BZ266" s="124">
        <f>SUM(BZ267:BZ270)</f>
        <v>0</v>
      </c>
      <c r="CA266" s="125">
        <f>SUM(CA267:CA270)</f>
        <v>0</v>
      </c>
      <c r="CB266" s="99"/>
      <c r="CC266" s="221"/>
      <c r="CD266" s="124">
        <f>SUM(CD267:CD270)</f>
        <v>0</v>
      </c>
      <c r="CE266" s="125">
        <f>SUM(CE267:CE270)</f>
        <v>0</v>
      </c>
      <c r="CF266" s="99"/>
      <c r="CG266" s="221"/>
      <c r="CH266" s="124">
        <f>SUM(CH267:CH270)</f>
        <v>0</v>
      </c>
      <c r="CI266" s="125">
        <f>SUM(CI267:CI270)</f>
        <v>0</v>
      </c>
      <c r="CJ266" s="99"/>
      <c r="CK266" s="237"/>
      <c r="CL266" s="237"/>
      <c r="CM266" s="95">
        <f>CO266</f>
        <v>0</v>
      </c>
      <c r="CN266" s="97"/>
      <c r="CO266" s="98"/>
      <c r="CP266" s="98"/>
      <c r="CQ266" s="98"/>
      <c r="CR266" s="249"/>
      <c r="CS266" s="237"/>
      <c r="CT266" s="124">
        <f>SUM(CT267:CT270)</f>
        <v>0</v>
      </c>
      <c r="CU266" s="125">
        <f>SUM(CU267:CU270)</f>
        <v>0</v>
      </c>
      <c r="CV266" s="99"/>
      <c r="CW266" s="221"/>
      <c r="CX266" s="124">
        <f>SUM(CX267:CX270)</f>
        <v>0</v>
      </c>
      <c r="CY266" s="125">
        <f>SUM(CY267:CY270)</f>
        <v>0</v>
      </c>
      <c r="CZ266" s="99"/>
      <c r="DA266" s="221"/>
      <c r="DB266" s="124">
        <f>SUM(DB267:DB270)</f>
        <v>0</v>
      </c>
      <c r="DC266" s="125">
        <f>SUM(DC267:DC270)</f>
        <v>0</v>
      </c>
      <c r="DD266" s="99"/>
      <c r="DE266" s="237"/>
      <c r="DF266" s="237"/>
      <c r="DG266" s="95">
        <f>DI266</f>
        <v>0</v>
      </c>
      <c r="DH266" s="97"/>
      <c r="DI266" s="98"/>
      <c r="DJ266" s="98"/>
      <c r="DK266" s="98"/>
      <c r="DL266" s="249"/>
      <c r="DM266" s="237"/>
    </row>
    <row r="267" spans="1:117" x14ac:dyDescent="0.25">
      <c r="A267" s="45"/>
      <c r="B267" s="44" t="s">
        <v>216</v>
      </c>
      <c r="C267" s="45"/>
      <c r="D267" s="309"/>
      <c r="E267" s="309"/>
      <c r="F267" s="342"/>
      <c r="G267" s="44"/>
      <c r="H267" s="45"/>
      <c r="I267" s="45"/>
      <c r="J267" s="532">
        <f>SUM(M267,AG267,BA267,BU267)-L267</f>
        <v>0</v>
      </c>
      <c r="K267" s="395">
        <f t="shared" ref="K267:K269" si="548">M267-O267-L267</f>
        <v>0</v>
      </c>
      <c r="L267" s="279">
        <v>0</v>
      </c>
      <c r="M267" s="47"/>
      <c r="N267" s="47">
        <f>M267-L267</f>
        <v>0</v>
      </c>
      <c r="O267" s="285"/>
      <c r="P267" s="253"/>
      <c r="Q267" s="48">
        <f>L267+O267-P267</f>
        <v>0</v>
      </c>
      <c r="R267" s="288"/>
      <c r="S267" s="289"/>
      <c r="T267" s="48"/>
      <c r="U267" s="287"/>
      <c r="V267" s="288"/>
      <c r="W267" s="289"/>
      <c r="X267" s="48"/>
      <c r="Y267" s="287"/>
      <c r="Z267" s="288"/>
      <c r="AA267" s="289"/>
      <c r="AB267" s="48"/>
      <c r="AC267" s="234"/>
      <c r="AD267" s="234"/>
      <c r="AE267" s="395">
        <f>SUM(M267,AG267)-SUM(O267,AI267)-L267</f>
        <v>0</v>
      </c>
      <c r="AF267" s="279">
        <f>Q267</f>
        <v>0</v>
      </c>
      <c r="AG267" s="47"/>
      <c r="AH267" s="47">
        <f>AG267-AF267</f>
        <v>0</v>
      </c>
      <c r="AI267" s="285"/>
      <c r="AJ267" s="253"/>
      <c r="AK267" s="48">
        <f>AF267+AI267-AJ267</f>
        <v>0</v>
      </c>
      <c r="AL267" s="288"/>
      <c r="AM267" s="289"/>
      <c r="AN267" s="48"/>
      <c r="AO267" s="287"/>
      <c r="AP267" s="288"/>
      <c r="AQ267" s="289"/>
      <c r="AR267" s="48"/>
      <c r="AS267" s="287"/>
      <c r="AT267" s="288"/>
      <c r="AU267" s="289"/>
      <c r="AV267" s="48"/>
      <c r="AW267" s="234"/>
      <c r="AX267" s="234"/>
      <c r="AY267" s="395">
        <f>SUM(M267,AG267,BA267)-SUM(O267,AI267,BC267)-L267</f>
        <v>0</v>
      </c>
      <c r="AZ267" s="279">
        <f>AK267</f>
        <v>0</v>
      </c>
      <c r="BA267" s="47"/>
      <c r="BB267" s="47">
        <f>BA267-AZ267</f>
        <v>0</v>
      </c>
      <c r="BC267" s="285"/>
      <c r="BD267" s="253"/>
      <c r="BE267" s="48">
        <f>AZ267+BC267-BD267</f>
        <v>0</v>
      </c>
      <c r="BF267" s="288"/>
      <c r="BG267" s="289"/>
      <c r="BH267" s="48"/>
      <c r="BI267" s="287"/>
      <c r="BJ267" s="288"/>
      <c r="BK267" s="289"/>
      <c r="BL267" s="48"/>
      <c r="BM267" s="287"/>
      <c r="BN267" s="288"/>
      <c r="BO267" s="289"/>
      <c r="BP267" s="48"/>
      <c r="BQ267" s="234"/>
      <c r="BR267" s="234"/>
      <c r="BS267" s="395">
        <f>SUM(M267,AG267,BA267,BU267)-SUM(O267,AI267,BC267,BW267)-L267</f>
        <v>0</v>
      </c>
      <c r="BT267" s="279">
        <f>BE267</f>
        <v>0</v>
      </c>
      <c r="BU267" s="47"/>
      <c r="BV267" s="47">
        <f>BU267-BT267</f>
        <v>0</v>
      </c>
      <c r="BW267" s="285"/>
      <c r="BX267" s="253"/>
      <c r="BY267" s="48">
        <f>BT267+BW267-BX267</f>
        <v>0</v>
      </c>
      <c r="BZ267" s="288"/>
      <c r="CA267" s="289"/>
      <c r="CB267" s="48"/>
      <c r="CC267" s="287"/>
      <c r="CD267" s="288"/>
      <c r="CE267" s="289"/>
      <c r="CF267" s="48"/>
      <c r="CG267" s="287"/>
      <c r="CH267" s="288"/>
      <c r="CI267" s="289"/>
      <c r="CJ267" s="48"/>
      <c r="CK267" s="234"/>
      <c r="CL267" s="234"/>
      <c r="CM267" s="395">
        <f>SUM(M267,AG267,BA267,BU267,CO267)-SUM(O267,AI267,BC267,BW267,CQ267)-L267</f>
        <v>0</v>
      </c>
      <c r="CN267" s="279">
        <f>BY267</f>
        <v>0</v>
      </c>
      <c r="CO267" s="47"/>
      <c r="CP267" s="47">
        <f>CO267-CN267</f>
        <v>0</v>
      </c>
      <c r="CQ267" s="285"/>
      <c r="CR267" s="253"/>
      <c r="CS267" s="48">
        <f>CN267+CQ267-CR267</f>
        <v>0</v>
      </c>
      <c r="CT267" s="288"/>
      <c r="CU267" s="289"/>
      <c r="CV267" s="48"/>
      <c r="CW267" s="287"/>
      <c r="CX267" s="288"/>
      <c r="CY267" s="289"/>
      <c r="CZ267" s="48"/>
      <c r="DA267" s="287"/>
      <c r="DB267" s="288"/>
      <c r="DC267" s="289"/>
      <c r="DD267" s="48"/>
      <c r="DE267" s="234"/>
      <c r="DF267" s="234"/>
      <c r="DG267" s="395"/>
      <c r="DH267" s="29">
        <f t="shared" ref="DH267:DH269" si="549">BY267</f>
        <v>0</v>
      </c>
      <c r="DI267" s="47"/>
      <c r="DJ267" s="47">
        <f>DI267-DH267</f>
        <v>0</v>
      </c>
      <c r="DK267" s="285"/>
      <c r="DL267" s="253"/>
      <c r="DM267" s="48">
        <f>DH267+DK267-DL267</f>
        <v>0</v>
      </c>
    </row>
    <row r="268" spans="1:117" x14ac:dyDescent="0.25">
      <c r="A268" s="17"/>
      <c r="B268" s="10" t="s">
        <v>235</v>
      </c>
      <c r="C268" s="17"/>
      <c r="D268" s="80"/>
      <c r="E268" s="80"/>
      <c r="F268" s="337">
        <v>43690</v>
      </c>
      <c r="G268" s="10" t="s">
        <v>91</v>
      </c>
      <c r="H268" s="17" t="s">
        <v>92</v>
      </c>
      <c r="I268" s="17"/>
      <c r="J268" s="530">
        <f>SUM(M268,AG268,BA268,BU268)-L268</f>
        <v>-1</v>
      </c>
      <c r="K268" s="395">
        <f t="shared" si="548"/>
        <v>-1</v>
      </c>
      <c r="L268" s="29">
        <v>1</v>
      </c>
      <c r="M268" s="7"/>
      <c r="N268" s="7">
        <f>M268-L268</f>
        <v>-1</v>
      </c>
      <c r="O268" s="258"/>
      <c r="P268" s="242"/>
      <c r="Q268" s="234">
        <f>L268+O268-P268</f>
        <v>1</v>
      </c>
      <c r="R268" s="123"/>
      <c r="S268" s="8"/>
      <c r="T268" s="34"/>
      <c r="U268" s="713"/>
      <c r="V268" s="123"/>
      <c r="W268" s="8"/>
      <c r="X268" s="34"/>
      <c r="Y268" s="713"/>
      <c r="Z268" s="123"/>
      <c r="AA268" s="8"/>
      <c r="AB268" s="34"/>
      <c r="AC268" s="234"/>
      <c r="AD268" s="234"/>
      <c r="AE268" s="395">
        <f>SUM(M268,AG268)-SUM(O268,AI268)-L268</f>
        <v>-1</v>
      </c>
      <c r="AF268" s="29">
        <f>Q268</f>
        <v>1</v>
      </c>
      <c r="AG268" s="7"/>
      <c r="AH268" s="7">
        <f>AG268-AF268</f>
        <v>-1</v>
      </c>
      <c r="AI268" s="258"/>
      <c r="AJ268" s="242"/>
      <c r="AK268" s="234">
        <f>AF268+AI268-AJ268</f>
        <v>1</v>
      </c>
      <c r="AL268" s="123"/>
      <c r="AM268" s="8"/>
      <c r="AN268" s="34"/>
      <c r="AO268" s="713"/>
      <c r="AP268" s="123"/>
      <c r="AQ268" s="8"/>
      <c r="AR268" s="34"/>
      <c r="AS268" s="713"/>
      <c r="AT268" s="123"/>
      <c r="AU268" s="8"/>
      <c r="AV268" s="34"/>
      <c r="AW268" s="234"/>
      <c r="AX268" s="234"/>
      <c r="AY268" s="395">
        <f>SUM(M268,AG268,BA268)-SUM(O268,AI268,BC268)-L268</f>
        <v>-1</v>
      </c>
      <c r="AZ268" s="29">
        <f>AK268</f>
        <v>1</v>
      </c>
      <c r="BA268" s="7"/>
      <c r="BB268" s="7">
        <f>BA268-AZ268</f>
        <v>-1</v>
      </c>
      <c r="BC268" s="258"/>
      <c r="BD268" s="242"/>
      <c r="BE268" s="234">
        <f>AZ268+BC268-BD268</f>
        <v>1</v>
      </c>
      <c r="BF268" s="123"/>
      <c r="BG268" s="8"/>
      <c r="BH268" s="34"/>
      <c r="BI268" s="713"/>
      <c r="BJ268" s="123"/>
      <c r="BK268" s="8"/>
      <c r="BL268" s="34"/>
      <c r="BM268" s="713"/>
      <c r="BN268" s="123"/>
      <c r="BO268" s="8"/>
      <c r="BP268" s="34"/>
      <c r="BQ268" s="234"/>
      <c r="BR268" s="234"/>
      <c r="BS268" s="395">
        <f>SUM(M268,AG268,BA268,BU268)-SUM(O268,AI268,BC268,BW268)-L268</f>
        <v>-1</v>
      </c>
      <c r="BT268" s="29">
        <f>BE268</f>
        <v>1</v>
      </c>
      <c r="BU268" s="7"/>
      <c r="BV268" s="7">
        <f>BU268-BT268</f>
        <v>-1</v>
      </c>
      <c r="BW268" s="258"/>
      <c r="BX268" s="242"/>
      <c r="BY268" s="234">
        <f>BT268+BW268-BX268</f>
        <v>1</v>
      </c>
      <c r="BZ268" s="123"/>
      <c r="CA268" s="8"/>
      <c r="CB268" s="34"/>
      <c r="CC268" s="713"/>
      <c r="CD268" s="123"/>
      <c r="CE268" s="8"/>
      <c r="CF268" s="34"/>
      <c r="CG268" s="713"/>
      <c r="CH268" s="123"/>
      <c r="CI268" s="8"/>
      <c r="CJ268" s="34"/>
      <c r="CK268" s="234"/>
      <c r="CL268" s="234"/>
      <c r="CM268" s="395">
        <f>SUM(M268,AG268,BA268,BU268,CO268)-SUM(O268,AI268,BC268,BW268,CQ268)-L268</f>
        <v>-1</v>
      </c>
      <c r="CN268" s="29">
        <f>BY268</f>
        <v>1</v>
      </c>
      <c r="CO268" s="7"/>
      <c r="CP268" s="7">
        <f>CO268-CN268</f>
        <v>-1</v>
      </c>
      <c r="CQ268" s="258"/>
      <c r="CR268" s="242"/>
      <c r="CS268" s="234">
        <f>CN268+CQ268-CR268</f>
        <v>1</v>
      </c>
      <c r="CT268" s="123"/>
      <c r="CU268" s="8"/>
      <c r="CV268" s="34"/>
      <c r="CW268" s="713"/>
      <c r="CX268" s="123"/>
      <c r="CY268" s="8"/>
      <c r="CZ268" s="34"/>
      <c r="DA268" s="713"/>
      <c r="DB268" s="123"/>
      <c r="DC268" s="8"/>
      <c r="DD268" s="34"/>
      <c r="DE268" s="234"/>
      <c r="DF268" s="234"/>
      <c r="DG268" s="395"/>
      <c r="DH268" s="29">
        <f t="shared" si="549"/>
        <v>1</v>
      </c>
      <c r="DI268" s="7"/>
      <c r="DJ268" s="7">
        <f>DI268-DH268</f>
        <v>-1</v>
      </c>
      <c r="DK268" s="258"/>
      <c r="DL268" s="242"/>
      <c r="DM268" s="234">
        <f>DH268+DK268-DL268</f>
        <v>1</v>
      </c>
    </row>
    <row r="269" spans="1:117" x14ac:dyDescent="0.25">
      <c r="A269" s="17"/>
      <c r="B269" s="10" t="s">
        <v>129</v>
      </c>
      <c r="C269" s="17"/>
      <c r="D269" s="80" t="s">
        <v>97</v>
      </c>
      <c r="E269" s="80"/>
      <c r="F269" s="337"/>
      <c r="G269" s="10"/>
      <c r="H269" s="17"/>
      <c r="I269" s="17"/>
      <c r="J269" s="530">
        <f>SUM(M269,AG269,BA269,BU269)-L269</f>
        <v>0</v>
      </c>
      <c r="K269" s="395">
        <f t="shared" si="548"/>
        <v>0</v>
      </c>
      <c r="L269" s="29">
        <v>0</v>
      </c>
      <c r="M269" s="7"/>
      <c r="N269" s="7">
        <f>M269-L269</f>
        <v>0</v>
      </c>
      <c r="O269" s="258"/>
      <c r="P269" s="242"/>
      <c r="Q269" s="234">
        <f>L269+O269-P269</f>
        <v>0</v>
      </c>
      <c r="R269" s="123"/>
      <c r="S269" s="8"/>
      <c r="T269" s="34"/>
      <c r="U269" s="713"/>
      <c r="V269" s="123"/>
      <c r="W269" s="8"/>
      <c r="X269" s="34"/>
      <c r="Y269" s="713"/>
      <c r="Z269" s="123"/>
      <c r="AA269" s="8"/>
      <c r="AB269" s="34"/>
      <c r="AC269" s="234"/>
      <c r="AD269" s="234"/>
      <c r="AE269" s="395">
        <f>SUM(M269,AG269)-SUM(O269,AI269)-L269</f>
        <v>0</v>
      </c>
      <c r="AF269" s="29">
        <f>Q269</f>
        <v>0</v>
      </c>
      <c r="AG269" s="7"/>
      <c r="AH269" s="7">
        <f>AG269-AF269</f>
        <v>0</v>
      </c>
      <c r="AI269" s="258"/>
      <c r="AJ269" s="242"/>
      <c r="AK269" s="234">
        <f>AF269+AI269-AJ269</f>
        <v>0</v>
      </c>
      <c r="AL269" s="123"/>
      <c r="AM269" s="8"/>
      <c r="AN269" s="34"/>
      <c r="AO269" s="713"/>
      <c r="AP269" s="123"/>
      <c r="AQ269" s="8"/>
      <c r="AR269" s="34"/>
      <c r="AS269" s="713"/>
      <c r="AT269" s="123"/>
      <c r="AU269" s="8"/>
      <c r="AV269" s="34"/>
      <c r="AW269" s="234"/>
      <c r="AX269" s="234"/>
      <c r="AY269" s="395">
        <f>SUM(M269,AG269,BA269)-SUM(O269,AI269,BC269)-L269</f>
        <v>0</v>
      </c>
      <c r="AZ269" s="29">
        <f>AK269</f>
        <v>0</v>
      </c>
      <c r="BA269" s="7"/>
      <c r="BB269" s="7">
        <f>BA269-AZ269</f>
        <v>0</v>
      </c>
      <c r="BC269" s="258"/>
      <c r="BD269" s="242"/>
      <c r="BE269" s="234">
        <f>AZ269+BC269-BD269</f>
        <v>0</v>
      </c>
      <c r="BF269" s="123"/>
      <c r="BG269" s="8"/>
      <c r="BH269" s="34"/>
      <c r="BI269" s="713"/>
      <c r="BJ269" s="123"/>
      <c r="BK269" s="8"/>
      <c r="BL269" s="34"/>
      <c r="BM269" s="713"/>
      <c r="BN269" s="123"/>
      <c r="BO269" s="8"/>
      <c r="BP269" s="34"/>
      <c r="BQ269" s="234"/>
      <c r="BR269" s="234"/>
      <c r="BS269" s="395">
        <f>SUM(M269,AG269,BA269,BU269)-SUM(O269,AI269,BC269,BW269)-L269</f>
        <v>0</v>
      </c>
      <c r="BT269" s="29">
        <f>BE269</f>
        <v>0</v>
      </c>
      <c r="BU269" s="7"/>
      <c r="BV269" s="7">
        <f>BU269-BT269</f>
        <v>0</v>
      </c>
      <c r="BW269" s="258"/>
      <c r="BX269" s="242"/>
      <c r="BY269" s="234">
        <f>BT269+BW269-BX269</f>
        <v>0</v>
      </c>
      <c r="BZ269" s="123"/>
      <c r="CA269" s="8"/>
      <c r="CB269" s="34"/>
      <c r="CC269" s="713"/>
      <c r="CD269" s="123"/>
      <c r="CE269" s="8"/>
      <c r="CF269" s="34"/>
      <c r="CG269" s="713"/>
      <c r="CH269" s="123"/>
      <c r="CI269" s="8"/>
      <c r="CJ269" s="34"/>
      <c r="CK269" s="234"/>
      <c r="CL269" s="234"/>
      <c r="CM269" s="395">
        <f>SUM(M269,AG269,BA269,BU269,CO269)-SUM(O269,AI269,BC269,BW269,CQ269)-L269</f>
        <v>0</v>
      </c>
      <c r="CN269" s="29">
        <f>BY269</f>
        <v>0</v>
      </c>
      <c r="CO269" s="7"/>
      <c r="CP269" s="7">
        <f>CO269-CN269</f>
        <v>0</v>
      </c>
      <c r="CQ269" s="258"/>
      <c r="CR269" s="242"/>
      <c r="CS269" s="234">
        <f>CN269+CQ269-CR269</f>
        <v>0</v>
      </c>
      <c r="CT269" s="123"/>
      <c r="CU269" s="8"/>
      <c r="CV269" s="34"/>
      <c r="CW269" s="713"/>
      <c r="CX269" s="123"/>
      <c r="CY269" s="8"/>
      <c r="CZ269" s="34"/>
      <c r="DA269" s="713"/>
      <c r="DB269" s="123"/>
      <c r="DC269" s="8"/>
      <c r="DD269" s="34"/>
      <c r="DE269" s="234"/>
      <c r="DF269" s="234"/>
      <c r="DG269" s="395"/>
      <c r="DH269" s="29">
        <f t="shared" si="549"/>
        <v>0</v>
      </c>
      <c r="DI269" s="7"/>
      <c r="DJ269" s="7">
        <f>DI269-DH269</f>
        <v>0</v>
      </c>
      <c r="DK269" s="258"/>
      <c r="DL269" s="242"/>
      <c r="DM269" s="234">
        <f>DH269+DK269-DL269</f>
        <v>0</v>
      </c>
    </row>
    <row r="270" spans="1:117" ht="15.75" thickBot="1" x14ac:dyDescent="0.3">
      <c r="A270" s="63"/>
      <c r="B270" s="62"/>
      <c r="C270" s="63"/>
      <c r="D270" s="295"/>
      <c r="E270" s="295"/>
      <c r="F270" s="385"/>
      <c r="G270" s="62"/>
      <c r="H270" s="63"/>
      <c r="I270" s="311"/>
      <c r="J270" s="311"/>
      <c r="K270" s="311"/>
      <c r="L270" s="30"/>
      <c r="M270" s="65"/>
      <c r="N270" s="65"/>
      <c r="O270" s="286"/>
      <c r="P270" s="250"/>
      <c r="Q270" s="232"/>
      <c r="R270" s="126"/>
      <c r="S270" s="127"/>
      <c r="T270" s="66"/>
      <c r="U270" s="715"/>
      <c r="V270" s="126"/>
      <c r="W270" s="127"/>
      <c r="X270" s="66"/>
      <c r="Y270" s="715"/>
      <c r="Z270" s="126"/>
      <c r="AA270" s="127"/>
      <c r="AB270" s="66"/>
      <c r="AC270" s="715"/>
      <c r="AD270" s="715"/>
      <c r="AE270" s="311"/>
      <c r="AF270" s="30"/>
      <c r="AG270" s="65"/>
      <c r="AH270" s="65"/>
      <c r="AI270" s="286"/>
      <c r="AJ270" s="250"/>
      <c r="AK270" s="232"/>
      <c r="AL270" s="126"/>
      <c r="AM270" s="127"/>
      <c r="AN270" s="66"/>
      <c r="AO270" s="715"/>
      <c r="AP270" s="126"/>
      <c r="AQ270" s="127"/>
      <c r="AR270" s="66"/>
      <c r="AS270" s="715"/>
      <c r="AT270" s="126"/>
      <c r="AU270" s="127"/>
      <c r="AV270" s="66"/>
      <c r="AW270" s="715"/>
      <c r="AX270" s="715"/>
      <c r="AY270" s="311"/>
      <c r="AZ270" s="30"/>
      <c r="BA270" s="65"/>
      <c r="BB270" s="65"/>
      <c r="BC270" s="286"/>
      <c r="BD270" s="250"/>
      <c r="BE270" s="232"/>
      <c r="BF270" s="126"/>
      <c r="BG270" s="127"/>
      <c r="BH270" s="66"/>
      <c r="BI270" s="715"/>
      <c r="BJ270" s="126"/>
      <c r="BK270" s="127"/>
      <c r="BL270" s="66"/>
      <c r="BM270" s="715"/>
      <c r="BN270" s="126"/>
      <c r="BO270" s="127"/>
      <c r="BP270" s="66"/>
      <c r="BQ270" s="715"/>
      <c r="BR270" s="715"/>
      <c r="BS270" s="311"/>
      <c r="BT270" s="30"/>
      <c r="BU270" s="65"/>
      <c r="BV270" s="65"/>
      <c r="BW270" s="286"/>
      <c r="BX270" s="250"/>
      <c r="BY270" s="232"/>
      <c r="BZ270" s="126"/>
      <c r="CA270" s="127"/>
      <c r="CB270" s="66"/>
      <c r="CC270" s="715"/>
      <c r="CD270" s="126"/>
      <c r="CE270" s="127"/>
      <c r="CF270" s="66"/>
      <c r="CG270" s="715"/>
      <c r="CH270" s="126"/>
      <c r="CI270" s="127"/>
      <c r="CJ270" s="66"/>
      <c r="CK270" s="715"/>
      <c r="CL270" s="715"/>
      <c r="CM270" s="311"/>
      <c r="CN270" s="30"/>
      <c r="CO270" s="65"/>
      <c r="CP270" s="65"/>
      <c r="CQ270" s="286"/>
      <c r="CR270" s="250"/>
      <c r="CS270" s="232"/>
      <c r="CT270" s="126"/>
      <c r="CU270" s="127"/>
      <c r="CV270" s="66"/>
      <c r="CW270" s="715"/>
      <c r="CX270" s="126"/>
      <c r="CY270" s="127"/>
      <c r="CZ270" s="66"/>
      <c r="DA270" s="715"/>
      <c r="DB270" s="126"/>
      <c r="DC270" s="127"/>
      <c r="DD270" s="66"/>
      <c r="DE270" s="715"/>
      <c r="DF270" s="715"/>
      <c r="DG270" s="311"/>
      <c r="DH270" s="30"/>
      <c r="DI270" s="65"/>
      <c r="DJ270" s="65"/>
      <c r="DK270" s="286"/>
      <c r="DL270" s="250"/>
      <c r="DM270" s="232"/>
    </row>
    <row r="271" spans="1:117" ht="15.75" thickBot="1" x14ac:dyDescent="0.3">
      <c r="P271" s="248"/>
      <c r="AJ271" s="248"/>
      <c r="BD271" s="248"/>
      <c r="BX271" s="248"/>
      <c r="CR271" s="248"/>
      <c r="DL271" s="248"/>
    </row>
    <row r="272" spans="1:117" ht="15.75" thickBot="1" x14ac:dyDescent="0.3">
      <c r="A272" s="95"/>
      <c r="B272" s="94" t="s">
        <v>203</v>
      </c>
      <c r="C272" s="95"/>
      <c r="D272" s="110"/>
      <c r="E272" s="110"/>
      <c r="F272" s="340"/>
      <c r="G272" s="93"/>
      <c r="H272" s="96"/>
      <c r="I272" s="96"/>
      <c r="J272" s="96">
        <f>SUM(M272,AG272,BA272,BU272)</f>
        <v>0</v>
      </c>
      <c r="K272" s="69"/>
      <c r="L272" s="97"/>
      <c r="M272" s="98"/>
      <c r="N272" s="98"/>
      <c r="O272" s="98"/>
      <c r="P272" s="249"/>
      <c r="Q272" s="221"/>
      <c r="R272" s="124"/>
      <c r="S272" s="125"/>
      <c r="T272" s="99"/>
      <c r="U272" s="221"/>
      <c r="V272" s="124"/>
      <c r="W272" s="125"/>
      <c r="X272" s="99"/>
      <c r="Y272" s="221"/>
      <c r="Z272" s="124"/>
      <c r="AA272" s="125"/>
      <c r="AB272" s="99"/>
      <c r="AC272" s="736"/>
      <c r="AD272" s="736"/>
      <c r="AE272" s="69">
        <f>SUM(AG272,BA272,BU272)</f>
        <v>0</v>
      </c>
      <c r="AF272" s="97"/>
      <c r="AG272" s="98"/>
      <c r="AH272" s="98"/>
      <c r="AI272" s="98"/>
      <c r="AJ272" s="249"/>
      <c r="AK272" s="221"/>
      <c r="AL272" s="124"/>
      <c r="AM272" s="125"/>
      <c r="AN272" s="99"/>
      <c r="AO272" s="221"/>
      <c r="AP272" s="124"/>
      <c r="AQ272" s="125"/>
      <c r="AR272" s="99"/>
      <c r="AS272" s="221"/>
      <c r="AT272" s="124"/>
      <c r="AU272" s="125"/>
      <c r="AV272" s="99"/>
      <c r="AW272" s="736"/>
      <c r="AX272" s="736"/>
      <c r="AY272" s="69">
        <f>SUM(BA272,BU272)</f>
        <v>0</v>
      </c>
      <c r="AZ272" s="97"/>
      <c r="BA272" s="98"/>
      <c r="BB272" s="98"/>
      <c r="BC272" s="98"/>
      <c r="BD272" s="249"/>
      <c r="BE272" s="221"/>
      <c r="BF272" s="124"/>
      <c r="BG272" s="125"/>
      <c r="BH272" s="99"/>
      <c r="BI272" s="221"/>
      <c r="BJ272" s="124"/>
      <c r="BK272" s="125"/>
      <c r="BL272" s="99"/>
      <c r="BM272" s="221"/>
      <c r="BN272" s="124"/>
      <c r="BO272" s="125"/>
      <c r="BP272" s="99"/>
      <c r="BQ272" s="736"/>
      <c r="BR272" s="736"/>
      <c r="BS272" s="69">
        <f>BU272</f>
        <v>0</v>
      </c>
      <c r="BT272" s="97"/>
      <c r="BU272" s="98"/>
      <c r="BV272" s="98"/>
      <c r="BW272" s="98"/>
      <c r="BX272" s="249"/>
      <c r="BY272" s="221"/>
      <c r="BZ272" s="124"/>
      <c r="CA272" s="125"/>
      <c r="CB272" s="99"/>
      <c r="CC272" s="221"/>
      <c r="CD272" s="124"/>
      <c r="CE272" s="125"/>
      <c r="CF272" s="99"/>
      <c r="CG272" s="221"/>
      <c r="CH272" s="124"/>
      <c r="CI272" s="125"/>
      <c r="CJ272" s="99"/>
      <c r="CK272" s="736"/>
      <c r="CL272" s="736"/>
      <c r="CM272" s="69">
        <f>CO272</f>
        <v>0</v>
      </c>
      <c r="CN272" s="97"/>
      <c r="CO272" s="98"/>
      <c r="CP272" s="98"/>
      <c r="CQ272" s="98"/>
      <c r="CR272" s="249"/>
      <c r="CS272" s="237"/>
      <c r="CT272" s="124"/>
      <c r="CU272" s="125"/>
      <c r="CV272" s="99"/>
      <c r="CW272" s="221"/>
      <c r="CX272" s="124"/>
      <c r="CY272" s="125"/>
      <c r="CZ272" s="99"/>
      <c r="DA272" s="221"/>
      <c r="DB272" s="124"/>
      <c r="DC272" s="125"/>
      <c r="DD272" s="99"/>
      <c r="DE272" s="736"/>
      <c r="DF272" s="736"/>
      <c r="DG272" s="69">
        <f>DI272</f>
        <v>0</v>
      </c>
      <c r="DH272" s="97"/>
      <c r="DI272" s="98"/>
      <c r="DJ272" s="98"/>
      <c r="DK272" s="98"/>
      <c r="DL272" s="249"/>
      <c r="DM272" s="237"/>
    </row>
    <row r="273" spans="1:117" ht="15.75" thickBot="1" x14ac:dyDescent="0.3">
      <c r="A273" s="95"/>
      <c r="B273" s="94" t="s">
        <v>204</v>
      </c>
      <c r="C273" s="95"/>
      <c r="D273" s="110"/>
      <c r="E273" s="110"/>
      <c r="F273" s="340"/>
      <c r="G273" s="93"/>
      <c r="H273" s="96"/>
      <c r="I273" s="96"/>
      <c r="J273" s="96">
        <f>SUM(M273,AG273,BA273,BU273)</f>
        <v>0</v>
      </c>
      <c r="K273" s="69"/>
      <c r="L273" s="97"/>
      <c r="M273" s="98"/>
      <c r="N273" s="98"/>
      <c r="O273" s="98"/>
      <c r="P273" s="249"/>
      <c r="Q273" s="221"/>
      <c r="R273" s="124"/>
      <c r="S273" s="125"/>
      <c r="T273" s="99"/>
      <c r="U273" s="221"/>
      <c r="V273" s="124"/>
      <c r="W273" s="125"/>
      <c r="X273" s="99"/>
      <c r="Y273" s="221"/>
      <c r="Z273" s="124"/>
      <c r="AA273" s="125"/>
      <c r="AB273" s="99"/>
      <c r="AC273" s="736"/>
      <c r="AD273" s="736"/>
      <c r="AE273" s="69">
        <f>SUM(AG273,BA273,BU273)</f>
        <v>0</v>
      </c>
      <c r="AF273" s="97"/>
      <c r="AG273" s="98"/>
      <c r="AH273" s="98"/>
      <c r="AI273" s="98"/>
      <c r="AJ273" s="249"/>
      <c r="AK273" s="221"/>
      <c r="AL273" s="124"/>
      <c r="AM273" s="125"/>
      <c r="AN273" s="99"/>
      <c r="AO273" s="221"/>
      <c r="AP273" s="124"/>
      <c r="AQ273" s="125"/>
      <c r="AR273" s="99"/>
      <c r="AS273" s="221"/>
      <c r="AT273" s="124"/>
      <c r="AU273" s="125"/>
      <c r="AV273" s="99"/>
      <c r="AW273" s="736"/>
      <c r="AX273" s="736"/>
      <c r="AY273" s="69">
        <f>SUM(BA273,BU273)</f>
        <v>0</v>
      </c>
      <c r="AZ273" s="97"/>
      <c r="BA273" s="98"/>
      <c r="BB273" s="98"/>
      <c r="BC273" s="98"/>
      <c r="BD273" s="249"/>
      <c r="BE273" s="221"/>
      <c r="BF273" s="124"/>
      <c r="BG273" s="125"/>
      <c r="BH273" s="99"/>
      <c r="BI273" s="221"/>
      <c r="BJ273" s="124"/>
      <c r="BK273" s="125"/>
      <c r="BL273" s="99"/>
      <c r="BM273" s="221"/>
      <c r="BN273" s="124"/>
      <c r="BO273" s="125"/>
      <c r="BP273" s="99"/>
      <c r="BQ273" s="736"/>
      <c r="BR273" s="736"/>
      <c r="BS273" s="69">
        <f>BU273</f>
        <v>0</v>
      </c>
      <c r="BT273" s="97"/>
      <c r="BU273" s="98"/>
      <c r="BV273" s="98"/>
      <c r="BW273" s="98"/>
      <c r="BX273" s="249"/>
      <c r="BY273" s="221"/>
      <c r="BZ273" s="124"/>
      <c r="CA273" s="125"/>
      <c r="CB273" s="99"/>
      <c r="CC273" s="221"/>
      <c r="CD273" s="124"/>
      <c r="CE273" s="125"/>
      <c r="CF273" s="99"/>
      <c r="CG273" s="221"/>
      <c r="CH273" s="124"/>
      <c r="CI273" s="125"/>
      <c r="CJ273" s="99"/>
      <c r="CK273" s="736"/>
      <c r="CL273" s="736"/>
      <c r="CM273" s="69">
        <f>CO273</f>
        <v>0</v>
      </c>
      <c r="CN273" s="97"/>
      <c r="CO273" s="98"/>
      <c r="CP273" s="98"/>
      <c r="CQ273" s="98"/>
      <c r="CR273" s="249"/>
      <c r="CS273" s="237"/>
      <c r="CT273" s="124"/>
      <c r="CU273" s="125"/>
      <c r="CV273" s="99"/>
      <c r="CW273" s="221"/>
      <c r="CX273" s="124"/>
      <c r="CY273" s="125"/>
      <c r="CZ273" s="99"/>
      <c r="DA273" s="221"/>
      <c r="DB273" s="124"/>
      <c r="DC273" s="125"/>
      <c r="DD273" s="99"/>
      <c r="DE273" s="736"/>
      <c r="DF273" s="736"/>
      <c r="DG273" s="69">
        <f>DI273</f>
        <v>0</v>
      </c>
      <c r="DH273" s="97"/>
      <c r="DI273" s="98"/>
      <c r="DJ273" s="98"/>
      <c r="DK273" s="98"/>
      <c r="DL273" s="249"/>
      <c r="DM273" s="237"/>
    </row>
    <row r="274" spans="1:117" ht="15.75" thickBot="1" x14ac:dyDescent="0.3">
      <c r="A274" s="95"/>
      <c r="B274" s="94" t="s">
        <v>412</v>
      </c>
      <c r="C274" s="95"/>
      <c r="D274" s="110"/>
      <c r="E274" s="110"/>
      <c r="F274" s="340"/>
      <c r="G274" s="93"/>
      <c r="H274" s="96"/>
      <c r="I274" s="96"/>
      <c r="J274" s="96">
        <f>SUM(M274,AG274,BA274,BU274)</f>
        <v>0</v>
      </c>
      <c r="K274" s="69"/>
      <c r="L274" s="97"/>
      <c r="M274" s="98">
        <v>0</v>
      </c>
      <c r="N274" s="98"/>
      <c r="O274" s="98"/>
      <c r="P274" s="249"/>
      <c r="Q274" s="221"/>
      <c r="R274" s="124"/>
      <c r="S274" s="125"/>
      <c r="T274" s="99"/>
      <c r="U274" s="221"/>
      <c r="V274" s="124"/>
      <c r="W274" s="125"/>
      <c r="X274" s="99"/>
      <c r="Y274" s="221"/>
      <c r="Z274" s="124"/>
      <c r="AA274" s="125"/>
      <c r="AB274" s="99"/>
      <c r="AC274" s="736"/>
      <c r="AD274" s="736"/>
      <c r="AE274" s="69">
        <f>SUM(AG274,BA274,BU274)</f>
        <v>0</v>
      </c>
      <c r="AF274" s="97"/>
      <c r="AG274" s="98">
        <v>0</v>
      </c>
      <c r="AH274" s="98"/>
      <c r="AI274" s="98"/>
      <c r="AJ274" s="249"/>
      <c r="AK274" s="221"/>
      <c r="AL274" s="124"/>
      <c r="AM274" s="125"/>
      <c r="AN274" s="99"/>
      <c r="AO274" s="221"/>
      <c r="AP274" s="124"/>
      <c r="AQ274" s="125"/>
      <c r="AR274" s="99"/>
      <c r="AS274" s="221"/>
      <c r="AT274" s="124"/>
      <c r="AU274" s="125"/>
      <c r="AV274" s="99"/>
      <c r="AW274" s="736"/>
      <c r="AX274" s="736"/>
      <c r="AY274" s="69">
        <f>SUM(BA274,BU274)</f>
        <v>0</v>
      </c>
      <c r="AZ274" s="97"/>
      <c r="BA274" s="98">
        <v>0</v>
      </c>
      <c r="BB274" s="98"/>
      <c r="BC274" s="98"/>
      <c r="BD274" s="249"/>
      <c r="BE274" s="221"/>
      <c r="BF274" s="124"/>
      <c r="BG274" s="125"/>
      <c r="BH274" s="99"/>
      <c r="BI274" s="221"/>
      <c r="BJ274" s="124"/>
      <c r="BK274" s="125"/>
      <c r="BL274" s="99"/>
      <c r="BM274" s="221"/>
      <c r="BN274" s="124"/>
      <c r="BO274" s="125"/>
      <c r="BP274" s="99"/>
      <c r="BQ274" s="736"/>
      <c r="BR274" s="736"/>
      <c r="BS274" s="69">
        <f>BU274</f>
        <v>0</v>
      </c>
      <c r="BT274" s="97"/>
      <c r="BU274" s="98">
        <v>0</v>
      </c>
      <c r="BV274" s="98"/>
      <c r="BW274" s="98"/>
      <c r="BX274" s="249"/>
      <c r="BY274" s="221"/>
      <c r="BZ274" s="124"/>
      <c r="CA274" s="125"/>
      <c r="CB274" s="99"/>
      <c r="CC274" s="221"/>
      <c r="CD274" s="124"/>
      <c r="CE274" s="125"/>
      <c r="CF274" s="99"/>
      <c r="CG274" s="221"/>
      <c r="CH274" s="124"/>
      <c r="CI274" s="125"/>
      <c r="CJ274" s="99"/>
      <c r="CK274" s="736"/>
      <c r="CL274" s="736"/>
      <c r="CM274" s="69">
        <f>CO274</f>
        <v>0</v>
      </c>
      <c r="CN274" s="97"/>
      <c r="CO274" s="249"/>
      <c r="CP274" s="98"/>
      <c r="CQ274" s="98"/>
      <c r="CR274" s="249"/>
      <c r="CS274" s="237"/>
      <c r="CT274" s="124"/>
      <c r="CU274" s="125"/>
      <c r="CV274" s="99"/>
      <c r="CW274" s="221"/>
      <c r="CX274" s="124"/>
      <c r="CY274" s="125"/>
      <c r="CZ274" s="99"/>
      <c r="DA274" s="221"/>
      <c r="DB274" s="124"/>
      <c r="DC274" s="125"/>
      <c r="DD274" s="99"/>
      <c r="DE274" s="736"/>
      <c r="DF274" s="736"/>
      <c r="DG274" s="69">
        <f>DI274</f>
        <v>0</v>
      </c>
      <c r="DH274" s="97"/>
      <c r="DI274" s="249"/>
      <c r="DJ274" s="98"/>
      <c r="DK274" s="98"/>
      <c r="DL274" s="249"/>
      <c r="DM274" s="237"/>
    </row>
    <row r="275" spans="1:117" ht="14.45" customHeight="1" thickBot="1" x14ac:dyDescent="0.3">
      <c r="A275" s="95"/>
      <c r="B275" s="94" t="s">
        <v>361</v>
      </c>
      <c r="C275" s="95"/>
      <c r="D275" s="110"/>
      <c r="E275" s="110"/>
      <c r="F275" s="340"/>
      <c r="G275" s="93"/>
      <c r="H275" s="96"/>
      <c r="I275" s="96"/>
      <c r="J275" s="96">
        <f>SUM(M275,AG275,BA275,BU275)</f>
        <v>10</v>
      </c>
      <c r="K275" s="69"/>
      <c r="L275" s="97"/>
      <c r="M275" s="98">
        <f>0+1-0</f>
        <v>1</v>
      </c>
      <c r="N275" s="98"/>
      <c r="O275" s="98"/>
      <c r="P275" s="249">
        <f>1</f>
        <v>1</v>
      </c>
      <c r="Q275" s="221"/>
      <c r="R275" s="124">
        <f>SUM(R276:R288, R290,R327,R337)</f>
        <v>0</v>
      </c>
      <c r="S275" s="125">
        <f>SUM(S276:S288,S290,S327,S337)</f>
        <v>0</v>
      </c>
      <c r="T275" s="99"/>
      <c r="U275" s="221"/>
      <c r="V275" s="124">
        <f>SUM(V276:V288, V290,V327,V337)</f>
        <v>0</v>
      </c>
      <c r="W275" s="125">
        <f>SUM(W276:W288,W290,W327,W337)</f>
        <v>0</v>
      </c>
      <c r="X275" s="99"/>
      <c r="Y275" s="221"/>
      <c r="Z275" s="124">
        <f>SUM(Z276:Z288, Z290,Z327,Z337)</f>
        <v>0</v>
      </c>
      <c r="AA275" s="125">
        <f>SUM(AA276:AA288,AA290,AA327,AA337)</f>
        <v>0</v>
      </c>
      <c r="AB275" s="99"/>
      <c r="AC275" s="736"/>
      <c r="AD275" s="736"/>
      <c r="AE275" s="69">
        <f>SUM(AG275,BA275,BU275)</f>
        <v>9</v>
      </c>
      <c r="AF275" s="97"/>
      <c r="AG275" s="98">
        <f>4-4+1</f>
        <v>1</v>
      </c>
      <c r="AH275" s="98"/>
      <c r="AI275" s="98"/>
      <c r="AJ275" s="249">
        <f>1</f>
        <v>1</v>
      </c>
      <c r="AK275" s="221"/>
      <c r="AL275" s="124">
        <f>SUM(AL276:AL288, AL290,AL327,AL337)</f>
        <v>0</v>
      </c>
      <c r="AM275" s="125">
        <f>SUM(AM276:AM288,AM290,AM327,AM337)</f>
        <v>0</v>
      </c>
      <c r="AN275" s="99"/>
      <c r="AO275" s="221"/>
      <c r="AP275" s="124">
        <f>SUM(AP276:AP288, AP290,AP327,AP337)</f>
        <v>0</v>
      </c>
      <c r="AQ275" s="125">
        <f>SUM(AQ276:AQ288,AQ290,AQ327,AQ337)</f>
        <v>0</v>
      </c>
      <c r="AR275" s="99"/>
      <c r="AS275" s="221"/>
      <c r="AT275" s="124">
        <f>SUM(AT276:AT288, AT290,AT327,AT337)</f>
        <v>0</v>
      </c>
      <c r="AU275" s="125">
        <f>SUM(AU276:AU288,AU290,AU327,AU337)</f>
        <v>0</v>
      </c>
      <c r="AV275" s="99"/>
      <c r="AW275" s="237"/>
      <c r="AX275" s="237"/>
      <c r="AY275" s="95">
        <f>SUM(BA275,BU275)</f>
        <v>8</v>
      </c>
      <c r="AZ275" s="97"/>
      <c r="BA275" s="98">
        <f>3-3+5-5+2</f>
        <v>2</v>
      </c>
      <c r="BB275" s="98"/>
      <c r="BC275" s="98"/>
      <c r="BD275" s="98">
        <f>1+1+1</f>
        <v>3</v>
      </c>
      <c r="BE275" s="221"/>
      <c r="BF275" s="124">
        <f>SUM(BF276:BF288, BF290,BF327,BF337)</f>
        <v>0</v>
      </c>
      <c r="BG275" s="125">
        <f>SUM(BG276:BG288,BG290,BG327,BG337)</f>
        <v>0</v>
      </c>
      <c r="BH275" s="99"/>
      <c r="BI275" s="221"/>
      <c r="BJ275" s="124">
        <f>SUM(BJ276:BJ288, BJ290,BJ327,BJ337)</f>
        <v>36576</v>
      </c>
      <c r="BK275" s="125">
        <f>SUM(BK276:BK288,BK290,BK327,BK337)</f>
        <v>0</v>
      </c>
      <c r="BL275" s="99"/>
      <c r="BM275" s="221"/>
      <c r="BN275" s="124">
        <f>SUM(BN276:BN288, BN290,BN327,BN337)</f>
        <v>43030</v>
      </c>
      <c r="BO275" s="125">
        <f>SUM(BO276:BO288,BO290,BO327,BO337)</f>
        <v>79606</v>
      </c>
      <c r="BP275" s="99"/>
      <c r="BQ275" s="237"/>
      <c r="BR275" s="237"/>
      <c r="BS275" s="95">
        <f>BU275</f>
        <v>6</v>
      </c>
      <c r="BT275" s="97"/>
      <c r="BU275" s="98">
        <f>3-3+4-4+6</f>
        <v>6</v>
      </c>
      <c r="BV275" s="98"/>
      <c r="BW275" s="98"/>
      <c r="BX275" s="98">
        <f>1+1</f>
        <v>2</v>
      </c>
      <c r="BY275" s="221"/>
      <c r="BZ275" s="124">
        <f>SUM(BZ276:BZ288, BZ290,BZ327,BZ337)</f>
        <v>0</v>
      </c>
      <c r="CA275" s="125">
        <f>SUM(CA276:CA288,CA290,CA327,CA337)</f>
        <v>42990</v>
      </c>
      <c r="CB275" s="99"/>
      <c r="CC275" s="221"/>
      <c r="CD275" s="124">
        <f>SUM(CD276:CD288, CD290,CD327,CD337)</f>
        <v>84065</v>
      </c>
      <c r="CE275" s="125">
        <f>SUM(CE276:CE288,CE290,CE327,CE337)</f>
        <v>17750</v>
      </c>
      <c r="CF275" s="99"/>
      <c r="CG275" s="221"/>
      <c r="CH275" s="124">
        <f>SUM(CH276:CH288, CH290,CH327,CH337)</f>
        <v>100867.16</v>
      </c>
      <c r="CI275" s="125">
        <f>SUM(CI276:CI288,CI290,CI327,CI337)</f>
        <v>86775</v>
      </c>
      <c r="CJ275" s="99"/>
      <c r="CK275" s="237"/>
      <c r="CL275" s="237"/>
      <c r="CM275" s="95">
        <f>CO275</f>
        <v>0</v>
      </c>
      <c r="CN275" s="97"/>
      <c r="CO275" s="249"/>
      <c r="CP275" s="98"/>
      <c r="CQ275" s="98"/>
      <c r="CR275" s="249"/>
      <c r="CS275" s="237"/>
      <c r="CT275" s="124">
        <f>SUM(CT276:CT288, CT290,CT327,CT337)</f>
        <v>0</v>
      </c>
      <c r="CU275" s="125">
        <f>SUM(CU276:CU288,CU290,CU327,CU337)</f>
        <v>18990</v>
      </c>
      <c r="CV275" s="99"/>
      <c r="CW275" s="221"/>
      <c r="CX275" s="124">
        <f>SUM(CX276:CX288, CX290,CX327,CX337)</f>
        <v>0</v>
      </c>
      <c r="CY275" s="125">
        <f>SUM(CY276:CY288,CY290,CY327,CY337)</f>
        <v>0</v>
      </c>
      <c r="CZ275" s="99"/>
      <c r="DA275" s="221"/>
      <c r="DB275" s="124">
        <f>SUM(DB276:DB288, DB290,DB327,DB337)</f>
        <v>0</v>
      </c>
      <c r="DC275" s="125">
        <f>SUM(DC276:DC288,DC290,DC327,DC337)</f>
        <v>0</v>
      </c>
      <c r="DD275" s="99"/>
      <c r="DE275" s="237"/>
      <c r="DF275" s="237"/>
      <c r="DG275" s="95">
        <f>DI275</f>
        <v>0</v>
      </c>
      <c r="DH275" s="97"/>
      <c r="DI275" s="249"/>
      <c r="DJ275" s="98"/>
      <c r="DK275" s="98"/>
      <c r="DL275" s="249"/>
      <c r="DM275" s="237"/>
    </row>
    <row r="276" spans="1:117" x14ac:dyDescent="0.25">
      <c r="A276" s="17"/>
      <c r="B276" s="10" t="s">
        <v>216</v>
      </c>
      <c r="C276" s="17"/>
      <c r="D276" s="80"/>
      <c r="E276" s="80"/>
      <c r="F276" s="337"/>
      <c r="G276" s="10"/>
      <c r="H276" s="24"/>
      <c r="I276" s="24"/>
      <c r="J276" s="24"/>
      <c r="K276" s="24"/>
      <c r="L276" s="29"/>
      <c r="M276" s="7"/>
      <c r="N276" s="7">
        <f t="shared" ref="N276:N288" si="550">M276-L276</f>
        <v>0</v>
      </c>
      <c r="O276" s="258"/>
      <c r="P276" s="242"/>
      <c r="Q276" s="231">
        <f t="shared" ref="Q276:Q288" si="551">L276+O276-P276</f>
        <v>0</v>
      </c>
      <c r="R276" s="123"/>
      <c r="S276" s="8"/>
      <c r="T276" s="34"/>
      <c r="U276" s="713"/>
      <c r="V276" s="123"/>
      <c r="W276" s="8"/>
      <c r="X276" s="34"/>
      <c r="Y276" s="713"/>
      <c r="Z276" s="20"/>
      <c r="AA276" s="8"/>
      <c r="AB276" s="34"/>
      <c r="AC276" s="713"/>
      <c r="AD276" s="713"/>
      <c r="AE276" s="24"/>
      <c r="AF276" s="29"/>
      <c r="AG276" s="7"/>
      <c r="AH276" s="7">
        <f t="shared" ref="AH276:AH288" si="552">AG276-AF276</f>
        <v>0</v>
      </c>
      <c r="AI276" s="258"/>
      <c r="AJ276" s="242"/>
      <c r="AK276" s="231">
        <f t="shared" ref="AK276:AK288" si="553">AF276+AI276-AJ276</f>
        <v>0</v>
      </c>
      <c r="AL276" s="123"/>
      <c r="AM276" s="8"/>
      <c r="AN276" s="34"/>
      <c r="AO276" s="713"/>
      <c r="AP276" s="123"/>
      <c r="AQ276" s="8"/>
      <c r="AR276" s="34"/>
      <c r="AS276" s="713"/>
      <c r="AT276" s="20"/>
      <c r="AU276" s="8"/>
      <c r="AV276" s="34"/>
      <c r="AW276" s="713"/>
      <c r="AX276" s="713"/>
      <c r="AY276" s="24"/>
      <c r="AZ276" s="29"/>
      <c r="BA276" s="7"/>
      <c r="BB276" s="7">
        <f t="shared" ref="BB276:BB288" si="554">BA276-AZ276</f>
        <v>0</v>
      </c>
      <c r="BC276" s="258"/>
      <c r="BD276" s="242"/>
      <c r="BE276" s="231">
        <f t="shared" ref="BE276:BE288" si="555">AZ276+BC276-BD276</f>
        <v>0</v>
      </c>
      <c r="BF276" s="123"/>
      <c r="BG276" s="8"/>
      <c r="BH276" s="34"/>
      <c r="BI276" s="713"/>
      <c r="BJ276" s="123"/>
      <c r="BK276" s="8"/>
      <c r="BL276" s="34"/>
      <c r="BM276" s="713"/>
      <c r="BN276" s="20"/>
      <c r="BO276" s="8"/>
      <c r="BP276" s="34"/>
      <c r="BQ276" s="713"/>
      <c r="BR276" s="713"/>
      <c r="BS276" s="24"/>
      <c r="BT276" s="29"/>
      <c r="BU276" s="7"/>
      <c r="BV276" s="7">
        <f t="shared" ref="BV276:BV288" si="556">BU276-BT276</f>
        <v>0</v>
      </c>
      <c r="BW276" s="623">
        <v>5</v>
      </c>
      <c r="BX276" s="242"/>
      <c r="BY276" s="231">
        <f t="shared" ref="BY276:BY288" si="557">BT276+BW276-BX276</f>
        <v>5</v>
      </c>
      <c r="BZ276" s="123"/>
      <c r="CA276" s="8"/>
      <c r="CB276" s="34"/>
      <c r="CC276" s="713"/>
      <c r="CD276" s="123"/>
      <c r="CE276" s="8"/>
      <c r="CF276" s="642" t="s">
        <v>947</v>
      </c>
      <c r="CG276" s="782"/>
      <c r="CH276" s="20"/>
      <c r="CI276" s="8"/>
      <c r="CJ276" s="34"/>
      <c r="CK276" s="713"/>
      <c r="CL276" s="713"/>
      <c r="CM276" s="24"/>
      <c r="CN276" s="29"/>
      <c r="CO276" s="7"/>
      <c r="CP276" s="7">
        <f t="shared" ref="CP276:CP288" si="558">CO276-CN276</f>
        <v>0</v>
      </c>
      <c r="CQ276" s="258"/>
      <c r="CR276" s="242"/>
      <c r="CS276" s="231">
        <f t="shared" ref="CS276:CS288" si="559">CN276+CQ276-CR276</f>
        <v>0</v>
      </c>
      <c r="CT276" s="123"/>
      <c r="CU276" s="8"/>
      <c r="CV276" s="34"/>
      <c r="CW276" s="713"/>
      <c r="CX276" s="123"/>
      <c r="CY276" s="8"/>
      <c r="CZ276" s="34"/>
      <c r="DA276" s="713"/>
      <c r="DB276" s="20"/>
      <c r="DC276" s="8"/>
      <c r="DD276" s="34"/>
      <c r="DE276" s="713"/>
      <c r="DF276" s="713"/>
      <c r="DG276" s="24"/>
      <c r="DH276" s="29"/>
      <c r="DI276" s="7"/>
      <c r="DJ276" s="7">
        <f t="shared" ref="DJ276:DJ288" si="560">DI276-DH276</f>
        <v>0</v>
      </c>
      <c r="DK276" s="258"/>
      <c r="DL276" s="242"/>
      <c r="DM276" s="231">
        <f t="shared" ref="DM276:DM288" si="561">DH276+DK276-DL276</f>
        <v>0</v>
      </c>
    </row>
    <row r="277" spans="1:117" ht="45" x14ac:dyDescent="0.25">
      <c r="A277" s="18">
        <v>10485</v>
      </c>
      <c r="B277" s="11" t="s">
        <v>110</v>
      </c>
      <c r="C277" s="18">
        <v>4</v>
      </c>
      <c r="D277" s="15" t="s">
        <v>362</v>
      </c>
      <c r="E277" s="15"/>
      <c r="F277" s="568">
        <v>4303</v>
      </c>
      <c r="G277" s="11" t="s">
        <v>111</v>
      </c>
      <c r="H277" s="25" t="s">
        <v>11</v>
      </c>
      <c r="I277" s="25"/>
      <c r="J277" s="530">
        <f t="shared" ref="J277:J288" si="562">SUM(M277,AG277,BA277,BU277)-L277</f>
        <v>0</v>
      </c>
      <c r="K277" s="395">
        <f t="shared" ref="K277:K288" si="563">M277-O277-L277</f>
        <v>-36</v>
      </c>
      <c r="L277" s="544">
        <v>40</v>
      </c>
      <c r="M277" s="298">
        <f>SUM(M272:M275)*4</f>
        <v>4</v>
      </c>
      <c r="N277" s="7">
        <f t="shared" si="550"/>
        <v>-36</v>
      </c>
      <c r="O277" s="240"/>
      <c r="P277" s="303">
        <f>SUM(P272:P275)*4</f>
        <v>4</v>
      </c>
      <c r="Q277" s="231">
        <f t="shared" si="551"/>
        <v>36</v>
      </c>
      <c r="R277" s="310"/>
      <c r="S277" s="210"/>
      <c r="T277" s="211"/>
      <c r="U277" s="708"/>
      <c r="V277" s="310"/>
      <c r="W277" s="210"/>
      <c r="X277" s="211"/>
      <c r="Y277" s="708"/>
      <c r="Z277" s="121"/>
      <c r="AA277" s="199"/>
      <c r="AB277" s="79"/>
      <c r="AC277" s="619"/>
      <c r="AD277" s="619"/>
      <c r="AE277" s="395">
        <f t="shared" ref="AE277:AE288" si="564">SUM(M277,AG277)-SUM(O277,AI277)-L277</f>
        <v>-32</v>
      </c>
      <c r="AF277" s="29">
        <f t="shared" ref="AF277:AF288" si="565">Q277</f>
        <v>36</v>
      </c>
      <c r="AG277" s="298">
        <f>SUM(AG272:AG275)*4</f>
        <v>4</v>
      </c>
      <c r="AH277" s="7">
        <f t="shared" si="552"/>
        <v>-32</v>
      </c>
      <c r="AI277" s="258"/>
      <c r="AJ277" s="303">
        <f>SUM(AJ272:AJ275)*4</f>
        <v>4</v>
      </c>
      <c r="AK277" s="231">
        <f t="shared" si="553"/>
        <v>32</v>
      </c>
      <c r="AL277" s="121"/>
      <c r="AM277" s="210"/>
      <c r="AN277" s="467"/>
      <c r="AO277" s="762"/>
      <c r="AP277" s="215"/>
      <c r="AQ277" s="413"/>
      <c r="AR277" s="414"/>
      <c r="AS277" s="709"/>
      <c r="AT277" s="121"/>
      <c r="AU277" s="210"/>
      <c r="AV277" s="257"/>
      <c r="AW277" s="767"/>
      <c r="AX277" s="767"/>
      <c r="AY277" s="395">
        <f t="shared" ref="AY277:AY288" si="566">SUM(M277,AG277,BA277)-SUM(O277,AI277,BC277)-L277</f>
        <v>-61</v>
      </c>
      <c r="AZ277" s="29">
        <f t="shared" ref="AZ277:AZ288" si="567">AK277</f>
        <v>32</v>
      </c>
      <c r="BA277" s="298">
        <f>SUM(BA272:BA275)*4</f>
        <v>8</v>
      </c>
      <c r="BB277" s="7">
        <f t="shared" si="554"/>
        <v>-24</v>
      </c>
      <c r="BC277" s="5">
        <f>17+4*5</f>
        <v>37</v>
      </c>
      <c r="BD277" s="303">
        <f>SUM(BD272:BD275)*4</f>
        <v>12</v>
      </c>
      <c r="BE277" s="231">
        <f t="shared" si="555"/>
        <v>57</v>
      </c>
      <c r="BF277" s="121"/>
      <c r="BG277" s="210"/>
      <c r="BH277" s="35"/>
      <c r="BI277" s="612"/>
      <c r="BJ277" s="121">
        <f>73152/2</f>
        <v>36576</v>
      </c>
      <c r="BK277" s="210"/>
      <c r="BL277" s="257" t="s">
        <v>795</v>
      </c>
      <c r="BM277" s="730"/>
      <c r="BN277" s="310">
        <f>20*F277/2</f>
        <v>43030</v>
      </c>
      <c r="BO277" s="121">
        <f>73152/2+43030</f>
        <v>79606</v>
      </c>
      <c r="BP277" s="257" t="s">
        <v>830</v>
      </c>
      <c r="BQ277" s="767"/>
      <c r="BR277" s="767"/>
      <c r="BS277" s="395">
        <f t="shared" ref="BS277:BS288" si="568">SUM(M277,AG277,BA277,BU277)-SUM(O277,AI277,BC277,BW277)-L277</f>
        <v>-57</v>
      </c>
      <c r="BT277" s="29">
        <f t="shared" ref="BT277:BT288" si="569">BE277</f>
        <v>57</v>
      </c>
      <c r="BU277" s="298">
        <f>SUM(BU272:BU275)*4</f>
        <v>24</v>
      </c>
      <c r="BV277" s="7">
        <f t="shared" si="556"/>
        <v>-33</v>
      </c>
      <c r="BW277" s="256">
        <v>20</v>
      </c>
      <c r="BX277" s="303">
        <f>SUM(BX272:BX275)*4</f>
        <v>8</v>
      </c>
      <c r="BY277" s="231">
        <f t="shared" si="557"/>
        <v>69</v>
      </c>
      <c r="BZ277" s="215"/>
      <c r="CA277" s="210">
        <v>42990</v>
      </c>
      <c r="CB277" s="35" t="s">
        <v>885</v>
      </c>
      <c r="CC277" s="612"/>
      <c r="CD277" s="215"/>
      <c r="CE277" s="199"/>
      <c r="CF277" s="271"/>
      <c r="CG277" s="778"/>
      <c r="CH277" s="121"/>
      <c r="CI277" s="199"/>
      <c r="CJ277" s="35"/>
      <c r="CK277" s="234"/>
      <c r="CL277" s="234"/>
      <c r="CM277" s="395">
        <f t="shared" ref="CM277:CM288" si="570">SUM(M277,AG277,BA277,BU277,CO277)-SUM(O277,AI277,BC277,BW277,CQ277)-L277</f>
        <v>-57</v>
      </c>
      <c r="CN277" s="29">
        <f t="shared" ref="CN277:CN288" si="571">BY277</f>
        <v>69</v>
      </c>
      <c r="CO277" s="298">
        <f>SUM(CO272:CO275)*4</f>
        <v>0</v>
      </c>
      <c r="CP277" s="7">
        <f t="shared" si="558"/>
        <v>-69</v>
      </c>
      <c r="CQ277" s="242"/>
      <c r="CR277" s="303">
        <f>SUM(CR272:CR275)*4</f>
        <v>0</v>
      </c>
      <c r="CS277" s="231">
        <f t="shared" si="559"/>
        <v>69</v>
      </c>
      <c r="CT277" s="215"/>
      <c r="CU277" s="199"/>
      <c r="CV277" s="271"/>
      <c r="CW277" s="778"/>
      <c r="CX277" s="215"/>
      <c r="CY277" s="199"/>
      <c r="CZ277" s="271"/>
      <c r="DA277" s="778"/>
      <c r="DB277" s="121"/>
      <c r="DC277" s="199"/>
      <c r="DD277" s="35"/>
      <c r="DE277" s="234"/>
      <c r="DF277" s="234"/>
      <c r="DG277" s="395">
        <f t="shared" ref="DG277:DG288" si="572">SUM(M277,AG277,BA277,BU277,DI277)-SUM(O277,AI277,BC277,BW277,CQ277)-L277</f>
        <v>-57</v>
      </c>
      <c r="DH277" s="29">
        <f t="shared" ref="DH277:DH288" si="573">BY277</f>
        <v>69</v>
      </c>
      <c r="DI277" s="298">
        <f>SUM(DI272:DI275)*4</f>
        <v>0</v>
      </c>
      <c r="DJ277" s="7">
        <f t="shared" si="560"/>
        <v>-69</v>
      </c>
      <c r="DK277" s="242"/>
      <c r="DL277" s="303">
        <f>SUM(DL272:DL275)*4</f>
        <v>0</v>
      </c>
      <c r="DM277" s="231">
        <f t="shared" si="561"/>
        <v>69</v>
      </c>
    </row>
    <row r="278" spans="1:117" ht="45" x14ac:dyDescent="0.25">
      <c r="A278" s="75"/>
      <c r="B278" s="74" t="s">
        <v>461</v>
      </c>
      <c r="C278" s="75">
        <v>1</v>
      </c>
      <c r="D278" s="15" t="s">
        <v>362</v>
      </c>
      <c r="E278" s="274"/>
      <c r="F278" s="275"/>
      <c r="G278" s="74" t="s">
        <v>198</v>
      </c>
      <c r="H278" s="77"/>
      <c r="I278" s="77"/>
      <c r="J278" s="530">
        <f t="shared" si="562"/>
        <v>-1</v>
      </c>
      <c r="K278" s="395">
        <f t="shared" si="563"/>
        <v>-10</v>
      </c>
      <c r="L278" s="544">
        <v>11</v>
      </c>
      <c r="M278" s="298">
        <f>SUM(M272:M275)</f>
        <v>1</v>
      </c>
      <c r="N278" s="7">
        <f t="shared" si="550"/>
        <v>-10</v>
      </c>
      <c r="O278" s="258"/>
      <c r="P278" s="303">
        <f>SUM(P272:P275)</f>
        <v>1</v>
      </c>
      <c r="Q278" s="231">
        <f t="shared" si="551"/>
        <v>10</v>
      </c>
      <c r="R278" s="448"/>
      <c r="S278" s="413"/>
      <c r="T278" s="414"/>
      <c r="U278" s="709"/>
      <c r="V278" s="448"/>
      <c r="W278" s="413"/>
      <c r="X278" s="414"/>
      <c r="Y278" s="709"/>
      <c r="Z278" s="129"/>
      <c r="AA278" s="292"/>
      <c r="AB278" s="79"/>
      <c r="AC278" s="619"/>
      <c r="AD278" s="619"/>
      <c r="AE278" s="395">
        <f t="shared" si="564"/>
        <v>-9</v>
      </c>
      <c r="AF278" s="29">
        <f t="shared" si="565"/>
        <v>10</v>
      </c>
      <c r="AG278" s="298">
        <f>SUM(AG272:AG275)</f>
        <v>1</v>
      </c>
      <c r="AH278" s="7">
        <f t="shared" si="552"/>
        <v>-9</v>
      </c>
      <c r="AI278" s="258"/>
      <c r="AJ278" s="303">
        <f>SUM(AJ272:AJ275)</f>
        <v>1</v>
      </c>
      <c r="AK278" s="231">
        <f t="shared" si="553"/>
        <v>9</v>
      </c>
      <c r="AL278" s="129"/>
      <c r="AM278" s="413"/>
      <c r="AN278" s="467"/>
      <c r="AO278" s="762"/>
      <c r="AP278" s="291"/>
      <c r="AQ278" s="413"/>
      <c r="AR278" s="414"/>
      <c r="AS278" s="709"/>
      <c r="AT278" s="129"/>
      <c r="AU278" s="413"/>
      <c r="AV278" s="467"/>
      <c r="AW278" s="768"/>
      <c r="AX278" s="768"/>
      <c r="AY278" s="395">
        <f t="shared" si="566"/>
        <v>-7</v>
      </c>
      <c r="AZ278" s="29">
        <f t="shared" si="567"/>
        <v>9</v>
      </c>
      <c r="BA278" s="298">
        <f>SUM(BA272:BA275)</f>
        <v>2</v>
      </c>
      <c r="BB278" s="7">
        <f t="shared" si="554"/>
        <v>-7</v>
      </c>
      <c r="BC278" s="256"/>
      <c r="BD278" s="303">
        <f>SUM(BD272:BD275)</f>
        <v>3</v>
      </c>
      <c r="BE278" s="231">
        <f t="shared" si="555"/>
        <v>6</v>
      </c>
      <c r="BF278" s="129"/>
      <c r="BG278" s="292"/>
      <c r="BH278" s="79"/>
      <c r="BI278" s="712"/>
      <c r="BJ278" s="129"/>
      <c r="BK278" s="413"/>
      <c r="BL278" s="467"/>
      <c r="BM278" s="762"/>
      <c r="BN278" s="448"/>
      <c r="BO278" s="413"/>
      <c r="BP278" s="79"/>
      <c r="BQ278" s="619"/>
      <c r="BR278" s="619"/>
      <c r="BS278" s="395">
        <f t="shared" si="568"/>
        <v>-6</v>
      </c>
      <c r="BT278" s="29">
        <f t="shared" si="569"/>
        <v>6</v>
      </c>
      <c r="BU278" s="298">
        <f>SUM(BU272:BU275)</f>
        <v>6</v>
      </c>
      <c r="BV278" s="7">
        <f t="shared" si="556"/>
        <v>0</v>
      </c>
      <c r="BW278" s="621">
        <v>5</v>
      </c>
      <c r="BX278" s="303">
        <f>SUM(BX272:BX275)</f>
        <v>2</v>
      </c>
      <c r="BY278" s="231">
        <f t="shared" si="557"/>
        <v>9</v>
      </c>
      <c r="BZ278" s="291"/>
      <c r="CA278" s="413"/>
      <c r="CB278" s="79"/>
      <c r="CC278" s="712"/>
      <c r="CD278" s="291"/>
      <c r="CE278" s="292"/>
      <c r="CF278" s="642" t="s">
        <v>947</v>
      </c>
      <c r="CG278" s="635"/>
      <c r="CH278" s="129"/>
      <c r="CI278" s="292"/>
      <c r="CJ278" s="79"/>
      <c r="CK278" s="619"/>
      <c r="CL278" s="619"/>
      <c r="CM278" s="395">
        <f t="shared" si="570"/>
        <v>-6</v>
      </c>
      <c r="CN278" s="29">
        <f t="shared" si="571"/>
        <v>9</v>
      </c>
      <c r="CO278" s="298">
        <f>SUM(CO272:CO275)</f>
        <v>0</v>
      </c>
      <c r="CP278" s="7">
        <f t="shared" si="558"/>
        <v>-9</v>
      </c>
      <c r="CQ278" s="256"/>
      <c r="CR278" s="303">
        <f>SUM(CR272:CR275)</f>
        <v>0</v>
      </c>
      <c r="CS278" s="231">
        <f t="shared" si="559"/>
        <v>9</v>
      </c>
      <c r="CT278" s="291"/>
      <c r="CU278" s="292"/>
      <c r="CV278" s="293"/>
      <c r="CW278" s="724"/>
      <c r="CX278" s="291"/>
      <c r="CY278" s="292"/>
      <c r="CZ278" s="293"/>
      <c r="DA278" s="724"/>
      <c r="DB278" s="129"/>
      <c r="DC278" s="292"/>
      <c r="DD278" s="79"/>
      <c r="DE278" s="619"/>
      <c r="DF278" s="619"/>
      <c r="DG278" s="395">
        <f t="shared" si="572"/>
        <v>-6</v>
      </c>
      <c r="DH278" s="29">
        <f t="shared" si="573"/>
        <v>9</v>
      </c>
      <c r="DI278" s="298">
        <f>SUM(DI272:DI275)</f>
        <v>0</v>
      </c>
      <c r="DJ278" s="7">
        <f t="shared" si="560"/>
        <v>-9</v>
      </c>
      <c r="DK278" s="256"/>
      <c r="DL278" s="303">
        <f>SUM(DL272:DL275)</f>
        <v>0</v>
      </c>
      <c r="DM278" s="231">
        <f t="shared" si="561"/>
        <v>9</v>
      </c>
    </row>
    <row r="279" spans="1:117" ht="30" x14ac:dyDescent="0.25">
      <c r="A279" s="75"/>
      <c r="B279" s="274" t="s">
        <v>604</v>
      </c>
      <c r="C279" s="75">
        <v>1</v>
      </c>
      <c r="D279" s="476" t="s">
        <v>463</v>
      </c>
      <c r="E279" s="749"/>
      <c r="F279" s="275">
        <v>32.5</v>
      </c>
      <c r="G279" s="76" t="s">
        <v>757</v>
      </c>
      <c r="H279" s="77"/>
      <c r="I279" s="77"/>
      <c r="J279" s="530">
        <f t="shared" si="562"/>
        <v>-1</v>
      </c>
      <c r="K279" s="395">
        <f t="shared" si="563"/>
        <v>-10</v>
      </c>
      <c r="L279" s="544">
        <v>11</v>
      </c>
      <c r="M279" s="298">
        <f>SUM(M272:M275)</f>
        <v>1</v>
      </c>
      <c r="N279" s="7">
        <f t="shared" si="550"/>
        <v>-10</v>
      </c>
      <c r="O279" s="258"/>
      <c r="P279" s="303">
        <f>SUM(P272:P275)</f>
        <v>1</v>
      </c>
      <c r="Q279" s="231">
        <f t="shared" si="551"/>
        <v>10</v>
      </c>
      <c r="R279" s="448"/>
      <c r="S279" s="413"/>
      <c r="T279" s="414"/>
      <c r="U279" s="709"/>
      <c r="V279" s="448"/>
      <c r="W279" s="413"/>
      <c r="X279" s="414"/>
      <c r="Y279" s="709"/>
      <c r="Z279" s="129"/>
      <c r="AA279" s="292"/>
      <c r="AB279" s="79"/>
      <c r="AC279" s="619"/>
      <c r="AD279" s="619"/>
      <c r="AE279" s="395">
        <f t="shared" si="564"/>
        <v>-9</v>
      </c>
      <c r="AF279" s="29">
        <f t="shared" si="565"/>
        <v>10</v>
      </c>
      <c r="AG279" s="298">
        <f>SUM(AG272:AG275)</f>
        <v>1</v>
      </c>
      <c r="AH279" s="7">
        <f t="shared" si="552"/>
        <v>-9</v>
      </c>
      <c r="AI279" s="258"/>
      <c r="AJ279" s="303">
        <f>SUM(AJ272:AJ275)</f>
        <v>1</v>
      </c>
      <c r="AK279" s="231">
        <f t="shared" si="553"/>
        <v>9</v>
      </c>
      <c r="AL279" s="129"/>
      <c r="AM279" s="413"/>
      <c r="AN279" s="467"/>
      <c r="AO279" s="762"/>
      <c r="AP279" s="291"/>
      <c r="AQ279" s="413"/>
      <c r="AR279" s="414"/>
      <c r="AS279" s="709"/>
      <c r="AT279" s="129"/>
      <c r="AU279" s="413"/>
      <c r="AV279" s="467"/>
      <c r="AW279" s="768"/>
      <c r="AX279" s="768"/>
      <c r="AY279" s="395">
        <f t="shared" si="566"/>
        <v>-7</v>
      </c>
      <c r="AZ279" s="29">
        <f t="shared" si="567"/>
        <v>9</v>
      </c>
      <c r="BA279" s="298">
        <f>SUM(BA272:BA275)</f>
        <v>2</v>
      </c>
      <c r="BB279" s="7">
        <f t="shared" si="554"/>
        <v>-7</v>
      </c>
      <c r="BC279" s="256"/>
      <c r="BD279" s="303">
        <f>SUM(BD272:BD275)</f>
        <v>3</v>
      </c>
      <c r="BE279" s="231">
        <f t="shared" si="555"/>
        <v>6</v>
      </c>
      <c r="BF279" s="129"/>
      <c r="BG279" s="292"/>
      <c r="BH279" s="79"/>
      <c r="BI279" s="712"/>
      <c r="BJ279" s="129"/>
      <c r="BK279" s="413"/>
      <c r="BL279" s="467"/>
      <c r="BM279" s="762"/>
      <c r="BN279" s="448"/>
      <c r="BO279" s="413"/>
      <c r="BP279" s="79"/>
      <c r="BQ279" s="619"/>
      <c r="BR279" s="619"/>
      <c r="BS279" s="395">
        <f t="shared" si="568"/>
        <v>-6</v>
      </c>
      <c r="BT279" s="29">
        <f t="shared" si="569"/>
        <v>6</v>
      </c>
      <c r="BU279" s="298">
        <f>SUM(BU272:BU275)</f>
        <v>6</v>
      </c>
      <c r="BV279" s="7">
        <f t="shared" si="556"/>
        <v>0</v>
      </c>
      <c r="BW279" s="240">
        <v>5</v>
      </c>
      <c r="BX279" s="303">
        <f>SUM(BX272:BX275)</f>
        <v>2</v>
      </c>
      <c r="BY279" s="231">
        <f t="shared" si="557"/>
        <v>9</v>
      </c>
      <c r="BZ279" s="291"/>
      <c r="CA279" s="413"/>
      <c r="CB279" s="79"/>
      <c r="CC279" s="712"/>
      <c r="CD279" s="291"/>
      <c r="CE279" s="292"/>
      <c r="CF279" s="293"/>
      <c r="CG279" s="724"/>
      <c r="CH279" s="129"/>
      <c r="CI279" s="292"/>
      <c r="CJ279" s="79"/>
      <c r="CK279" s="619"/>
      <c r="CL279" s="619"/>
      <c r="CM279" s="395">
        <f t="shared" si="570"/>
        <v>-6</v>
      </c>
      <c r="CN279" s="29">
        <f t="shared" si="571"/>
        <v>9</v>
      </c>
      <c r="CO279" s="298">
        <f>SUM(CO272:CO275)</f>
        <v>0</v>
      </c>
      <c r="CP279" s="7">
        <f t="shared" si="558"/>
        <v>-9</v>
      </c>
      <c r="CQ279" s="256"/>
      <c r="CR279" s="303">
        <f>SUM(CR272:CR275)</f>
        <v>0</v>
      </c>
      <c r="CS279" s="231">
        <f t="shared" si="559"/>
        <v>9</v>
      </c>
      <c r="CT279" s="291"/>
      <c r="CU279" s="292"/>
      <c r="CV279" s="293"/>
      <c r="CW279" s="724"/>
      <c r="CX279" s="291"/>
      <c r="CY279" s="292"/>
      <c r="CZ279" s="293"/>
      <c r="DA279" s="724"/>
      <c r="DB279" s="129"/>
      <c r="DC279" s="292"/>
      <c r="DD279" s="79"/>
      <c r="DE279" s="619"/>
      <c r="DF279" s="619"/>
      <c r="DG279" s="395">
        <f t="shared" si="572"/>
        <v>-6</v>
      </c>
      <c r="DH279" s="29">
        <f t="shared" si="573"/>
        <v>9</v>
      </c>
      <c r="DI279" s="298">
        <f>SUM(DI272:DI275)</f>
        <v>0</v>
      </c>
      <c r="DJ279" s="7">
        <f t="shared" si="560"/>
        <v>-9</v>
      </c>
      <c r="DK279" s="256"/>
      <c r="DL279" s="303">
        <f>SUM(DL272:DL275)</f>
        <v>0</v>
      </c>
      <c r="DM279" s="231">
        <f t="shared" si="561"/>
        <v>9</v>
      </c>
    </row>
    <row r="280" spans="1:117" ht="30" x14ac:dyDescent="0.25">
      <c r="A280" s="75"/>
      <c r="B280" s="274" t="s">
        <v>462</v>
      </c>
      <c r="C280" s="75">
        <v>1</v>
      </c>
      <c r="D280" s="476" t="s">
        <v>463</v>
      </c>
      <c r="E280" s="749"/>
      <c r="F280" s="275"/>
      <c r="G280" s="74" t="s">
        <v>198</v>
      </c>
      <c r="H280" s="77"/>
      <c r="I280" s="77"/>
      <c r="J280" s="530">
        <f t="shared" si="562"/>
        <v>-1</v>
      </c>
      <c r="K280" s="395">
        <f t="shared" si="563"/>
        <v>-10</v>
      </c>
      <c r="L280" s="544">
        <v>11</v>
      </c>
      <c r="M280" s="298">
        <f>SUM(M274:M275)</f>
        <v>1</v>
      </c>
      <c r="N280" s="7">
        <f t="shared" ref="N280" si="574">M280-L280</f>
        <v>-10</v>
      </c>
      <c r="O280" s="258"/>
      <c r="P280" s="303">
        <f>SUM(P274:P275)</f>
        <v>1</v>
      </c>
      <c r="Q280" s="231">
        <f t="shared" ref="Q280" si="575">L280+O280-P280</f>
        <v>10</v>
      </c>
      <c r="R280" s="448"/>
      <c r="S280" s="413"/>
      <c r="T280" s="414"/>
      <c r="U280" s="709"/>
      <c r="V280" s="448"/>
      <c r="W280" s="413"/>
      <c r="X280" s="414"/>
      <c r="Y280" s="709"/>
      <c r="Z280" s="129"/>
      <c r="AA280" s="292"/>
      <c r="AB280" s="79"/>
      <c r="AC280" s="619"/>
      <c r="AD280" s="619"/>
      <c r="AE280" s="395">
        <f t="shared" si="564"/>
        <v>-9</v>
      </c>
      <c r="AF280" s="29">
        <f t="shared" si="565"/>
        <v>10</v>
      </c>
      <c r="AG280" s="298">
        <f>SUM(AG274:AG275)</f>
        <v>1</v>
      </c>
      <c r="AH280" s="7">
        <f t="shared" si="552"/>
        <v>-9</v>
      </c>
      <c r="AI280" s="258"/>
      <c r="AJ280" s="303">
        <f>SUM(AJ274:AJ275)</f>
        <v>1</v>
      </c>
      <c r="AK280" s="231">
        <f t="shared" si="553"/>
        <v>9</v>
      </c>
      <c r="AL280" s="129"/>
      <c r="AM280" s="413"/>
      <c r="AN280" s="467"/>
      <c r="AO280" s="762"/>
      <c r="AP280" s="291"/>
      <c r="AQ280" s="413"/>
      <c r="AR280" s="414"/>
      <c r="AS280" s="709"/>
      <c r="AT280" s="129"/>
      <c r="AU280" s="413"/>
      <c r="AV280" s="467"/>
      <c r="AW280" s="768"/>
      <c r="AX280" s="768"/>
      <c r="AY280" s="395">
        <f t="shared" si="566"/>
        <v>-7</v>
      </c>
      <c r="AZ280" s="29">
        <f t="shared" si="567"/>
        <v>9</v>
      </c>
      <c r="BA280" s="298">
        <f>SUM(BA274:BA275)</f>
        <v>2</v>
      </c>
      <c r="BB280" s="7">
        <f t="shared" si="554"/>
        <v>-7</v>
      </c>
      <c r="BC280" s="256"/>
      <c r="BD280" s="303">
        <f>SUM(BD274:BD275)</f>
        <v>3</v>
      </c>
      <c r="BE280" s="231">
        <f t="shared" si="555"/>
        <v>6</v>
      </c>
      <c r="BF280" s="129"/>
      <c r="BG280" s="292"/>
      <c r="BH280" s="79"/>
      <c r="BI280" s="712"/>
      <c r="BJ280" s="129"/>
      <c r="BK280" s="413"/>
      <c r="BL280" s="467"/>
      <c r="BM280" s="762"/>
      <c r="BN280" s="448"/>
      <c r="BO280" s="413"/>
      <c r="BP280" s="79"/>
      <c r="BQ280" s="619"/>
      <c r="BR280" s="619"/>
      <c r="BS280" s="395">
        <f t="shared" si="568"/>
        <v>-6</v>
      </c>
      <c r="BT280" s="29">
        <f t="shared" si="569"/>
        <v>6</v>
      </c>
      <c r="BU280" s="298">
        <f>SUM(BU274:BU275)</f>
        <v>6</v>
      </c>
      <c r="BV280" s="7">
        <f t="shared" si="556"/>
        <v>0</v>
      </c>
      <c r="BW280" s="621">
        <v>5</v>
      </c>
      <c r="BX280" s="303">
        <f>SUM(BX274:BX275)</f>
        <v>2</v>
      </c>
      <c r="BY280" s="231">
        <f t="shared" si="557"/>
        <v>9</v>
      </c>
      <c r="BZ280" s="291"/>
      <c r="CA280" s="413"/>
      <c r="CB280" s="79"/>
      <c r="CC280" s="712"/>
      <c r="CD280" s="291"/>
      <c r="CE280" s="292"/>
      <c r="CF280" s="642" t="s">
        <v>947</v>
      </c>
      <c r="CG280" s="635"/>
      <c r="CH280" s="129"/>
      <c r="CI280" s="292"/>
      <c r="CJ280" s="79"/>
      <c r="CK280" s="619"/>
      <c r="CL280" s="619"/>
      <c r="CM280" s="395">
        <f t="shared" si="570"/>
        <v>-6</v>
      </c>
      <c r="CN280" s="29">
        <f t="shared" si="571"/>
        <v>9</v>
      </c>
      <c r="CO280" s="298">
        <f>SUM(CO274:CO275)</f>
        <v>0</v>
      </c>
      <c r="CP280" s="7">
        <f t="shared" si="558"/>
        <v>-9</v>
      </c>
      <c r="CQ280" s="256"/>
      <c r="CR280" s="303">
        <f>SUM(CR274:CR275)</f>
        <v>0</v>
      </c>
      <c r="CS280" s="231">
        <f t="shared" si="559"/>
        <v>9</v>
      </c>
      <c r="CT280" s="291"/>
      <c r="CU280" s="292"/>
      <c r="CV280" s="293"/>
      <c r="CW280" s="724"/>
      <c r="CX280" s="291"/>
      <c r="CY280" s="292"/>
      <c r="CZ280" s="293"/>
      <c r="DA280" s="724"/>
      <c r="DB280" s="129"/>
      <c r="DC280" s="292"/>
      <c r="DD280" s="79"/>
      <c r="DE280" s="619"/>
      <c r="DF280" s="619"/>
      <c r="DG280" s="395">
        <f t="shared" si="572"/>
        <v>-6</v>
      </c>
      <c r="DH280" s="29">
        <f t="shared" si="573"/>
        <v>9</v>
      </c>
      <c r="DI280" s="298">
        <f>SUM(DI274:DI275)</f>
        <v>0</v>
      </c>
      <c r="DJ280" s="7">
        <f t="shared" si="560"/>
        <v>-9</v>
      </c>
      <c r="DK280" s="256"/>
      <c r="DL280" s="303">
        <f>SUM(DL274:DL275)</f>
        <v>0</v>
      </c>
      <c r="DM280" s="231">
        <f t="shared" si="561"/>
        <v>9</v>
      </c>
    </row>
    <row r="281" spans="1:117" ht="30" x14ac:dyDescent="0.25">
      <c r="A281" s="75"/>
      <c r="B281" s="274" t="s">
        <v>465</v>
      </c>
      <c r="C281" s="75">
        <v>1</v>
      </c>
      <c r="D281" s="476" t="s">
        <v>463</v>
      </c>
      <c r="E281" s="749"/>
      <c r="F281" s="275"/>
      <c r="G281" s="74" t="s">
        <v>198</v>
      </c>
      <c r="H281" s="77"/>
      <c r="I281" s="77"/>
      <c r="J281" s="530">
        <f t="shared" si="562"/>
        <v>-5</v>
      </c>
      <c r="K281" s="395">
        <f t="shared" si="563"/>
        <v>-14</v>
      </c>
      <c r="L281" s="544">
        <v>15</v>
      </c>
      <c r="M281" s="298">
        <f>SUM(M274:M275)</f>
        <v>1</v>
      </c>
      <c r="N281" s="7">
        <f t="shared" ref="N281" si="576">M281-L281</f>
        <v>-14</v>
      </c>
      <c r="O281" s="256"/>
      <c r="P281" s="303">
        <f>SUM(P274:P275)</f>
        <v>1</v>
      </c>
      <c r="Q281" s="231">
        <f t="shared" ref="Q281" si="577">L281+O281-P281</f>
        <v>14</v>
      </c>
      <c r="R281" s="448"/>
      <c r="S281" s="413"/>
      <c r="T281" s="414"/>
      <c r="U281" s="709"/>
      <c r="V281" s="448"/>
      <c r="W281" s="413"/>
      <c r="X281" s="414"/>
      <c r="Y281" s="709"/>
      <c r="Z281" s="129"/>
      <c r="AA281" s="292"/>
      <c r="AB281" s="79"/>
      <c r="AC281" s="619"/>
      <c r="AD281" s="619"/>
      <c r="AE281" s="395">
        <f t="shared" si="564"/>
        <v>-13</v>
      </c>
      <c r="AF281" s="29">
        <f t="shared" si="565"/>
        <v>14</v>
      </c>
      <c r="AG281" s="298">
        <f>SUM(AG274:AG275)</f>
        <v>1</v>
      </c>
      <c r="AH281" s="7">
        <f t="shared" si="552"/>
        <v>-13</v>
      </c>
      <c r="AI281" s="256"/>
      <c r="AJ281" s="303">
        <f>SUM(AJ274:AJ275)</f>
        <v>1</v>
      </c>
      <c r="AK281" s="231">
        <f t="shared" si="553"/>
        <v>13</v>
      </c>
      <c r="AL281" s="129"/>
      <c r="AM281" s="413"/>
      <c r="AN281" s="467"/>
      <c r="AO281" s="762"/>
      <c r="AP281" s="291"/>
      <c r="AQ281" s="413"/>
      <c r="AR281" s="414"/>
      <c r="AS281" s="709"/>
      <c r="AT281" s="129"/>
      <c r="AU281" s="413"/>
      <c r="AV281" s="467"/>
      <c r="AW281" s="768"/>
      <c r="AX281" s="768"/>
      <c r="AY281" s="395">
        <f t="shared" si="566"/>
        <v>-11</v>
      </c>
      <c r="AZ281" s="29">
        <f t="shared" si="567"/>
        <v>13</v>
      </c>
      <c r="BA281" s="298">
        <f>SUM(BA274:BA275)</f>
        <v>2</v>
      </c>
      <c r="BB281" s="7">
        <f t="shared" si="554"/>
        <v>-11</v>
      </c>
      <c r="BC281" s="256"/>
      <c r="BD281" s="303">
        <f>SUM(BD274:BD275)</f>
        <v>3</v>
      </c>
      <c r="BE281" s="231">
        <f t="shared" si="555"/>
        <v>10</v>
      </c>
      <c r="BF281" s="129"/>
      <c r="BG281" s="292"/>
      <c r="BH281" s="79"/>
      <c r="BI281" s="712"/>
      <c r="BJ281" s="129"/>
      <c r="BK281" s="413"/>
      <c r="BL281" s="467"/>
      <c r="BM281" s="762"/>
      <c r="BN281" s="448"/>
      <c r="BO281" s="413"/>
      <c r="BP281" s="79"/>
      <c r="BQ281" s="619"/>
      <c r="BR281" s="619"/>
      <c r="BS281" s="395">
        <f t="shared" si="568"/>
        <v>-10</v>
      </c>
      <c r="BT281" s="29">
        <f t="shared" si="569"/>
        <v>10</v>
      </c>
      <c r="BU281" s="298">
        <f>SUM(BU274:BU275)</f>
        <v>6</v>
      </c>
      <c r="BV281" s="7">
        <f t="shared" si="556"/>
        <v>-4</v>
      </c>
      <c r="BW281" s="621">
        <v>5</v>
      </c>
      <c r="BX281" s="303">
        <f>SUM(BX274:BX275)</f>
        <v>2</v>
      </c>
      <c r="BY281" s="231">
        <f t="shared" si="557"/>
        <v>13</v>
      </c>
      <c r="BZ281" s="291"/>
      <c r="CA281" s="413"/>
      <c r="CB281" s="79"/>
      <c r="CC281" s="712"/>
      <c r="CD281" s="291"/>
      <c r="CE281" s="292"/>
      <c r="CF281" s="642" t="s">
        <v>947</v>
      </c>
      <c r="CG281" s="635"/>
      <c r="CH281" s="129"/>
      <c r="CI281" s="292"/>
      <c r="CJ281" s="79"/>
      <c r="CK281" s="619"/>
      <c r="CL281" s="619"/>
      <c r="CM281" s="395">
        <f t="shared" si="570"/>
        <v>-10</v>
      </c>
      <c r="CN281" s="29">
        <f t="shared" si="571"/>
        <v>13</v>
      </c>
      <c r="CO281" s="298">
        <f>SUM(CO274:CO275)</f>
        <v>0</v>
      </c>
      <c r="CP281" s="7">
        <f t="shared" si="558"/>
        <v>-13</v>
      </c>
      <c r="CQ281" s="256"/>
      <c r="CR281" s="303">
        <f>SUM(CR274:CR275)</f>
        <v>0</v>
      </c>
      <c r="CS281" s="231">
        <f t="shared" si="559"/>
        <v>13</v>
      </c>
      <c r="CT281" s="291"/>
      <c r="CU281" s="292"/>
      <c r="CV281" s="293"/>
      <c r="CW281" s="724"/>
      <c r="CX281" s="291"/>
      <c r="CY281" s="292"/>
      <c r="CZ281" s="293"/>
      <c r="DA281" s="724"/>
      <c r="DB281" s="129"/>
      <c r="DC281" s="292"/>
      <c r="DD281" s="79"/>
      <c r="DE281" s="619"/>
      <c r="DF281" s="619"/>
      <c r="DG281" s="395">
        <f t="shared" si="572"/>
        <v>-10</v>
      </c>
      <c r="DH281" s="29">
        <f t="shared" si="573"/>
        <v>13</v>
      </c>
      <c r="DI281" s="298">
        <f>SUM(DI274:DI275)</f>
        <v>0</v>
      </c>
      <c r="DJ281" s="7">
        <f t="shared" si="560"/>
        <v>-13</v>
      </c>
      <c r="DK281" s="256"/>
      <c r="DL281" s="303">
        <f>SUM(DL274:DL275)</f>
        <v>0</v>
      </c>
      <c r="DM281" s="231">
        <f t="shared" si="561"/>
        <v>13</v>
      </c>
    </row>
    <row r="282" spans="1:117" x14ac:dyDescent="0.25">
      <c r="A282" s="75"/>
      <c r="B282" s="74" t="s">
        <v>466</v>
      </c>
      <c r="C282" s="75">
        <v>1</v>
      </c>
      <c r="D282" s="476" t="s">
        <v>463</v>
      </c>
      <c r="E282" s="749"/>
      <c r="F282" s="275"/>
      <c r="G282" s="74" t="s">
        <v>198</v>
      </c>
      <c r="H282" s="77"/>
      <c r="I282" s="77"/>
      <c r="J282" s="530">
        <f t="shared" si="562"/>
        <v>-46</v>
      </c>
      <c r="K282" s="395">
        <f t="shared" si="563"/>
        <v>-55</v>
      </c>
      <c r="L282" s="544">
        <v>56</v>
      </c>
      <c r="M282" s="298">
        <f>SUM(M274:M275)</f>
        <v>1</v>
      </c>
      <c r="N282" s="7">
        <f t="shared" ref="N282" si="578">M282-L282</f>
        <v>-55</v>
      </c>
      <c r="O282" s="256"/>
      <c r="P282" s="303">
        <f>SUM(P274:P275)</f>
        <v>1</v>
      </c>
      <c r="Q282" s="231">
        <f t="shared" ref="Q282" si="579">L282+O282-P282</f>
        <v>55</v>
      </c>
      <c r="R282" s="448"/>
      <c r="S282" s="413"/>
      <c r="T282" s="414"/>
      <c r="U282" s="709"/>
      <c r="V282" s="448"/>
      <c r="W282" s="413"/>
      <c r="X282" s="414"/>
      <c r="Y282" s="709"/>
      <c r="Z282" s="129"/>
      <c r="AA282" s="292"/>
      <c r="AB282" s="79"/>
      <c r="AC282" s="619"/>
      <c r="AD282" s="619"/>
      <c r="AE282" s="395">
        <f t="shared" si="564"/>
        <v>-54</v>
      </c>
      <c r="AF282" s="29">
        <f t="shared" si="565"/>
        <v>55</v>
      </c>
      <c r="AG282" s="298">
        <f>SUM(AG274:AG275)</f>
        <v>1</v>
      </c>
      <c r="AH282" s="7">
        <f t="shared" si="552"/>
        <v>-54</v>
      </c>
      <c r="AI282" s="256"/>
      <c r="AJ282" s="303">
        <f>SUM(AJ274:AJ275)</f>
        <v>1</v>
      </c>
      <c r="AK282" s="231">
        <f t="shared" si="553"/>
        <v>54</v>
      </c>
      <c r="AL282" s="129"/>
      <c r="AM282" s="413"/>
      <c r="AN282" s="467"/>
      <c r="AO282" s="762"/>
      <c r="AP282" s="291"/>
      <c r="AQ282" s="413"/>
      <c r="AR282" s="414"/>
      <c r="AS282" s="709"/>
      <c r="AT282" s="129"/>
      <c r="AU282" s="413"/>
      <c r="AV282" s="467"/>
      <c r="AW282" s="768"/>
      <c r="AX282" s="768"/>
      <c r="AY282" s="395">
        <f t="shared" si="566"/>
        <v>-52</v>
      </c>
      <c r="AZ282" s="29">
        <f t="shared" si="567"/>
        <v>54</v>
      </c>
      <c r="BA282" s="298">
        <f>SUM(BA274:BA275)</f>
        <v>2</v>
      </c>
      <c r="BB282" s="7">
        <f t="shared" si="554"/>
        <v>-52</v>
      </c>
      <c r="BC282" s="256"/>
      <c r="BD282" s="303">
        <f>SUM(BD274:BD275)</f>
        <v>3</v>
      </c>
      <c r="BE282" s="231">
        <f t="shared" si="555"/>
        <v>51</v>
      </c>
      <c r="BF282" s="129"/>
      <c r="BG282" s="292"/>
      <c r="BH282" s="79"/>
      <c r="BI282" s="712"/>
      <c r="BJ282" s="129"/>
      <c r="BK282" s="413"/>
      <c r="BL282" s="467"/>
      <c r="BM282" s="762"/>
      <c r="BN282" s="448"/>
      <c r="BO282" s="413"/>
      <c r="BP282" s="79"/>
      <c r="BQ282" s="619"/>
      <c r="BR282" s="619"/>
      <c r="BS282" s="395">
        <f t="shared" si="568"/>
        <v>-51</v>
      </c>
      <c r="BT282" s="29">
        <f t="shared" si="569"/>
        <v>51</v>
      </c>
      <c r="BU282" s="298">
        <f>SUM(BU274:BU275)</f>
        <v>6</v>
      </c>
      <c r="BV282" s="7">
        <f t="shared" si="556"/>
        <v>-45</v>
      </c>
      <c r="BW282" s="621">
        <v>5</v>
      </c>
      <c r="BX282" s="303">
        <f>SUM(BX274:BX275)</f>
        <v>2</v>
      </c>
      <c r="BY282" s="231">
        <f t="shared" si="557"/>
        <v>54</v>
      </c>
      <c r="BZ282" s="291"/>
      <c r="CA282" s="413"/>
      <c r="CB282" s="79"/>
      <c r="CC282" s="712"/>
      <c r="CD282" s="291"/>
      <c r="CE282" s="292"/>
      <c r="CF282" s="642" t="s">
        <v>947</v>
      </c>
      <c r="CG282" s="635"/>
      <c r="CH282" s="129"/>
      <c r="CI282" s="292"/>
      <c r="CJ282" s="79"/>
      <c r="CK282" s="619"/>
      <c r="CL282" s="619"/>
      <c r="CM282" s="395">
        <f t="shared" si="570"/>
        <v>-51</v>
      </c>
      <c r="CN282" s="29">
        <f t="shared" si="571"/>
        <v>54</v>
      </c>
      <c r="CO282" s="298">
        <f>SUM(CO274:CO275)</f>
        <v>0</v>
      </c>
      <c r="CP282" s="7">
        <f t="shared" si="558"/>
        <v>-54</v>
      </c>
      <c r="CQ282" s="256"/>
      <c r="CR282" s="303">
        <f>SUM(CR274:CR275)</f>
        <v>0</v>
      </c>
      <c r="CS282" s="231">
        <f t="shared" si="559"/>
        <v>54</v>
      </c>
      <c r="CT282" s="291"/>
      <c r="CU282" s="292"/>
      <c r="CV282" s="293"/>
      <c r="CW282" s="724"/>
      <c r="CX282" s="291"/>
      <c r="CY282" s="292"/>
      <c r="CZ282" s="293"/>
      <c r="DA282" s="724"/>
      <c r="DB282" s="129"/>
      <c r="DC282" s="292"/>
      <c r="DD282" s="79"/>
      <c r="DE282" s="619"/>
      <c r="DF282" s="619"/>
      <c r="DG282" s="395">
        <f t="shared" si="572"/>
        <v>-51</v>
      </c>
      <c r="DH282" s="29">
        <f t="shared" si="573"/>
        <v>54</v>
      </c>
      <c r="DI282" s="298">
        <f>SUM(DI274:DI275)</f>
        <v>0</v>
      </c>
      <c r="DJ282" s="7">
        <f t="shared" si="560"/>
        <v>-54</v>
      </c>
      <c r="DK282" s="256"/>
      <c r="DL282" s="303">
        <f>SUM(DL274:DL275)</f>
        <v>0</v>
      </c>
      <c r="DM282" s="231">
        <f t="shared" si="561"/>
        <v>54</v>
      </c>
    </row>
    <row r="283" spans="1:117" ht="30" x14ac:dyDescent="0.25">
      <c r="A283" s="75"/>
      <c r="B283" s="74" t="s">
        <v>467</v>
      </c>
      <c r="C283" s="75">
        <v>1</v>
      </c>
      <c r="D283" s="15" t="s">
        <v>468</v>
      </c>
      <c r="E283" s="274"/>
      <c r="F283" s="275"/>
      <c r="G283" s="74" t="s">
        <v>198</v>
      </c>
      <c r="H283" s="77"/>
      <c r="I283" s="77"/>
      <c r="J283" s="530">
        <f t="shared" si="562"/>
        <v>-26</v>
      </c>
      <c r="K283" s="395">
        <f t="shared" si="563"/>
        <v>-35</v>
      </c>
      <c r="L283" s="544">
        <v>36</v>
      </c>
      <c r="M283" s="298">
        <f>SUM(M273:M275)</f>
        <v>1</v>
      </c>
      <c r="N283" s="7">
        <f t="shared" ref="N283" si="580">M283-L283</f>
        <v>-35</v>
      </c>
      <c r="O283" s="256"/>
      <c r="P283" s="303">
        <f>SUM(P273:P275)</f>
        <v>1</v>
      </c>
      <c r="Q283" s="231">
        <f t="shared" ref="Q283" si="581">L283+O283-P283</f>
        <v>35</v>
      </c>
      <c r="R283" s="448"/>
      <c r="S283" s="413"/>
      <c r="T283" s="414"/>
      <c r="U283" s="709"/>
      <c r="V283" s="448"/>
      <c r="W283" s="413"/>
      <c r="X283" s="414"/>
      <c r="Y283" s="709"/>
      <c r="Z283" s="129"/>
      <c r="AA283" s="292"/>
      <c r="AB283" s="79"/>
      <c r="AC283" s="619"/>
      <c r="AD283" s="619"/>
      <c r="AE283" s="395">
        <f t="shared" si="564"/>
        <v>-34</v>
      </c>
      <c r="AF283" s="29">
        <f t="shared" si="565"/>
        <v>35</v>
      </c>
      <c r="AG283" s="298">
        <f>SUM(AG273:AG275)</f>
        <v>1</v>
      </c>
      <c r="AH283" s="7">
        <f t="shared" si="552"/>
        <v>-34</v>
      </c>
      <c r="AI283" s="256"/>
      <c r="AJ283" s="303">
        <f>SUM(AJ273:AJ275)</f>
        <v>1</v>
      </c>
      <c r="AK283" s="231">
        <f t="shared" si="553"/>
        <v>34</v>
      </c>
      <c r="AL283" s="129"/>
      <c r="AM283" s="413"/>
      <c r="AN283" s="467"/>
      <c r="AO283" s="762"/>
      <c r="AP283" s="291"/>
      <c r="AQ283" s="413"/>
      <c r="AR283" s="414"/>
      <c r="AS283" s="709"/>
      <c r="AT283" s="129"/>
      <c r="AU283" s="413"/>
      <c r="AV283" s="467"/>
      <c r="AW283" s="768"/>
      <c r="AX283" s="768"/>
      <c r="AY283" s="395">
        <f t="shared" si="566"/>
        <v>-32</v>
      </c>
      <c r="AZ283" s="29">
        <f t="shared" si="567"/>
        <v>34</v>
      </c>
      <c r="BA283" s="298">
        <f>SUM(BA273:BA275)</f>
        <v>2</v>
      </c>
      <c r="BB283" s="7">
        <f t="shared" si="554"/>
        <v>-32</v>
      </c>
      <c r="BC283" s="256"/>
      <c r="BD283" s="303">
        <f>SUM(BD273:BD275)</f>
        <v>3</v>
      </c>
      <c r="BE283" s="231">
        <f t="shared" si="555"/>
        <v>31</v>
      </c>
      <c r="BF283" s="129"/>
      <c r="BG283" s="292"/>
      <c r="BH283" s="79"/>
      <c r="BI283" s="712"/>
      <c r="BJ283" s="129"/>
      <c r="BK283" s="413"/>
      <c r="BL283" s="467"/>
      <c r="BM283" s="762"/>
      <c r="BN283" s="448"/>
      <c r="BO283" s="413"/>
      <c r="BP283" s="79"/>
      <c r="BQ283" s="619"/>
      <c r="BR283" s="619"/>
      <c r="BS283" s="395">
        <f t="shared" si="568"/>
        <v>-31</v>
      </c>
      <c r="BT283" s="29">
        <f t="shared" si="569"/>
        <v>31</v>
      </c>
      <c r="BU283" s="298">
        <f>SUM(BU273:BU275)</f>
        <v>6</v>
      </c>
      <c r="BV283" s="7">
        <f t="shared" si="556"/>
        <v>-25</v>
      </c>
      <c r="BW283" s="621">
        <v>5</v>
      </c>
      <c r="BX283" s="303">
        <f>SUM(BX273:BX275)</f>
        <v>2</v>
      </c>
      <c r="BY283" s="231">
        <f t="shared" si="557"/>
        <v>34</v>
      </c>
      <c r="BZ283" s="291"/>
      <c r="CA283" s="413"/>
      <c r="CB283" s="79"/>
      <c r="CC283" s="712"/>
      <c r="CD283" s="291"/>
      <c r="CE283" s="292"/>
      <c r="CF283" s="642" t="s">
        <v>947</v>
      </c>
      <c r="CG283" s="635"/>
      <c r="CH283" s="129"/>
      <c r="CI283" s="292"/>
      <c r="CJ283" s="79"/>
      <c r="CK283" s="619"/>
      <c r="CL283" s="619"/>
      <c r="CM283" s="395">
        <f t="shared" si="570"/>
        <v>-31</v>
      </c>
      <c r="CN283" s="29">
        <f t="shared" si="571"/>
        <v>34</v>
      </c>
      <c r="CO283" s="298">
        <f>SUM(CO273:CO275)</f>
        <v>0</v>
      </c>
      <c r="CP283" s="7">
        <f t="shared" si="558"/>
        <v>-34</v>
      </c>
      <c r="CQ283" s="256"/>
      <c r="CR283" s="303">
        <f>SUM(CR273:CR275)</f>
        <v>0</v>
      </c>
      <c r="CS283" s="231">
        <f t="shared" si="559"/>
        <v>34</v>
      </c>
      <c r="CT283" s="291"/>
      <c r="CU283" s="292"/>
      <c r="CV283" s="293"/>
      <c r="CW283" s="724"/>
      <c r="CX283" s="291"/>
      <c r="CY283" s="292"/>
      <c r="CZ283" s="293"/>
      <c r="DA283" s="724"/>
      <c r="DB283" s="129"/>
      <c r="DC283" s="292"/>
      <c r="DD283" s="79"/>
      <c r="DE283" s="619"/>
      <c r="DF283" s="619"/>
      <c r="DG283" s="395">
        <f t="shared" si="572"/>
        <v>-31</v>
      </c>
      <c r="DH283" s="29">
        <f t="shared" si="573"/>
        <v>34</v>
      </c>
      <c r="DI283" s="298">
        <f>SUM(DI273:DI275)</f>
        <v>0</v>
      </c>
      <c r="DJ283" s="7">
        <f t="shared" si="560"/>
        <v>-34</v>
      </c>
      <c r="DK283" s="256"/>
      <c r="DL283" s="303">
        <f>SUM(DL273:DL275)</f>
        <v>0</v>
      </c>
      <c r="DM283" s="231">
        <f t="shared" si="561"/>
        <v>34</v>
      </c>
    </row>
    <row r="284" spans="1:117" ht="30" x14ac:dyDescent="0.25">
      <c r="A284" s="75"/>
      <c r="B284" s="274" t="s">
        <v>469</v>
      </c>
      <c r="C284" s="75">
        <v>1</v>
      </c>
      <c r="D284" s="15" t="s">
        <v>468</v>
      </c>
      <c r="E284" s="274"/>
      <c r="F284" s="275"/>
      <c r="G284" s="74" t="s">
        <v>198</v>
      </c>
      <c r="H284" s="77"/>
      <c r="I284" s="77"/>
      <c r="J284" s="530">
        <f t="shared" si="562"/>
        <v>1</v>
      </c>
      <c r="K284" s="395">
        <f t="shared" si="563"/>
        <v>-8</v>
      </c>
      <c r="L284" s="544">
        <v>9</v>
      </c>
      <c r="M284" s="298">
        <f>SUM(M273,M275)</f>
        <v>1</v>
      </c>
      <c r="N284" s="7">
        <f t="shared" ref="N284" si="582">M284-L284</f>
        <v>-8</v>
      </c>
      <c r="O284" s="258"/>
      <c r="P284" s="303">
        <f>SUM(P273,P275)</f>
        <v>1</v>
      </c>
      <c r="Q284" s="231">
        <f t="shared" ref="Q284" si="583">L284+O284-P284</f>
        <v>8</v>
      </c>
      <c r="R284" s="448"/>
      <c r="S284" s="413"/>
      <c r="T284" s="414"/>
      <c r="U284" s="709"/>
      <c r="V284" s="448"/>
      <c r="W284" s="413"/>
      <c r="X284" s="414"/>
      <c r="Y284" s="709"/>
      <c r="Z284" s="129"/>
      <c r="AA284" s="292"/>
      <c r="AB284" s="79"/>
      <c r="AC284" s="619"/>
      <c r="AD284" s="619"/>
      <c r="AE284" s="395">
        <f t="shared" si="564"/>
        <v>-7</v>
      </c>
      <c r="AF284" s="29">
        <f t="shared" si="565"/>
        <v>8</v>
      </c>
      <c r="AG284" s="298">
        <f>SUM(AG273,AG275)</f>
        <v>1</v>
      </c>
      <c r="AH284" s="7">
        <f t="shared" si="552"/>
        <v>-7</v>
      </c>
      <c r="AI284" s="258"/>
      <c r="AJ284" s="303">
        <f>SUM(AJ273,AJ275)</f>
        <v>1</v>
      </c>
      <c r="AK284" s="231">
        <f t="shared" si="553"/>
        <v>7</v>
      </c>
      <c r="AL284" s="129"/>
      <c r="AM284" s="413"/>
      <c r="AN284" s="467"/>
      <c r="AO284" s="762"/>
      <c r="AP284" s="291"/>
      <c r="AQ284" s="413"/>
      <c r="AR284" s="414"/>
      <c r="AS284" s="709"/>
      <c r="AT284" s="129"/>
      <c r="AU284" s="413"/>
      <c r="AV284" s="467"/>
      <c r="AW284" s="768"/>
      <c r="AX284" s="768"/>
      <c r="AY284" s="395">
        <f t="shared" si="566"/>
        <v>-5</v>
      </c>
      <c r="AZ284" s="29">
        <f t="shared" si="567"/>
        <v>7</v>
      </c>
      <c r="BA284" s="298">
        <f>SUM(BA273,BA275)</f>
        <v>2</v>
      </c>
      <c r="BB284" s="7">
        <f t="shared" si="554"/>
        <v>-5</v>
      </c>
      <c r="BC284" s="256"/>
      <c r="BD284" s="303">
        <f>SUM(BD273,BD275)</f>
        <v>3</v>
      </c>
      <c r="BE284" s="231">
        <f t="shared" si="555"/>
        <v>4</v>
      </c>
      <c r="BF284" s="129"/>
      <c r="BG284" s="292"/>
      <c r="BH284" s="79"/>
      <c r="BI284" s="712"/>
      <c r="BJ284" s="129"/>
      <c r="BK284" s="413"/>
      <c r="BL284" s="467"/>
      <c r="BM284" s="762"/>
      <c r="BN284" s="448"/>
      <c r="BO284" s="413"/>
      <c r="BP284" s="79"/>
      <c r="BQ284" s="619"/>
      <c r="BR284" s="619"/>
      <c r="BS284" s="395">
        <f t="shared" si="568"/>
        <v>-4</v>
      </c>
      <c r="BT284" s="29">
        <f t="shared" si="569"/>
        <v>4</v>
      </c>
      <c r="BU284" s="298">
        <f>SUM(BU273,BU275)</f>
        <v>6</v>
      </c>
      <c r="BV284" s="7">
        <f t="shared" si="556"/>
        <v>2</v>
      </c>
      <c r="BW284" s="621">
        <v>5</v>
      </c>
      <c r="BX284" s="303">
        <f>SUM(BX273,BX275)</f>
        <v>2</v>
      </c>
      <c r="BY284" s="231">
        <f t="shared" si="557"/>
        <v>7</v>
      </c>
      <c r="BZ284" s="291"/>
      <c r="CA284" s="413"/>
      <c r="CB284" s="79"/>
      <c r="CC284" s="712"/>
      <c r="CD284" s="291"/>
      <c r="CE284" s="292"/>
      <c r="CF284" s="642" t="s">
        <v>947</v>
      </c>
      <c r="CG284" s="635"/>
      <c r="CH284" s="129"/>
      <c r="CI284" s="292"/>
      <c r="CJ284" s="79"/>
      <c r="CK284" s="619"/>
      <c r="CL284" s="619"/>
      <c r="CM284" s="395">
        <f t="shared" si="570"/>
        <v>-4</v>
      </c>
      <c r="CN284" s="29">
        <f t="shared" si="571"/>
        <v>7</v>
      </c>
      <c r="CO284" s="298">
        <f>SUM(CO273,CO275)</f>
        <v>0</v>
      </c>
      <c r="CP284" s="7">
        <f t="shared" si="558"/>
        <v>-7</v>
      </c>
      <c r="CQ284" s="256"/>
      <c r="CR284" s="303">
        <f>SUM(CR273,CR275)</f>
        <v>0</v>
      </c>
      <c r="CS284" s="231">
        <f t="shared" si="559"/>
        <v>7</v>
      </c>
      <c r="CT284" s="291"/>
      <c r="CU284" s="292"/>
      <c r="CV284" s="293"/>
      <c r="CW284" s="724"/>
      <c r="CX284" s="291"/>
      <c r="CY284" s="292"/>
      <c r="CZ284" s="293"/>
      <c r="DA284" s="724"/>
      <c r="DB284" s="129"/>
      <c r="DC284" s="292"/>
      <c r="DD284" s="79"/>
      <c r="DE284" s="619"/>
      <c r="DF284" s="619"/>
      <c r="DG284" s="395">
        <f t="shared" si="572"/>
        <v>-4</v>
      </c>
      <c r="DH284" s="29">
        <f t="shared" si="573"/>
        <v>7</v>
      </c>
      <c r="DI284" s="298">
        <f>SUM(DI273,DI275)</f>
        <v>0</v>
      </c>
      <c r="DJ284" s="7">
        <f t="shared" si="560"/>
        <v>-7</v>
      </c>
      <c r="DK284" s="256"/>
      <c r="DL284" s="303">
        <f>SUM(DL273,DL275)</f>
        <v>0</v>
      </c>
      <c r="DM284" s="231">
        <f t="shared" si="561"/>
        <v>7</v>
      </c>
    </row>
    <row r="285" spans="1:117" ht="45" x14ac:dyDescent="0.25">
      <c r="A285" s="75"/>
      <c r="B285" s="74" t="s">
        <v>220</v>
      </c>
      <c r="C285" s="75">
        <v>1</v>
      </c>
      <c r="D285" s="15" t="s">
        <v>362</v>
      </c>
      <c r="E285" s="274"/>
      <c r="F285" s="275"/>
      <c r="G285" s="74" t="s">
        <v>198</v>
      </c>
      <c r="H285" s="77"/>
      <c r="I285" s="77"/>
      <c r="J285" s="530">
        <f t="shared" si="562"/>
        <v>1</v>
      </c>
      <c r="K285" s="395">
        <f t="shared" si="563"/>
        <v>-8</v>
      </c>
      <c r="L285" s="544">
        <v>9</v>
      </c>
      <c r="M285" s="299">
        <f>SUM(M272,M273,M275)</f>
        <v>1</v>
      </c>
      <c r="N285" s="7">
        <f t="shared" si="550"/>
        <v>-8</v>
      </c>
      <c r="O285" s="258"/>
      <c r="P285" s="303">
        <f>SUM(P272,P273,P275)</f>
        <v>1</v>
      </c>
      <c r="Q285" s="231">
        <f t="shared" si="551"/>
        <v>8</v>
      </c>
      <c r="R285" s="291"/>
      <c r="S285" s="292"/>
      <c r="T285" s="293"/>
      <c r="U285" s="724"/>
      <c r="V285" s="291"/>
      <c r="W285" s="292"/>
      <c r="X285" s="293"/>
      <c r="Y285" s="724"/>
      <c r="Z285" s="129"/>
      <c r="AA285" s="292"/>
      <c r="AB285" s="79"/>
      <c r="AC285" s="619"/>
      <c r="AD285" s="619"/>
      <c r="AE285" s="395">
        <f t="shared" si="564"/>
        <v>-7</v>
      </c>
      <c r="AF285" s="29">
        <f t="shared" si="565"/>
        <v>8</v>
      </c>
      <c r="AG285" s="299">
        <f>SUM(AG272,AG273,AG275)</f>
        <v>1</v>
      </c>
      <c r="AH285" s="7">
        <f t="shared" si="552"/>
        <v>-7</v>
      </c>
      <c r="AI285" s="258"/>
      <c r="AJ285" s="303">
        <f>SUM(AJ272,AJ273,AJ275)</f>
        <v>1</v>
      </c>
      <c r="AK285" s="231">
        <f t="shared" si="553"/>
        <v>7</v>
      </c>
      <c r="AL285" s="291"/>
      <c r="AM285" s="292"/>
      <c r="AN285" s="293"/>
      <c r="AO285" s="724"/>
      <c r="AP285" s="291"/>
      <c r="AQ285" s="292"/>
      <c r="AR285" s="293"/>
      <c r="AS285" s="724"/>
      <c r="AT285" s="129"/>
      <c r="AU285" s="292"/>
      <c r="AV285" s="79"/>
      <c r="AW285" s="619"/>
      <c r="AX285" s="619"/>
      <c r="AY285" s="395">
        <f t="shared" si="566"/>
        <v>-5</v>
      </c>
      <c r="AZ285" s="29">
        <f t="shared" si="567"/>
        <v>7</v>
      </c>
      <c r="BA285" s="299">
        <f>SUM(BA272,BA273,BA275)</f>
        <v>2</v>
      </c>
      <c r="BB285" s="7">
        <f t="shared" si="554"/>
        <v>-5</v>
      </c>
      <c r="BC285" s="256"/>
      <c r="BD285" s="303">
        <f>SUM(BD272,BD273,BD275)</f>
        <v>3</v>
      </c>
      <c r="BE285" s="231">
        <f t="shared" si="555"/>
        <v>4</v>
      </c>
      <c r="BF285" s="291"/>
      <c r="BG285" s="292"/>
      <c r="BH285" s="293"/>
      <c r="BI285" s="724"/>
      <c r="BJ285" s="291"/>
      <c r="BK285" s="292"/>
      <c r="BL285" s="293"/>
      <c r="BM285" s="724"/>
      <c r="BN285" s="129"/>
      <c r="BO285" s="292"/>
      <c r="BP285" s="79"/>
      <c r="BQ285" s="619"/>
      <c r="BR285" s="619"/>
      <c r="BS285" s="395">
        <f t="shared" si="568"/>
        <v>-4</v>
      </c>
      <c r="BT285" s="29">
        <f t="shared" si="569"/>
        <v>4</v>
      </c>
      <c r="BU285" s="299">
        <f>SUM(BU272,BU273,BU275)</f>
        <v>6</v>
      </c>
      <c r="BV285" s="7">
        <f t="shared" si="556"/>
        <v>2</v>
      </c>
      <c r="BW285" s="621">
        <v>5</v>
      </c>
      <c r="BX285" s="303">
        <f>SUM(BX272,BX273,BX275)</f>
        <v>2</v>
      </c>
      <c r="BY285" s="231">
        <f t="shared" si="557"/>
        <v>7</v>
      </c>
      <c r="BZ285" s="291"/>
      <c r="CA285" s="292"/>
      <c r="CB285" s="293"/>
      <c r="CC285" s="724"/>
      <c r="CD285" s="291"/>
      <c r="CE285" s="292"/>
      <c r="CF285" s="642" t="s">
        <v>947</v>
      </c>
      <c r="CG285" s="635"/>
      <c r="CH285" s="129"/>
      <c r="CI285" s="292"/>
      <c r="CJ285" s="79"/>
      <c r="CK285" s="619"/>
      <c r="CL285" s="619"/>
      <c r="CM285" s="395">
        <f t="shared" si="570"/>
        <v>-4</v>
      </c>
      <c r="CN285" s="29">
        <f t="shared" si="571"/>
        <v>7</v>
      </c>
      <c r="CO285" s="299">
        <f>SUM(CO272,CO273,CO275)</f>
        <v>0</v>
      </c>
      <c r="CP285" s="7">
        <f t="shared" si="558"/>
        <v>-7</v>
      </c>
      <c r="CQ285" s="240"/>
      <c r="CR285" s="303">
        <f>SUM(CR272,CR273,CR275)</f>
        <v>0</v>
      </c>
      <c r="CS285" s="231">
        <f t="shared" si="559"/>
        <v>7</v>
      </c>
      <c r="CT285" s="291"/>
      <c r="CU285" s="292"/>
      <c r="CV285" s="293"/>
      <c r="CW285" s="724"/>
      <c r="CX285" s="291"/>
      <c r="CY285" s="292"/>
      <c r="CZ285" s="293"/>
      <c r="DA285" s="724"/>
      <c r="DB285" s="129"/>
      <c r="DC285" s="292"/>
      <c r="DD285" s="79"/>
      <c r="DE285" s="619"/>
      <c r="DF285" s="619"/>
      <c r="DG285" s="395">
        <f t="shared" si="572"/>
        <v>-4</v>
      </c>
      <c r="DH285" s="29">
        <f t="shared" si="573"/>
        <v>7</v>
      </c>
      <c r="DI285" s="299">
        <f>SUM(DI272,DI273,DI275)</f>
        <v>0</v>
      </c>
      <c r="DJ285" s="7">
        <f t="shared" si="560"/>
        <v>-7</v>
      </c>
      <c r="DK285" s="240"/>
      <c r="DL285" s="303">
        <f>SUM(DL272,DL273,DL275)</f>
        <v>0</v>
      </c>
      <c r="DM285" s="231">
        <f t="shared" si="561"/>
        <v>7</v>
      </c>
    </row>
    <row r="286" spans="1:117" ht="30" x14ac:dyDescent="0.25">
      <c r="A286" s="75"/>
      <c r="B286" s="74" t="s">
        <v>606</v>
      </c>
      <c r="C286" s="75">
        <v>1</v>
      </c>
      <c r="D286" s="15" t="s">
        <v>384</v>
      </c>
      <c r="E286" s="274"/>
      <c r="F286" s="275"/>
      <c r="G286" s="76" t="s">
        <v>757</v>
      </c>
      <c r="H286" s="77"/>
      <c r="I286" s="77"/>
      <c r="J286" s="530">
        <f t="shared" si="562"/>
        <v>-1</v>
      </c>
      <c r="K286" s="395">
        <f t="shared" si="563"/>
        <v>-1</v>
      </c>
      <c r="L286" s="544">
        <v>1</v>
      </c>
      <c r="M286" s="299">
        <f>M273</f>
        <v>0</v>
      </c>
      <c r="N286" s="7">
        <f t="shared" si="550"/>
        <v>-1</v>
      </c>
      <c r="O286" s="256"/>
      <c r="P286" s="303">
        <f>P273</f>
        <v>0</v>
      </c>
      <c r="Q286" s="231">
        <f t="shared" si="551"/>
        <v>1</v>
      </c>
      <c r="R286" s="291"/>
      <c r="S286" s="292"/>
      <c r="T286" s="293"/>
      <c r="U286" s="724"/>
      <c r="V286" s="291"/>
      <c r="W286" s="292"/>
      <c r="X286" s="293"/>
      <c r="Y286" s="724"/>
      <c r="Z286" s="129"/>
      <c r="AA286" s="292"/>
      <c r="AB286" s="79"/>
      <c r="AC286" s="619"/>
      <c r="AD286" s="619"/>
      <c r="AE286" s="395">
        <f t="shared" si="564"/>
        <v>-1</v>
      </c>
      <c r="AF286" s="29">
        <f t="shared" si="565"/>
        <v>1</v>
      </c>
      <c r="AG286" s="299">
        <f>AG273</f>
        <v>0</v>
      </c>
      <c r="AH286" s="7">
        <f t="shared" si="552"/>
        <v>-1</v>
      </c>
      <c r="AI286" s="256"/>
      <c r="AJ286" s="303">
        <f>AJ273</f>
        <v>0</v>
      </c>
      <c r="AK286" s="231">
        <f t="shared" si="553"/>
        <v>1</v>
      </c>
      <c r="AL286" s="291"/>
      <c r="AM286" s="292"/>
      <c r="AN286" s="293"/>
      <c r="AO286" s="724"/>
      <c r="AP286" s="291"/>
      <c r="AQ286" s="292"/>
      <c r="AR286" s="293"/>
      <c r="AS286" s="724"/>
      <c r="AT286" s="129"/>
      <c r="AU286" s="292"/>
      <c r="AV286" s="79"/>
      <c r="AW286" s="619"/>
      <c r="AX286" s="619"/>
      <c r="AY286" s="395">
        <f t="shared" si="566"/>
        <v>-1</v>
      </c>
      <c r="AZ286" s="29">
        <f t="shared" si="567"/>
        <v>1</v>
      </c>
      <c r="BA286" s="299">
        <f>BA273</f>
        <v>0</v>
      </c>
      <c r="BB286" s="7">
        <f t="shared" si="554"/>
        <v>-1</v>
      </c>
      <c r="BC286" s="256"/>
      <c r="BD286" s="303">
        <f>BD273</f>
        <v>0</v>
      </c>
      <c r="BE286" s="231">
        <f t="shared" si="555"/>
        <v>1</v>
      </c>
      <c r="BF286" s="291"/>
      <c r="BG286" s="292"/>
      <c r="BH286" s="293"/>
      <c r="BI286" s="724"/>
      <c r="BJ286" s="291"/>
      <c r="BK286" s="292"/>
      <c r="BL286" s="293"/>
      <c r="BM286" s="724"/>
      <c r="BN286" s="129"/>
      <c r="BO286" s="292"/>
      <c r="BP286" s="79"/>
      <c r="BQ286" s="619"/>
      <c r="BR286" s="619"/>
      <c r="BS286" s="395">
        <f t="shared" si="568"/>
        <v>-1</v>
      </c>
      <c r="BT286" s="29">
        <f t="shared" si="569"/>
        <v>1</v>
      </c>
      <c r="BU286" s="299">
        <f>BU273</f>
        <v>0</v>
      </c>
      <c r="BV286" s="7">
        <f t="shared" si="556"/>
        <v>-1</v>
      </c>
      <c r="BW286" s="240"/>
      <c r="BX286" s="303">
        <f>BX273</f>
        <v>0</v>
      </c>
      <c r="BY286" s="231">
        <f t="shared" si="557"/>
        <v>1</v>
      </c>
      <c r="BZ286" s="291"/>
      <c r="CA286" s="292"/>
      <c r="CB286" s="293"/>
      <c r="CC286" s="724"/>
      <c r="CD286" s="291"/>
      <c r="CE286" s="292"/>
      <c r="CF286" s="293"/>
      <c r="CG286" s="724"/>
      <c r="CH286" s="129"/>
      <c r="CI286" s="292"/>
      <c r="CJ286" s="79"/>
      <c r="CK286" s="619"/>
      <c r="CL286" s="619"/>
      <c r="CM286" s="395">
        <f t="shared" si="570"/>
        <v>-1</v>
      </c>
      <c r="CN286" s="29">
        <f t="shared" si="571"/>
        <v>1</v>
      </c>
      <c r="CO286" s="299">
        <f>CO273</f>
        <v>0</v>
      </c>
      <c r="CP286" s="7">
        <f t="shared" si="558"/>
        <v>-1</v>
      </c>
      <c r="CQ286" s="240"/>
      <c r="CR286" s="303">
        <f>CR273</f>
        <v>0</v>
      </c>
      <c r="CS286" s="231">
        <f t="shared" si="559"/>
        <v>1</v>
      </c>
      <c r="CT286" s="291"/>
      <c r="CU286" s="292"/>
      <c r="CV286" s="293"/>
      <c r="CW286" s="724"/>
      <c r="CX286" s="291"/>
      <c r="CY286" s="292"/>
      <c r="CZ286" s="293"/>
      <c r="DA286" s="724"/>
      <c r="DB286" s="129"/>
      <c r="DC286" s="292"/>
      <c r="DD286" s="79"/>
      <c r="DE286" s="619"/>
      <c r="DF286" s="619"/>
      <c r="DG286" s="395">
        <f t="shared" si="572"/>
        <v>-1</v>
      </c>
      <c r="DH286" s="29">
        <f t="shared" si="573"/>
        <v>1</v>
      </c>
      <c r="DI286" s="299">
        <f>DI273</f>
        <v>0</v>
      </c>
      <c r="DJ286" s="7">
        <f t="shared" si="560"/>
        <v>-1</v>
      </c>
      <c r="DK286" s="240"/>
      <c r="DL286" s="303">
        <f>DL273</f>
        <v>0</v>
      </c>
      <c r="DM286" s="231">
        <f t="shared" si="561"/>
        <v>1</v>
      </c>
    </row>
    <row r="287" spans="1:117" ht="45" x14ac:dyDescent="0.25">
      <c r="A287" s="75"/>
      <c r="B287" s="74" t="s">
        <v>605</v>
      </c>
      <c r="C287" s="75">
        <v>1</v>
      </c>
      <c r="D287" s="15" t="s">
        <v>487</v>
      </c>
      <c r="E287" s="274"/>
      <c r="F287" s="275">
        <v>20</v>
      </c>
      <c r="G287" s="76" t="s">
        <v>757</v>
      </c>
      <c r="H287" s="77"/>
      <c r="I287" s="77"/>
      <c r="J287" s="530">
        <f t="shared" si="562"/>
        <v>-17</v>
      </c>
      <c r="K287" s="395">
        <f t="shared" si="563"/>
        <v>-26</v>
      </c>
      <c r="L287" s="544">
        <v>27</v>
      </c>
      <c r="M287" s="299">
        <f>M274+M275</f>
        <v>1</v>
      </c>
      <c r="N287" s="7">
        <f t="shared" si="550"/>
        <v>-26</v>
      </c>
      <c r="O287" s="256"/>
      <c r="P287" s="303">
        <f>SUM(P274,P275)</f>
        <v>1</v>
      </c>
      <c r="Q287" s="231">
        <f t="shared" si="551"/>
        <v>26</v>
      </c>
      <c r="R287" s="291"/>
      <c r="S287" s="292"/>
      <c r="T287" s="293"/>
      <c r="U287" s="724"/>
      <c r="V287" s="291"/>
      <c r="W287" s="292"/>
      <c r="X287" s="293"/>
      <c r="Y287" s="724"/>
      <c r="Z287" s="129"/>
      <c r="AA287" s="292"/>
      <c r="AB287" s="79"/>
      <c r="AC287" s="619"/>
      <c r="AD287" s="619"/>
      <c r="AE287" s="395">
        <f t="shared" si="564"/>
        <v>-25</v>
      </c>
      <c r="AF287" s="29">
        <f t="shared" si="565"/>
        <v>26</v>
      </c>
      <c r="AG287" s="299">
        <f>AG274+AG275</f>
        <v>1</v>
      </c>
      <c r="AH287" s="7">
        <f t="shared" si="552"/>
        <v>-25</v>
      </c>
      <c r="AI287" s="258"/>
      <c r="AJ287" s="303">
        <f>SUM(AJ274,AJ275)</f>
        <v>1</v>
      </c>
      <c r="AK287" s="231">
        <f t="shared" si="553"/>
        <v>25</v>
      </c>
      <c r="AL287" s="291"/>
      <c r="AM287" s="292"/>
      <c r="AN287" s="293"/>
      <c r="AO287" s="724"/>
      <c r="AP287" s="448"/>
      <c r="AQ287" s="292"/>
      <c r="AR287" s="414"/>
      <c r="AS287" s="709"/>
      <c r="AT287" s="129"/>
      <c r="AU287" s="292"/>
      <c r="AV287" s="79"/>
      <c r="AW287" s="619"/>
      <c r="AX287" s="619"/>
      <c r="AY287" s="395">
        <f t="shared" si="566"/>
        <v>-23</v>
      </c>
      <c r="AZ287" s="29">
        <f t="shared" si="567"/>
        <v>25</v>
      </c>
      <c r="BA287" s="299">
        <f>BA274+BA275</f>
        <v>2</v>
      </c>
      <c r="BB287" s="7">
        <f t="shared" si="554"/>
        <v>-23</v>
      </c>
      <c r="BC287" s="256"/>
      <c r="BD287" s="303">
        <f>SUM(BD274,BD275)</f>
        <v>3</v>
      </c>
      <c r="BE287" s="231">
        <f t="shared" si="555"/>
        <v>22</v>
      </c>
      <c r="BF287" s="448"/>
      <c r="BG287" s="413"/>
      <c r="BH287" s="414"/>
      <c r="BI287" s="709"/>
      <c r="BJ287" s="448"/>
      <c r="BK287" s="413"/>
      <c r="BL287" s="414"/>
      <c r="BM287" s="709"/>
      <c r="BN287" s="129"/>
      <c r="BO287" s="292"/>
      <c r="BP287" s="79"/>
      <c r="BQ287" s="619"/>
      <c r="BR287" s="619"/>
      <c r="BS287" s="395">
        <f t="shared" si="568"/>
        <v>-22</v>
      </c>
      <c r="BT287" s="29">
        <f t="shared" si="569"/>
        <v>22</v>
      </c>
      <c r="BU287" s="299">
        <f>BU274+BU275</f>
        <v>6</v>
      </c>
      <c r="BV287" s="7">
        <f t="shared" si="556"/>
        <v>-16</v>
      </c>
      <c r="BW287" s="240">
        <v>5</v>
      </c>
      <c r="BX287" s="303">
        <f>SUM(BX274,BX275)</f>
        <v>2</v>
      </c>
      <c r="BY287" s="231">
        <f t="shared" si="557"/>
        <v>25</v>
      </c>
      <c r="BZ287" s="291"/>
      <c r="CA287" s="292"/>
      <c r="CB287" s="293"/>
      <c r="CC287" s="724"/>
      <c r="CD287" s="291"/>
      <c r="CE287" s="292"/>
      <c r="CF287" s="293"/>
      <c r="CG287" s="724"/>
      <c r="CH287" s="129"/>
      <c r="CI287" s="292"/>
      <c r="CJ287" s="79"/>
      <c r="CK287" s="619"/>
      <c r="CL287" s="619"/>
      <c r="CM287" s="395">
        <f t="shared" si="570"/>
        <v>-22</v>
      </c>
      <c r="CN287" s="29">
        <f t="shared" si="571"/>
        <v>25</v>
      </c>
      <c r="CO287" s="299">
        <f>CO274+CO275</f>
        <v>0</v>
      </c>
      <c r="CP287" s="7">
        <f t="shared" si="558"/>
        <v>-25</v>
      </c>
      <c r="CQ287" s="240"/>
      <c r="CR287" s="303">
        <f>SUM(CR274,CR275)</f>
        <v>0</v>
      </c>
      <c r="CS287" s="231">
        <f t="shared" si="559"/>
        <v>25</v>
      </c>
      <c r="CT287" s="291"/>
      <c r="CU287" s="292"/>
      <c r="CV287" s="293"/>
      <c r="CW287" s="724"/>
      <c r="CX287" s="291"/>
      <c r="CY287" s="292"/>
      <c r="CZ287" s="293"/>
      <c r="DA287" s="724"/>
      <c r="DB287" s="129"/>
      <c r="DC287" s="292"/>
      <c r="DD287" s="79"/>
      <c r="DE287" s="619"/>
      <c r="DF287" s="619"/>
      <c r="DG287" s="395">
        <f t="shared" si="572"/>
        <v>-22</v>
      </c>
      <c r="DH287" s="29">
        <f t="shared" si="573"/>
        <v>25</v>
      </c>
      <c r="DI287" s="299">
        <f>DI274+DI275</f>
        <v>0</v>
      </c>
      <c r="DJ287" s="7">
        <f t="shared" si="560"/>
        <v>-25</v>
      </c>
      <c r="DK287" s="240"/>
      <c r="DL287" s="303">
        <f>SUM(DL274,DL275)</f>
        <v>0</v>
      </c>
      <c r="DM287" s="231">
        <f t="shared" si="561"/>
        <v>25</v>
      </c>
    </row>
    <row r="288" spans="1:117" ht="45.75" thickBot="1" x14ac:dyDescent="0.3">
      <c r="A288" s="75"/>
      <c r="B288" s="274" t="s">
        <v>944</v>
      </c>
      <c r="C288" s="75">
        <v>1</v>
      </c>
      <c r="D288" s="15" t="s">
        <v>362</v>
      </c>
      <c r="E288" s="274"/>
      <c r="F288" s="659">
        <f>2*6807</f>
        <v>13614</v>
      </c>
      <c r="G288" s="74" t="s">
        <v>33</v>
      </c>
      <c r="H288" s="77"/>
      <c r="I288" s="77"/>
      <c r="J288" s="530">
        <f t="shared" si="562"/>
        <v>0</v>
      </c>
      <c r="K288" s="395">
        <f t="shared" si="563"/>
        <v>-9</v>
      </c>
      <c r="L288" s="544">
        <v>10</v>
      </c>
      <c r="M288" s="299">
        <f>SUM(M272:M275)</f>
        <v>1</v>
      </c>
      <c r="N288" s="7">
        <f t="shared" si="550"/>
        <v>-9</v>
      </c>
      <c r="O288" s="240"/>
      <c r="P288" s="378">
        <f>SUM(P272:P275)</f>
        <v>1</v>
      </c>
      <c r="Q288" s="231">
        <f t="shared" si="551"/>
        <v>9</v>
      </c>
      <c r="R288" s="448"/>
      <c r="S288" s="413"/>
      <c r="T288" s="414"/>
      <c r="U288" s="709"/>
      <c r="V288" s="448"/>
      <c r="W288" s="413"/>
      <c r="X288" s="211"/>
      <c r="Y288" s="709"/>
      <c r="Z288" s="448"/>
      <c r="AA288" s="413"/>
      <c r="AB288" s="211"/>
      <c r="AC288" s="735"/>
      <c r="AD288" s="735"/>
      <c r="AE288" s="395">
        <f t="shared" si="564"/>
        <v>-8</v>
      </c>
      <c r="AF288" s="29">
        <f t="shared" si="565"/>
        <v>9</v>
      </c>
      <c r="AG288" s="299">
        <f>SUM(AG272:AG275)</f>
        <v>1</v>
      </c>
      <c r="AH288" s="7">
        <f t="shared" si="552"/>
        <v>-8</v>
      </c>
      <c r="AI288" s="258"/>
      <c r="AJ288" s="378">
        <f>SUM(AJ272:AJ275)</f>
        <v>1</v>
      </c>
      <c r="AK288" s="231">
        <f t="shared" si="553"/>
        <v>8</v>
      </c>
      <c r="AL288" s="448"/>
      <c r="AM288" s="413"/>
      <c r="AN288" s="211"/>
      <c r="AO288" s="709"/>
      <c r="AP288" s="291"/>
      <c r="AQ288" s="413"/>
      <c r="AR288" s="414"/>
      <c r="AS288" s="709"/>
      <c r="AT288" s="129"/>
      <c r="AU288" s="292"/>
      <c r="AV288" s="79"/>
      <c r="AW288" s="619"/>
      <c r="AX288" s="619"/>
      <c r="AY288" s="395">
        <f t="shared" si="566"/>
        <v>-6</v>
      </c>
      <c r="AZ288" s="29">
        <f t="shared" si="567"/>
        <v>8</v>
      </c>
      <c r="BA288" s="299">
        <f>SUM(BA272:BA275)</f>
        <v>2</v>
      </c>
      <c r="BB288" s="7">
        <f t="shared" si="554"/>
        <v>-6</v>
      </c>
      <c r="BC288" s="240"/>
      <c r="BD288" s="378">
        <f>SUM(BD272:BD275)</f>
        <v>3</v>
      </c>
      <c r="BE288" s="231">
        <f t="shared" si="555"/>
        <v>5</v>
      </c>
      <c r="BF288" s="129"/>
      <c r="BG288" s="292"/>
      <c r="BH288" s="79"/>
      <c r="BI288" s="712"/>
      <c r="BJ288" s="129"/>
      <c r="BK288" s="413"/>
      <c r="BL288" s="467"/>
      <c r="BM288" s="762"/>
      <c r="BN288" s="129"/>
      <c r="BO288" s="413"/>
      <c r="BP288" s="79"/>
      <c r="BQ288" s="619"/>
      <c r="BR288" s="619"/>
      <c r="BS288" s="395">
        <f t="shared" si="568"/>
        <v>-5</v>
      </c>
      <c r="BT288" s="29">
        <f t="shared" si="569"/>
        <v>5</v>
      </c>
      <c r="BU288" s="299">
        <f>SUM(BU272:BU275)</f>
        <v>6</v>
      </c>
      <c r="BV288" s="7">
        <f t="shared" si="556"/>
        <v>1</v>
      </c>
      <c r="BW288" s="621">
        <v>5</v>
      </c>
      <c r="BX288" s="378">
        <f>SUM(BX272:BX275)</f>
        <v>2</v>
      </c>
      <c r="BY288" s="231">
        <f t="shared" si="557"/>
        <v>8</v>
      </c>
      <c r="BZ288" s="291"/>
      <c r="CA288" s="292"/>
      <c r="CB288" s="79"/>
      <c r="CC288" s="712"/>
      <c r="CD288" s="156">
        <f>F288*BW288/2</f>
        <v>34035</v>
      </c>
      <c r="CE288" s="157"/>
      <c r="CF288" s="687" t="s">
        <v>813</v>
      </c>
      <c r="CG288" s="794"/>
      <c r="CH288" s="292"/>
      <c r="CI288" s="660">
        <v>34035</v>
      </c>
      <c r="CJ288" s="654" t="s">
        <v>903</v>
      </c>
      <c r="CK288" s="809"/>
      <c r="CL288" s="809"/>
      <c r="CM288" s="395">
        <f t="shared" si="570"/>
        <v>-5</v>
      </c>
      <c r="CN288" s="29">
        <f t="shared" si="571"/>
        <v>8</v>
      </c>
      <c r="CO288" s="299">
        <f>SUM(CO272:CO275)</f>
        <v>0</v>
      </c>
      <c r="CP288" s="7">
        <f t="shared" si="558"/>
        <v>-8</v>
      </c>
      <c r="CQ288" s="315"/>
      <c r="CR288" s="378">
        <f>SUM(CR272:CR275)</f>
        <v>0</v>
      </c>
      <c r="CS288" s="231">
        <f t="shared" si="559"/>
        <v>8</v>
      </c>
      <c r="CT288" s="291"/>
      <c r="CU288" s="292"/>
      <c r="CV288" s="293"/>
      <c r="CW288" s="724"/>
      <c r="CX288" s="291"/>
      <c r="CY288" s="292"/>
      <c r="CZ288" s="293"/>
      <c r="DA288" s="724"/>
      <c r="DB288" s="129"/>
      <c r="DC288" s="292"/>
      <c r="DD288" s="79"/>
      <c r="DE288" s="619"/>
      <c r="DF288" s="619"/>
      <c r="DG288" s="395">
        <f t="shared" si="572"/>
        <v>-5</v>
      </c>
      <c r="DH288" s="29">
        <f t="shared" si="573"/>
        <v>8</v>
      </c>
      <c r="DI288" s="299">
        <f>SUM(DI272:DI275)</f>
        <v>0</v>
      </c>
      <c r="DJ288" s="7">
        <f t="shared" si="560"/>
        <v>-8</v>
      </c>
      <c r="DK288" s="315"/>
      <c r="DL288" s="378">
        <f>SUM(DL272:DL275)</f>
        <v>0</v>
      </c>
      <c r="DM288" s="231">
        <f t="shared" si="561"/>
        <v>8</v>
      </c>
    </row>
    <row r="289" spans="1:117" ht="15.75" thickBot="1" x14ac:dyDescent="0.3">
      <c r="A289" s="456"/>
      <c r="B289" s="457" t="s">
        <v>438</v>
      </c>
      <c r="C289" s="456"/>
      <c r="D289" s="458"/>
      <c r="E289" s="458"/>
      <c r="F289" s="562"/>
      <c r="G289" s="459"/>
      <c r="H289" s="454"/>
      <c r="I289" s="454"/>
      <c r="J289" s="456">
        <f>SUM(M289,AG289,BA289,BU289)</f>
        <v>0</v>
      </c>
      <c r="K289" s="456"/>
      <c r="L289" s="460"/>
      <c r="M289" s="461"/>
      <c r="N289" s="461"/>
      <c r="O289" s="461"/>
      <c r="P289" s="462"/>
      <c r="Q289" s="463"/>
      <c r="R289" s="464"/>
      <c r="S289" s="465"/>
      <c r="T289" s="463"/>
      <c r="U289" s="675"/>
      <c r="V289" s="464"/>
      <c r="W289" s="465"/>
      <c r="X289" s="463"/>
      <c r="Y289" s="675"/>
      <c r="Z289" s="464"/>
      <c r="AA289" s="465"/>
      <c r="AB289" s="463"/>
      <c r="AC289" s="455"/>
      <c r="AD289" s="455"/>
      <c r="AE289" s="456"/>
      <c r="AF289" s="460"/>
      <c r="AG289" s="461"/>
      <c r="AH289" s="461"/>
      <c r="AI289" s="461"/>
      <c r="AJ289" s="462"/>
      <c r="AK289" s="463"/>
      <c r="AL289" s="464"/>
      <c r="AM289" s="465"/>
      <c r="AN289" s="463"/>
      <c r="AO289" s="675"/>
      <c r="AP289" s="464"/>
      <c r="AQ289" s="465"/>
      <c r="AR289" s="463"/>
      <c r="AS289" s="675"/>
      <c r="AT289" s="464"/>
      <c r="AU289" s="465"/>
      <c r="AV289" s="463"/>
      <c r="AW289" s="455"/>
      <c r="AX289" s="455"/>
      <c r="AY289" s="456"/>
      <c r="AZ289" s="460"/>
      <c r="BA289" s="461"/>
      <c r="BB289" s="461"/>
      <c r="BC289" s="461"/>
      <c r="BD289" s="462"/>
      <c r="BE289" s="463"/>
      <c r="BF289" s="464"/>
      <c r="BG289" s="465"/>
      <c r="BH289" s="463"/>
      <c r="BI289" s="675"/>
      <c r="BJ289" s="464"/>
      <c r="BK289" s="465"/>
      <c r="BL289" s="463"/>
      <c r="BM289" s="675"/>
      <c r="BN289" s="464"/>
      <c r="BO289" s="465"/>
      <c r="BP289" s="463"/>
      <c r="BQ289" s="455"/>
      <c r="BR289" s="455"/>
      <c r="BS289" s="456"/>
      <c r="BT289" s="460"/>
      <c r="BU289" s="461"/>
      <c r="BV289" s="461"/>
      <c r="BW289" s="461"/>
      <c r="BX289" s="462"/>
      <c r="BY289" s="463"/>
      <c r="BZ289" s="464"/>
      <c r="CA289" s="465"/>
      <c r="CB289" s="463"/>
      <c r="CC289" s="675"/>
      <c r="CD289" s="464"/>
      <c r="CE289" s="465"/>
      <c r="CF289" s="463"/>
      <c r="CG289" s="675"/>
      <c r="CH289" s="464"/>
      <c r="CI289" s="465"/>
      <c r="CJ289" s="463"/>
      <c r="CK289" s="455"/>
      <c r="CL289" s="455"/>
      <c r="CM289" s="456"/>
      <c r="CN289" s="460"/>
      <c r="CO289" s="461"/>
      <c r="CP289" s="461"/>
      <c r="CQ289" s="461"/>
      <c r="CR289" s="462"/>
      <c r="CS289" s="463"/>
      <c r="CT289" s="464"/>
      <c r="CU289" s="465"/>
      <c r="CV289" s="463"/>
      <c r="CW289" s="675"/>
      <c r="CX289" s="464"/>
      <c r="CY289" s="465"/>
      <c r="CZ289" s="463"/>
      <c r="DA289" s="675"/>
      <c r="DB289" s="464"/>
      <c r="DC289" s="465"/>
      <c r="DD289" s="463"/>
      <c r="DE289" s="455"/>
      <c r="DF289" s="455"/>
      <c r="DG289" s="456"/>
      <c r="DH289" s="460"/>
      <c r="DI289" s="461"/>
      <c r="DJ289" s="461"/>
      <c r="DK289" s="461"/>
      <c r="DL289" s="462"/>
      <c r="DM289" s="463"/>
    </row>
    <row r="290" spans="1:117" ht="45" x14ac:dyDescent="0.25">
      <c r="A290" s="53"/>
      <c r="B290" s="417" t="s">
        <v>376</v>
      </c>
      <c r="C290" s="53">
        <v>1</v>
      </c>
      <c r="D290" s="81" t="s">
        <v>362</v>
      </c>
      <c r="E290" s="81"/>
      <c r="F290" s="338"/>
      <c r="G290" s="51"/>
      <c r="H290" s="54"/>
      <c r="I290" s="54"/>
      <c r="J290" s="53">
        <f>SUM(M290,AG290,BA290,BU290)</f>
        <v>10</v>
      </c>
      <c r="K290" s="53"/>
      <c r="L290" s="55"/>
      <c r="M290" s="306">
        <f>SUM(M272:M275,M289)</f>
        <v>1</v>
      </c>
      <c r="N290" s="56"/>
      <c r="O290" s="56"/>
      <c r="P290" s="243">
        <f>1</f>
        <v>1</v>
      </c>
      <c r="Q290" s="219"/>
      <c r="R290" s="119">
        <f>SUM(R291:R326)</f>
        <v>0</v>
      </c>
      <c r="S290" s="120">
        <f>SUM(S291:S326)</f>
        <v>0</v>
      </c>
      <c r="T290" s="57"/>
      <c r="U290" s="219"/>
      <c r="V290" s="119">
        <f>SUM(V291:V326)</f>
        <v>0</v>
      </c>
      <c r="W290" s="120">
        <f>SUM(W291:W326)</f>
        <v>0</v>
      </c>
      <c r="X290" s="57"/>
      <c r="Y290" s="219"/>
      <c r="Z290" s="119">
        <f>SUM(Z291:Z326)</f>
        <v>0</v>
      </c>
      <c r="AA290" s="120">
        <f>SUM(AA291:AA326)</f>
        <v>0</v>
      </c>
      <c r="AB290" s="57"/>
      <c r="AC290" s="230"/>
      <c r="AD290" s="230"/>
      <c r="AE290" s="53">
        <f>SUM(AG290,BA290,BU290)</f>
        <v>9</v>
      </c>
      <c r="AF290" s="55"/>
      <c r="AG290" s="306">
        <f>SUM(AG272:AG275,AG289)</f>
        <v>1</v>
      </c>
      <c r="AH290" s="56"/>
      <c r="AI290" s="56"/>
      <c r="AJ290" s="243"/>
      <c r="AK290" s="219"/>
      <c r="AL290" s="119">
        <f>SUM(AL291:AL326)</f>
        <v>0</v>
      </c>
      <c r="AM290" s="120">
        <f>SUM(AM291:AM326)</f>
        <v>0</v>
      </c>
      <c r="AN290" s="57"/>
      <c r="AO290" s="219"/>
      <c r="AP290" s="119">
        <f>SUM(AP291:AP326)</f>
        <v>0</v>
      </c>
      <c r="AQ290" s="120">
        <f>SUM(AQ291:AQ326)</f>
        <v>0</v>
      </c>
      <c r="AR290" s="57"/>
      <c r="AS290" s="219"/>
      <c r="AT290" s="119">
        <f>SUM(AT291:AT326)</f>
        <v>0</v>
      </c>
      <c r="AU290" s="120">
        <f>SUM(AU291:AU326)</f>
        <v>0</v>
      </c>
      <c r="AV290" s="57"/>
      <c r="AW290" s="230"/>
      <c r="AX290" s="230"/>
      <c r="AY290" s="53">
        <f>SUM(BA290,BU290)</f>
        <v>8</v>
      </c>
      <c r="AZ290" s="55"/>
      <c r="BA290" s="306">
        <f>SUM(BA272:BA275,BA289)</f>
        <v>2</v>
      </c>
      <c r="BB290" s="56"/>
      <c r="BC290" s="56"/>
      <c r="BD290" s="243">
        <f>1+1+1</f>
        <v>3</v>
      </c>
      <c r="BE290" s="219"/>
      <c r="BF290" s="119">
        <f>SUM(BF291:BF326)</f>
        <v>0</v>
      </c>
      <c r="BG290" s="120">
        <f>SUM(BG291:BG326)</f>
        <v>0</v>
      </c>
      <c r="BH290" s="57"/>
      <c r="BI290" s="219"/>
      <c r="BJ290" s="119">
        <f>SUM(BJ291:BJ326)</f>
        <v>0</v>
      </c>
      <c r="BK290" s="120">
        <f>SUM(BK291:BK326)</f>
        <v>0</v>
      </c>
      <c r="BL290" s="57"/>
      <c r="BM290" s="219"/>
      <c r="BN290" s="119">
        <f>SUM(BN291:BN326)</f>
        <v>0</v>
      </c>
      <c r="BO290" s="120">
        <f>SUM(BO291:BO326)</f>
        <v>0</v>
      </c>
      <c r="BP290" s="57"/>
      <c r="BQ290" s="230"/>
      <c r="BR290" s="230"/>
      <c r="BS290" s="53">
        <f>BU290</f>
        <v>6</v>
      </c>
      <c r="BT290" s="55"/>
      <c r="BU290" s="306">
        <f>SUM(BU272:BU275,BU289)</f>
        <v>6</v>
      </c>
      <c r="BV290" s="56"/>
      <c r="BW290" s="56"/>
      <c r="BX290" s="243"/>
      <c r="BY290" s="219"/>
      <c r="BZ290" s="119">
        <f>SUM(BZ291:BZ326)</f>
        <v>0</v>
      </c>
      <c r="CA290" s="120">
        <f>SUM(CA291:CA326)</f>
        <v>0</v>
      </c>
      <c r="CB290" s="57"/>
      <c r="CC290" s="219"/>
      <c r="CD290" s="119">
        <f>SUM(CD291:CD326)</f>
        <v>50030</v>
      </c>
      <c r="CE290" s="120">
        <f>SUM(CE291:CE326)</f>
        <v>17750</v>
      </c>
      <c r="CF290" s="57"/>
      <c r="CG290" s="219"/>
      <c r="CH290" s="119">
        <f>SUM(CH291:CH326)</f>
        <v>95267.16</v>
      </c>
      <c r="CI290" s="120">
        <f>SUM(CI291:CI326)</f>
        <v>52740</v>
      </c>
      <c r="CJ290" s="57"/>
      <c r="CK290" s="230"/>
      <c r="CL290" s="230"/>
      <c r="CM290" s="53">
        <f>CO290</f>
        <v>0</v>
      </c>
      <c r="CN290" s="55"/>
      <c r="CO290" s="306">
        <f>SUM(CO272:CO275)</f>
        <v>0</v>
      </c>
      <c r="CP290" s="56"/>
      <c r="CQ290" s="56"/>
      <c r="CR290" s="243"/>
      <c r="CS290" s="230"/>
      <c r="CT290" s="119">
        <f>SUM(CT291:CT326)</f>
        <v>0</v>
      </c>
      <c r="CU290" s="120">
        <f>SUM(CU291:CU326)</f>
        <v>18990</v>
      </c>
      <c r="CV290" s="57"/>
      <c r="CW290" s="219"/>
      <c r="CX290" s="119">
        <f>SUM(CX291:CX326)</f>
        <v>0</v>
      </c>
      <c r="CY290" s="120">
        <f>SUM(CY291:CY326)</f>
        <v>0</v>
      </c>
      <c r="CZ290" s="57"/>
      <c r="DA290" s="219"/>
      <c r="DB290" s="119">
        <f>SUM(DB291:DB326)</f>
        <v>0</v>
      </c>
      <c r="DC290" s="120">
        <f>SUM(DC291:DC326)</f>
        <v>0</v>
      </c>
      <c r="DD290" s="57"/>
      <c r="DE290" s="230"/>
      <c r="DF290" s="230"/>
      <c r="DG290" s="53">
        <f>DI290</f>
        <v>0</v>
      </c>
      <c r="DH290" s="55"/>
      <c r="DI290" s="306">
        <f>SUM(DI272:DI275)</f>
        <v>0</v>
      </c>
      <c r="DJ290" s="56"/>
      <c r="DK290" s="56"/>
      <c r="DL290" s="243"/>
      <c r="DM290" s="230"/>
    </row>
    <row r="291" spans="1:117" ht="30.75" thickBot="1" x14ac:dyDescent="0.3">
      <c r="A291" s="18"/>
      <c r="B291" s="11" t="s">
        <v>516</v>
      </c>
      <c r="C291" s="18">
        <v>1</v>
      </c>
      <c r="D291" s="15" t="s">
        <v>377</v>
      </c>
      <c r="E291" s="15"/>
      <c r="F291" s="568">
        <v>7089</v>
      </c>
      <c r="G291" s="109" t="s">
        <v>10</v>
      </c>
      <c r="H291" s="25" t="s">
        <v>524</v>
      </c>
      <c r="I291" s="25"/>
      <c r="J291" s="530">
        <f t="shared" ref="J291:J298" si="584">SUM(M291,AG291,BA291,BU291)-L291</f>
        <v>0</v>
      </c>
      <c r="K291" s="395">
        <f t="shared" ref="K291:K338" si="585">M291-O291-L291</f>
        <v>-9</v>
      </c>
      <c r="L291" s="544">
        <v>10</v>
      </c>
      <c r="M291" s="298">
        <f>M290</f>
        <v>1</v>
      </c>
      <c r="N291" s="5">
        <f t="shared" ref="N291:N314" si="586">M291-L291</f>
        <v>-9</v>
      </c>
      <c r="O291" s="256"/>
      <c r="P291" s="303">
        <f>P290</f>
        <v>1</v>
      </c>
      <c r="Q291" s="231">
        <f>L291+O291-P291</f>
        <v>9</v>
      </c>
      <c r="R291" s="121"/>
      <c r="S291" s="6"/>
      <c r="T291" s="35"/>
      <c r="U291" s="612"/>
      <c r="V291" s="121"/>
      <c r="W291" s="6"/>
      <c r="X291" s="35"/>
      <c r="Y291" s="612"/>
      <c r="Z291" s="21"/>
      <c r="AA291" s="6"/>
      <c r="AB291" s="35"/>
      <c r="AC291" s="234"/>
      <c r="AD291" s="234"/>
      <c r="AE291" s="395">
        <f t="shared" ref="AE291:AE298" si="587">SUM(M291,AG291)-SUM(O291,AI291)-L291</f>
        <v>-8</v>
      </c>
      <c r="AF291" s="29">
        <f t="shared" ref="AF291:AF298" si="588">Q291</f>
        <v>9</v>
      </c>
      <c r="AG291" s="298">
        <f>AG290</f>
        <v>1</v>
      </c>
      <c r="AH291" s="5">
        <f t="shared" ref="AH291:AH314" si="589">AG291-AF291</f>
        <v>-8</v>
      </c>
      <c r="AI291" s="256"/>
      <c r="AJ291" s="303">
        <f>AJ290</f>
        <v>0</v>
      </c>
      <c r="AK291" s="231">
        <f>AF291+AI291-AJ291</f>
        <v>9</v>
      </c>
      <c r="AL291" s="121"/>
      <c r="AM291" s="6"/>
      <c r="AN291" s="35"/>
      <c r="AO291" s="612"/>
      <c r="AP291" s="121"/>
      <c r="AQ291" s="6"/>
      <c r="AR291" s="35"/>
      <c r="AS291" s="612"/>
      <c r="AT291" s="21"/>
      <c r="AU291" s="6"/>
      <c r="AV291" s="35"/>
      <c r="AW291" s="234"/>
      <c r="AX291" s="234"/>
      <c r="AY291" s="395">
        <f t="shared" ref="AY291:AY298" si="590">SUM(M291,AG291,BA291)-SUM(O291,AI291,BC291)-L291</f>
        <v>-6</v>
      </c>
      <c r="AZ291" s="29">
        <f>AK291</f>
        <v>9</v>
      </c>
      <c r="BA291" s="298">
        <f>BA290</f>
        <v>2</v>
      </c>
      <c r="BB291" s="5">
        <f t="shared" ref="BB291:BB314" si="591">BA291-AZ291</f>
        <v>-7</v>
      </c>
      <c r="BC291" s="256"/>
      <c r="BD291" s="303">
        <f>BD290</f>
        <v>3</v>
      </c>
      <c r="BE291" s="231">
        <f>AZ291+BC291-BD291</f>
        <v>6</v>
      </c>
      <c r="BF291" s="121"/>
      <c r="BG291" s="6"/>
      <c r="BH291" s="35"/>
      <c r="BI291" s="612"/>
      <c r="BJ291" s="121"/>
      <c r="BK291" s="6"/>
      <c r="BL291" s="35"/>
      <c r="BM291" s="712"/>
      <c r="BN291" s="200"/>
      <c r="BO291" s="6"/>
      <c r="BP291" s="79"/>
      <c r="BQ291" s="619"/>
      <c r="BR291" s="619"/>
      <c r="BS291" s="395">
        <f t="shared" ref="BS291:BS298" si="592">SUM(M291,AG291,BA291,BU291)-SUM(O291,AI291,BC291,BW291)-L291</f>
        <v>-5</v>
      </c>
      <c r="BT291" s="29">
        <f>BE291</f>
        <v>6</v>
      </c>
      <c r="BU291" s="298">
        <f>BU290</f>
        <v>6</v>
      </c>
      <c r="BV291" s="5">
        <f t="shared" ref="BV291:BV314" si="593">BU291-BT291</f>
        <v>0</v>
      </c>
      <c r="BW291" s="621">
        <v>5</v>
      </c>
      <c r="BX291" s="303">
        <f>BX290</f>
        <v>0</v>
      </c>
      <c r="BY291" s="231">
        <f>BT291+BW291-BX291</f>
        <v>11</v>
      </c>
      <c r="BZ291" s="121"/>
      <c r="CA291" s="6"/>
      <c r="CB291" s="35"/>
      <c r="CC291" s="612"/>
      <c r="CD291" s="668">
        <f t="shared" ref="CD291:CD298" si="594">F291*BW291/2</f>
        <v>17722.5</v>
      </c>
      <c r="CE291" s="663"/>
      <c r="CF291" s="704" t="s">
        <v>931</v>
      </c>
      <c r="CG291" s="795"/>
      <c r="CH291" s="21"/>
      <c r="CI291" s="630">
        <f t="shared" ref="CI291:CI298" si="595">F291*BW291/2</f>
        <v>17722.5</v>
      </c>
      <c r="CJ291" s="625" t="s">
        <v>935</v>
      </c>
      <c r="CK291" s="806"/>
      <c r="CL291" s="806"/>
      <c r="CM291" s="395">
        <f t="shared" ref="CM291:CM298" si="596">SUM(M291,AG291,BA291,BU291,CO291)-SUM(O291,AI291,BC291,BW291,CQ291)-L291</f>
        <v>-5</v>
      </c>
      <c r="CN291" s="32">
        <f>BY291</f>
        <v>11</v>
      </c>
      <c r="CO291" s="302">
        <f>SUM(CO272:CO275)</f>
        <v>0</v>
      </c>
      <c r="CP291" s="7">
        <f t="shared" ref="CP291:CP314" si="597">CO291-CN291</f>
        <v>-11</v>
      </c>
      <c r="CQ291" s="242"/>
      <c r="CR291" s="304">
        <f>SUM(CR272:CR275)</f>
        <v>0</v>
      </c>
      <c r="CS291" s="234">
        <f>CN291+CQ291-CR291</f>
        <v>11</v>
      </c>
      <c r="CT291" s="121"/>
      <c r="CU291" s="6"/>
      <c r="CV291" s="35"/>
      <c r="CW291" s="612"/>
      <c r="CX291" s="121"/>
      <c r="CY291" s="6"/>
      <c r="CZ291" s="35"/>
      <c r="DA291" s="612"/>
      <c r="DB291" s="21"/>
      <c r="DC291" s="6"/>
      <c r="DD291" s="35"/>
      <c r="DE291" s="234"/>
      <c r="DF291" s="234"/>
      <c r="DG291" s="395">
        <f t="shared" ref="DG291:DG298" si="598">SUM(M291,AG291,BA291,BU291,DI291)-SUM(O291,AI291,BC291,BW291,CQ291)-L291</f>
        <v>-5</v>
      </c>
      <c r="DH291" s="29">
        <f t="shared" ref="DH291:DH335" si="599">BY291</f>
        <v>11</v>
      </c>
      <c r="DI291" s="302">
        <f>SUM(DI272:DI275)</f>
        <v>0</v>
      </c>
      <c r="DJ291" s="7">
        <f t="shared" ref="DJ291:DJ298" si="600">DI291-DH291</f>
        <v>-11</v>
      </c>
      <c r="DK291" s="242"/>
      <c r="DL291" s="304">
        <f>SUM(DL272:DL275)</f>
        <v>0</v>
      </c>
      <c r="DM291" s="234">
        <f>DH291+DK291-DL291</f>
        <v>11</v>
      </c>
    </row>
    <row r="292" spans="1:117" ht="30.75" thickBot="1" x14ac:dyDescent="0.3">
      <c r="A292" s="18"/>
      <c r="B292" s="15" t="s">
        <v>517</v>
      </c>
      <c r="C292" s="18">
        <v>1</v>
      </c>
      <c r="D292" s="15" t="s">
        <v>377</v>
      </c>
      <c r="E292" s="15"/>
      <c r="F292" s="568">
        <v>1482</v>
      </c>
      <c r="G292" s="109" t="s">
        <v>10</v>
      </c>
      <c r="H292" s="25" t="s">
        <v>524</v>
      </c>
      <c r="I292" s="25"/>
      <c r="J292" s="530">
        <f t="shared" si="584"/>
        <v>0</v>
      </c>
      <c r="K292" s="395">
        <f t="shared" si="585"/>
        <v>-9</v>
      </c>
      <c r="L292" s="544">
        <v>10</v>
      </c>
      <c r="M292" s="298">
        <f>M290</f>
        <v>1</v>
      </c>
      <c r="N292" s="5">
        <f t="shared" si="586"/>
        <v>-9</v>
      </c>
      <c r="O292" s="256"/>
      <c r="P292" s="303">
        <f>P290</f>
        <v>1</v>
      </c>
      <c r="Q292" s="231">
        <f>L292+O292-P292</f>
        <v>9</v>
      </c>
      <c r="R292" s="121"/>
      <c r="S292" s="6"/>
      <c r="T292" s="35"/>
      <c r="U292" s="612"/>
      <c r="V292" s="121"/>
      <c r="W292" s="6"/>
      <c r="X292" s="35"/>
      <c r="Y292" s="612"/>
      <c r="Z292" s="21"/>
      <c r="AA292" s="6"/>
      <c r="AB292" s="35"/>
      <c r="AC292" s="234"/>
      <c r="AD292" s="234"/>
      <c r="AE292" s="395">
        <f t="shared" si="587"/>
        <v>-8</v>
      </c>
      <c r="AF292" s="29">
        <f t="shared" si="588"/>
        <v>9</v>
      </c>
      <c r="AG292" s="298">
        <f>AG290</f>
        <v>1</v>
      </c>
      <c r="AH292" s="5">
        <f t="shared" si="589"/>
        <v>-8</v>
      </c>
      <c r="AI292" s="256"/>
      <c r="AJ292" s="303">
        <f>AJ290</f>
        <v>0</v>
      </c>
      <c r="AK292" s="231">
        <f>AF292+AI292-AJ292</f>
        <v>9</v>
      </c>
      <c r="AL292" s="121"/>
      <c r="AM292" s="6"/>
      <c r="AN292" s="35"/>
      <c r="AO292" s="612"/>
      <c r="AP292" s="121"/>
      <c r="AQ292" s="6"/>
      <c r="AR292" s="35"/>
      <c r="AS292" s="612"/>
      <c r="AT292" s="21"/>
      <c r="AU292" s="6"/>
      <c r="AV292" s="35"/>
      <c r="AW292" s="234"/>
      <c r="AX292" s="234"/>
      <c r="AY292" s="395">
        <f t="shared" si="590"/>
        <v>-6</v>
      </c>
      <c r="AZ292" s="29">
        <f t="shared" ref="AZ292:AZ314" si="601">AK292</f>
        <v>9</v>
      </c>
      <c r="BA292" s="298">
        <f>BA290</f>
        <v>2</v>
      </c>
      <c r="BB292" s="5">
        <f t="shared" si="591"/>
        <v>-7</v>
      </c>
      <c r="BC292" s="256"/>
      <c r="BD292" s="303">
        <f>BD290</f>
        <v>3</v>
      </c>
      <c r="BE292" s="231">
        <f>AZ292+BC292-BD292</f>
        <v>6</v>
      </c>
      <c r="BF292" s="121"/>
      <c r="BG292" s="6"/>
      <c r="BH292" s="35"/>
      <c r="BI292" s="612"/>
      <c r="BJ292" s="121"/>
      <c r="BK292" s="6"/>
      <c r="BL292" s="35"/>
      <c r="BM292" s="712"/>
      <c r="BN292" s="200"/>
      <c r="BO292" s="6"/>
      <c r="BP292" s="79"/>
      <c r="BQ292" s="619"/>
      <c r="BR292" s="619"/>
      <c r="BS292" s="395">
        <f t="shared" si="592"/>
        <v>-5</v>
      </c>
      <c r="BT292" s="29">
        <f t="shared" ref="BT292:BT314" si="602">BE292</f>
        <v>6</v>
      </c>
      <c r="BU292" s="298">
        <f>BU290</f>
        <v>6</v>
      </c>
      <c r="BV292" s="5">
        <f t="shared" si="593"/>
        <v>0</v>
      </c>
      <c r="BW292" s="621">
        <v>5</v>
      </c>
      <c r="BX292" s="303">
        <f>BX290</f>
        <v>0</v>
      </c>
      <c r="BY292" s="231">
        <f>BT292+BW292-BX292</f>
        <v>11</v>
      </c>
      <c r="BZ292" s="121"/>
      <c r="CA292" s="6"/>
      <c r="CB292" s="35"/>
      <c r="CC292" s="612"/>
      <c r="CD292" s="668">
        <f t="shared" si="594"/>
        <v>3705</v>
      </c>
      <c r="CE292" s="663"/>
      <c r="CF292" s="704" t="s">
        <v>931</v>
      </c>
      <c r="CG292" s="795"/>
      <c r="CH292" s="21"/>
      <c r="CI292" s="630">
        <f t="shared" si="595"/>
        <v>3705</v>
      </c>
      <c r="CJ292" s="625" t="s">
        <v>935</v>
      </c>
      <c r="CK292" s="806"/>
      <c r="CL292" s="806"/>
      <c r="CM292" s="395">
        <f t="shared" si="596"/>
        <v>-5</v>
      </c>
      <c r="CN292" s="29">
        <f t="shared" ref="CN292:CN314" si="603">BY292</f>
        <v>11</v>
      </c>
      <c r="CO292" s="298">
        <f>SUM(CO272:CO275)</f>
        <v>0</v>
      </c>
      <c r="CP292" s="5">
        <f t="shared" si="597"/>
        <v>-11</v>
      </c>
      <c r="CQ292" s="240"/>
      <c r="CR292" s="303">
        <f>SUM(CR272:CR275)</f>
        <v>0</v>
      </c>
      <c r="CS292" s="231">
        <f>CN292+CQ292-CR292</f>
        <v>11</v>
      </c>
      <c r="CT292" s="121"/>
      <c r="CU292" s="6"/>
      <c r="CV292" s="35"/>
      <c r="CW292" s="612"/>
      <c r="CX292" s="121"/>
      <c r="CY292" s="6"/>
      <c r="CZ292" s="35"/>
      <c r="DA292" s="612"/>
      <c r="DB292" s="21"/>
      <c r="DC292" s="6"/>
      <c r="DD292" s="35"/>
      <c r="DE292" s="234"/>
      <c r="DF292" s="234"/>
      <c r="DG292" s="395">
        <f t="shared" si="598"/>
        <v>-5</v>
      </c>
      <c r="DH292" s="29">
        <f t="shared" si="599"/>
        <v>11</v>
      </c>
      <c r="DI292" s="298">
        <f>SUM(DI272:DI275)</f>
        <v>0</v>
      </c>
      <c r="DJ292" s="5">
        <f t="shared" si="600"/>
        <v>-11</v>
      </c>
      <c r="DK292" s="240"/>
      <c r="DL292" s="303">
        <f>SUM(DL272:DL275)</f>
        <v>0</v>
      </c>
      <c r="DM292" s="231">
        <f>DH292+DK292-DL292</f>
        <v>11</v>
      </c>
    </row>
    <row r="293" spans="1:117" ht="30.75" thickBot="1" x14ac:dyDescent="0.3">
      <c r="A293" s="18"/>
      <c r="B293" s="15" t="s">
        <v>518</v>
      </c>
      <c r="C293" s="18">
        <v>1</v>
      </c>
      <c r="D293" s="15" t="s">
        <v>377</v>
      </c>
      <c r="E293" s="15"/>
      <c r="F293" s="568">
        <v>2316</v>
      </c>
      <c r="G293" s="109" t="s">
        <v>10</v>
      </c>
      <c r="H293" s="25" t="s">
        <v>524</v>
      </c>
      <c r="I293" s="25"/>
      <c r="J293" s="530">
        <f t="shared" si="584"/>
        <v>0</v>
      </c>
      <c r="K293" s="395">
        <f t="shared" si="585"/>
        <v>-9</v>
      </c>
      <c r="L293" s="544">
        <v>10</v>
      </c>
      <c r="M293" s="298">
        <f>M290</f>
        <v>1</v>
      </c>
      <c r="N293" s="5">
        <f t="shared" si="586"/>
        <v>-9</v>
      </c>
      <c r="O293" s="256"/>
      <c r="P293" s="303">
        <f>P290</f>
        <v>1</v>
      </c>
      <c r="Q293" s="231">
        <f t="shared" ref="Q293:Q298" si="604">L293+O293-P293</f>
        <v>9</v>
      </c>
      <c r="R293" s="121"/>
      <c r="S293" s="6"/>
      <c r="T293" s="35"/>
      <c r="U293" s="612"/>
      <c r="V293" s="121"/>
      <c r="W293" s="6"/>
      <c r="X293" s="35"/>
      <c r="Y293" s="612"/>
      <c r="Z293" s="21"/>
      <c r="AA293" s="6"/>
      <c r="AB293" s="35"/>
      <c r="AC293" s="234"/>
      <c r="AD293" s="234"/>
      <c r="AE293" s="395">
        <f t="shared" si="587"/>
        <v>-8</v>
      </c>
      <c r="AF293" s="29">
        <f t="shared" si="588"/>
        <v>9</v>
      </c>
      <c r="AG293" s="298">
        <f>AG290</f>
        <v>1</v>
      </c>
      <c r="AH293" s="5">
        <f t="shared" si="589"/>
        <v>-8</v>
      </c>
      <c r="AI293" s="256"/>
      <c r="AJ293" s="303">
        <f>AJ290</f>
        <v>0</v>
      </c>
      <c r="AK293" s="231">
        <f t="shared" ref="AK293:AK298" si="605">AF293+AI293-AJ293</f>
        <v>9</v>
      </c>
      <c r="AL293" s="121"/>
      <c r="AM293" s="6"/>
      <c r="AN293" s="35"/>
      <c r="AO293" s="612"/>
      <c r="AP293" s="121"/>
      <c r="AQ293" s="6"/>
      <c r="AR293" s="35"/>
      <c r="AS293" s="612"/>
      <c r="AT293" s="21"/>
      <c r="AU293" s="6"/>
      <c r="AV293" s="35"/>
      <c r="AW293" s="234"/>
      <c r="AX293" s="234"/>
      <c r="AY293" s="395">
        <f t="shared" si="590"/>
        <v>-6</v>
      </c>
      <c r="AZ293" s="29">
        <f t="shared" si="601"/>
        <v>9</v>
      </c>
      <c r="BA293" s="298">
        <f>BA290</f>
        <v>2</v>
      </c>
      <c r="BB293" s="5">
        <f t="shared" si="591"/>
        <v>-7</v>
      </c>
      <c r="BC293" s="256"/>
      <c r="BD293" s="303">
        <f>BD290</f>
        <v>3</v>
      </c>
      <c r="BE293" s="231">
        <f t="shared" ref="BE293:BE298" si="606">AZ293+BC293-BD293</f>
        <v>6</v>
      </c>
      <c r="BF293" s="121"/>
      <c r="BG293" s="6"/>
      <c r="BH293" s="35"/>
      <c r="BI293" s="612"/>
      <c r="BJ293" s="121"/>
      <c r="BK293" s="6"/>
      <c r="BL293" s="35"/>
      <c r="BM293" s="712"/>
      <c r="BN293" s="200"/>
      <c r="BO293" s="6"/>
      <c r="BP293" s="79"/>
      <c r="BQ293" s="619"/>
      <c r="BR293" s="619"/>
      <c r="BS293" s="395">
        <f t="shared" si="592"/>
        <v>-5</v>
      </c>
      <c r="BT293" s="29">
        <f t="shared" si="602"/>
        <v>6</v>
      </c>
      <c r="BU293" s="298">
        <f>BU290</f>
        <v>6</v>
      </c>
      <c r="BV293" s="5">
        <f t="shared" si="593"/>
        <v>0</v>
      </c>
      <c r="BW293" s="621">
        <v>5</v>
      </c>
      <c r="BX293" s="303">
        <f>BX290</f>
        <v>0</v>
      </c>
      <c r="BY293" s="231">
        <f t="shared" ref="BY293:BY298" si="607">BT293+BW293-BX293</f>
        <v>11</v>
      </c>
      <c r="BZ293" s="121"/>
      <c r="CA293" s="6"/>
      <c r="CB293" s="35"/>
      <c r="CC293" s="612"/>
      <c r="CD293" s="668">
        <f t="shared" si="594"/>
        <v>5790</v>
      </c>
      <c r="CE293" s="663"/>
      <c r="CF293" s="704" t="s">
        <v>931</v>
      </c>
      <c r="CG293" s="795"/>
      <c r="CH293" s="21"/>
      <c r="CI293" s="630">
        <f t="shared" si="595"/>
        <v>5790</v>
      </c>
      <c r="CJ293" s="625" t="s">
        <v>935</v>
      </c>
      <c r="CK293" s="806"/>
      <c r="CL293" s="806"/>
      <c r="CM293" s="395">
        <f t="shared" si="596"/>
        <v>-5</v>
      </c>
      <c r="CN293" s="29">
        <f t="shared" si="603"/>
        <v>11</v>
      </c>
      <c r="CO293" s="298">
        <f>CO290</f>
        <v>0</v>
      </c>
      <c r="CP293" s="5">
        <f t="shared" si="597"/>
        <v>-11</v>
      </c>
      <c r="CQ293" s="256"/>
      <c r="CR293" s="303">
        <f>CR290</f>
        <v>0</v>
      </c>
      <c r="CS293" s="231">
        <f t="shared" ref="CS293:CS298" si="608">CN293+CQ293-CR293</f>
        <v>11</v>
      </c>
      <c r="CT293" s="121"/>
      <c r="CU293" s="6"/>
      <c r="CV293" s="35"/>
      <c r="CW293" s="612"/>
      <c r="CX293" s="121"/>
      <c r="CY293" s="6"/>
      <c r="CZ293" s="35"/>
      <c r="DA293" s="612"/>
      <c r="DB293" s="21"/>
      <c r="DC293" s="6"/>
      <c r="DD293" s="35"/>
      <c r="DE293" s="234"/>
      <c r="DF293" s="234"/>
      <c r="DG293" s="395">
        <f t="shared" si="598"/>
        <v>-5</v>
      </c>
      <c r="DH293" s="29">
        <f t="shared" si="599"/>
        <v>11</v>
      </c>
      <c r="DI293" s="298">
        <f>DI290</f>
        <v>0</v>
      </c>
      <c r="DJ293" s="5">
        <f t="shared" si="600"/>
        <v>-11</v>
      </c>
      <c r="DK293" s="256"/>
      <c r="DL293" s="303">
        <f>DL290</f>
        <v>0</v>
      </c>
      <c r="DM293" s="231">
        <f t="shared" ref="DM293:DM298" si="609">DH293+DK293-DL293</f>
        <v>11</v>
      </c>
    </row>
    <row r="294" spans="1:117" ht="30.75" thickBot="1" x14ac:dyDescent="0.3">
      <c r="A294" s="18"/>
      <c r="B294" s="15" t="s">
        <v>519</v>
      </c>
      <c r="C294" s="18">
        <v>1</v>
      </c>
      <c r="D294" s="15" t="s">
        <v>377</v>
      </c>
      <c r="E294" s="15"/>
      <c r="F294" s="568">
        <v>1413</v>
      </c>
      <c r="G294" s="109" t="s">
        <v>10</v>
      </c>
      <c r="H294" s="25" t="s">
        <v>524</v>
      </c>
      <c r="I294" s="25"/>
      <c r="J294" s="530">
        <f t="shared" si="584"/>
        <v>0</v>
      </c>
      <c r="K294" s="395">
        <f t="shared" si="585"/>
        <v>-9</v>
      </c>
      <c r="L294" s="544">
        <v>10</v>
      </c>
      <c r="M294" s="298">
        <f>M290</f>
        <v>1</v>
      </c>
      <c r="N294" s="5">
        <f t="shared" si="586"/>
        <v>-9</v>
      </c>
      <c r="O294" s="256"/>
      <c r="P294" s="303">
        <f>P290</f>
        <v>1</v>
      </c>
      <c r="Q294" s="231">
        <f t="shared" si="604"/>
        <v>9</v>
      </c>
      <c r="R294" s="121"/>
      <c r="S294" s="6"/>
      <c r="T294" s="35"/>
      <c r="U294" s="612"/>
      <c r="V294" s="121"/>
      <c r="W294" s="6"/>
      <c r="X294" s="35"/>
      <c r="Y294" s="612"/>
      <c r="Z294" s="21"/>
      <c r="AA294" s="6"/>
      <c r="AB294" s="35"/>
      <c r="AC294" s="234"/>
      <c r="AD294" s="234"/>
      <c r="AE294" s="395">
        <f t="shared" si="587"/>
        <v>-8</v>
      </c>
      <c r="AF294" s="29">
        <f t="shared" si="588"/>
        <v>9</v>
      </c>
      <c r="AG294" s="298">
        <f>AG290</f>
        <v>1</v>
      </c>
      <c r="AH294" s="5">
        <f t="shared" si="589"/>
        <v>-8</v>
      </c>
      <c r="AI294" s="256"/>
      <c r="AJ294" s="303">
        <f>AJ290</f>
        <v>0</v>
      </c>
      <c r="AK294" s="231">
        <f t="shared" si="605"/>
        <v>9</v>
      </c>
      <c r="AL294" s="121"/>
      <c r="AM294" s="6"/>
      <c r="AN294" s="35"/>
      <c r="AO294" s="612"/>
      <c r="AP294" s="121"/>
      <c r="AQ294" s="6"/>
      <c r="AR294" s="35"/>
      <c r="AS294" s="612"/>
      <c r="AT294" s="21"/>
      <c r="AU294" s="6"/>
      <c r="AV294" s="35"/>
      <c r="AW294" s="234"/>
      <c r="AX294" s="234"/>
      <c r="AY294" s="395">
        <f t="shared" si="590"/>
        <v>-6</v>
      </c>
      <c r="AZ294" s="29">
        <f t="shared" si="601"/>
        <v>9</v>
      </c>
      <c r="BA294" s="298">
        <f>BA290</f>
        <v>2</v>
      </c>
      <c r="BB294" s="5">
        <f t="shared" si="591"/>
        <v>-7</v>
      </c>
      <c r="BC294" s="256"/>
      <c r="BD294" s="303">
        <f>BD290</f>
        <v>3</v>
      </c>
      <c r="BE294" s="231">
        <f t="shared" si="606"/>
        <v>6</v>
      </c>
      <c r="BF294" s="121"/>
      <c r="BG294" s="6"/>
      <c r="BH294" s="35"/>
      <c r="BI294" s="612"/>
      <c r="BJ294" s="121"/>
      <c r="BK294" s="6"/>
      <c r="BL294" s="35"/>
      <c r="BM294" s="712"/>
      <c r="BN294" s="200"/>
      <c r="BO294" s="6"/>
      <c r="BP294" s="79"/>
      <c r="BQ294" s="619"/>
      <c r="BR294" s="619"/>
      <c r="BS294" s="395">
        <f t="shared" si="592"/>
        <v>-5</v>
      </c>
      <c r="BT294" s="29">
        <f t="shared" si="602"/>
        <v>6</v>
      </c>
      <c r="BU294" s="298">
        <f>BU290</f>
        <v>6</v>
      </c>
      <c r="BV294" s="5">
        <f t="shared" si="593"/>
        <v>0</v>
      </c>
      <c r="BW294" s="621">
        <v>5</v>
      </c>
      <c r="BX294" s="303">
        <f>BX290</f>
        <v>0</v>
      </c>
      <c r="BY294" s="231">
        <f t="shared" si="607"/>
        <v>11</v>
      </c>
      <c r="BZ294" s="121"/>
      <c r="CA294" s="6"/>
      <c r="CB294" s="35"/>
      <c r="CC294" s="612"/>
      <c r="CD294" s="668">
        <f t="shared" si="594"/>
        <v>3532.5</v>
      </c>
      <c r="CE294" s="663"/>
      <c r="CF294" s="704" t="s">
        <v>931</v>
      </c>
      <c r="CG294" s="795"/>
      <c r="CH294" s="21"/>
      <c r="CI294" s="630">
        <f t="shared" si="595"/>
        <v>3532.5</v>
      </c>
      <c r="CJ294" s="625" t="s">
        <v>935</v>
      </c>
      <c r="CK294" s="806"/>
      <c r="CL294" s="806"/>
      <c r="CM294" s="395">
        <f t="shared" si="596"/>
        <v>-5</v>
      </c>
      <c r="CN294" s="29">
        <f t="shared" si="603"/>
        <v>11</v>
      </c>
      <c r="CO294" s="298">
        <f>CO290</f>
        <v>0</v>
      </c>
      <c r="CP294" s="5">
        <f t="shared" si="597"/>
        <v>-11</v>
      </c>
      <c r="CQ294" s="256"/>
      <c r="CR294" s="303">
        <f>CR290</f>
        <v>0</v>
      </c>
      <c r="CS294" s="231">
        <f t="shared" si="608"/>
        <v>11</v>
      </c>
      <c r="CT294" s="121"/>
      <c r="CU294" s="6"/>
      <c r="CV294" s="35"/>
      <c r="CW294" s="612"/>
      <c r="CX294" s="121"/>
      <c r="CY294" s="6"/>
      <c r="CZ294" s="35"/>
      <c r="DA294" s="612"/>
      <c r="DB294" s="21"/>
      <c r="DC294" s="6"/>
      <c r="DD294" s="35"/>
      <c r="DE294" s="234"/>
      <c r="DF294" s="234"/>
      <c r="DG294" s="395">
        <f t="shared" si="598"/>
        <v>-5</v>
      </c>
      <c r="DH294" s="29">
        <f t="shared" si="599"/>
        <v>11</v>
      </c>
      <c r="DI294" s="298">
        <f>DI290</f>
        <v>0</v>
      </c>
      <c r="DJ294" s="5">
        <f t="shared" si="600"/>
        <v>-11</v>
      </c>
      <c r="DK294" s="256"/>
      <c r="DL294" s="303">
        <f>DL290</f>
        <v>0</v>
      </c>
      <c r="DM294" s="231">
        <f t="shared" si="609"/>
        <v>11</v>
      </c>
    </row>
    <row r="295" spans="1:117" ht="30.75" thickBot="1" x14ac:dyDescent="0.3">
      <c r="A295" s="18"/>
      <c r="B295" s="11" t="s">
        <v>520</v>
      </c>
      <c r="C295" s="18">
        <v>4</v>
      </c>
      <c r="D295" s="15" t="s">
        <v>377</v>
      </c>
      <c r="E295" s="15"/>
      <c r="F295" s="568">
        <v>202</v>
      </c>
      <c r="G295" s="109" t="s">
        <v>10</v>
      </c>
      <c r="H295" s="25" t="s">
        <v>524</v>
      </c>
      <c r="I295" s="25"/>
      <c r="J295" s="530">
        <f t="shared" si="584"/>
        <v>0</v>
      </c>
      <c r="K295" s="395">
        <f t="shared" si="585"/>
        <v>-36</v>
      </c>
      <c r="L295" s="544">
        <v>40</v>
      </c>
      <c r="M295" s="298">
        <f>M290*4</f>
        <v>4</v>
      </c>
      <c r="N295" s="5">
        <f t="shared" si="586"/>
        <v>-36</v>
      </c>
      <c r="O295" s="256"/>
      <c r="P295" s="303">
        <f>P290*4</f>
        <v>4</v>
      </c>
      <c r="Q295" s="231">
        <f t="shared" si="604"/>
        <v>36</v>
      </c>
      <c r="R295" s="121"/>
      <c r="S295" s="6"/>
      <c r="T295" s="35"/>
      <c r="U295" s="612"/>
      <c r="V295" s="121"/>
      <c r="W295" s="6"/>
      <c r="X295" s="35"/>
      <c r="Y295" s="612"/>
      <c r="Z295" s="21"/>
      <c r="AA295" s="6"/>
      <c r="AB295" s="35"/>
      <c r="AC295" s="234"/>
      <c r="AD295" s="234"/>
      <c r="AE295" s="395">
        <f t="shared" si="587"/>
        <v>-32</v>
      </c>
      <c r="AF295" s="29">
        <f t="shared" si="588"/>
        <v>36</v>
      </c>
      <c r="AG295" s="298">
        <f>AG290*4</f>
        <v>4</v>
      </c>
      <c r="AH295" s="5">
        <f t="shared" si="589"/>
        <v>-32</v>
      </c>
      <c r="AI295" s="256"/>
      <c r="AJ295" s="303">
        <f>AJ290*4</f>
        <v>0</v>
      </c>
      <c r="AK295" s="231">
        <f t="shared" si="605"/>
        <v>36</v>
      </c>
      <c r="AL295" s="121"/>
      <c r="AM295" s="6"/>
      <c r="AN295" s="35"/>
      <c r="AO295" s="612"/>
      <c r="AP295" s="121"/>
      <c r="AQ295" s="6"/>
      <c r="AR295" s="35"/>
      <c r="AS295" s="612"/>
      <c r="AT295" s="21"/>
      <c r="AU295" s="6"/>
      <c r="AV295" s="35"/>
      <c r="AW295" s="234"/>
      <c r="AX295" s="234"/>
      <c r="AY295" s="395">
        <f t="shared" si="590"/>
        <v>-24</v>
      </c>
      <c r="AZ295" s="29">
        <f t="shared" si="601"/>
        <v>36</v>
      </c>
      <c r="BA295" s="298">
        <f>BA290*4</f>
        <v>8</v>
      </c>
      <c r="BB295" s="5">
        <f t="shared" si="591"/>
        <v>-28</v>
      </c>
      <c r="BC295" s="256"/>
      <c r="BD295" s="303">
        <f>BD290*4</f>
        <v>12</v>
      </c>
      <c r="BE295" s="231">
        <f t="shared" si="606"/>
        <v>24</v>
      </c>
      <c r="BF295" s="121"/>
      <c r="BG295" s="6"/>
      <c r="BH295" s="35"/>
      <c r="BI295" s="612"/>
      <c r="BJ295" s="121"/>
      <c r="BK295" s="6"/>
      <c r="BL295" s="35"/>
      <c r="BM295" s="712"/>
      <c r="BN295" s="200"/>
      <c r="BO295" s="6"/>
      <c r="BP295" s="79"/>
      <c r="BQ295" s="619"/>
      <c r="BR295" s="619"/>
      <c r="BS295" s="395">
        <f t="shared" si="592"/>
        <v>-20</v>
      </c>
      <c r="BT295" s="29">
        <f t="shared" si="602"/>
        <v>24</v>
      </c>
      <c r="BU295" s="298">
        <f>BU290*4</f>
        <v>24</v>
      </c>
      <c r="BV295" s="5">
        <f t="shared" si="593"/>
        <v>0</v>
      </c>
      <c r="BW295" s="621">
        <v>20</v>
      </c>
      <c r="BX295" s="303">
        <f>BX290*4</f>
        <v>0</v>
      </c>
      <c r="BY295" s="231">
        <f t="shared" si="607"/>
        <v>44</v>
      </c>
      <c r="BZ295" s="121"/>
      <c r="CA295" s="6"/>
      <c r="CB295" s="35"/>
      <c r="CC295" s="612"/>
      <c r="CD295" s="668">
        <f t="shared" si="594"/>
        <v>2020</v>
      </c>
      <c r="CE295" s="663"/>
      <c r="CF295" s="704" t="s">
        <v>932</v>
      </c>
      <c r="CG295" s="795"/>
      <c r="CH295" s="21"/>
      <c r="CI295" s="630">
        <f t="shared" si="595"/>
        <v>2020</v>
      </c>
      <c r="CJ295" s="625" t="s">
        <v>935</v>
      </c>
      <c r="CK295" s="806"/>
      <c r="CL295" s="806"/>
      <c r="CM295" s="395">
        <f t="shared" si="596"/>
        <v>-20</v>
      </c>
      <c r="CN295" s="29">
        <f t="shared" si="603"/>
        <v>44</v>
      </c>
      <c r="CO295" s="298">
        <f>CO290*4</f>
        <v>0</v>
      </c>
      <c r="CP295" s="5">
        <f t="shared" si="597"/>
        <v>-44</v>
      </c>
      <c r="CQ295" s="256"/>
      <c r="CR295" s="303">
        <f>CR290*4</f>
        <v>0</v>
      </c>
      <c r="CS295" s="231">
        <f t="shared" si="608"/>
        <v>44</v>
      </c>
      <c r="CT295" s="121"/>
      <c r="CU295" s="6"/>
      <c r="CV295" s="35"/>
      <c r="CW295" s="612"/>
      <c r="CX295" s="121"/>
      <c r="CY295" s="6"/>
      <c r="CZ295" s="35"/>
      <c r="DA295" s="612"/>
      <c r="DB295" s="21"/>
      <c r="DC295" s="6"/>
      <c r="DD295" s="35"/>
      <c r="DE295" s="234"/>
      <c r="DF295" s="234"/>
      <c r="DG295" s="395">
        <f t="shared" si="598"/>
        <v>-20</v>
      </c>
      <c r="DH295" s="29">
        <f t="shared" si="599"/>
        <v>44</v>
      </c>
      <c r="DI295" s="298">
        <f>DI290*4</f>
        <v>0</v>
      </c>
      <c r="DJ295" s="5">
        <f t="shared" si="600"/>
        <v>-44</v>
      </c>
      <c r="DK295" s="256"/>
      <c r="DL295" s="303">
        <f>DL290*4</f>
        <v>0</v>
      </c>
      <c r="DM295" s="231">
        <f t="shared" si="609"/>
        <v>44</v>
      </c>
    </row>
    <row r="296" spans="1:117" ht="30.75" thickBot="1" x14ac:dyDescent="0.3">
      <c r="A296" s="18"/>
      <c r="B296" s="11" t="s">
        <v>521</v>
      </c>
      <c r="C296" s="18">
        <v>8</v>
      </c>
      <c r="D296" s="15" t="s">
        <v>377</v>
      </c>
      <c r="E296" s="15"/>
      <c r="F296" s="568">
        <v>187</v>
      </c>
      <c r="G296" s="109" t="s">
        <v>10</v>
      </c>
      <c r="H296" s="25" t="s">
        <v>524</v>
      </c>
      <c r="I296" s="25"/>
      <c r="J296" s="530">
        <f t="shared" si="584"/>
        <v>0</v>
      </c>
      <c r="K296" s="395">
        <f t="shared" si="585"/>
        <v>-72</v>
      </c>
      <c r="L296" s="544">
        <v>80</v>
      </c>
      <c r="M296" s="298">
        <f>M290*8</f>
        <v>8</v>
      </c>
      <c r="N296" s="5">
        <f t="shared" si="586"/>
        <v>-72</v>
      </c>
      <c r="O296" s="256"/>
      <c r="P296" s="303">
        <f>P290*8</f>
        <v>8</v>
      </c>
      <c r="Q296" s="231">
        <f t="shared" si="604"/>
        <v>72</v>
      </c>
      <c r="R296" s="121"/>
      <c r="S296" s="6"/>
      <c r="T296" s="35"/>
      <c r="U296" s="612"/>
      <c r="V296" s="121"/>
      <c r="W296" s="6"/>
      <c r="X296" s="35"/>
      <c r="Y296" s="612"/>
      <c r="Z296" s="21"/>
      <c r="AA296" s="6"/>
      <c r="AB296" s="35"/>
      <c r="AC296" s="234"/>
      <c r="AD296" s="234"/>
      <c r="AE296" s="395">
        <f t="shared" si="587"/>
        <v>-64</v>
      </c>
      <c r="AF296" s="29">
        <f t="shared" si="588"/>
        <v>72</v>
      </c>
      <c r="AG296" s="298">
        <f>AG290*8</f>
        <v>8</v>
      </c>
      <c r="AH296" s="5">
        <f t="shared" si="589"/>
        <v>-64</v>
      </c>
      <c r="AI296" s="256"/>
      <c r="AJ296" s="303">
        <f>AJ290*8</f>
        <v>0</v>
      </c>
      <c r="AK296" s="231">
        <f t="shared" si="605"/>
        <v>72</v>
      </c>
      <c r="AL296" s="121"/>
      <c r="AM296" s="6"/>
      <c r="AN296" s="35"/>
      <c r="AO296" s="612"/>
      <c r="AP296" s="121"/>
      <c r="AQ296" s="6"/>
      <c r="AR296" s="35"/>
      <c r="AS296" s="612"/>
      <c r="AT296" s="21"/>
      <c r="AU296" s="6"/>
      <c r="AV296" s="35"/>
      <c r="AW296" s="234"/>
      <c r="AX296" s="234"/>
      <c r="AY296" s="395">
        <f t="shared" si="590"/>
        <v>-48</v>
      </c>
      <c r="AZ296" s="29">
        <f t="shared" si="601"/>
        <v>72</v>
      </c>
      <c r="BA296" s="298">
        <f>BA290*8</f>
        <v>16</v>
      </c>
      <c r="BB296" s="5">
        <f t="shared" si="591"/>
        <v>-56</v>
      </c>
      <c r="BC296" s="256"/>
      <c r="BD296" s="303">
        <f>BD290*8</f>
        <v>24</v>
      </c>
      <c r="BE296" s="231">
        <f t="shared" si="606"/>
        <v>48</v>
      </c>
      <c r="BF296" s="121"/>
      <c r="BG296" s="6"/>
      <c r="BH296" s="35"/>
      <c r="BI296" s="612"/>
      <c r="BJ296" s="121"/>
      <c r="BK296" s="6"/>
      <c r="BL296" s="35"/>
      <c r="BM296" s="712"/>
      <c r="BN296" s="200"/>
      <c r="BO296" s="6"/>
      <c r="BP296" s="79"/>
      <c r="BQ296" s="619"/>
      <c r="BR296" s="619"/>
      <c r="BS296" s="395">
        <f t="shared" si="592"/>
        <v>-40</v>
      </c>
      <c r="BT296" s="29">
        <f t="shared" si="602"/>
        <v>48</v>
      </c>
      <c r="BU296" s="298">
        <f>BU290*8</f>
        <v>48</v>
      </c>
      <c r="BV296" s="5">
        <f t="shared" si="593"/>
        <v>0</v>
      </c>
      <c r="BW296" s="621">
        <v>40</v>
      </c>
      <c r="BX296" s="303">
        <f>BX290*8</f>
        <v>0</v>
      </c>
      <c r="BY296" s="231">
        <f t="shared" si="607"/>
        <v>88</v>
      </c>
      <c r="BZ296" s="121"/>
      <c r="CA296" s="6"/>
      <c r="CB296" s="35"/>
      <c r="CC296" s="612"/>
      <c r="CD296" s="668">
        <f t="shared" si="594"/>
        <v>3740</v>
      </c>
      <c r="CE296" s="663"/>
      <c r="CF296" s="704" t="s">
        <v>933</v>
      </c>
      <c r="CG296" s="795"/>
      <c r="CH296" s="21"/>
      <c r="CI296" s="630">
        <f t="shared" si="595"/>
        <v>3740</v>
      </c>
      <c r="CJ296" s="625" t="s">
        <v>935</v>
      </c>
      <c r="CK296" s="806"/>
      <c r="CL296" s="806"/>
      <c r="CM296" s="395">
        <f t="shared" si="596"/>
        <v>-40</v>
      </c>
      <c r="CN296" s="29">
        <f t="shared" si="603"/>
        <v>88</v>
      </c>
      <c r="CO296" s="298">
        <f>CO290*8</f>
        <v>0</v>
      </c>
      <c r="CP296" s="5">
        <f t="shared" si="597"/>
        <v>-88</v>
      </c>
      <c r="CQ296" s="256"/>
      <c r="CR296" s="303">
        <f>CR290*8</f>
        <v>0</v>
      </c>
      <c r="CS296" s="231">
        <f t="shared" si="608"/>
        <v>88</v>
      </c>
      <c r="CT296" s="121"/>
      <c r="CU296" s="6"/>
      <c r="CV296" s="35"/>
      <c r="CW296" s="612"/>
      <c r="CX296" s="121"/>
      <c r="CY296" s="6"/>
      <c r="CZ296" s="35"/>
      <c r="DA296" s="612"/>
      <c r="DB296" s="21"/>
      <c r="DC296" s="6"/>
      <c r="DD296" s="35"/>
      <c r="DE296" s="234"/>
      <c r="DF296" s="234"/>
      <c r="DG296" s="395">
        <f t="shared" si="598"/>
        <v>-40</v>
      </c>
      <c r="DH296" s="29">
        <f t="shared" si="599"/>
        <v>88</v>
      </c>
      <c r="DI296" s="298">
        <f>DI290*8</f>
        <v>0</v>
      </c>
      <c r="DJ296" s="5">
        <f t="shared" si="600"/>
        <v>-88</v>
      </c>
      <c r="DK296" s="256"/>
      <c r="DL296" s="303">
        <f>DL290*8</f>
        <v>0</v>
      </c>
      <c r="DM296" s="231">
        <f t="shared" si="609"/>
        <v>88</v>
      </c>
    </row>
    <row r="297" spans="1:117" ht="30.75" thickBot="1" x14ac:dyDescent="0.3">
      <c r="A297" s="18"/>
      <c r="B297" s="11" t="s">
        <v>522</v>
      </c>
      <c r="C297" s="18">
        <v>2</v>
      </c>
      <c r="D297" s="15" t="s">
        <v>377</v>
      </c>
      <c r="E297" s="15"/>
      <c r="F297" s="568">
        <v>1856</v>
      </c>
      <c r="G297" s="109" t="s">
        <v>10</v>
      </c>
      <c r="H297" s="25" t="s">
        <v>524</v>
      </c>
      <c r="I297" s="25"/>
      <c r="J297" s="530">
        <f t="shared" si="584"/>
        <v>0</v>
      </c>
      <c r="K297" s="395">
        <f t="shared" si="585"/>
        <v>-18</v>
      </c>
      <c r="L297" s="544">
        <v>20</v>
      </c>
      <c r="M297" s="298">
        <f>M290*2</f>
        <v>2</v>
      </c>
      <c r="N297" s="5">
        <f t="shared" si="586"/>
        <v>-18</v>
      </c>
      <c r="O297" s="256"/>
      <c r="P297" s="303">
        <f>P290*2</f>
        <v>2</v>
      </c>
      <c r="Q297" s="231">
        <f t="shared" si="604"/>
        <v>18</v>
      </c>
      <c r="R297" s="121"/>
      <c r="S297" s="6"/>
      <c r="T297" s="35"/>
      <c r="U297" s="612"/>
      <c r="V297" s="121"/>
      <c r="W297" s="6"/>
      <c r="X297" s="35"/>
      <c r="Y297" s="612"/>
      <c r="Z297" s="21"/>
      <c r="AA297" s="6"/>
      <c r="AB297" s="35"/>
      <c r="AC297" s="234"/>
      <c r="AD297" s="234"/>
      <c r="AE297" s="395">
        <f t="shared" si="587"/>
        <v>-16</v>
      </c>
      <c r="AF297" s="29">
        <f t="shared" si="588"/>
        <v>18</v>
      </c>
      <c r="AG297" s="298">
        <f>AG290*2</f>
        <v>2</v>
      </c>
      <c r="AH297" s="5">
        <f t="shared" si="589"/>
        <v>-16</v>
      </c>
      <c r="AI297" s="256"/>
      <c r="AJ297" s="303">
        <f>AJ290*2</f>
        <v>0</v>
      </c>
      <c r="AK297" s="231">
        <f t="shared" si="605"/>
        <v>18</v>
      </c>
      <c r="AL297" s="121"/>
      <c r="AM297" s="6"/>
      <c r="AN297" s="35"/>
      <c r="AO297" s="612"/>
      <c r="AP297" s="121"/>
      <c r="AQ297" s="6"/>
      <c r="AR297" s="35"/>
      <c r="AS297" s="612"/>
      <c r="AT297" s="21"/>
      <c r="AU297" s="6"/>
      <c r="AV297" s="35"/>
      <c r="AW297" s="234"/>
      <c r="AX297" s="234"/>
      <c r="AY297" s="395">
        <f t="shared" si="590"/>
        <v>-12</v>
      </c>
      <c r="AZ297" s="29">
        <f t="shared" si="601"/>
        <v>18</v>
      </c>
      <c r="BA297" s="298">
        <f>BA290*2</f>
        <v>4</v>
      </c>
      <c r="BB297" s="5">
        <f t="shared" si="591"/>
        <v>-14</v>
      </c>
      <c r="BC297" s="256"/>
      <c r="BD297" s="303">
        <f>BD290*2</f>
        <v>6</v>
      </c>
      <c r="BE297" s="231">
        <f t="shared" si="606"/>
        <v>12</v>
      </c>
      <c r="BF297" s="121"/>
      <c r="BG297" s="6"/>
      <c r="BH297" s="35"/>
      <c r="BI297" s="612"/>
      <c r="BJ297" s="121"/>
      <c r="BK297" s="6"/>
      <c r="BL297" s="35"/>
      <c r="BM297" s="712"/>
      <c r="BN297" s="200"/>
      <c r="BO297" s="6"/>
      <c r="BP297" s="79"/>
      <c r="BQ297" s="619"/>
      <c r="BR297" s="619"/>
      <c r="BS297" s="395">
        <f t="shared" si="592"/>
        <v>-10</v>
      </c>
      <c r="BT297" s="29">
        <f t="shared" si="602"/>
        <v>12</v>
      </c>
      <c r="BU297" s="298">
        <f>BU290*2</f>
        <v>12</v>
      </c>
      <c r="BV297" s="5">
        <f t="shared" si="593"/>
        <v>0</v>
      </c>
      <c r="BW297" s="621">
        <v>10</v>
      </c>
      <c r="BX297" s="303">
        <f>BX290*2</f>
        <v>0</v>
      </c>
      <c r="BY297" s="231">
        <f t="shared" si="607"/>
        <v>22</v>
      </c>
      <c r="BZ297" s="121"/>
      <c r="CA297" s="6"/>
      <c r="CB297" s="35"/>
      <c r="CC297" s="612"/>
      <c r="CD297" s="668">
        <f t="shared" si="594"/>
        <v>9280</v>
      </c>
      <c r="CE297" s="663"/>
      <c r="CF297" s="704" t="s">
        <v>934</v>
      </c>
      <c r="CG297" s="795"/>
      <c r="CH297" s="21"/>
      <c r="CI297" s="630">
        <f t="shared" si="595"/>
        <v>9280</v>
      </c>
      <c r="CJ297" s="625" t="s">
        <v>935</v>
      </c>
      <c r="CK297" s="806"/>
      <c r="CL297" s="806"/>
      <c r="CM297" s="395">
        <f t="shared" si="596"/>
        <v>-10</v>
      </c>
      <c r="CN297" s="29">
        <f t="shared" si="603"/>
        <v>22</v>
      </c>
      <c r="CO297" s="298">
        <f>CO290*2</f>
        <v>0</v>
      </c>
      <c r="CP297" s="5">
        <f t="shared" si="597"/>
        <v>-22</v>
      </c>
      <c r="CQ297" s="256"/>
      <c r="CR297" s="303">
        <f>CR290*2</f>
        <v>0</v>
      </c>
      <c r="CS297" s="231">
        <f t="shared" si="608"/>
        <v>22</v>
      </c>
      <c r="CT297" s="121"/>
      <c r="CU297" s="6"/>
      <c r="CV297" s="35"/>
      <c r="CW297" s="612"/>
      <c r="CX297" s="121"/>
      <c r="CY297" s="6"/>
      <c r="CZ297" s="35"/>
      <c r="DA297" s="612"/>
      <c r="DB297" s="21"/>
      <c r="DC297" s="6"/>
      <c r="DD297" s="35"/>
      <c r="DE297" s="234"/>
      <c r="DF297" s="234"/>
      <c r="DG297" s="395">
        <f t="shared" si="598"/>
        <v>-10</v>
      </c>
      <c r="DH297" s="29">
        <f t="shared" si="599"/>
        <v>22</v>
      </c>
      <c r="DI297" s="298">
        <f>DI290*2</f>
        <v>0</v>
      </c>
      <c r="DJ297" s="5">
        <f t="shared" si="600"/>
        <v>-22</v>
      </c>
      <c r="DK297" s="256"/>
      <c r="DL297" s="303">
        <f>DL290*2</f>
        <v>0</v>
      </c>
      <c r="DM297" s="231">
        <f t="shared" si="609"/>
        <v>22</v>
      </c>
    </row>
    <row r="298" spans="1:117" ht="30.75" thickBot="1" x14ac:dyDescent="0.3">
      <c r="A298" s="18"/>
      <c r="B298" s="11" t="s">
        <v>523</v>
      </c>
      <c r="C298" s="18">
        <v>2</v>
      </c>
      <c r="D298" s="15" t="s">
        <v>377</v>
      </c>
      <c r="E298" s="15"/>
      <c r="F298" s="568">
        <v>291</v>
      </c>
      <c r="G298" s="109" t="s">
        <v>10</v>
      </c>
      <c r="H298" s="25" t="s">
        <v>524</v>
      </c>
      <c r="I298" s="25"/>
      <c r="J298" s="530">
        <f t="shared" si="584"/>
        <v>0</v>
      </c>
      <c r="K298" s="395">
        <f t="shared" si="585"/>
        <v>-18</v>
      </c>
      <c r="L298" s="544">
        <v>20</v>
      </c>
      <c r="M298" s="298">
        <f>M290*2</f>
        <v>2</v>
      </c>
      <c r="N298" s="5">
        <f t="shared" si="586"/>
        <v>-18</v>
      </c>
      <c r="O298" s="256"/>
      <c r="P298" s="303">
        <f>P290*2</f>
        <v>2</v>
      </c>
      <c r="Q298" s="231">
        <f t="shared" si="604"/>
        <v>18</v>
      </c>
      <c r="R298" s="121"/>
      <c r="S298" s="6"/>
      <c r="T298" s="35"/>
      <c r="U298" s="612"/>
      <c r="V298" s="121"/>
      <c r="W298" s="6"/>
      <c r="X298" s="35"/>
      <c r="Y298" s="612"/>
      <c r="Z298" s="21"/>
      <c r="AA298" s="6"/>
      <c r="AB298" s="35"/>
      <c r="AC298" s="234"/>
      <c r="AD298" s="234"/>
      <c r="AE298" s="395">
        <f t="shared" si="587"/>
        <v>-16</v>
      </c>
      <c r="AF298" s="29">
        <f t="shared" si="588"/>
        <v>18</v>
      </c>
      <c r="AG298" s="298">
        <f>AG290*2</f>
        <v>2</v>
      </c>
      <c r="AH298" s="5">
        <f t="shared" si="589"/>
        <v>-16</v>
      </c>
      <c r="AI298" s="256"/>
      <c r="AJ298" s="303">
        <f>AJ290*2</f>
        <v>0</v>
      </c>
      <c r="AK298" s="231">
        <f t="shared" si="605"/>
        <v>18</v>
      </c>
      <c r="AL298" s="121"/>
      <c r="AM298" s="6"/>
      <c r="AN298" s="35"/>
      <c r="AO298" s="612"/>
      <c r="AP298" s="121"/>
      <c r="AQ298" s="6"/>
      <c r="AR298" s="35"/>
      <c r="AS298" s="612"/>
      <c r="AT298" s="21"/>
      <c r="AU298" s="6"/>
      <c r="AV298" s="35"/>
      <c r="AW298" s="234"/>
      <c r="AX298" s="234"/>
      <c r="AY298" s="395">
        <f t="shared" si="590"/>
        <v>-12</v>
      </c>
      <c r="AZ298" s="29">
        <f t="shared" si="601"/>
        <v>18</v>
      </c>
      <c r="BA298" s="298">
        <f>BA290*2</f>
        <v>4</v>
      </c>
      <c r="BB298" s="5">
        <f t="shared" si="591"/>
        <v>-14</v>
      </c>
      <c r="BC298" s="256"/>
      <c r="BD298" s="303">
        <f>BD290*2</f>
        <v>6</v>
      </c>
      <c r="BE298" s="231">
        <f t="shared" si="606"/>
        <v>12</v>
      </c>
      <c r="BF298" s="121"/>
      <c r="BG298" s="6"/>
      <c r="BH298" s="35"/>
      <c r="BI298" s="612"/>
      <c r="BJ298" s="121"/>
      <c r="BK298" s="6"/>
      <c r="BL298" s="35"/>
      <c r="BM298" s="712"/>
      <c r="BN298" s="200"/>
      <c r="BO298" s="6"/>
      <c r="BP298" s="79"/>
      <c r="BQ298" s="619"/>
      <c r="BR298" s="619"/>
      <c r="BS298" s="395">
        <f t="shared" si="592"/>
        <v>-10</v>
      </c>
      <c r="BT298" s="29">
        <f t="shared" si="602"/>
        <v>12</v>
      </c>
      <c r="BU298" s="298">
        <f>BU290*2</f>
        <v>12</v>
      </c>
      <c r="BV298" s="5">
        <f t="shared" si="593"/>
        <v>0</v>
      </c>
      <c r="BW298" s="621">
        <v>10</v>
      </c>
      <c r="BX298" s="303">
        <f>BX290*2</f>
        <v>0</v>
      </c>
      <c r="BY298" s="231">
        <f t="shared" si="607"/>
        <v>22</v>
      </c>
      <c r="BZ298" s="121"/>
      <c r="CA298" s="6"/>
      <c r="CB298" s="35"/>
      <c r="CC298" s="612"/>
      <c r="CD298" s="668">
        <f t="shared" si="594"/>
        <v>1455</v>
      </c>
      <c r="CE298" s="663"/>
      <c r="CF298" s="704" t="s">
        <v>934</v>
      </c>
      <c r="CG298" s="795"/>
      <c r="CH298" s="21"/>
      <c r="CI298" s="630">
        <f t="shared" si="595"/>
        <v>1455</v>
      </c>
      <c r="CJ298" s="625" t="s">
        <v>935</v>
      </c>
      <c r="CK298" s="806"/>
      <c r="CL298" s="806"/>
      <c r="CM298" s="395">
        <f t="shared" si="596"/>
        <v>-10</v>
      </c>
      <c r="CN298" s="29">
        <f t="shared" si="603"/>
        <v>22</v>
      </c>
      <c r="CO298" s="298">
        <f>CO290*2</f>
        <v>0</v>
      </c>
      <c r="CP298" s="5">
        <f t="shared" si="597"/>
        <v>-22</v>
      </c>
      <c r="CQ298" s="256"/>
      <c r="CR298" s="303">
        <f>CR290*2</f>
        <v>0</v>
      </c>
      <c r="CS298" s="231">
        <f t="shared" si="608"/>
        <v>22</v>
      </c>
      <c r="CT298" s="121"/>
      <c r="CU298" s="6"/>
      <c r="CV298" s="35"/>
      <c r="CW298" s="612"/>
      <c r="CX298" s="121"/>
      <c r="CY298" s="6"/>
      <c r="CZ298" s="35"/>
      <c r="DA298" s="612"/>
      <c r="DB298" s="21"/>
      <c r="DC298" s="6"/>
      <c r="DD298" s="35"/>
      <c r="DE298" s="234"/>
      <c r="DF298" s="234"/>
      <c r="DG298" s="395">
        <f t="shared" si="598"/>
        <v>-10</v>
      </c>
      <c r="DH298" s="29">
        <f t="shared" si="599"/>
        <v>22</v>
      </c>
      <c r="DI298" s="298">
        <f>DI290*2</f>
        <v>0</v>
      </c>
      <c r="DJ298" s="5">
        <f t="shared" si="600"/>
        <v>-22</v>
      </c>
      <c r="DK298" s="256"/>
      <c r="DL298" s="303">
        <f>DL290*2</f>
        <v>0</v>
      </c>
      <c r="DM298" s="231">
        <f t="shared" si="609"/>
        <v>22</v>
      </c>
    </row>
    <row r="299" spans="1:117" x14ac:dyDescent="0.25">
      <c r="A299" s="360"/>
      <c r="B299" s="503" t="s">
        <v>436</v>
      </c>
      <c r="C299" s="360"/>
      <c r="D299" s="373"/>
      <c r="E299" s="373"/>
      <c r="F299" s="362"/>
      <c r="G299" s="350"/>
      <c r="H299" s="363"/>
      <c r="I299" s="363"/>
      <c r="J299" s="360"/>
      <c r="K299" s="346"/>
      <c r="L299" s="364"/>
      <c r="M299" s="374"/>
      <c r="N299" s="374"/>
      <c r="O299" s="441"/>
      <c r="P299" s="375"/>
      <c r="Q299" s="365"/>
      <c r="R299" s="366"/>
      <c r="S299" s="367"/>
      <c r="T299" s="368"/>
      <c r="U299" s="718"/>
      <c r="V299" s="366"/>
      <c r="W299" s="367"/>
      <c r="X299" s="368"/>
      <c r="Y299" s="718"/>
      <c r="Z299" s="369"/>
      <c r="AA299" s="367"/>
      <c r="AB299" s="368"/>
      <c r="AC299" s="355"/>
      <c r="AD299" s="355"/>
      <c r="AE299" s="346"/>
      <c r="AF299" s="364"/>
      <c r="AG299" s="374"/>
      <c r="AH299" s="374"/>
      <c r="AI299" s="441"/>
      <c r="AJ299" s="375"/>
      <c r="AK299" s="365"/>
      <c r="AL299" s="366"/>
      <c r="AM299" s="367"/>
      <c r="AN299" s="368"/>
      <c r="AO299" s="718"/>
      <c r="AP299" s="366"/>
      <c r="AQ299" s="367"/>
      <c r="AR299" s="368"/>
      <c r="AS299" s="718"/>
      <c r="AT299" s="369"/>
      <c r="AU299" s="367"/>
      <c r="AV299" s="368"/>
      <c r="AW299" s="355"/>
      <c r="AX299" s="355"/>
      <c r="AY299" s="346"/>
      <c r="AZ299" s="364"/>
      <c r="BA299" s="374"/>
      <c r="BB299" s="374"/>
      <c r="BC299" s="441"/>
      <c r="BD299" s="375"/>
      <c r="BE299" s="365"/>
      <c r="BF299" s="366"/>
      <c r="BG299" s="367"/>
      <c r="BH299" s="368"/>
      <c r="BI299" s="718"/>
      <c r="BJ299" s="366"/>
      <c r="BK299" s="367"/>
      <c r="BL299" s="368"/>
      <c r="BM299" s="718"/>
      <c r="BN299" s="369"/>
      <c r="BO299" s="367"/>
      <c r="BP299" s="368"/>
      <c r="BQ299" s="355"/>
      <c r="BR299" s="355"/>
      <c r="BS299" s="346"/>
      <c r="BT299" s="364"/>
      <c r="BU299" s="374"/>
      <c r="BV299" s="374"/>
      <c r="BW299" s="441"/>
      <c r="BX299" s="375"/>
      <c r="BY299" s="365"/>
      <c r="BZ299" s="366"/>
      <c r="CA299" s="367"/>
      <c r="CB299" s="368"/>
      <c r="CC299" s="718"/>
      <c r="CD299" s="366"/>
      <c r="CE299" s="367"/>
      <c r="CF299" s="368"/>
      <c r="CG299" s="718"/>
      <c r="CH299" s="369"/>
      <c r="CI299" s="367"/>
      <c r="CJ299" s="368"/>
      <c r="CK299" s="355"/>
      <c r="CL299" s="355"/>
      <c r="CM299" s="346"/>
      <c r="CN299" s="364"/>
      <c r="CO299" s="374"/>
      <c r="CP299" s="374"/>
      <c r="CQ299" s="441"/>
      <c r="CR299" s="375"/>
      <c r="CS299" s="365"/>
      <c r="CT299" s="366"/>
      <c r="CU299" s="367"/>
      <c r="CV299" s="368"/>
      <c r="CW299" s="718"/>
      <c r="CX299" s="366"/>
      <c r="CY299" s="367"/>
      <c r="CZ299" s="368"/>
      <c r="DA299" s="718"/>
      <c r="DB299" s="369"/>
      <c r="DC299" s="367"/>
      <c r="DD299" s="368"/>
      <c r="DE299" s="355"/>
      <c r="DF299" s="355"/>
      <c r="DG299" s="346"/>
      <c r="DH299" s="364"/>
      <c r="DI299" s="374"/>
      <c r="DJ299" s="374"/>
      <c r="DK299" s="441"/>
      <c r="DL299" s="375"/>
      <c r="DM299" s="365"/>
    </row>
    <row r="300" spans="1:117" ht="30.75" thickBot="1" x14ac:dyDescent="0.3">
      <c r="A300" s="18"/>
      <c r="B300" s="11" t="s">
        <v>525</v>
      </c>
      <c r="C300" s="18">
        <v>1</v>
      </c>
      <c r="D300" s="15" t="s">
        <v>377</v>
      </c>
      <c r="E300" s="15"/>
      <c r="F300" s="149">
        <v>4279</v>
      </c>
      <c r="G300" s="15" t="s">
        <v>762</v>
      </c>
      <c r="H300" s="25" t="s">
        <v>77</v>
      </c>
      <c r="I300" s="25"/>
      <c r="J300" s="530">
        <f>SUM(M300,AG300,BA300,BU300)-L300</f>
        <v>0</v>
      </c>
      <c r="K300" s="395">
        <f t="shared" si="585"/>
        <v>-9</v>
      </c>
      <c r="L300" s="544">
        <v>10</v>
      </c>
      <c r="M300" s="298">
        <f>M290</f>
        <v>1</v>
      </c>
      <c r="N300" s="5">
        <f t="shared" si="586"/>
        <v>-9</v>
      </c>
      <c r="O300" s="240"/>
      <c r="P300" s="303">
        <f>P290</f>
        <v>1</v>
      </c>
      <c r="Q300" s="231">
        <f t="shared" ref="Q300:Q314" si="610">L300+O300-P300</f>
        <v>9</v>
      </c>
      <c r="R300" s="121"/>
      <c r="S300" s="6"/>
      <c r="T300" s="35"/>
      <c r="U300" s="612"/>
      <c r="V300" s="121"/>
      <c r="W300" s="6"/>
      <c r="X300" s="35"/>
      <c r="Y300" s="612"/>
      <c r="Z300" s="21"/>
      <c r="AA300" s="6"/>
      <c r="AB300" s="35"/>
      <c r="AC300" s="234"/>
      <c r="AD300" s="234"/>
      <c r="AE300" s="395">
        <f>SUM(M300,AG300)-SUM(O300,AI300)-L300</f>
        <v>-8</v>
      </c>
      <c r="AF300" s="29">
        <f>Q300</f>
        <v>9</v>
      </c>
      <c r="AG300" s="298">
        <f>AG290</f>
        <v>1</v>
      </c>
      <c r="AH300" s="5">
        <f t="shared" si="589"/>
        <v>-8</v>
      </c>
      <c r="AI300" s="240"/>
      <c r="AJ300" s="303">
        <f>AJ290</f>
        <v>0</v>
      </c>
      <c r="AK300" s="231">
        <f t="shared" ref="AK300:AK314" si="611">AF300+AI300-AJ300</f>
        <v>9</v>
      </c>
      <c r="AL300" s="121"/>
      <c r="AM300" s="6"/>
      <c r="AN300" s="35"/>
      <c r="AO300" s="612"/>
      <c r="AP300" s="121"/>
      <c r="AQ300" s="6"/>
      <c r="AR300" s="35"/>
      <c r="AS300" s="612"/>
      <c r="AT300" s="21"/>
      <c r="AU300" s="6"/>
      <c r="AV300" s="35"/>
      <c r="AW300" s="234"/>
      <c r="AX300" s="234"/>
      <c r="AY300" s="395">
        <f>SUM(M300,AG300,BA300)-SUM(O300,AI300,BC300)-L300</f>
        <v>-11</v>
      </c>
      <c r="AZ300" s="29">
        <f t="shared" si="601"/>
        <v>9</v>
      </c>
      <c r="BA300" s="298">
        <f>BA290</f>
        <v>2</v>
      </c>
      <c r="BB300" s="5">
        <f t="shared" si="591"/>
        <v>-7</v>
      </c>
      <c r="BC300" s="258">
        <v>5</v>
      </c>
      <c r="BD300" s="303">
        <f>BD290</f>
        <v>3</v>
      </c>
      <c r="BE300" s="231">
        <f t="shared" ref="BE300:BE314" si="612">AZ300+BC300-BD300</f>
        <v>11</v>
      </c>
      <c r="BF300" s="121"/>
      <c r="BG300" s="6"/>
      <c r="BH300" s="35"/>
      <c r="BI300" s="612"/>
      <c r="BJ300" s="121"/>
      <c r="BK300" s="6"/>
      <c r="BL300" s="35"/>
      <c r="BM300" s="712"/>
      <c r="BN300" s="200"/>
      <c r="BO300" s="6"/>
      <c r="BP300" s="79"/>
      <c r="BQ300" s="619"/>
      <c r="BR300" s="619"/>
      <c r="BS300" s="395">
        <f>SUM(M300,AG300,BA300,BU300)-SUM(O300,AI300,BC300,BW300)-L300</f>
        <v>-10</v>
      </c>
      <c r="BT300" s="29">
        <f t="shared" si="602"/>
        <v>11</v>
      </c>
      <c r="BU300" s="298">
        <f>BU290</f>
        <v>6</v>
      </c>
      <c r="BV300" s="5">
        <f t="shared" si="593"/>
        <v>-5</v>
      </c>
      <c r="BW300" s="240">
        <v>5</v>
      </c>
      <c r="BX300" s="303">
        <f>BX290</f>
        <v>0</v>
      </c>
      <c r="BY300" s="231">
        <f t="shared" ref="BY300:BY314" si="613">BT300+BW300-BX300</f>
        <v>16</v>
      </c>
      <c r="BZ300" s="121"/>
      <c r="CA300" s="6"/>
      <c r="CB300" s="79"/>
      <c r="CC300" s="712"/>
      <c r="CD300" s="215"/>
      <c r="CE300" s="199"/>
      <c r="CF300" s="502"/>
      <c r="CG300" s="786"/>
      <c r="CH300" s="215">
        <v>10697.5</v>
      </c>
      <c r="CI300" s="199"/>
      <c r="CJ300" s="502" t="s">
        <v>813</v>
      </c>
      <c r="CK300" s="810"/>
      <c r="CL300" s="810"/>
      <c r="CM300" s="395">
        <f>SUM(M300,AG300,BA300,BU300,CO300)-SUM(O300,AI300,BC300,BW300,CQ300)-L300</f>
        <v>-10</v>
      </c>
      <c r="CN300" s="29">
        <f t="shared" si="603"/>
        <v>16</v>
      </c>
      <c r="CO300" s="298">
        <f>SUM(CO272:CO275)</f>
        <v>0</v>
      </c>
      <c r="CP300" s="5">
        <f t="shared" si="597"/>
        <v>-16</v>
      </c>
      <c r="CQ300" s="240"/>
      <c r="CR300" s="303">
        <f>SUM(CR272:CR275)</f>
        <v>0</v>
      </c>
      <c r="CS300" s="231">
        <f t="shared" ref="CS300:CS314" si="614">CN300+CQ300-CR300</f>
        <v>16</v>
      </c>
      <c r="CT300" s="121"/>
      <c r="CU300" s="199">
        <v>10697.5</v>
      </c>
      <c r="CV300" s="502" t="s">
        <v>814</v>
      </c>
      <c r="CW300" s="786"/>
      <c r="CX300" s="121"/>
      <c r="CY300" s="6"/>
      <c r="CZ300" s="35"/>
      <c r="DA300" s="612"/>
      <c r="DB300" s="21"/>
      <c r="DC300" s="6"/>
      <c r="DD300" s="35"/>
      <c r="DE300" s="234"/>
      <c r="DF300" s="234"/>
      <c r="DG300" s="395">
        <f>SUM(M300,AG300,BA300,BU300,DI300)-SUM(O300,AI300,BC300,BW300,CQ300)-L300</f>
        <v>-10</v>
      </c>
      <c r="DH300" s="29">
        <f t="shared" si="599"/>
        <v>16</v>
      </c>
      <c r="DI300" s="298">
        <f>SUM(DI272:DI275)</f>
        <v>0</v>
      </c>
      <c r="DJ300" s="5">
        <f t="shared" ref="DJ300:DJ303" si="615">DI300-DH300</f>
        <v>-16</v>
      </c>
      <c r="DK300" s="240"/>
      <c r="DL300" s="303">
        <f>SUM(DL272:DL275)</f>
        <v>0</v>
      </c>
      <c r="DM300" s="231">
        <f t="shared" ref="DM300:DM303" si="616">DH300+DK300-DL300</f>
        <v>16</v>
      </c>
    </row>
    <row r="301" spans="1:117" ht="30.75" thickBot="1" x14ac:dyDescent="0.3">
      <c r="A301" s="18"/>
      <c r="B301" s="11" t="s">
        <v>534</v>
      </c>
      <c r="C301" s="18">
        <v>1</v>
      </c>
      <c r="D301" s="15" t="s">
        <v>377</v>
      </c>
      <c r="E301" s="15"/>
      <c r="F301" s="149">
        <v>2189</v>
      </c>
      <c r="G301" s="15" t="s">
        <v>762</v>
      </c>
      <c r="H301" s="25" t="s">
        <v>77</v>
      </c>
      <c r="I301" s="25"/>
      <c r="J301" s="530">
        <f>SUM(M301,AG301,BA301,BU301)-L301</f>
        <v>0</v>
      </c>
      <c r="K301" s="395">
        <f t="shared" si="585"/>
        <v>-9</v>
      </c>
      <c r="L301" s="544">
        <v>10</v>
      </c>
      <c r="M301" s="298">
        <f>M290</f>
        <v>1</v>
      </c>
      <c r="N301" s="5">
        <f t="shared" si="586"/>
        <v>-9</v>
      </c>
      <c r="O301" s="240"/>
      <c r="P301" s="303">
        <f>P290</f>
        <v>1</v>
      </c>
      <c r="Q301" s="231">
        <f t="shared" si="610"/>
        <v>9</v>
      </c>
      <c r="R301" s="121"/>
      <c r="S301" s="6"/>
      <c r="T301" s="35"/>
      <c r="U301" s="612"/>
      <c r="V301" s="121"/>
      <c r="W301" s="6"/>
      <c r="X301" s="35"/>
      <c r="Y301" s="612"/>
      <c r="Z301" s="21"/>
      <c r="AA301" s="6"/>
      <c r="AB301" s="35"/>
      <c r="AC301" s="234"/>
      <c r="AD301" s="234"/>
      <c r="AE301" s="395">
        <f>SUM(M301,AG301)-SUM(O301,AI301)-L301</f>
        <v>-8</v>
      </c>
      <c r="AF301" s="29">
        <f>Q301</f>
        <v>9</v>
      </c>
      <c r="AG301" s="298">
        <f>AG290</f>
        <v>1</v>
      </c>
      <c r="AH301" s="5">
        <f t="shared" si="589"/>
        <v>-8</v>
      </c>
      <c r="AI301" s="240"/>
      <c r="AJ301" s="303">
        <f>AJ290</f>
        <v>0</v>
      </c>
      <c r="AK301" s="231">
        <f t="shared" si="611"/>
        <v>9</v>
      </c>
      <c r="AL301" s="121"/>
      <c r="AM301" s="6"/>
      <c r="AN301" s="35"/>
      <c r="AO301" s="612"/>
      <c r="AP301" s="121"/>
      <c r="AQ301" s="6"/>
      <c r="AR301" s="35"/>
      <c r="AS301" s="612"/>
      <c r="AT301" s="21"/>
      <c r="AU301" s="6"/>
      <c r="AV301" s="35"/>
      <c r="AW301" s="234"/>
      <c r="AX301" s="234"/>
      <c r="AY301" s="395">
        <f>SUM(M301,AG301,BA301)-SUM(O301,AI301,BC301)-L301</f>
        <v>-11</v>
      </c>
      <c r="AZ301" s="29">
        <f t="shared" si="601"/>
        <v>9</v>
      </c>
      <c r="BA301" s="298">
        <f>BA290</f>
        <v>2</v>
      </c>
      <c r="BB301" s="5">
        <f t="shared" si="591"/>
        <v>-7</v>
      </c>
      <c r="BC301" s="258">
        <v>5</v>
      </c>
      <c r="BD301" s="303">
        <f>BD290</f>
        <v>3</v>
      </c>
      <c r="BE301" s="231">
        <f t="shared" si="612"/>
        <v>11</v>
      </c>
      <c r="BF301" s="21"/>
      <c r="BG301" s="6"/>
      <c r="BH301" s="35"/>
      <c r="BI301" s="612"/>
      <c r="BJ301" s="21"/>
      <c r="BK301" s="6"/>
      <c r="BL301" s="35"/>
      <c r="BM301" s="712"/>
      <c r="BN301" s="200"/>
      <c r="BO301" s="6"/>
      <c r="BP301" s="79"/>
      <c r="BQ301" s="619"/>
      <c r="BR301" s="619"/>
      <c r="BS301" s="395">
        <f>SUM(M301,AG301,BA301,BU301)-SUM(O301,AI301,BC301,BW301)-L301</f>
        <v>-10</v>
      </c>
      <c r="BT301" s="29">
        <f t="shared" si="602"/>
        <v>11</v>
      </c>
      <c r="BU301" s="298">
        <f>BU290</f>
        <v>6</v>
      </c>
      <c r="BV301" s="5">
        <f t="shared" si="593"/>
        <v>-5</v>
      </c>
      <c r="BW301" s="240">
        <v>5</v>
      </c>
      <c r="BX301" s="303">
        <f>BX290</f>
        <v>0</v>
      </c>
      <c r="BY301" s="231">
        <f t="shared" si="613"/>
        <v>16</v>
      </c>
      <c r="BZ301" s="121"/>
      <c r="CA301" s="6"/>
      <c r="CB301" s="79"/>
      <c r="CC301" s="712"/>
      <c r="CD301" s="215"/>
      <c r="CE301" s="199"/>
      <c r="CF301" s="502"/>
      <c r="CG301" s="786"/>
      <c r="CH301" s="215">
        <v>5472.5</v>
      </c>
      <c r="CI301" s="199"/>
      <c r="CJ301" s="502" t="s">
        <v>813</v>
      </c>
      <c r="CK301" s="810"/>
      <c r="CL301" s="810"/>
      <c r="CM301" s="395">
        <f>SUM(M301,AG301,BA301,BU301,CO301)-SUM(O301,AI301,BC301,BW301,CQ301)-L301</f>
        <v>-10</v>
      </c>
      <c r="CN301" s="29">
        <f t="shared" si="603"/>
        <v>16</v>
      </c>
      <c r="CO301" s="298">
        <f>CO290</f>
        <v>0</v>
      </c>
      <c r="CP301" s="5">
        <f t="shared" si="597"/>
        <v>-16</v>
      </c>
      <c r="CQ301" s="240"/>
      <c r="CR301" s="303">
        <f>CR290</f>
        <v>0</v>
      </c>
      <c r="CS301" s="231">
        <f t="shared" si="614"/>
        <v>16</v>
      </c>
      <c r="CT301" s="121"/>
      <c r="CU301" s="199">
        <v>5472.5</v>
      </c>
      <c r="CV301" s="502" t="s">
        <v>814</v>
      </c>
      <c r="CW301" s="786"/>
      <c r="CX301" s="121"/>
      <c r="CY301" s="6"/>
      <c r="CZ301" s="35"/>
      <c r="DA301" s="612"/>
      <c r="DB301" s="21"/>
      <c r="DC301" s="6"/>
      <c r="DD301" s="35"/>
      <c r="DE301" s="234"/>
      <c r="DF301" s="234"/>
      <c r="DG301" s="395">
        <f>SUM(M301,AG301,BA301,BU301,DI301)-SUM(O301,AI301,BC301,BW301,CQ301)-L301</f>
        <v>-10</v>
      </c>
      <c r="DH301" s="29">
        <f t="shared" si="599"/>
        <v>16</v>
      </c>
      <c r="DI301" s="298">
        <f>DI290</f>
        <v>0</v>
      </c>
      <c r="DJ301" s="5">
        <f t="shared" si="615"/>
        <v>-16</v>
      </c>
      <c r="DK301" s="240"/>
      <c r="DL301" s="303">
        <f>DL290</f>
        <v>0</v>
      </c>
      <c r="DM301" s="231">
        <f t="shared" si="616"/>
        <v>16</v>
      </c>
    </row>
    <row r="302" spans="1:117" ht="30.75" thickBot="1" x14ac:dyDescent="0.3">
      <c r="A302" s="18"/>
      <c r="B302" s="11" t="s">
        <v>526</v>
      </c>
      <c r="C302" s="18">
        <v>1</v>
      </c>
      <c r="D302" s="15" t="s">
        <v>377</v>
      </c>
      <c r="E302" s="15"/>
      <c r="F302" s="149">
        <v>564</v>
      </c>
      <c r="G302" s="15" t="s">
        <v>762</v>
      </c>
      <c r="H302" s="25" t="s">
        <v>77</v>
      </c>
      <c r="I302" s="25"/>
      <c r="J302" s="530">
        <f>SUM(M302,AG302,BA302,BU302)-L302</f>
        <v>0</v>
      </c>
      <c r="K302" s="395">
        <f t="shared" si="585"/>
        <v>-9</v>
      </c>
      <c r="L302" s="544">
        <v>10</v>
      </c>
      <c r="M302" s="298">
        <f>M290</f>
        <v>1</v>
      </c>
      <c r="N302" s="5">
        <f t="shared" si="586"/>
        <v>-9</v>
      </c>
      <c r="O302" s="240"/>
      <c r="P302" s="303">
        <f>P290</f>
        <v>1</v>
      </c>
      <c r="Q302" s="231">
        <f t="shared" si="610"/>
        <v>9</v>
      </c>
      <c r="R302" s="121"/>
      <c r="S302" s="6"/>
      <c r="T302" s="35"/>
      <c r="U302" s="612"/>
      <c r="V302" s="121"/>
      <c r="W302" s="6"/>
      <c r="X302" s="35"/>
      <c r="Y302" s="612"/>
      <c r="Z302" s="21"/>
      <c r="AA302" s="6"/>
      <c r="AB302" s="35"/>
      <c r="AC302" s="234"/>
      <c r="AD302" s="234"/>
      <c r="AE302" s="395">
        <f>SUM(M302,AG302)-SUM(O302,AI302)-L302</f>
        <v>-8</v>
      </c>
      <c r="AF302" s="29">
        <f>Q302</f>
        <v>9</v>
      </c>
      <c r="AG302" s="298">
        <f>AG290</f>
        <v>1</v>
      </c>
      <c r="AH302" s="5">
        <f t="shared" si="589"/>
        <v>-8</v>
      </c>
      <c r="AI302" s="240"/>
      <c r="AJ302" s="303">
        <f>AJ290</f>
        <v>0</v>
      </c>
      <c r="AK302" s="231">
        <f t="shared" si="611"/>
        <v>9</v>
      </c>
      <c r="AL302" s="121"/>
      <c r="AM302" s="6"/>
      <c r="AN302" s="35"/>
      <c r="AO302" s="612"/>
      <c r="AP302" s="121"/>
      <c r="AQ302" s="6"/>
      <c r="AR302" s="35"/>
      <c r="AS302" s="612"/>
      <c r="AT302" s="21"/>
      <c r="AU302" s="6"/>
      <c r="AV302" s="35"/>
      <c r="AW302" s="234"/>
      <c r="AX302" s="234"/>
      <c r="AY302" s="395">
        <f>SUM(M302,AG302,BA302)-SUM(O302,AI302,BC302)-L302</f>
        <v>-11</v>
      </c>
      <c r="AZ302" s="29">
        <f t="shared" si="601"/>
        <v>9</v>
      </c>
      <c r="BA302" s="298">
        <f>BA290</f>
        <v>2</v>
      </c>
      <c r="BB302" s="5">
        <f t="shared" si="591"/>
        <v>-7</v>
      </c>
      <c r="BC302" s="258">
        <v>5</v>
      </c>
      <c r="BD302" s="303">
        <f>BD290</f>
        <v>3</v>
      </c>
      <c r="BE302" s="231">
        <f t="shared" si="612"/>
        <v>11</v>
      </c>
      <c r="BF302" s="21"/>
      <c r="BG302" s="6"/>
      <c r="BH302" s="35"/>
      <c r="BI302" s="612"/>
      <c r="BJ302" s="21"/>
      <c r="BK302" s="6"/>
      <c r="BL302" s="35"/>
      <c r="BM302" s="712"/>
      <c r="BN302" s="200"/>
      <c r="BO302" s="6"/>
      <c r="BP302" s="79"/>
      <c r="BQ302" s="619"/>
      <c r="BR302" s="619"/>
      <c r="BS302" s="395">
        <f>SUM(M302,AG302,BA302,BU302)-SUM(O302,AI302,BC302,BW302)-L302</f>
        <v>-10</v>
      </c>
      <c r="BT302" s="29">
        <f t="shared" si="602"/>
        <v>11</v>
      </c>
      <c r="BU302" s="298">
        <f>BU290</f>
        <v>6</v>
      </c>
      <c r="BV302" s="5">
        <f t="shared" si="593"/>
        <v>-5</v>
      </c>
      <c r="BW302" s="240">
        <v>5</v>
      </c>
      <c r="BX302" s="303">
        <f>BX290</f>
        <v>0</v>
      </c>
      <c r="BY302" s="231">
        <f t="shared" si="613"/>
        <v>16</v>
      </c>
      <c r="BZ302" s="121"/>
      <c r="CA302" s="6"/>
      <c r="CB302" s="79"/>
      <c r="CC302" s="712"/>
      <c r="CD302" s="215"/>
      <c r="CE302" s="199"/>
      <c r="CF302" s="502"/>
      <c r="CG302" s="786"/>
      <c r="CH302" s="215">
        <v>1410</v>
      </c>
      <c r="CI302" s="199"/>
      <c r="CJ302" s="502" t="s">
        <v>813</v>
      </c>
      <c r="CK302" s="810"/>
      <c r="CL302" s="810"/>
      <c r="CM302" s="395">
        <f>SUM(M302,AG302,BA302,BU302,CO302)-SUM(O302,AI302,BC302,BW302,CQ302)-L302</f>
        <v>-10</v>
      </c>
      <c r="CN302" s="29">
        <f t="shared" si="603"/>
        <v>16</v>
      </c>
      <c r="CO302" s="298">
        <f>CO290</f>
        <v>0</v>
      </c>
      <c r="CP302" s="5">
        <f t="shared" si="597"/>
        <v>-16</v>
      </c>
      <c r="CQ302" s="240"/>
      <c r="CR302" s="303">
        <f>CR290</f>
        <v>0</v>
      </c>
      <c r="CS302" s="231">
        <f t="shared" si="614"/>
        <v>16</v>
      </c>
      <c r="CT302" s="121"/>
      <c r="CU302" s="199">
        <v>1410</v>
      </c>
      <c r="CV302" s="502" t="s">
        <v>814</v>
      </c>
      <c r="CW302" s="786"/>
      <c r="CX302" s="121"/>
      <c r="CY302" s="6"/>
      <c r="CZ302" s="35"/>
      <c r="DA302" s="612"/>
      <c r="DB302" s="21"/>
      <c r="DC302" s="6"/>
      <c r="DD302" s="35"/>
      <c r="DE302" s="234"/>
      <c r="DF302" s="234"/>
      <c r="DG302" s="395">
        <f>SUM(M302,AG302,BA302,BU302,DI302)-SUM(O302,AI302,BC302,BW302,CQ302)-L302</f>
        <v>-10</v>
      </c>
      <c r="DH302" s="29">
        <f t="shared" si="599"/>
        <v>16</v>
      </c>
      <c r="DI302" s="298">
        <f>DI290</f>
        <v>0</v>
      </c>
      <c r="DJ302" s="5">
        <f t="shared" si="615"/>
        <v>-16</v>
      </c>
      <c r="DK302" s="240"/>
      <c r="DL302" s="303">
        <f>DL290</f>
        <v>0</v>
      </c>
      <c r="DM302" s="231">
        <f t="shared" si="616"/>
        <v>16</v>
      </c>
    </row>
    <row r="303" spans="1:117" ht="30.75" thickBot="1" x14ac:dyDescent="0.3">
      <c r="A303" s="18"/>
      <c r="B303" s="11" t="s">
        <v>527</v>
      </c>
      <c r="C303" s="18">
        <v>1</v>
      </c>
      <c r="D303" s="15" t="s">
        <v>377</v>
      </c>
      <c r="E303" s="15"/>
      <c r="F303" s="149">
        <v>564</v>
      </c>
      <c r="G303" s="15" t="s">
        <v>762</v>
      </c>
      <c r="H303" s="25" t="s">
        <v>77</v>
      </c>
      <c r="I303" s="25"/>
      <c r="J303" s="530">
        <f>SUM(M303,AG303,BA303,BU303)-L303</f>
        <v>0</v>
      </c>
      <c r="K303" s="395">
        <f t="shared" si="585"/>
        <v>-9</v>
      </c>
      <c r="L303" s="544">
        <v>10</v>
      </c>
      <c r="M303" s="298">
        <f>M290</f>
        <v>1</v>
      </c>
      <c r="N303" s="5">
        <f t="shared" si="586"/>
        <v>-9</v>
      </c>
      <c r="O303" s="240"/>
      <c r="P303" s="303">
        <f>P290</f>
        <v>1</v>
      </c>
      <c r="Q303" s="231">
        <f t="shared" si="610"/>
        <v>9</v>
      </c>
      <c r="R303" s="121"/>
      <c r="S303" s="6"/>
      <c r="T303" s="35"/>
      <c r="U303" s="612"/>
      <c r="V303" s="121"/>
      <c r="W303" s="6"/>
      <c r="X303" s="35"/>
      <c r="Y303" s="612"/>
      <c r="Z303" s="21"/>
      <c r="AA303" s="6"/>
      <c r="AB303" s="35"/>
      <c r="AC303" s="234"/>
      <c r="AD303" s="234"/>
      <c r="AE303" s="395">
        <f>SUM(M303,AG303)-SUM(O303,AI303)-L303</f>
        <v>-8</v>
      </c>
      <c r="AF303" s="29">
        <f>Q303</f>
        <v>9</v>
      </c>
      <c r="AG303" s="298">
        <f>AG290</f>
        <v>1</v>
      </c>
      <c r="AH303" s="5">
        <f t="shared" si="589"/>
        <v>-8</v>
      </c>
      <c r="AI303" s="240"/>
      <c r="AJ303" s="303">
        <f>AJ290</f>
        <v>0</v>
      </c>
      <c r="AK303" s="231">
        <f t="shared" si="611"/>
        <v>9</v>
      </c>
      <c r="AL303" s="121"/>
      <c r="AM303" s="6"/>
      <c r="AN303" s="35"/>
      <c r="AO303" s="612"/>
      <c r="AP303" s="121"/>
      <c r="AQ303" s="6"/>
      <c r="AR303" s="35"/>
      <c r="AS303" s="612"/>
      <c r="AT303" s="21"/>
      <c r="AU303" s="6"/>
      <c r="AV303" s="35"/>
      <c r="AW303" s="234"/>
      <c r="AX303" s="234"/>
      <c r="AY303" s="395">
        <f>SUM(M303,AG303,BA303)-SUM(O303,AI303,BC303)-L303</f>
        <v>-11</v>
      </c>
      <c r="AZ303" s="29">
        <f t="shared" si="601"/>
        <v>9</v>
      </c>
      <c r="BA303" s="298">
        <f>BA290</f>
        <v>2</v>
      </c>
      <c r="BB303" s="5">
        <f t="shared" si="591"/>
        <v>-7</v>
      </c>
      <c r="BC303" s="258">
        <v>5</v>
      </c>
      <c r="BD303" s="303">
        <f>BD290</f>
        <v>3</v>
      </c>
      <c r="BE303" s="231">
        <f t="shared" si="612"/>
        <v>11</v>
      </c>
      <c r="BF303" s="21"/>
      <c r="BG303" s="6"/>
      <c r="BH303" s="35"/>
      <c r="BI303" s="612"/>
      <c r="BJ303" s="21"/>
      <c r="BK303" s="6"/>
      <c r="BL303" s="35"/>
      <c r="BM303" s="712"/>
      <c r="BN303" s="200"/>
      <c r="BO303" s="6"/>
      <c r="BP303" s="79"/>
      <c r="BQ303" s="619"/>
      <c r="BR303" s="619"/>
      <c r="BS303" s="395">
        <f>SUM(M303,AG303,BA303,BU303)-SUM(O303,AI303,BC303,BW303)-L303</f>
        <v>-10</v>
      </c>
      <c r="BT303" s="29">
        <f t="shared" si="602"/>
        <v>11</v>
      </c>
      <c r="BU303" s="298">
        <f>BU290</f>
        <v>6</v>
      </c>
      <c r="BV303" s="5">
        <f t="shared" si="593"/>
        <v>-5</v>
      </c>
      <c r="BW303" s="240">
        <v>5</v>
      </c>
      <c r="BX303" s="303">
        <f>BX290</f>
        <v>0</v>
      </c>
      <c r="BY303" s="231">
        <f t="shared" si="613"/>
        <v>16</v>
      </c>
      <c r="BZ303" s="121"/>
      <c r="CA303" s="6"/>
      <c r="CB303" s="79"/>
      <c r="CC303" s="712"/>
      <c r="CD303" s="215"/>
      <c r="CE303" s="199"/>
      <c r="CF303" s="502"/>
      <c r="CG303" s="786"/>
      <c r="CH303" s="215">
        <v>1410</v>
      </c>
      <c r="CI303" s="199"/>
      <c r="CJ303" s="502" t="s">
        <v>813</v>
      </c>
      <c r="CK303" s="810"/>
      <c r="CL303" s="810"/>
      <c r="CM303" s="395">
        <f>SUM(M303,AG303,BA303,BU303,CO303)-SUM(O303,AI303,BC303,BW303,CQ303)-L303</f>
        <v>-10</v>
      </c>
      <c r="CN303" s="29">
        <f t="shared" si="603"/>
        <v>16</v>
      </c>
      <c r="CO303" s="298">
        <f>CO290</f>
        <v>0</v>
      </c>
      <c r="CP303" s="5">
        <f t="shared" si="597"/>
        <v>-16</v>
      </c>
      <c r="CQ303" s="240"/>
      <c r="CR303" s="303">
        <f>CR290</f>
        <v>0</v>
      </c>
      <c r="CS303" s="231">
        <f t="shared" si="614"/>
        <v>16</v>
      </c>
      <c r="CT303" s="121"/>
      <c r="CU303" s="199">
        <v>1410</v>
      </c>
      <c r="CV303" s="502" t="s">
        <v>814</v>
      </c>
      <c r="CW303" s="786"/>
      <c r="CX303" s="121"/>
      <c r="CY303" s="6"/>
      <c r="CZ303" s="35"/>
      <c r="DA303" s="612"/>
      <c r="DB303" s="21"/>
      <c r="DC303" s="6"/>
      <c r="DD303" s="35"/>
      <c r="DE303" s="234"/>
      <c r="DF303" s="234"/>
      <c r="DG303" s="395">
        <f>SUM(M303,AG303,BA303,BU303,DI303)-SUM(O303,AI303,BC303,BW303,CQ303)-L303</f>
        <v>-10</v>
      </c>
      <c r="DH303" s="29">
        <f t="shared" si="599"/>
        <v>16</v>
      </c>
      <c r="DI303" s="298">
        <f>DI290</f>
        <v>0</v>
      </c>
      <c r="DJ303" s="5">
        <f t="shared" si="615"/>
        <v>-16</v>
      </c>
      <c r="DK303" s="240"/>
      <c r="DL303" s="303">
        <f>DL290</f>
        <v>0</v>
      </c>
      <c r="DM303" s="231">
        <f t="shared" si="616"/>
        <v>16</v>
      </c>
    </row>
    <row r="304" spans="1:117" x14ac:dyDescent="0.25">
      <c r="A304" s="360"/>
      <c r="B304" s="361"/>
      <c r="C304" s="360"/>
      <c r="D304" s="373"/>
      <c r="E304" s="373"/>
      <c r="F304" s="362"/>
      <c r="G304" s="361"/>
      <c r="H304" s="363"/>
      <c r="I304" s="363"/>
      <c r="J304" s="360"/>
      <c r="K304" s="346"/>
      <c r="L304" s="364"/>
      <c r="M304" s="374"/>
      <c r="N304" s="374"/>
      <c r="O304" s="375"/>
      <c r="P304" s="375"/>
      <c r="Q304" s="365"/>
      <c r="R304" s="366"/>
      <c r="S304" s="367"/>
      <c r="T304" s="368"/>
      <c r="U304" s="718"/>
      <c r="V304" s="366"/>
      <c r="W304" s="367"/>
      <c r="X304" s="368"/>
      <c r="Y304" s="718"/>
      <c r="Z304" s="369"/>
      <c r="AA304" s="367"/>
      <c r="AB304" s="368"/>
      <c r="AC304" s="355"/>
      <c r="AD304" s="355"/>
      <c r="AE304" s="346"/>
      <c r="AF304" s="364"/>
      <c r="AG304" s="374"/>
      <c r="AH304" s="374"/>
      <c r="AI304" s="354"/>
      <c r="AJ304" s="375"/>
      <c r="AK304" s="365"/>
      <c r="AL304" s="366"/>
      <c r="AM304" s="367"/>
      <c r="AN304" s="368"/>
      <c r="AO304" s="718"/>
      <c r="AP304" s="366"/>
      <c r="AQ304" s="367"/>
      <c r="AR304" s="368"/>
      <c r="AS304" s="718"/>
      <c r="AT304" s="369"/>
      <c r="AU304" s="367"/>
      <c r="AV304" s="368"/>
      <c r="AW304" s="355"/>
      <c r="AX304" s="355"/>
      <c r="AY304" s="346"/>
      <c r="AZ304" s="364"/>
      <c r="BA304" s="374"/>
      <c r="BB304" s="374"/>
      <c r="BC304" s="375"/>
      <c r="BD304" s="375"/>
      <c r="BE304" s="365"/>
      <c r="BF304" s="369"/>
      <c r="BG304" s="367"/>
      <c r="BH304" s="368"/>
      <c r="BI304" s="718"/>
      <c r="BJ304" s="369"/>
      <c r="BK304" s="367"/>
      <c r="BL304" s="368"/>
      <c r="BM304" s="718"/>
      <c r="BN304" s="369"/>
      <c r="BO304" s="367"/>
      <c r="BP304" s="368"/>
      <c r="BQ304" s="355"/>
      <c r="BR304" s="355"/>
      <c r="BS304" s="346"/>
      <c r="BT304" s="364"/>
      <c r="BU304" s="374"/>
      <c r="BV304" s="374"/>
      <c r="BW304" s="375"/>
      <c r="BX304" s="375"/>
      <c r="BY304" s="365"/>
      <c r="BZ304" s="366"/>
      <c r="CA304" s="367"/>
      <c r="CB304" s="368"/>
      <c r="CC304" s="718"/>
      <c r="CD304" s="366"/>
      <c r="CE304" s="367"/>
      <c r="CF304" s="368"/>
      <c r="CG304" s="718"/>
      <c r="CH304" s="369"/>
      <c r="CI304" s="638"/>
      <c r="CJ304" s="639"/>
      <c r="CK304" s="811"/>
      <c r="CL304" s="811"/>
      <c r="CM304" s="346"/>
      <c r="CN304" s="364"/>
      <c r="CO304" s="374"/>
      <c r="CP304" s="374"/>
      <c r="CQ304" s="375"/>
      <c r="CR304" s="375"/>
      <c r="CS304" s="365"/>
      <c r="CT304" s="366"/>
      <c r="CU304" s="367"/>
      <c r="CV304" s="368"/>
      <c r="CW304" s="718"/>
      <c r="CX304" s="366"/>
      <c r="CY304" s="367"/>
      <c r="CZ304" s="368"/>
      <c r="DA304" s="718"/>
      <c r="DB304" s="369"/>
      <c r="DC304" s="367"/>
      <c r="DD304" s="368"/>
      <c r="DE304" s="355"/>
      <c r="DF304" s="355"/>
      <c r="DG304" s="346"/>
      <c r="DH304" s="364"/>
      <c r="DI304" s="374"/>
      <c r="DJ304" s="374"/>
      <c r="DK304" s="375"/>
      <c r="DL304" s="375"/>
      <c r="DM304" s="365"/>
    </row>
    <row r="305" spans="1:117" ht="30.75" thickBot="1" x14ac:dyDescent="0.3">
      <c r="A305" s="18"/>
      <c r="B305" s="11" t="s">
        <v>449</v>
      </c>
      <c r="C305" s="18">
        <v>1</v>
      </c>
      <c r="D305" s="15" t="s">
        <v>377</v>
      </c>
      <c r="E305" s="15"/>
      <c r="F305" s="568">
        <v>200</v>
      </c>
      <c r="G305" s="11" t="s">
        <v>765</v>
      </c>
      <c r="H305" s="25" t="s">
        <v>23</v>
      </c>
      <c r="I305" s="25"/>
      <c r="J305" s="530">
        <f t="shared" ref="J305:J310" si="617">SUM(M305,AG305,BA305,BU305)-L305</f>
        <v>-10</v>
      </c>
      <c r="K305" s="395">
        <f t="shared" si="585"/>
        <v>-19</v>
      </c>
      <c r="L305" s="544">
        <v>20</v>
      </c>
      <c r="M305" s="298">
        <f>M290</f>
        <v>1</v>
      </c>
      <c r="N305" s="5">
        <f t="shared" si="586"/>
        <v>-19</v>
      </c>
      <c r="O305" s="258"/>
      <c r="P305" s="303">
        <f>P290</f>
        <v>1</v>
      </c>
      <c r="Q305" s="231">
        <f t="shared" si="610"/>
        <v>19</v>
      </c>
      <c r="R305" s="121"/>
      <c r="S305" s="6"/>
      <c r="T305" s="35"/>
      <c r="U305" s="612"/>
      <c r="V305" s="310"/>
      <c r="W305" s="6"/>
      <c r="X305" s="35"/>
      <c r="Y305" s="612"/>
      <c r="Z305" s="21"/>
      <c r="AA305" s="6"/>
      <c r="AB305" s="35"/>
      <c r="AC305" s="234"/>
      <c r="AD305" s="234"/>
      <c r="AE305" s="395">
        <f t="shared" ref="AE305:AE310" si="618">SUM(M305,AG305)-SUM(O305,AI305)-L305</f>
        <v>-18</v>
      </c>
      <c r="AF305" s="29">
        <f t="shared" ref="AF305:AF310" si="619">Q305</f>
        <v>19</v>
      </c>
      <c r="AG305" s="298">
        <f>AG290</f>
        <v>1</v>
      </c>
      <c r="AH305" s="5">
        <f t="shared" si="589"/>
        <v>-18</v>
      </c>
      <c r="AI305" s="258"/>
      <c r="AJ305" s="303">
        <f>AJ290</f>
        <v>0</v>
      </c>
      <c r="AK305" s="231">
        <f t="shared" si="611"/>
        <v>19</v>
      </c>
      <c r="AL305" s="121"/>
      <c r="AM305" s="6"/>
      <c r="AN305" s="35"/>
      <c r="AO305" s="612"/>
      <c r="AP305" s="121"/>
      <c r="AQ305" s="6"/>
      <c r="AR305" s="35"/>
      <c r="AS305" s="612"/>
      <c r="AT305" s="21"/>
      <c r="AU305" s="6"/>
      <c r="AV305" s="35"/>
      <c r="AW305" s="234"/>
      <c r="AX305" s="234"/>
      <c r="AY305" s="395">
        <f t="shared" ref="AY305:AY310" si="620">SUM(M305,AG305,BA305)-SUM(O305,AI305,BC305)-L305</f>
        <v>-16</v>
      </c>
      <c r="AZ305" s="29">
        <f t="shared" si="601"/>
        <v>19</v>
      </c>
      <c r="BA305" s="298">
        <f>BA290</f>
        <v>2</v>
      </c>
      <c r="BB305" s="5">
        <f t="shared" si="591"/>
        <v>-17</v>
      </c>
      <c r="BC305" s="256"/>
      <c r="BD305" s="303">
        <f>BD290</f>
        <v>3</v>
      </c>
      <c r="BE305" s="231">
        <f t="shared" si="612"/>
        <v>16</v>
      </c>
      <c r="BF305" s="21"/>
      <c r="BG305" s="6"/>
      <c r="BH305" s="35"/>
      <c r="BI305" s="612"/>
      <c r="BJ305" s="21"/>
      <c r="BK305" s="6"/>
      <c r="BL305" s="35"/>
      <c r="BM305" s="712"/>
      <c r="BN305" s="200"/>
      <c r="BO305" s="6"/>
      <c r="BP305" s="79"/>
      <c r="BQ305" s="619"/>
      <c r="BR305" s="619"/>
      <c r="BS305" s="395">
        <f t="shared" ref="BS305:BS310" si="621">SUM(M305,AG305,BA305,BU305)-SUM(O305,AI305,BC305,BW305)-L305</f>
        <v>-20</v>
      </c>
      <c r="BT305" s="29">
        <f t="shared" si="602"/>
        <v>16</v>
      </c>
      <c r="BU305" s="298">
        <f>BU290</f>
        <v>6</v>
      </c>
      <c r="BV305" s="5">
        <f t="shared" si="593"/>
        <v>-10</v>
      </c>
      <c r="BW305" s="621">
        <v>10</v>
      </c>
      <c r="BX305" s="303">
        <f>BX290</f>
        <v>0</v>
      </c>
      <c r="BY305" s="231">
        <f t="shared" si="613"/>
        <v>26</v>
      </c>
      <c r="BZ305" s="121"/>
      <c r="CA305" s="6"/>
      <c r="CB305" s="79"/>
      <c r="CC305" s="712"/>
      <c r="CD305" s="668">
        <f>F305*BW305</f>
        <v>2000</v>
      </c>
      <c r="CE305" s="663"/>
      <c r="CF305" s="687" t="s">
        <v>900</v>
      </c>
      <c r="CG305" s="772"/>
      <c r="CH305" s="21"/>
      <c r="CI305" s="199"/>
      <c r="CJ305" s="502"/>
      <c r="CK305" s="810"/>
      <c r="CL305" s="810"/>
      <c r="CM305" s="395">
        <f t="shared" ref="CM305:CM310" si="622">SUM(M305,AG305,BA305,BU305,CO305)-SUM(O305,AI305,BC305,BW305,CQ305)-L305</f>
        <v>-20</v>
      </c>
      <c r="CN305" s="29">
        <f t="shared" si="603"/>
        <v>26</v>
      </c>
      <c r="CO305" s="298">
        <f>CO290</f>
        <v>0</v>
      </c>
      <c r="CP305" s="5">
        <f t="shared" si="597"/>
        <v>-26</v>
      </c>
      <c r="CQ305" s="240"/>
      <c r="CR305" s="303">
        <f>SUM(CR271:CR274)</f>
        <v>0</v>
      </c>
      <c r="CS305" s="231">
        <f t="shared" si="614"/>
        <v>26</v>
      </c>
      <c r="CT305" s="121"/>
      <c r="CU305" s="6"/>
      <c r="CV305" s="35"/>
      <c r="CW305" s="612"/>
      <c r="CX305" s="121"/>
      <c r="CY305" s="6"/>
      <c r="CZ305" s="35"/>
      <c r="DA305" s="612"/>
      <c r="DB305" s="21"/>
      <c r="DC305" s="6"/>
      <c r="DD305" s="35"/>
      <c r="DE305" s="234"/>
      <c r="DF305" s="234"/>
      <c r="DG305" s="395">
        <f t="shared" ref="DG305:DG310" si="623">SUM(M305,AG305,BA305,BU305,DI305)-SUM(O305,AI305,BC305,BW305,CQ305)-L305</f>
        <v>-20</v>
      </c>
      <c r="DH305" s="29">
        <f t="shared" si="599"/>
        <v>26</v>
      </c>
      <c r="DI305" s="298">
        <f>DI290</f>
        <v>0</v>
      </c>
      <c r="DJ305" s="5">
        <f t="shared" ref="DJ305:DJ308" si="624">DI305-DH305</f>
        <v>-26</v>
      </c>
      <c r="DK305" s="240"/>
      <c r="DL305" s="303">
        <f>SUM(DL271:DL274)</f>
        <v>0</v>
      </c>
      <c r="DM305" s="231">
        <f t="shared" ref="DM305:DM308" si="625">DH305+DK305-DL305</f>
        <v>26</v>
      </c>
    </row>
    <row r="306" spans="1:117" ht="30.75" thickBot="1" x14ac:dyDescent="0.3">
      <c r="A306" s="18"/>
      <c r="B306" s="11" t="s">
        <v>475</v>
      </c>
      <c r="C306" s="18">
        <v>1</v>
      </c>
      <c r="D306" s="15" t="s">
        <v>377</v>
      </c>
      <c r="E306" s="15"/>
      <c r="F306" s="149">
        <v>216</v>
      </c>
      <c r="G306" s="11" t="s">
        <v>190</v>
      </c>
      <c r="H306" s="25"/>
      <c r="I306" s="25"/>
      <c r="J306" s="530">
        <f t="shared" si="617"/>
        <v>-20</v>
      </c>
      <c r="K306" s="395">
        <f t="shared" si="585"/>
        <v>-29</v>
      </c>
      <c r="L306" s="544">
        <v>30</v>
      </c>
      <c r="M306" s="298">
        <f>M290</f>
        <v>1</v>
      </c>
      <c r="N306" s="5">
        <f t="shared" si="586"/>
        <v>-29</v>
      </c>
      <c r="O306" s="256"/>
      <c r="P306" s="303">
        <f>P290</f>
        <v>1</v>
      </c>
      <c r="Q306" s="231">
        <f t="shared" si="610"/>
        <v>29</v>
      </c>
      <c r="R306" s="121"/>
      <c r="S306" s="6"/>
      <c r="T306" s="35"/>
      <c r="U306" s="612"/>
      <c r="V306" s="121"/>
      <c r="W306" s="6"/>
      <c r="X306" s="35"/>
      <c r="Y306" s="612"/>
      <c r="Z306" s="21"/>
      <c r="AA306" s="6"/>
      <c r="AB306" s="35"/>
      <c r="AC306" s="234"/>
      <c r="AD306" s="234"/>
      <c r="AE306" s="395">
        <f t="shared" si="618"/>
        <v>-28</v>
      </c>
      <c r="AF306" s="29">
        <f t="shared" si="619"/>
        <v>29</v>
      </c>
      <c r="AG306" s="298">
        <f>AG290</f>
        <v>1</v>
      </c>
      <c r="AH306" s="5">
        <f t="shared" si="589"/>
        <v>-28</v>
      </c>
      <c r="AI306" s="258"/>
      <c r="AJ306" s="303">
        <f>AJ290</f>
        <v>0</v>
      </c>
      <c r="AK306" s="231">
        <f t="shared" si="611"/>
        <v>29</v>
      </c>
      <c r="AL306" s="121"/>
      <c r="AM306" s="6"/>
      <c r="AN306" s="35"/>
      <c r="AO306" s="612"/>
      <c r="AP306" s="121"/>
      <c r="AQ306" s="6"/>
      <c r="AR306" s="35"/>
      <c r="AS306" s="612"/>
      <c r="AT306" s="21"/>
      <c r="AU306" s="6"/>
      <c r="AV306" s="35"/>
      <c r="AW306" s="234"/>
      <c r="AX306" s="234"/>
      <c r="AY306" s="395">
        <f t="shared" si="620"/>
        <v>-26</v>
      </c>
      <c r="AZ306" s="29">
        <f t="shared" si="601"/>
        <v>29</v>
      </c>
      <c r="BA306" s="298">
        <f>BA290</f>
        <v>2</v>
      </c>
      <c r="BB306" s="5">
        <f t="shared" si="591"/>
        <v>-27</v>
      </c>
      <c r="BC306" s="240"/>
      <c r="BD306" s="303">
        <f>BD290</f>
        <v>3</v>
      </c>
      <c r="BE306" s="231">
        <f t="shared" si="612"/>
        <v>26</v>
      </c>
      <c r="BF306" s="21"/>
      <c r="BG306" s="6"/>
      <c r="BH306" s="35"/>
      <c r="BI306" s="612"/>
      <c r="BJ306" s="21"/>
      <c r="BK306" s="6"/>
      <c r="BL306" s="35"/>
      <c r="BM306" s="712"/>
      <c r="BN306" s="200"/>
      <c r="BO306" s="6"/>
      <c r="BP306" s="79"/>
      <c r="BQ306" s="619"/>
      <c r="BR306" s="619"/>
      <c r="BS306" s="395">
        <f t="shared" si="621"/>
        <v>-30</v>
      </c>
      <c r="BT306" s="29">
        <f t="shared" si="602"/>
        <v>26</v>
      </c>
      <c r="BU306" s="298">
        <f>BU290</f>
        <v>6</v>
      </c>
      <c r="BV306" s="5">
        <f t="shared" si="593"/>
        <v>-20</v>
      </c>
      <c r="BW306" s="240">
        <v>10</v>
      </c>
      <c r="BX306" s="303">
        <f>BX290</f>
        <v>0</v>
      </c>
      <c r="BY306" s="231">
        <f t="shared" si="613"/>
        <v>36</v>
      </c>
      <c r="BZ306" s="121"/>
      <c r="CA306" s="6"/>
      <c r="CB306" s="79"/>
      <c r="CC306" s="712"/>
      <c r="CD306" s="215"/>
      <c r="CE306" s="199"/>
      <c r="CF306" s="502"/>
      <c r="CG306" s="786"/>
      <c r="CH306" s="21"/>
      <c r="CI306" s="199">
        <v>540</v>
      </c>
      <c r="CJ306" s="502" t="s">
        <v>822</v>
      </c>
      <c r="CK306" s="810"/>
      <c r="CL306" s="810"/>
      <c r="CM306" s="395">
        <f t="shared" si="622"/>
        <v>-30</v>
      </c>
      <c r="CN306" s="29">
        <f t="shared" si="603"/>
        <v>36</v>
      </c>
      <c r="CO306" s="298">
        <f>SUM(CO272:CO275)</f>
        <v>0</v>
      </c>
      <c r="CP306" s="5">
        <f t="shared" si="597"/>
        <v>-36</v>
      </c>
      <c r="CQ306" s="240"/>
      <c r="CR306" s="303">
        <f>SUM(CR272:CR275)</f>
        <v>0</v>
      </c>
      <c r="CS306" s="231">
        <f t="shared" si="614"/>
        <v>36</v>
      </c>
      <c r="CT306" s="121"/>
      <c r="CU306" s="6"/>
      <c r="CV306" s="35"/>
      <c r="CW306" s="612"/>
      <c r="CX306" s="121"/>
      <c r="CY306" s="6"/>
      <c r="CZ306" s="35"/>
      <c r="DA306" s="612"/>
      <c r="DB306" s="21"/>
      <c r="DC306" s="6"/>
      <c r="DD306" s="35"/>
      <c r="DE306" s="234"/>
      <c r="DF306" s="234"/>
      <c r="DG306" s="395">
        <f t="shared" si="623"/>
        <v>-30</v>
      </c>
      <c r="DH306" s="29">
        <f t="shared" si="599"/>
        <v>36</v>
      </c>
      <c r="DI306" s="298">
        <f>SUM(DI272:DI275)</f>
        <v>0</v>
      </c>
      <c r="DJ306" s="5">
        <f t="shared" si="624"/>
        <v>-36</v>
      </c>
      <c r="DK306" s="240"/>
      <c r="DL306" s="303">
        <f>SUM(DL272:DL275)</f>
        <v>0</v>
      </c>
      <c r="DM306" s="231">
        <f t="shared" si="625"/>
        <v>36</v>
      </c>
    </row>
    <row r="307" spans="1:117" ht="30.75" thickBot="1" x14ac:dyDescent="0.3">
      <c r="A307" s="18"/>
      <c r="B307" s="15" t="s">
        <v>950</v>
      </c>
      <c r="C307" s="18">
        <v>1</v>
      </c>
      <c r="D307" s="15" t="s">
        <v>377</v>
      </c>
      <c r="E307" s="15"/>
      <c r="F307" s="149">
        <v>185</v>
      </c>
      <c r="G307" s="11" t="s">
        <v>33</v>
      </c>
      <c r="H307" s="25" t="s">
        <v>34</v>
      </c>
      <c r="I307" s="25"/>
      <c r="J307" s="530">
        <f t="shared" si="617"/>
        <v>-2</v>
      </c>
      <c r="K307" s="395">
        <f t="shared" si="585"/>
        <v>-11</v>
      </c>
      <c r="L307" s="544">
        <v>12</v>
      </c>
      <c r="M307" s="298">
        <f>M290</f>
        <v>1</v>
      </c>
      <c r="N307" s="5">
        <f t="shared" si="586"/>
        <v>-11</v>
      </c>
      <c r="O307" s="240"/>
      <c r="P307" s="303">
        <f>P290</f>
        <v>1</v>
      </c>
      <c r="Q307" s="231">
        <f t="shared" si="610"/>
        <v>11</v>
      </c>
      <c r="R307" s="121"/>
      <c r="S307" s="6"/>
      <c r="T307" s="35"/>
      <c r="U307" s="612"/>
      <c r="V307" s="310"/>
      <c r="W307" s="6"/>
      <c r="X307" s="35"/>
      <c r="Y307" s="612"/>
      <c r="Z307" s="310"/>
      <c r="AA307" s="6"/>
      <c r="AB307" s="35"/>
      <c r="AC307" s="234"/>
      <c r="AD307" s="234"/>
      <c r="AE307" s="395">
        <f t="shared" si="618"/>
        <v>-10</v>
      </c>
      <c r="AF307" s="29">
        <f t="shared" si="619"/>
        <v>11</v>
      </c>
      <c r="AG307" s="298">
        <f>AG290</f>
        <v>1</v>
      </c>
      <c r="AH307" s="5">
        <f t="shared" si="589"/>
        <v>-10</v>
      </c>
      <c r="AI307" s="258"/>
      <c r="AJ307" s="303">
        <f>AJ290</f>
        <v>0</v>
      </c>
      <c r="AK307" s="231">
        <f t="shared" si="611"/>
        <v>11</v>
      </c>
      <c r="AL307" s="21"/>
      <c r="AM307" s="6"/>
      <c r="AN307" s="35"/>
      <c r="AO307" s="612"/>
      <c r="AP307" s="21"/>
      <c r="AQ307" s="6"/>
      <c r="AR307" s="35"/>
      <c r="AS307" s="612"/>
      <c r="AT307" s="21"/>
      <c r="AU307" s="6"/>
      <c r="AV307" s="35"/>
      <c r="AW307" s="234"/>
      <c r="AX307" s="234"/>
      <c r="AY307" s="395">
        <f t="shared" si="620"/>
        <v>-8</v>
      </c>
      <c r="AZ307" s="29">
        <f t="shared" si="601"/>
        <v>11</v>
      </c>
      <c r="BA307" s="298">
        <f>BA290</f>
        <v>2</v>
      </c>
      <c r="BB307" s="5">
        <f t="shared" si="591"/>
        <v>-9</v>
      </c>
      <c r="BC307" s="256"/>
      <c r="BD307" s="303">
        <f>BD290</f>
        <v>3</v>
      </c>
      <c r="BE307" s="231">
        <f t="shared" si="612"/>
        <v>8</v>
      </c>
      <c r="BF307" s="121"/>
      <c r="BG307" s="6"/>
      <c r="BH307" s="35"/>
      <c r="BI307" s="612"/>
      <c r="BJ307" s="121"/>
      <c r="BK307" s="6"/>
      <c r="BL307" s="35"/>
      <c r="BM307" s="712"/>
      <c r="BN307" s="200"/>
      <c r="BO307" s="6"/>
      <c r="BP307" s="79"/>
      <c r="BQ307" s="619"/>
      <c r="BR307" s="619"/>
      <c r="BS307" s="395">
        <f t="shared" si="621"/>
        <v>-12</v>
      </c>
      <c r="BT307" s="29">
        <f t="shared" si="602"/>
        <v>8</v>
      </c>
      <c r="BU307" s="298">
        <f>BU290</f>
        <v>6</v>
      </c>
      <c r="BV307" s="5">
        <f t="shared" si="593"/>
        <v>-2</v>
      </c>
      <c r="BW307" s="649">
        <v>10</v>
      </c>
      <c r="BX307" s="303">
        <f>BX290</f>
        <v>0</v>
      </c>
      <c r="BY307" s="231">
        <f t="shared" si="613"/>
        <v>18</v>
      </c>
      <c r="BZ307" s="121"/>
      <c r="CA307" s="6"/>
      <c r="CB307" s="79"/>
      <c r="CC307" s="712"/>
      <c r="CD307" s="215"/>
      <c r="CE307" s="199"/>
      <c r="CF307" s="502"/>
      <c r="CG307" s="786"/>
      <c r="CH307" s="21"/>
      <c r="CI307" s="199">
        <f>F307*BW307</f>
        <v>1850</v>
      </c>
      <c r="CJ307" s="502" t="s">
        <v>900</v>
      </c>
      <c r="CK307" s="810"/>
      <c r="CL307" s="810"/>
      <c r="CM307" s="395">
        <f t="shared" si="622"/>
        <v>-12</v>
      </c>
      <c r="CN307" s="29">
        <f t="shared" si="603"/>
        <v>18</v>
      </c>
      <c r="CO307" s="298">
        <f>SUM(CO272:CO275)</f>
        <v>0</v>
      </c>
      <c r="CP307" s="5">
        <f t="shared" si="597"/>
        <v>-18</v>
      </c>
      <c r="CQ307" s="240"/>
      <c r="CR307" s="303">
        <f>SUM(CR272:CR275)</f>
        <v>0</v>
      </c>
      <c r="CS307" s="231">
        <f t="shared" si="614"/>
        <v>18</v>
      </c>
      <c r="CT307" s="121"/>
      <c r="CU307" s="6"/>
      <c r="CV307" s="35"/>
      <c r="CW307" s="612"/>
      <c r="CX307" s="121"/>
      <c r="CY307" s="6"/>
      <c r="CZ307" s="35"/>
      <c r="DA307" s="612"/>
      <c r="DB307" s="21"/>
      <c r="DC307" s="6"/>
      <c r="DD307" s="35"/>
      <c r="DE307" s="234"/>
      <c r="DF307" s="234"/>
      <c r="DG307" s="395">
        <f t="shared" si="623"/>
        <v>-12</v>
      </c>
      <c r="DH307" s="29">
        <f t="shared" si="599"/>
        <v>18</v>
      </c>
      <c r="DI307" s="298">
        <f>SUM(DI272:DI275)</f>
        <v>0</v>
      </c>
      <c r="DJ307" s="5">
        <f t="shared" si="624"/>
        <v>-18</v>
      </c>
      <c r="DK307" s="240"/>
      <c r="DL307" s="303">
        <f>SUM(DL272:DL275)</f>
        <v>0</v>
      </c>
      <c r="DM307" s="231">
        <f t="shared" si="625"/>
        <v>18</v>
      </c>
    </row>
    <row r="308" spans="1:117" ht="30.75" thickBot="1" x14ac:dyDescent="0.3">
      <c r="A308" s="18"/>
      <c r="B308" s="80" t="s">
        <v>949</v>
      </c>
      <c r="C308" s="18">
        <v>1</v>
      </c>
      <c r="D308" s="15" t="s">
        <v>377</v>
      </c>
      <c r="E308" s="15"/>
      <c r="F308" s="149">
        <v>202</v>
      </c>
      <c r="G308" s="11" t="s">
        <v>33</v>
      </c>
      <c r="H308" s="25" t="s">
        <v>34</v>
      </c>
      <c r="I308" s="25"/>
      <c r="J308" s="530">
        <f t="shared" si="617"/>
        <v>-5</v>
      </c>
      <c r="K308" s="395">
        <f t="shared" si="585"/>
        <v>-14</v>
      </c>
      <c r="L308" s="544">
        <v>15</v>
      </c>
      <c r="M308" s="298">
        <f>M290</f>
        <v>1</v>
      </c>
      <c r="N308" s="5">
        <f t="shared" si="586"/>
        <v>-14</v>
      </c>
      <c r="O308" s="240"/>
      <c r="P308" s="303">
        <f>P290</f>
        <v>1</v>
      </c>
      <c r="Q308" s="231">
        <f t="shared" si="610"/>
        <v>14</v>
      </c>
      <c r="R308" s="121"/>
      <c r="S308" s="6"/>
      <c r="T308" s="35"/>
      <c r="U308" s="612"/>
      <c r="V308" s="310"/>
      <c r="W308" s="6"/>
      <c r="X308" s="35"/>
      <c r="Y308" s="612"/>
      <c r="Z308" s="310"/>
      <c r="AA308" s="6"/>
      <c r="AB308" s="35"/>
      <c r="AC308" s="234"/>
      <c r="AD308" s="234"/>
      <c r="AE308" s="395">
        <f t="shared" si="618"/>
        <v>-13</v>
      </c>
      <c r="AF308" s="29">
        <f t="shared" si="619"/>
        <v>14</v>
      </c>
      <c r="AG308" s="298">
        <f>AG290</f>
        <v>1</v>
      </c>
      <c r="AH308" s="5">
        <f t="shared" si="589"/>
        <v>-13</v>
      </c>
      <c r="AI308" s="258"/>
      <c r="AJ308" s="303">
        <f>AJ290</f>
        <v>0</v>
      </c>
      <c r="AK308" s="231">
        <f t="shared" si="611"/>
        <v>14</v>
      </c>
      <c r="AL308" s="21"/>
      <c r="AM308" s="6"/>
      <c r="AN308" s="35"/>
      <c r="AO308" s="612"/>
      <c r="AP308" s="21"/>
      <c r="AQ308" s="6"/>
      <c r="AR308" s="35"/>
      <c r="AS308" s="612"/>
      <c r="AT308" s="21"/>
      <c r="AU308" s="6"/>
      <c r="AV308" s="35"/>
      <c r="AW308" s="234"/>
      <c r="AX308" s="234"/>
      <c r="AY308" s="395">
        <f t="shared" si="620"/>
        <v>-11</v>
      </c>
      <c r="AZ308" s="29">
        <f t="shared" si="601"/>
        <v>14</v>
      </c>
      <c r="BA308" s="298">
        <f>BA290</f>
        <v>2</v>
      </c>
      <c r="BB308" s="5">
        <f t="shared" si="591"/>
        <v>-12</v>
      </c>
      <c r="BC308" s="256"/>
      <c r="BD308" s="303">
        <f>BD290</f>
        <v>3</v>
      </c>
      <c r="BE308" s="231">
        <f t="shared" si="612"/>
        <v>11</v>
      </c>
      <c r="BF308" s="121"/>
      <c r="BG308" s="6"/>
      <c r="BH308" s="35"/>
      <c r="BI308" s="612"/>
      <c r="BJ308" s="121"/>
      <c r="BK308" s="6"/>
      <c r="BL308" s="257"/>
      <c r="BM308" s="762"/>
      <c r="BN308" s="200"/>
      <c r="BO308" s="6"/>
      <c r="BP308" s="79"/>
      <c r="BQ308" s="619"/>
      <c r="BR308" s="619"/>
      <c r="BS308" s="395">
        <f t="shared" si="621"/>
        <v>-15</v>
      </c>
      <c r="BT308" s="29">
        <f t="shared" si="602"/>
        <v>11</v>
      </c>
      <c r="BU308" s="298">
        <f>BU290</f>
        <v>6</v>
      </c>
      <c r="BV308" s="5">
        <f t="shared" si="593"/>
        <v>-5</v>
      </c>
      <c r="BW308" s="649">
        <v>10</v>
      </c>
      <c r="BX308" s="303">
        <f>BX290</f>
        <v>0</v>
      </c>
      <c r="BY308" s="231">
        <f t="shared" si="613"/>
        <v>21</v>
      </c>
      <c r="BZ308" s="121"/>
      <c r="CA308" s="6"/>
      <c r="CB308" s="79"/>
      <c r="CC308" s="712"/>
      <c r="CD308" s="215"/>
      <c r="CE308" s="199"/>
      <c r="CF308" s="502"/>
      <c r="CG308" s="786"/>
      <c r="CH308" s="21"/>
      <c r="CI308" s="199">
        <f>F308*BW308</f>
        <v>2020</v>
      </c>
      <c r="CJ308" s="502" t="s">
        <v>900</v>
      </c>
      <c r="CK308" s="810"/>
      <c r="CL308" s="810"/>
      <c r="CM308" s="395">
        <f t="shared" si="622"/>
        <v>-15</v>
      </c>
      <c r="CN308" s="29">
        <f t="shared" si="603"/>
        <v>21</v>
      </c>
      <c r="CO308" s="298">
        <f>SUM(CO272:CO275)</f>
        <v>0</v>
      </c>
      <c r="CP308" s="5">
        <f t="shared" si="597"/>
        <v>-21</v>
      </c>
      <c r="CQ308" s="240"/>
      <c r="CR308" s="303">
        <f>SUM(CR273:CR276)</f>
        <v>0</v>
      </c>
      <c r="CS308" s="231">
        <f t="shared" si="614"/>
        <v>21</v>
      </c>
      <c r="CT308" s="121"/>
      <c r="CU308" s="6"/>
      <c r="CV308" s="35"/>
      <c r="CW308" s="612"/>
      <c r="CX308" s="121"/>
      <c r="CY308" s="6"/>
      <c r="CZ308" s="35"/>
      <c r="DA308" s="612"/>
      <c r="DB308" s="21"/>
      <c r="DC308" s="6"/>
      <c r="DD308" s="35"/>
      <c r="DE308" s="234"/>
      <c r="DF308" s="234"/>
      <c r="DG308" s="395">
        <f t="shared" si="623"/>
        <v>-15</v>
      </c>
      <c r="DH308" s="29">
        <f t="shared" si="599"/>
        <v>21</v>
      </c>
      <c r="DI308" s="298">
        <f>SUM(DI272:DI275)</f>
        <v>0</v>
      </c>
      <c r="DJ308" s="5">
        <f t="shared" si="624"/>
        <v>-21</v>
      </c>
      <c r="DK308" s="240"/>
      <c r="DL308" s="303">
        <f>SUM(DL273:DL276)</f>
        <v>0</v>
      </c>
      <c r="DM308" s="231">
        <f t="shared" si="625"/>
        <v>21</v>
      </c>
    </row>
    <row r="309" spans="1:117" ht="45.75" thickBot="1" x14ac:dyDescent="0.3">
      <c r="A309" s="18">
        <v>7738</v>
      </c>
      <c r="B309" s="11" t="s">
        <v>245</v>
      </c>
      <c r="C309" s="18">
        <v>1</v>
      </c>
      <c r="D309" s="15" t="s">
        <v>362</v>
      </c>
      <c r="E309" s="15"/>
      <c r="F309" s="568">
        <v>314</v>
      </c>
      <c r="G309" s="15" t="s">
        <v>33</v>
      </c>
      <c r="H309" s="25" t="s">
        <v>11</v>
      </c>
      <c r="I309" s="25"/>
      <c r="J309" s="530">
        <f t="shared" si="617"/>
        <v>0</v>
      </c>
      <c r="K309" s="395">
        <f t="shared" si="585"/>
        <v>-9</v>
      </c>
      <c r="L309" s="544">
        <v>10</v>
      </c>
      <c r="M309" s="298">
        <f>M290</f>
        <v>1</v>
      </c>
      <c r="N309" s="5">
        <f>M309-L309</f>
        <v>-9</v>
      </c>
      <c r="O309" s="240"/>
      <c r="P309" s="303">
        <f>P290</f>
        <v>1</v>
      </c>
      <c r="Q309" s="231">
        <f>L309+O309-P309</f>
        <v>9</v>
      </c>
      <c r="R309" s="121"/>
      <c r="S309" s="6"/>
      <c r="T309" s="35"/>
      <c r="U309" s="612"/>
      <c r="V309" s="310"/>
      <c r="W309" s="6"/>
      <c r="X309" s="35"/>
      <c r="Y309" s="612"/>
      <c r="Z309" s="310"/>
      <c r="AA309" s="6"/>
      <c r="AB309" s="35"/>
      <c r="AC309" s="231"/>
      <c r="AD309" s="231"/>
      <c r="AE309" s="398">
        <f t="shared" si="618"/>
        <v>-8</v>
      </c>
      <c r="AF309" s="29">
        <f t="shared" si="619"/>
        <v>9</v>
      </c>
      <c r="AG309" s="298">
        <f>AG290</f>
        <v>1</v>
      </c>
      <c r="AH309" s="5">
        <f>AG309-AF309</f>
        <v>-8</v>
      </c>
      <c r="AI309" s="258"/>
      <c r="AJ309" s="303">
        <f>AJ290</f>
        <v>0</v>
      </c>
      <c r="AK309" s="231">
        <f>AF309+AI309-AJ309</f>
        <v>9</v>
      </c>
      <c r="AL309" s="310"/>
      <c r="AM309" s="6"/>
      <c r="AN309" s="35"/>
      <c r="AO309" s="612"/>
      <c r="AP309" s="121"/>
      <c r="AQ309" s="6"/>
      <c r="AR309" s="257"/>
      <c r="AS309" s="730"/>
      <c r="AT309" s="121"/>
      <c r="AU309" s="6"/>
      <c r="AV309" s="35"/>
      <c r="AW309" s="231"/>
      <c r="AX309" s="231"/>
      <c r="AY309" s="398">
        <f t="shared" si="620"/>
        <v>-6</v>
      </c>
      <c r="AZ309" s="29">
        <f>AK309</f>
        <v>9</v>
      </c>
      <c r="BA309" s="298">
        <f>BA290</f>
        <v>2</v>
      </c>
      <c r="BB309" s="5">
        <f>BA309-AZ309</f>
        <v>-7</v>
      </c>
      <c r="BC309" s="256"/>
      <c r="BD309" s="303">
        <f>BD290</f>
        <v>3</v>
      </c>
      <c r="BE309" s="231">
        <f>AZ309+BC309-BD309</f>
        <v>6</v>
      </c>
      <c r="BF309" s="121"/>
      <c r="BG309" s="6"/>
      <c r="BH309" s="35"/>
      <c r="BI309" s="612"/>
      <c r="BJ309" s="121"/>
      <c r="BK309" s="6"/>
      <c r="BL309" s="35"/>
      <c r="BM309" s="712"/>
      <c r="BN309" s="200"/>
      <c r="BO309" s="6"/>
      <c r="BP309" s="79"/>
      <c r="BQ309" s="233"/>
      <c r="BR309" s="233"/>
      <c r="BS309" s="398">
        <f t="shared" si="621"/>
        <v>-5</v>
      </c>
      <c r="BT309" s="29">
        <f>BE309</f>
        <v>6</v>
      </c>
      <c r="BU309" s="298">
        <f>BU290</f>
        <v>6</v>
      </c>
      <c r="BV309" s="5">
        <f>BU309-BT309</f>
        <v>0</v>
      </c>
      <c r="BW309" s="621">
        <v>5</v>
      </c>
      <c r="BX309" s="303">
        <f>BX290</f>
        <v>0</v>
      </c>
      <c r="BY309" s="231">
        <f>BT309+BW309-BX309</f>
        <v>11</v>
      </c>
      <c r="BZ309" s="121"/>
      <c r="CA309" s="6"/>
      <c r="CB309" s="79"/>
      <c r="CC309" s="712"/>
      <c r="CD309" s="668">
        <f>F309*BW309/2</f>
        <v>785</v>
      </c>
      <c r="CE309" s="663"/>
      <c r="CF309" s="687" t="s">
        <v>813</v>
      </c>
      <c r="CG309" s="772"/>
      <c r="CH309" s="121"/>
      <c r="CI309" s="629">
        <v>785</v>
      </c>
      <c r="CJ309" s="654" t="s">
        <v>814</v>
      </c>
      <c r="CK309" s="809"/>
      <c r="CL309" s="809"/>
      <c r="CM309" s="395">
        <f t="shared" si="622"/>
        <v>-5</v>
      </c>
      <c r="CN309" s="29">
        <f>BY309</f>
        <v>11</v>
      </c>
      <c r="CO309" s="298">
        <f>CO290</f>
        <v>0</v>
      </c>
      <c r="CP309" s="5">
        <f>CO309-CN309</f>
        <v>-11</v>
      </c>
      <c r="CQ309" s="240"/>
      <c r="CR309" s="303">
        <f>CR290</f>
        <v>0</v>
      </c>
      <c r="CS309" s="231">
        <f>CN309+CQ309-CR309</f>
        <v>11</v>
      </c>
      <c r="CT309" s="121"/>
      <c r="CU309" s="6"/>
      <c r="CV309" s="257"/>
      <c r="CW309" s="730"/>
      <c r="CX309" s="121"/>
      <c r="CY309" s="6"/>
      <c r="CZ309" s="257"/>
      <c r="DA309" s="730"/>
      <c r="DB309" s="121"/>
      <c r="DC309" s="6"/>
      <c r="DD309" s="35"/>
      <c r="DE309" s="234"/>
      <c r="DF309" s="234"/>
      <c r="DG309" s="395">
        <f t="shared" si="623"/>
        <v>-5</v>
      </c>
      <c r="DH309" s="29">
        <f t="shared" si="599"/>
        <v>11</v>
      </c>
      <c r="DI309" s="298">
        <f>DI290</f>
        <v>0</v>
      </c>
      <c r="DJ309" s="5">
        <f>DI309-DH309</f>
        <v>-11</v>
      </c>
      <c r="DK309" s="240"/>
      <c r="DL309" s="303">
        <f>DL290</f>
        <v>0</v>
      </c>
      <c r="DM309" s="231">
        <f>DH309+DK309-DL309</f>
        <v>11</v>
      </c>
    </row>
    <row r="310" spans="1:117" ht="45.75" thickBot="1" x14ac:dyDescent="0.3">
      <c r="A310" s="17"/>
      <c r="B310" s="10" t="s">
        <v>441</v>
      </c>
      <c r="C310" s="17">
        <v>1</v>
      </c>
      <c r="D310" s="80" t="s">
        <v>362</v>
      </c>
      <c r="E310" s="80"/>
      <c r="F310" s="337">
        <v>50</v>
      </c>
      <c r="G310" s="80" t="s">
        <v>33</v>
      </c>
      <c r="H310" s="24" t="s">
        <v>11</v>
      </c>
      <c r="I310" s="24"/>
      <c r="J310" s="534">
        <f t="shared" si="617"/>
        <v>3</v>
      </c>
      <c r="K310" s="395">
        <f t="shared" si="585"/>
        <v>-6</v>
      </c>
      <c r="L310" s="515">
        <v>7</v>
      </c>
      <c r="M310" s="302">
        <f>M290</f>
        <v>1</v>
      </c>
      <c r="N310" s="7">
        <f t="shared" ref="N310" si="626">M310-L310</f>
        <v>-6</v>
      </c>
      <c r="O310" s="256"/>
      <c r="P310" s="304">
        <f>P290</f>
        <v>1</v>
      </c>
      <c r="Q310" s="234">
        <f t="shared" ref="Q310" si="627">L310+O310-P310</f>
        <v>6</v>
      </c>
      <c r="R310" s="121"/>
      <c r="S310" s="6"/>
      <c r="T310" s="35"/>
      <c r="U310" s="713"/>
      <c r="V310" s="474"/>
      <c r="W310" s="6"/>
      <c r="X310" s="35"/>
      <c r="Y310" s="713"/>
      <c r="Z310" s="123"/>
      <c r="AA310" s="6"/>
      <c r="AB310" s="35"/>
      <c r="AC310" s="234"/>
      <c r="AD310" s="234"/>
      <c r="AE310" s="395">
        <f t="shared" si="618"/>
        <v>-5</v>
      </c>
      <c r="AF310" s="32">
        <f t="shared" si="619"/>
        <v>6</v>
      </c>
      <c r="AG310" s="302">
        <f>AG290</f>
        <v>1</v>
      </c>
      <c r="AH310" s="7">
        <f t="shared" ref="AH310" si="628">AG310-AF310</f>
        <v>-5</v>
      </c>
      <c r="AI310" s="242"/>
      <c r="AJ310" s="304">
        <f>AJ290</f>
        <v>0</v>
      </c>
      <c r="AK310" s="234">
        <f t="shared" ref="AK310" si="629">AF310+AI310-AJ310</f>
        <v>6</v>
      </c>
      <c r="AL310" s="474"/>
      <c r="AM310" s="6"/>
      <c r="AN310" s="35"/>
      <c r="AO310" s="713"/>
      <c r="AP310" s="123"/>
      <c r="AQ310" s="8"/>
      <c r="AR310" s="447"/>
      <c r="AS310" s="728"/>
      <c r="AT310" s="123"/>
      <c r="AU310" s="8"/>
      <c r="AV310" s="34"/>
      <c r="AW310" s="234"/>
      <c r="AX310" s="234"/>
      <c r="AY310" s="395">
        <f t="shared" si="620"/>
        <v>-3</v>
      </c>
      <c r="AZ310" s="32">
        <f t="shared" ref="AZ310" si="630">AK310</f>
        <v>6</v>
      </c>
      <c r="BA310" s="302">
        <f>BA290</f>
        <v>2</v>
      </c>
      <c r="BB310" s="7">
        <f t="shared" ref="BB310" si="631">BA310-AZ310</f>
        <v>-4</v>
      </c>
      <c r="BC310" s="258"/>
      <c r="BD310" s="304">
        <f>BD290</f>
        <v>3</v>
      </c>
      <c r="BE310" s="234">
        <f t="shared" ref="BE310" si="632">AZ310+BC310-BD310</f>
        <v>3</v>
      </c>
      <c r="BF310" s="123"/>
      <c r="BG310" s="8"/>
      <c r="BH310" s="34"/>
      <c r="BI310" s="713"/>
      <c r="BJ310" s="123"/>
      <c r="BK310" s="8"/>
      <c r="BL310" s="34"/>
      <c r="BN310" s="200"/>
      <c r="BO310" s="8"/>
      <c r="BP310" s="79"/>
      <c r="BQ310" s="619"/>
      <c r="BR310" s="619"/>
      <c r="BS310" s="395">
        <f t="shared" si="621"/>
        <v>-2</v>
      </c>
      <c r="BT310" s="32">
        <f t="shared" ref="BT310" si="633">BE310</f>
        <v>3</v>
      </c>
      <c r="BU310" s="302">
        <f>BU290</f>
        <v>6</v>
      </c>
      <c r="BV310" s="7">
        <f t="shared" ref="BV310" si="634">BU310-BT310</f>
        <v>3</v>
      </c>
      <c r="BW310" s="242">
        <v>5</v>
      </c>
      <c r="BX310" s="304">
        <f>BX290</f>
        <v>0</v>
      </c>
      <c r="BY310" s="234">
        <f t="shared" ref="BY310" si="635">BT310+BW310-BX310</f>
        <v>8</v>
      </c>
      <c r="BZ310" s="123"/>
      <c r="CA310" s="8"/>
      <c r="CB310" s="79"/>
      <c r="CD310" s="632"/>
      <c r="CE310" s="213"/>
      <c r="CF310" s="502"/>
      <c r="CG310" s="248"/>
      <c r="CH310" s="123"/>
      <c r="CI310" s="199">
        <f>F310*BW310</f>
        <v>250</v>
      </c>
      <c r="CJ310" s="502" t="s">
        <v>822</v>
      </c>
      <c r="CK310" s="810"/>
      <c r="CL310" s="810"/>
      <c r="CM310" s="395">
        <f t="shared" si="622"/>
        <v>-2</v>
      </c>
      <c r="CN310" s="32">
        <f t="shared" ref="CN310" si="636">BY310</f>
        <v>8</v>
      </c>
      <c r="CO310" s="302">
        <f>CO290</f>
        <v>0</v>
      </c>
      <c r="CP310" s="7">
        <f t="shared" ref="CP310" si="637">CO310-CN310</f>
        <v>-8</v>
      </c>
      <c r="CQ310" s="242"/>
      <c r="CR310" s="304">
        <f>CR290</f>
        <v>0</v>
      </c>
      <c r="CS310" s="234">
        <f t="shared" ref="CS310" si="638">CN310+CQ310-CR310</f>
        <v>8</v>
      </c>
      <c r="CT310" s="123"/>
      <c r="CU310" s="8"/>
      <c r="CV310" s="447"/>
      <c r="CW310" s="728"/>
      <c r="CX310" s="123"/>
      <c r="CY310" s="8"/>
      <c r="CZ310" s="447"/>
      <c r="DA310" s="728"/>
      <c r="DB310" s="123"/>
      <c r="DC310" s="8"/>
      <c r="DD310" s="34"/>
      <c r="DE310" s="234"/>
      <c r="DF310" s="234"/>
      <c r="DG310" s="395">
        <f t="shared" si="623"/>
        <v>-2</v>
      </c>
      <c r="DH310" s="29">
        <f t="shared" si="599"/>
        <v>8</v>
      </c>
      <c r="DI310" s="302">
        <f>DI290</f>
        <v>0</v>
      </c>
      <c r="DJ310" s="7">
        <f t="shared" ref="DJ310" si="639">DI310-DH310</f>
        <v>-8</v>
      </c>
      <c r="DK310" s="242"/>
      <c r="DL310" s="304">
        <f>DL290</f>
        <v>0</v>
      </c>
      <c r="DM310" s="234">
        <f t="shared" ref="DM310" si="640">DH310+DK310-DL310</f>
        <v>8</v>
      </c>
    </row>
    <row r="311" spans="1:117" x14ac:dyDescent="0.25">
      <c r="A311" s="346"/>
      <c r="B311" s="348"/>
      <c r="C311" s="346"/>
      <c r="D311" s="504"/>
      <c r="E311" s="504"/>
      <c r="F311" s="349"/>
      <c r="G311" s="373"/>
      <c r="H311" s="351"/>
      <c r="I311" s="351"/>
      <c r="J311" s="346"/>
      <c r="K311" s="346"/>
      <c r="L311" s="352"/>
      <c r="M311" s="353"/>
      <c r="N311" s="353"/>
      <c r="O311" s="354"/>
      <c r="P311" s="354"/>
      <c r="Q311" s="355"/>
      <c r="R311" s="505"/>
      <c r="S311" s="506"/>
      <c r="T311" s="507"/>
      <c r="U311" s="725"/>
      <c r="V311" s="505"/>
      <c r="W311" s="506"/>
      <c r="X311" s="507"/>
      <c r="Y311" s="725"/>
      <c r="Z311" s="359"/>
      <c r="AA311" s="357"/>
      <c r="AB311" s="358"/>
      <c r="AC311" s="355"/>
      <c r="AD311" s="355"/>
      <c r="AE311" s="346"/>
      <c r="AF311" s="352"/>
      <c r="AG311" s="353"/>
      <c r="AH311" s="353"/>
      <c r="AI311" s="354"/>
      <c r="AJ311" s="354"/>
      <c r="AK311" s="355"/>
      <c r="AL311" s="505"/>
      <c r="AM311" s="357"/>
      <c r="AN311" s="508"/>
      <c r="AO311" s="763"/>
      <c r="AP311" s="356"/>
      <c r="AQ311" s="357"/>
      <c r="AR311" s="508"/>
      <c r="AS311" s="763"/>
      <c r="AT311" s="359"/>
      <c r="AU311" s="357"/>
      <c r="AV311" s="358"/>
      <c r="AW311" s="355"/>
      <c r="AX311" s="355"/>
      <c r="AY311" s="346"/>
      <c r="AZ311" s="352"/>
      <c r="BA311" s="353"/>
      <c r="BB311" s="353"/>
      <c r="BC311" s="442"/>
      <c r="BD311" s="354"/>
      <c r="BE311" s="355"/>
      <c r="BF311" s="356"/>
      <c r="BG311" s="357"/>
      <c r="BH311" s="358"/>
      <c r="BI311" s="726"/>
      <c r="BJ311" s="356"/>
      <c r="BK311" s="357"/>
      <c r="BL311" s="358"/>
      <c r="BM311" s="726"/>
      <c r="BN311" s="359"/>
      <c r="BO311" s="357"/>
      <c r="BP311" s="358"/>
      <c r="BQ311" s="355"/>
      <c r="BR311" s="355"/>
      <c r="BS311" s="346"/>
      <c r="BT311" s="352"/>
      <c r="BU311" s="353"/>
      <c r="BV311" s="353"/>
      <c r="BW311" s="354"/>
      <c r="BX311" s="354"/>
      <c r="BY311" s="355"/>
      <c r="BZ311" s="356"/>
      <c r="CA311" s="357"/>
      <c r="CB311" s="508"/>
      <c r="CC311" s="763"/>
      <c r="CD311" s="356"/>
      <c r="CE311" s="357"/>
      <c r="CF311" s="508"/>
      <c r="CG311" s="763"/>
      <c r="CH311" s="359"/>
      <c r="CI311" s="357"/>
      <c r="CJ311" s="358"/>
      <c r="CK311" s="355"/>
      <c r="CL311" s="355"/>
      <c r="CM311" s="346"/>
      <c r="CN311" s="352"/>
      <c r="CO311" s="353"/>
      <c r="CP311" s="353"/>
      <c r="CQ311" s="354"/>
      <c r="CR311" s="354"/>
      <c r="CS311" s="355"/>
      <c r="CT311" s="356"/>
      <c r="CU311" s="357"/>
      <c r="CV311" s="508"/>
      <c r="CW311" s="763"/>
      <c r="CX311" s="356"/>
      <c r="CY311" s="357"/>
      <c r="CZ311" s="508"/>
      <c r="DA311" s="763"/>
      <c r="DB311" s="359"/>
      <c r="DC311" s="357"/>
      <c r="DD311" s="358"/>
      <c r="DE311" s="355"/>
      <c r="DF311" s="355"/>
      <c r="DG311" s="346"/>
      <c r="DH311" s="352"/>
      <c r="DI311" s="353"/>
      <c r="DJ311" s="353"/>
      <c r="DK311" s="354"/>
      <c r="DL311" s="354"/>
      <c r="DM311" s="355"/>
    </row>
    <row r="312" spans="1:117" ht="30" x14ac:dyDescent="0.25">
      <c r="A312" s="17"/>
      <c r="B312" s="10" t="s">
        <v>379</v>
      </c>
      <c r="C312" s="17">
        <v>1</v>
      </c>
      <c r="D312" s="80" t="s">
        <v>385</v>
      </c>
      <c r="E312" s="80"/>
      <c r="F312" s="337"/>
      <c r="G312" s="76" t="s">
        <v>757</v>
      </c>
      <c r="H312" s="24"/>
      <c r="I312" s="24"/>
      <c r="J312" s="534">
        <f t="shared" ref="J312:J317" si="641">SUM(M312,AG312,BA312,BU312)-L312</f>
        <v>-1</v>
      </c>
      <c r="K312" s="395">
        <f t="shared" si="585"/>
        <v>-1</v>
      </c>
      <c r="L312" s="515">
        <v>1</v>
      </c>
      <c r="M312" s="302">
        <f>SUM(M272,M273)</f>
        <v>0</v>
      </c>
      <c r="N312" s="7">
        <f t="shared" si="586"/>
        <v>-1</v>
      </c>
      <c r="O312" s="258"/>
      <c r="P312" s="304">
        <f>SUM(P272,P273)</f>
        <v>0</v>
      </c>
      <c r="Q312" s="234">
        <f t="shared" si="610"/>
        <v>1</v>
      </c>
      <c r="R312" s="123"/>
      <c r="S312" s="8"/>
      <c r="T312" s="34"/>
      <c r="U312" s="713"/>
      <c r="V312" s="123"/>
      <c r="W312" s="8"/>
      <c r="X312" s="34"/>
      <c r="Y312" s="713"/>
      <c r="Z312" s="20"/>
      <c r="AA312" s="8"/>
      <c r="AB312" s="34"/>
      <c r="AC312" s="234"/>
      <c r="AD312" s="234"/>
      <c r="AE312" s="395">
        <f t="shared" ref="AE312:AE317" si="642">SUM(M312,AG312)-SUM(O312,AI312)-L312</f>
        <v>-1</v>
      </c>
      <c r="AF312" s="32">
        <f t="shared" ref="AF312:AF317" si="643">Q312</f>
        <v>1</v>
      </c>
      <c r="AG312" s="302">
        <f>SUM(AG272,AG273)</f>
        <v>0</v>
      </c>
      <c r="AH312" s="7">
        <f t="shared" si="589"/>
        <v>-1</v>
      </c>
      <c r="AI312" s="258"/>
      <c r="AJ312" s="304">
        <f>SUM(AJ272,AJ273)</f>
        <v>0</v>
      </c>
      <c r="AK312" s="234">
        <f t="shared" si="611"/>
        <v>1</v>
      </c>
      <c r="AL312" s="123"/>
      <c r="AM312" s="8"/>
      <c r="AN312" s="34"/>
      <c r="AO312" s="713"/>
      <c r="AP312" s="123"/>
      <c r="AQ312" s="8"/>
      <c r="AR312" s="34"/>
      <c r="AS312" s="713"/>
      <c r="AT312" s="20"/>
      <c r="AU312" s="8"/>
      <c r="AV312" s="34"/>
      <c r="AW312" s="234"/>
      <c r="AX312" s="234"/>
      <c r="AY312" s="395">
        <f t="shared" ref="AY312:AY317" si="644">SUM(M312,AG312,BA312)-SUM(O312,AI312,BC312)-L312</f>
        <v>-1</v>
      </c>
      <c r="AZ312" s="32">
        <f t="shared" si="601"/>
        <v>1</v>
      </c>
      <c r="BA312" s="302">
        <f>SUM(BA272,BA273)</f>
        <v>0</v>
      </c>
      <c r="BB312" s="7">
        <f t="shared" si="591"/>
        <v>-1</v>
      </c>
      <c r="BC312" s="258"/>
      <c r="BD312" s="304">
        <f>SUM(BD272,BD273)</f>
        <v>0</v>
      </c>
      <c r="BE312" s="234">
        <f t="shared" si="612"/>
        <v>1</v>
      </c>
      <c r="BF312" s="123"/>
      <c r="BG312" s="8"/>
      <c r="BH312" s="34"/>
      <c r="BI312" s="713"/>
      <c r="BJ312" s="123"/>
      <c r="BK312" s="8"/>
      <c r="BL312" s="34"/>
      <c r="BM312" s="713"/>
      <c r="BN312" s="20"/>
      <c r="BO312" s="8"/>
      <c r="BP312" s="34"/>
      <c r="BQ312" s="234"/>
      <c r="BR312" s="234"/>
      <c r="BS312" s="395">
        <f t="shared" ref="BS312:BS317" si="645">SUM(M312,AG312,BA312,BU312)-SUM(O312,AI312,BC312,BW312)-L312</f>
        <v>-6</v>
      </c>
      <c r="BT312" s="32">
        <f t="shared" si="602"/>
        <v>1</v>
      </c>
      <c r="BU312" s="302">
        <f>SUM(BU272,BU273)</f>
        <v>0</v>
      </c>
      <c r="BV312" s="7">
        <f t="shared" si="593"/>
        <v>-1</v>
      </c>
      <c r="BW312" s="242">
        <v>5</v>
      </c>
      <c r="BX312" s="304">
        <f>SUM(BX272,BX273)</f>
        <v>0</v>
      </c>
      <c r="BY312" s="234">
        <f t="shared" si="613"/>
        <v>6</v>
      </c>
      <c r="BZ312" s="123"/>
      <c r="CA312" s="8"/>
      <c r="CB312" s="34"/>
      <c r="CC312" s="713"/>
      <c r="CD312" s="123"/>
      <c r="CE312" s="8"/>
      <c r="CF312" s="34"/>
      <c r="CG312" s="713"/>
      <c r="CH312" s="20"/>
      <c r="CI312" s="8"/>
      <c r="CJ312" s="34"/>
      <c r="CK312" s="234"/>
      <c r="CL312" s="234"/>
      <c r="CM312" s="395">
        <f t="shared" ref="CM312:CM317" si="646">SUM(M312,AG312,BA312,BU312,CO312)-SUM(O312,AI312,BC312,BW312,CQ312)-L312</f>
        <v>-6</v>
      </c>
      <c r="CN312" s="32">
        <f t="shared" si="603"/>
        <v>6</v>
      </c>
      <c r="CO312" s="302">
        <f>SUM(CO272,CO273)</f>
        <v>0</v>
      </c>
      <c r="CP312" s="7">
        <f t="shared" si="597"/>
        <v>-6</v>
      </c>
      <c r="CQ312" s="242"/>
      <c r="CR312" s="304">
        <f>SUM(CR272,CR273)</f>
        <v>0</v>
      </c>
      <c r="CS312" s="234">
        <f t="shared" si="614"/>
        <v>6</v>
      </c>
      <c r="CT312" s="123"/>
      <c r="CU312" s="8"/>
      <c r="CV312" s="34"/>
      <c r="CW312" s="713"/>
      <c r="CX312" s="123"/>
      <c r="CY312" s="8"/>
      <c r="CZ312" s="34"/>
      <c r="DA312" s="713"/>
      <c r="DB312" s="20"/>
      <c r="DC312" s="8"/>
      <c r="DD312" s="34"/>
      <c r="DE312" s="234"/>
      <c r="DF312" s="234"/>
      <c r="DG312" s="395">
        <f t="shared" ref="DG312:DG317" si="647">SUM(M312,AG312,BA312,BU312,DI312)-SUM(O312,AI312,BC312,BW312,CQ312)-L312</f>
        <v>-6</v>
      </c>
      <c r="DH312" s="29">
        <f t="shared" si="599"/>
        <v>6</v>
      </c>
      <c r="DI312" s="302">
        <f>SUM(DI272,DI273)</f>
        <v>0</v>
      </c>
      <c r="DJ312" s="7">
        <f t="shared" ref="DJ312:DJ317" si="648">DI312-DH312</f>
        <v>-6</v>
      </c>
      <c r="DK312" s="242"/>
      <c r="DL312" s="304">
        <f>SUM(DL272,DL273)</f>
        <v>0</v>
      </c>
      <c r="DM312" s="234">
        <f t="shared" ref="DM312:DM317" si="649">DH312+DK312-DL312</f>
        <v>6</v>
      </c>
    </row>
    <row r="313" spans="1:117" ht="45.75" thickBot="1" x14ac:dyDescent="0.3">
      <c r="A313" s="18"/>
      <c r="B313" s="10" t="s">
        <v>607</v>
      </c>
      <c r="C313" s="18">
        <v>1</v>
      </c>
      <c r="D313" s="15" t="s">
        <v>486</v>
      </c>
      <c r="E313" s="15"/>
      <c r="F313" s="149">
        <v>10</v>
      </c>
      <c r="G313" s="76" t="s">
        <v>757</v>
      </c>
      <c r="H313" s="25"/>
      <c r="I313" s="25"/>
      <c r="J313" s="530">
        <f t="shared" si="641"/>
        <v>-69</v>
      </c>
      <c r="K313" s="395">
        <f t="shared" si="585"/>
        <v>-78</v>
      </c>
      <c r="L313" s="544">
        <v>79</v>
      </c>
      <c r="M313" s="298">
        <f>M290</f>
        <v>1</v>
      </c>
      <c r="N313" s="5">
        <f t="shared" si="586"/>
        <v>-78</v>
      </c>
      <c r="O313" s="256"/>
      <c r="P313" s="303">
        <f>P290</f>
        <v>1</v>
      </c>
      <c r="Q313" s="231">
        <f t="shared" si="610"/>
        <v>78</v>
      </c>
      <c r="R313" s="121"/>
      <c r="S313" s="6"/>
      <c r="T313" s="35"/>
      <c r="U313" s="612"/>
      <c r="V313" s="121"/>
      <c r="W313" s="6"/>
      <c r="X313" s="35"/>
      <c r="Y313" s="612"/>
      <c r="Z313" s="21"/>
      <c r="AA313" s="6"/>
      <c r="AB313" s="35"/>
      <c r="AC313" s="234"/>
      <c r="AD313" s="234"/>
      <c r="AE313" s="395">
        <f t="shared" si="642"/>
        <v>-77</v>
      </c>
      <c r="AF313" s="29">
        <f t="shared" si="643"/>
        <v>78</v>
      </c>
      <c r="AG313" s="298">
        <f>AG290</f>
        <v>1</v>
      </c>
      <c r="AH313" s="5">
        <f t="shared" si="589"/>
        <v>-77</v>
      </c>
      <c r="AI313" s="258"/>
      <c r="AJ313" s="303">
        <f>AJ290</f>
        <v>0</v>
      </c>
      <c r="AK313" s="231">
        <f t="shared" si="611"/>
        <v>78</v>
      </c>
      <c r="AL313" s="121"/>
      <c r="AM313" s="6"/>
      <c r="AN313" s="35"/>
      <c r="AO313" s="612"/>
      <c r="AP313" s="121"/>
      <c r="AQ313" s="6"/>
      <c r="AR313" s="35"/>
      <c r="AS313" s="612"/>
      <c r="AT313" s="21"/>
      <c r="AU313" s="6"/>
      <c r="AV313" s="35"/>
      <c r="AW313" s="234"/>
      <c r="AX313" s="234"/>
      <c r="AY313" s="395">
        <f t="shared" si="644"/>
        <v>-75</v>
      </c>
      <c r="AZ313" s="29">
        <f t="shared" si="601"/>
        <v>78</v>
      </c>
      <c r="BA313" s="298">
        <f>BA290</f>
        <v>2</v>
      </c>
      <c r="BB313" s="5">
        <f t="shared" si="591"/>
        <v>-76</v>
      </c>
      <c r="BC313" s="256"/>
      <c r="BD313" s="303">
        <f>BD290</f>
        <v>3</v>
      </c>
      <c r="BE313" s="231">
        <f t="shared" si="612"/>
        <v>75</v>
      </c>
      <c r="BF313" s="123"/>
      <c r="BG313" s="6"/>
      <c r="BH313" s="35"/>
      <c r="BI313" s="612"/>
      <c r="BJ313" s="121"/>
      <c r="BK313" s="6"/>
      <c r="BL313" s="35"/>
      <c r="BM313" s="712"/>
      <c r="BN313" s="200"/>
      <c r="BO313" s="6"/>
      <c r="BP313" s="79"/>
      <c r="BQ313" s="619"/>
      <c r="BR313" s="619"/>
      <c r="BS313" s="395">
        <f t="shared" si="645"/>
        <v>-74</v>
      </c>
      <c r="BT313" s="29">
        <f t="shared" si="602"/>
        <v>75</v>
      </c>
      <c r="BU313" s="298">
        <f>BU290</f>
        <v>6</v>
      </c>
      <c r="BV313" s="5">
        <f t="shared" si="593"/>
        <v>-69</v>
      </c>
      <c r="BW313" s="240">
        <v>5</v>
      </c>
      <c r="BX313" s="303">
        <f>BX290</f>
        <v>0</v>
      </c>
      <c r="BY313" s="231">
        <f t="shared" si="613"/>
        <v>80</v>
      </c>
      <c r="BZ313" s="121"/>
      <c r="CA313" s="6"/>
      <c r="CB313" s="79"/>
      <c r="CC313" s="760"/>
      <c r="CD313" s="199"/>
      <c r="CE313" s="199"/>
      <c r="CF313" s="502"/>
      <c r="CG313" s="786"/>
      <c r="CH313" s="235"/>
      <c r="CI313" s="199">
        <v>50</v>
      </c>
      <c r="CJ313" s="148" t="s">
        <v>818</v>
      </c>
      <c r="CK313" s="807"/>
      <c r="CL313" s="807"/>
      <c r="CM313" s="395">
        <f t="shared" si="646"/>
        <v>-74</v>
      </c>
      <c r="CN313" s="29">
        <f t="shared" si="603"/>
        <v>80</v>
      </c>
      <c r="CO313" s="298">
        <f>SUM(CO274,CO275)</f>
        <v>0</v>
      </c>
      <c r="CP313" s="5">
        <f t="shared" si="597"/>
        <v>-80</v>
      </c>
      <c r="CQ313" s="240"/>
      <c r="CR313" s="303">
        <f>SUM(CR274,CR275)</f>
        <v>0</v>
      </c>
      <c r="CS313" s="231">
        <f t="shared" si="614"/>
        <v>80</v>
      </c>
      <c r="CT313" s="121"/>
      <c r="CU313" s="6"/>
      <c r="CV313" s="35"/>
      <c r="CW313" s="612"/>
      <c r="CX313" s="121"/>
      <c r="CY313" s="6"/>
      <c r="CZ313" s="35"/>
      <c r="DA313" s="612"/>
      <c r="DB313" s="21"/>
      <c r="DC313" s="6"/>
      <c r="DD313" s="35"/>
      <c r="DE313" s="234"/>
      <c r="DF313" s="234"/>
      <c r="DG313" s="395">
        <f t="shared" si="647"/>
        <v>-74</v>
      </c>
      <c r="DH313" s="29">
        <f t="shared" si="599"/>
        <v>80</v>
      </c>
      <c r="DI313" s="298">
        <f>SUM(DI274,DI275)</f>
        <v>0</v>
      </c>
      <c r="DJ313" s="5">
        <f t="shared" si="648"/>
        <v>-80</v>
      </c>
      <c r="DK313" s="240"/>
      <c r="DL313" s="303">
        <f>SUM(DL274,DL275)</f>
        <v>0</v>
      </c>
      <c r="DM313" s="231">
        <f t="shared" si="649"/>
        <v>80</v>
      </c>
    </row>
    <row r="314" spans="1:117" ht="15.75" thickBot="1" x14ac:dyDescent="0.3">
      <c r="A314" s="18"/>
      <c r="B314" s="11" t="s">
        <v>391</v>
      </c>
      <c r="C314" s="18">
        <v>1</v>
      </c>
      <c r="D314" s="15" t="s">
        <v>108</v>
      </c>
      <c r="E314" s="15"/>
      <c r="F314" s="149">
        <v>1815</v>
      </c>
      <c r="G314" s="11" t="s">
        <v>650</v>
      </c>
      <c r="H314" s="25" t="s">
        <v>77</v>
      </c>
      <c r="I314" s="25"/>
      <c r="J314" s="530">
        <f t="shared" si="641"/>
        <v>-3</v>
      </c>
      <c r="K314" s="395">
        <f t="shared" si="585"/>
        <v>-3</v>
      </c>
      <c r="L314" s="544">
        <v>3</v>
      </c>
      <c r="M314" s="298">
        <f>SUM(M272,M273)</f>
        <v>0</v>
      </c>
      <c r="N314" s="5">
        <f t="shared" si="586"/>
        <v>-3</v>
      </c>
      <c r="O314" s="256"/>
      <c r="P314" s="303">
        <f>SUM(P272,P273)</f>
        <v>0</v>
      </c>
      <c r="Q314" s="231">
        <f t="shared" si="610"/>
        <v>3</v>
      </c>
      <c r="R314" s="121"/>
      <c r="S314" s="6"/>
      <c r="T314" s="35"/>
      <c r="U314" s="612"/>
      <c r="V314" s="121"/>
      <c r="W314" s="6"/>
      <c r="X314" s="35"/>
      <c r="Y314" s="612"/>
      <c r="Z314" s="121"/>
      <c r="AA314" s="6"/>
      <c r="AB314" s="35"/>
      <c r="AC314" s="234"/>
      <c r="AD314" s="234"/>
      <c r="AE314" s="395">
        <f t="shared" si="642"/>
        <v>-3</v>
      </c>
      <c r="AF314" s="29">
        <f t="shared" si="643"/>
        <v>3</v>
      </c>
      <c r="AG314" s="298">
        <f>SUM(AG272,AG273)</f>
        <v>0</v>
      </c>
      <c r="AH314" s="5">
        <f t="shared" si="589"/>
        <v>-3</v>
      </c>
      <c r="AI314" s="256"/>
      <c r="AJ314" s="303">
        <f>SUM(AJ272,AJ273)</f>
        <v>0</v>
      </c>
      <c r="AK314" s="231">
        <f t="shared" si="611"/>
        <v>3</v>
      </c>
      <c r="AL314" s="121"/>
      <c r="AM314" s="6"/>
      <c r="AN314" s="35"/>
      <c r="AO314" s="612"/>
      <c r="AP314" s="121"/>
      <c r="AQ314" s="6"/>
      <c r="AR314" s="35"/>
      <c r="AS314" s="612"/>
      <c r="AT314" s="21"/>
      <c r="AU314" s="6"/>
      <c r="AV314" s="35"/>
      <c r="AW314" s="234"/>
      <c r="AX314" s="234"/>
      <c r="AY314" s="395">
        <f t="shared" si="644"/>
        <v>-3</v>
      </c>
      <c r="AZ314" s="29">
        <f t="shared" si="601"/>
        <v>3</v>
      </c>
      <c r="BA314" s="298">
        <f>SUM(BA272,BA273)</f>
        <v>0</v>
      </c>
      <c r="BB314" s="5">
        <f t="shared" si="591"/>
        <v>-3</v>
      </c>
      <c r="BC314" s="256"/>
      <c r="BD314" s="303">
        <f>SUM(BD272,BD273)</f>
        <v>0</v>
      </c>
      <c r="BE314" s="231">
        <f t="shared" si="612"/>
        <v>3</v>
      </c>
      <c r="BF314" s="121"/>
      <c r="BG314" s="6"/>
      <c r="BH314" s="35"/>
      <c r="BI314" s="612"/>
      <c r="BJ314" s="121"/>
      <c r="BK314" s="6"/>
      <c r="BL314" s="35"/>
      <c r="BM314" s="712"/>
      <c r="BN314" s="200"/>
      <c r="BO314" s="6"/>
      <c r="BP314" s="79"/>
      <c r="BQ314" s="619"/>
      <c r="BR314" s="619"/>
      <c r="BS314" s="395">
        <f t="shared" si="645"/>
        <v>-3</v>
      </c>
      <c r="BT314" s="29">
        <f t="shared" si="602"/>
        <v>3</v>
      </c>
      <c r="BU314" s="298">
        <f>SUM(BU272,BU273)</f>
        <v>0</v>
      </c>
      <c r="BV314" s="5">
        <f t="shared" si="593"/>
        <v>-3</v>
      </c>
      <c r="BW314" s="240"/>
      <c r="BX314" s="303">
        <f>SUM(BX272,BX273)</f>
        <v>0</v>
      </c>
      <c r="BY314" s="231">
        <f t="shared" si="613"/>
        <v>3</v>
      </c>
      <c r="BZ314" s="121"/>
      <c r="CA314" s="6"/>
      <c r="CB314" s="79"/>
      <c r="CC314" s="760"/>
      <c r="CD314" s="199"/>
      <c r="CE314" s="199"/>
      <c r="CF314" s="502"/>
      <c r="CG314" s="786"/>
      <c r="CH314" s="235"/>
      <c r="CI314" s="199"/>
      <c r="CJ314" s="148"/>
      <c r="CK314" s="807"/>
      <c r="CL314" s="807"/>
      <c r="CM314" s="395">
        <f t="shared" si="646"/>
        <v>-3</v>
      </c>
      <c r="CN314" s="29">
        <f t="shared" si="603"/>
        <v>3</v>
      </c>
      <c r="CO314" s="298">
        <f>SUM(CO272,CO273)</f>
        <v>0</v>
      </c>
      <c r="CP314" s="5">
        <f t="shared" si="597"/>
        <v>-3</v>
      </c>
      <c r="CQ314" s="240"/>
      <c r="CR314" s="303">
        <f>SUM(CR272,CR273)</f>
        <v>0</v>
      </c>
      <c r="CS314" s="231">
        <f t="shared" si="614"/>
        <v>3</v>
      </c>
      <c r="CT314" s="121"/>
      <c r="CU314" s="6"/>
      <c r="CV314" s="35"/>
      <c r="CW314" s="612"/>
      <c r="CX314" s="121"/>
      <c r="CY314" s="6"/>
      <c r="CZ314" s="35"/>
      <c r="DA314" s="612"/>
      <c r="DB314" s="21"/>
      <c r="DC314" s="6"/>
      <c r="DD314" s="35"/>
      <c r="DE314" s="234"/>
      <c r="DF314" s="234"/>
      <c r="DG314" s="395">
        <f t="shared" si="647"/>
        <v>-3</v>
      </c>
      <c r="DH314" s="29">
        <f t="shared" si="599"/>
        <v>3</v>
      </c>
      <c r="DI314" s="298">
        <f>SUM(DI272,DI273)</f>
        <v>0</v>
      </c>
      <c r="DJ314" s="5">
        <f t="shared" si="648"/>
        <v>-3</v>
      </c>
      <c r="DK314" s="240"/>
      <c r="DL314" s="303">
        <f>SUM(DL272,DL273)</f>
        <v>0</v>
      </c>
      <c r="DM314" s="231">
        <f t="shared" si="649"/>
        <v>3</v>
      </c>
    </row>
    <row r="315" spans="1:117" ht="15.75" thickBot="1" x14ac:dyDescent="0.3">
      <c r="A315" s="18"/>
      <c r="B315" s="317" t="s">
        <v>416</v>
      </c>
      <c r="C315" s="18">
        <v>1</v>
      </c>
      <c r="D315" s="15" t="s">
        <v>378</v>
      </c>
      <c r="E315" s="15"/>
      <c r="F315" s="568">
        <v>1710</v>
      </c>
      <c r="G315" s="11" t="s">
        <v>650</v>
      </c>
      <c r="H315" s="25" t="s">
        <v>77</v>
      </c>
      <c r="I315" s="25"/>
      <c r="J315" s="530">
        <f t="shared" si="641"/>
        <v>0</v>
      </c>
      <c r="K315" s="395">
        <f t="shared" si="585"/>
        <v>-9</v>
      </c>
      <c r="L315" s="544">
        <v>10</v>
      </c>
      <c r="M315" s="298">
        <f>M290</f>
        <v>1</v>
      </c>
      <c r="N315" s="5">
        <f t="shared" ref="N315" si="650">M315-L315</f>
        <v>-9</v>
      </c>
      <c r="O315" s="258"/>
      <c r="P315" s="303">
        <f>P290</f>
        <v>1</v>
      </c>
      <c r="Q315" s="231">
        <f t="shared" ref="Q315" si="651">L315+O315-P315</f>
        <v>9</v>
      </c>
      <c r="R315" s="121"/>
      <c r="S315" s="6"/>
      <c r="T315" s="35"/>
      <c r="U315" s="612"/>
      <c r="V315" s="121"/>
      <c r="W315" s="6"/>
      <c r="X315" s="79"/>
      <c r="Y315" s="712"/>
      <c r="Z315" s="121"/>
      <c r="AA315" s="6"/>
      <c r="AB315" s="35"/>
      <c r="AC315" s="234"/>
      <c r="AD315" s="234"/>
      <c r="AE315" s="395">
        <f t="shared" si="642"/>
        <v>-8</v>
      </c>
      <c r="AF315" s="29">
        <f t="shared" si="643"/>
        <v>9</v>
      </c>
      <c r="AG315" s="298">
        <f>AG290</f>
        <v>1</v>
      </c>
      <c r="AH315" s="5">
        <f t="shared" ref="AH315" si="652">AG315-AF315</f>
        <v>-8</v>
      </c>
      <c r="AI315" s="240"/>
      <c r="AJ315" s="303">
        <f>AJ290</f>
        <v>0</v>
      </c>
      <c r="AK315" s="231">
        <f t="shared" ref="AK315" si="653">AF315+AI315-AJ315</f>
        <v>9</v>
      </c>
      <c r="AL315" s="121"/>
      <c r="AM315" s="6"/>
      <c r="AN315" s="35"/>
      <c r="AO315" s="612"/>
      <c r="AP315" s="121"/>
      <c r="AQ315" s="6"/>
      <c r="AR315" s="35"/>
      <c r="AS315" s="612"/>
      <c r="AT315" s="21"/>
      <c r="AU315" s="6"/>
      <c r="AV315" s="35"/>
      <c r="AW315" s="234"/>
      <c r="AX315" s="234"/>
      <c r="AY315" s="395">
        <f t="shared" si="644"/>
        <v>-6</v>
      </c>
      <c r="AZ315" s="29">
        <f t="shared" ref="AZ315" si="654">AK315</f>
        <v>9</v>
      </c>
      <c r="BA315" s="298">
        <f>BA290</f>
        <v>2</v>
      </c>
      <c r="BB315" s="5">
        <f t="shared" ref="BB315" si="655">BA315-AZ315</f>
        <v>-7</v>
      </c>
      <c r="BC315" s="240"/>
      <c r="BD315" s="303">
        <f>BD290</f>
        <v>3</v>
      </c>
      <c r="BE315" s="231">
        <f t="shared" ref="BE315" si="656">AZ315+BC315-BD315</f>
        <v>6</v>
      </c>
      <c r="BF315" s="121"/>
      <c r="BG315" s="6"/>
      <c r="BH315" s="257"/>
      <c r="BI315" s="730"/>
      <c r="BJ315" s="121"/>
      <c r="BK315" s="6"/>
      <c r="BL315" s="35"/>
      <c r="BM315" s="712"/>
      <c r="BN315" s="200"/>
      <c r="BO315" s="6"/>
      <c r="BP315" s="79"/>
      <c r="BQ315" s="619"/>
      <c r="BR315" s="619"/>
      <c r="BS315" s="395">
        <f t="shared" si="645"/>
        <v>-5</v>
      </c>
      <c r="BT315" s="29">
        <f t="shared" ref="BT315" si="657">BE315</f>
        <v>6</v>
      </c>
      <c r="BU315" s="298">
        <f>BU290</f>
        <v>6</v>
      </c>
      <c r="BV315" s="5">
        <f t="shared" ref="BV315" si="658">BU315-BT315</f>
        <v>0</v>
      </c>
      <c r="BW315" s="621">
        <v>5</v>
      </c>
      <c r="BX315" s="303">
        <f>BX290</f>
        <v>0</v>
      </c>
      <c r="BY315" s="231">
        <f t="shared" ref="BY315" si="659">BT315+BW315-BX315</f>
        <v>11</v>
      </c>
      <c r="BZ315" s="121"/>
      <c r="CA315" s="6"/>
      <c r="CB315" s="79"/>
      <c r="CC315" s="760"/>
      <c r="CD315" s="199"/>
      <c r="CE315" s="663">
        <f>F315*BW315</f>
        <v>8550</v>
      </c>
      <c r="CF315" s="687" t="s">
        <v>941</v>
      </c>
      <c r="CG315" s="772"/>
      <c r="CH315" s="235"/>
      <c r="CI315" s="199"/>
      <c r="CJ315" s="148"/>
      <c r="CK315" s="807"/>
      <c r="CL315" s="807"/>
      <c r="CM315" s="395">
        <f t="shared" si="646"/>
        <v>-5</v>
      </c>
      <c r="CN315" s="29">
        <f t="shared" ref="CN315" si="660">BY315</f>
        <v>11</v>
      </c>
      <c r="CO315" s="298">
        <f>SUM(CO274,CO275)</f>
        <v>0</v>
      </c>
      <c r="CP315" s="5">
        <f t="shared" ref="CP315" si="661">CO315-CN315</f>
        <v>-11</v>
      </c>
      <c r="CQ315" s="240"/>
      <c r="CR315" s="303">
        <f>SUM(CR274,CR275)</f>
        <v>0</v>
      </c>
      <c r="CS315" s="231">
        <f t="shared" ref="CS315" si="662">CN315+CQ315-CR315</f>
        <v>11</v>
      </c>
      <c r="CT315" s="121"/>
      <c r="CU315" s="6"/>
      <c r="CV315" s="35"/>
      <c r="CW315" s="612"/>
      <c r="CX315" s="121"/>
      <c r="CY315" s="6"/>
      <c r="CZ315" s="35"/>
      <c r="DA315" s="612"/>
      <c r="DB315" s="21"/>
      <c r="DC315" s="6"/>
      <c r="DD315" s="35"/>
      <c r="DE315" s="234"/>
      <c r="DF315" s="234"/>
      <c r="DG315" s="395">
        <f t="shared" si="647"/>
        <v>-5</v>
      </c>
      <c r="DH315" s="29">
        <f t="shared" si="599"/>
        <v>11</v>
      </c>
      <c r="DI315" s="298">
        <f>SUM(DI274,DI275)</f>
        <v>0</v>
      </c>
      <c r="DJ315" s="5">
        <f t="shared" si="648"/>
        <v>-11</v>
      </c>
      <c r="DK315" s="240"/>
      <c r="DL315" s="303">
        <f>SUM(DL274,DL275)</f>
        <v>0</v>
      </c>
      <c r="DM315" s="231">
        <f t="shared" si="649"/>
        <v>11</v>
      </c>
    </row>
    <row r="316" spans="1:117" ht="30.75" thickBot="1" x14ac:dyDescent="0.3">
      <c r="A316" s="18"/>
      <c r="B316" s="23" t="s">
        <v>437</v>
      </c>
      <c r="C316" s="18">
        <v>1</v>
      </c>
      <c r="D316" s="15" t="s">
        <v>377</v>
      </c>
      <c r="E316" s="15"/>
      <c r="F316" s="568">
        <v>1480</v>
      </c>
      <c r="G316" s="11" t="s">
        <v>650</v>
      </c>
      <c r="H316" s="25" t="s">
        <v>77</v>
      </c>
      <c r="I316" s="25"/>
      <c r="J316" s="530">
        <f t="shared" si="641"/>
        <v>0</v>
      </c>
      <c r="K316" s="395">
        <f t="shared" si="585"/>
        <v>-9</v>
      </c>
      <c r="L316" s="544">
        <v>10</v>
      </c>
      <c r="M316" s="298">
        <f>M290</f>
        <v>1</v>
      </c>
      <c r="N316" s="5">
        <f t="shared" ref="N316" si="663">M316-L316</f>
        <v>-9</v>
      </c>
      <c r="O316" s="258"/>
      <c r="P316" s="303">
        <f>P290</f>
        <v>1</v>
      </c>
      <c r="Q316" s="231">
        <f t="shared" ref="Q316" si="664">L316+O316-P316</f>
        <v>9</v>
      </c>
      <c r="R316" s="121"/>
      <c r="S316" s="6"/>
      <c r="T316" s="35"/>
      <c r="U316" s="612"/>
      <c r="V316" s="121"/>
      <c r="W316" s="6"/>
      <c r="X316" s="79"/>
      <c r="Y316" s="712"/>
      <c r="Z316" s="121"/>
      <c r="AA316" s="6"/>
      <c r="AB316" s="35"/>
      <c r="AC316" s="234"/>
      <c r="AD316" s="234"/>
      <c r="AE316" s="395">
        <f t="shared" si="642"/>
        <v>-8</v>
      </c>
      <c r="AF316" s="29">
        <f t="shared" si="643"/>
        <v>9</v>
      </c>
      <c r="AG316" s="298">
        <f>AG290</f>
        <v>1</v>
      </c>
      <c r="AH316" s="5">
        <f t="shared" ref="AH316" si="665">AG316-AF316</f>
        <v>-8</v>
      </c>
      <c r="AI316" s="240"/>
      <c r="AJ316" s="303">
        <f>AJ290</f>
        <v>0</v>
      </c>
      <c r="AK316" s="231">
        <f t="shared" ref="AK316" si="666">AF316+AI316-AJ316</f>
        <v>9</v>
      </c>
      <c r="AL316" s="121"/>
      <c r="AM316" s="6"/>
      <c r="AN316" s="35"/>
      <c r="AO316" s="612"/>
      <c r="AP316" s="121"/>
      <c r="AQ316" s="6"/>
      <c r="AR316" s="35"/>
      <c r="AS316" s="612"/>
      <c r="AT316" s="21"/>
      <c r="AU316" s="6"/>
      <c r="AV316" s="35"/>
      <c r="AW316" s="234"/>
      <c r="AX316" s="234"/>
      <c r="AY316" s="395">
        <f t="shared" si="644"/>
        <v>-6</v>
      </c>
      <c r="AZ316" s="29">
        <f t="shared" ref="AZ316" si="667">AK316</f>
        <v>9</v>
      </c>
      <c r="BA316" s="298">
        <f>BA290</f>
        <v>2</v>
      </c>
      <c r="BB316" s="5">
        <f t="shared" ref="BB316" si="668">BA316-AZ316</f>
        <v>-7</v>
      </c>
      <c r="BC316" s="240"/>
      <c r="BD316" s="303">
        <f>BD290</f>
        <v>3</v>
      </c>
      <c r="BE316" s="231">
        <f t="shared" ref="BE316" si="669">AZ316+BC316-BD316</f>
        <v>6</v>
      </c>
      <c r="BF316" s="121"/>
      <c r="BG316" s="6"/>
      <c r="BH316" s="35"/>
      <c r="BI316" s="612"/>
      <c r="BJ316" s="121"/>
      <c r="BK316" s="6"/>
      <c r="BL316" s="35"/>
      <c r="BM316" s="712"/>
      <c r="BN316" s="200"/>
      <c r="BO316" s="6"/>
      <c r="BP316" s="79"/>
      <c r="BQ316" s="619"/>
      <c r="BR316" s="619"/>
      <c r="BS316" s="395">
        <f t="shared" si="645"/>
        <v>-5</v>
      </c>
      <c r="BT316" s="29">
        <f t="shared" ref="BT316" si="670">BE316</f>
        <v>6</v>
      </c>
      <c r="BU316" s="298">
        <f>BU290</f>
        <v>6</v>
      </c>
      <c r="BV316" s="5">
        <f t="shared" ref="BV316" si="671">BU316-BT316</f>
        <v>0</v>
      </c>
      <c r="BW316" s="621">
        <v>5</v>
      </c>
      <c r="BX316" s="303">
        <f>BX290</f>
        <v>0</v>
      </c>
      <c r="BY316" s="231">
        <f t="shared" ref="BY316" si="672">BT316+BW316-BX316</f>
        <v>11</v>
      </c>
      <c r="BZ316" s="121"/>
      <c r="CA316" s="6"/>
      <c r="CB316" s="79"/>
      <c r="CC316" s="760"/>
      <c r="CD316" s="199"/>
      <c r="CE316" s="663">
        <f>F316*BW316</f>
        <v>7400</v>
      </c>
      <c r="CF316" s="687" t="s">
        <v>941</v>
      </c>
      <c r="CG316" s="772"/>
      <c r="CH316" s="235"/>
      <c r="CI316" s="199"/>
      <c r="CJ316" s="148"/>
      <c r="CK316" s="807"/>
      <c r="CL316" s="807"/>
      <c r="CM316" s="395">
        <f t="shared" si="646"/>
        <v>-5</v>
      </c>
      <c r="CN316" s="29">
        <f t="shared" ref="CN316" si="673">BY316</f>
        <v>11</v>
      </c>
      <c r="CO316" s="298">
        <f>SUM(CO272:CO275)</f>
        <v>0</v>
      </c>
      <c r="CP316" s="5">
        <f t="shared" ref="CP316" si="674">CO316-CN316</f>
        <v>-11</v>
      </c>
      <c r="CQ316" s="240"/>
      <c r="CR316" s="303">
        <f>SUM(CR272:CR275)</f>
        <v>0</v>
      </c>
      <c r="CS316" s="231">
        <f t="shared" ref="CS316" si="675">CN316+CQ316-CR316</f>
        <v>11</v>
      </c>
      <c r="CT316" s="121"/>
      <c r="CU316" s="6"/>
      <c r="CV316" s="35"/>
      <c r="CW316" s="612"/>
      <c r="CX316" s="121"/>
      <c r="CY316" s="6"/>
      <c r="CZ316" s="35"/>
      <c r="DA316" s="612"/>
      <c r="DB316" s="21"/>
      <c r="DC316" s="6"/>
      <c r="DD316" s="35"/>
      <c r="DE316" s="234"/>
      <c r="DF316" s="234"/>
      <c r="DG316" s="395">
        <f t="shared" si="647"/>
        <v>-5</v>
      </c>
      <c r="DH316" s="29">
        <f t="shared" si="599"/>
        <v>11</v>
      </c>
      <c r="DI316" s="298">
        <f>SUM(DI272:DI275)</f>
        <v>0</v>
      </c>
      <c r="DJ316" s="5">
        <f t="shared" si="648"/>
        <v>-11</v>
      </c>
      <c r="DK316" s="240"/>
      <c r="DL316" s="303">
        <f>SUM(DL272:DL275)</f>
        <v>0</v>
      </c>
      <c r="DM316" s="231">
        <f t="shared" si="649"/>
        <v>11</v>
      </c>
    </row>
    <row r="317" spans="1:117" ht="30.75" thickBot="1" x14ac:dyDescent="0.3">
      <c r="A317" s="18"/>
      <c r="B317" s="11" t="s">
        <v>388</v>
      </c>
      <c r="C317" s="18">
        <v>1</v>
      </c>
      <c r="D317" s="15" t="s">
        <v>377</v>
      </c>
      <c r="E317" s="15"/>
      <c r="F317" s="568">
        <v>360</v>
      </c>
      <c r="G317" s="11" t="s">
        <v>650</v>
      </c>
      <c r="H317" s="25" t="s">
        <v>77</v>
      </c>
      <c r="I317" s="25"/>
      <c r="J317" s="530">
        <f t="shared" si="641"/>
        <v>0</v>
      </c>
      <c r="K317" s="395">
        <f t="shared" si="585"/>
        <v>-9</v>
      </c>
      <c r="L317" s="544">
        <v>10</v>
      </c>
      <c r="M317" s="298">
        <f>M290</f>
        <v>1</v>
      </c>
      <c r="N317" s="5">
        <f t="shared" ref="N317" si="676">M317-L317</f>
        <v>-9</v>
      </c>
      <c r="O317" s="258"/>
      <c r="P317" s="303">
        <f>P290</f>
        <v>1</v>
      </c>
      <c r="Q317" s="231">
        <f t="shared" ref="Q317" si="677">L317+O317-P317</f>
        <v>9</v>
      </c>
      <c r="R317" s="121"/>
      <c r="S317" s="6"/>
      <c r="T317" s="35"/>
      <c r="U317" s="612"/>
      <c r="V317" s="121"/>
      <c r="W317" s="6"/>
      <c r="X317" s="79"/>
      <c r="Y317" s="712"/>
      <c r="Z317" s="121"/>
      <c r="AA317" s="6"/>
      <c r="AB317" s="35"/>
      <c r="AC317" s="234"/>
      <c r="AD317" s="234"/>
      <c r="AE317" s="395">
        <f t="shared" si="642"/>
        <v>-8</v>
      </c>
      <c r="AF317" s="29">
        <f t="shared" si="643"/>
        <v>9</v>
      </c>
      <c r="AG317" s="298">
        <f>AG290</f>
        <v>1</v>
      </c>
      <c r="AH317" s="5">
        <f t="shared" ref="AH317" si="678">AG317-AF317</f>
        <v>-8</v>
      </c>
      <c r="AI317" s="240"/>
      <c r="AJ317" s="303">
        <f>AJ290</f>
        <v>0</v>
      </c>
      <c r="AK317" s="231">
        <f t="shared" ref="AK317" si="679">AF317+AI317-AJ317</f>
        <v>9</v>
      </c>
      <c r="AL317" s="121"/>
      <c r="AM317" s="6"/>
      <c r="AN317" s="35"/>
      <c r="AO317" s="612"/>
      <c r="AP317" s="121"/>
      <c r="AQ317" s="6"/>
      <c r="AR317" s="35"/>
      <c r="AS317" s="612"/>
      <c r="AT317" s="21"/>
      <c r="AU317" s="6"/>
      <c r="AV317" s="35"/>
      <c r="AW317" s="234"/>
      <c r="AX317" s="234"/>
      <c r="AY317" s="395">
        <f t="shared" si="644"/>
        <v>-6</v>
      </c>
      <c r="AZ317" s="29">
        <f t="shared" ref="AZ317" si="680">AK317</f>
        <v>9</v>
      </c>
      <c r="BA317" s="298">
        <f>BA290</f>
        <v>2</v>
      </c>
      <c r="BB317" s="5">
        <f t="shared" ref="BB317" si="681">BA317-AZ317</f>
        <v>-7</v>
      </c>
      <c r="BC317" s="240"/>
      <c r="BD317" s="303">
        <f>BD290</f>
        <v>3</v>
      </c>
      <c r="BE317" s="231">
        <f t="shared" ref="BE317" si="682">AZ317+BC317-BD317</f>
        <v>6</v>
      </c>
      <c r="BF317" s="121"/>
      <c r="BG317" s="6"/>
      <c r="BH317" s="35"/>
      <c r="BI317" s="612"/>
      <c r="BJ317" s="121"/>
      <c r="BK317" s="6"/>
      <c r="BL317" s="35"/>
      <c r="BM317" s="712"/>
      <c r="BN317" s="200"/>
      <c r="BO317" s="6"/>
      <c r="BP317" s="79"/>
      <c r="BQ317" s="619"/>
      <c r="BR317" s="619"/>
      <c r="BS317" s="395">
        <f t="shared" si="645"/>
        <v>-5</v>
      </c>
      <c r="BT317" s="29">
        <f t="shared" ref="BT317" si="683">BE317</f>
        <v>6</v>
      </c>
      <c r="BU317" s="298">
        <f>BU290</f>
        <v>6</v>
      </c>
      <c r="BV317" s="5">
        <f t="shared" ref="BV317" si="684">BU317-BT317</f>
        <v>0</v>
      </c>
      <c r="BW317" s="621">
        <v>5</v>
      </c>
      <c r="BX317" s="303">
        <f>BX290</f>
        <v>0</v>
      </c>
      <c r="BY317" s="231">
        <f t="shared" ref="BY317" si="685">BT317+BW317-BX317</f>
        <v>11</v>
      </c>
      <c r="BZ317" s="121"/>
      <c r="CA317" s="6"/>
      <c r="CB317" s="79"/>
      <c r="CC317" s="760"/>
      <c r="CD317" s="199"/>
      <c r="CE317" s="663">
        <f>F317*BW317</f>
        <v>1800</v>
      </c>
      <c r="CF317" s="687" t="s">
        <v>941</v>
      </c>
      <c r="CG317" s="772"/>
      <c r="CH317" s="235"/>
      <c r="CI317" s="199"/>
      <c r="CJ317" s="148"/>
      <c r="CK317" s="807"/>
      <c r="CL317" s="807"/>
      <c r="CM317" s="395">
        <f t="shared" si="646"/>
        <v>-5</v>
      </c>
      <c r="CN317" s="29">
        <f t="shared" ref="CN317" si="686">BY317</f>
        <v>11</v>
      </c>
      <c r="CO317" s="298">
        <f>SUM(CO272:CO275)</f>
        <v>0</v>
      </c>
      <c r="CP317" s="5">
        <f t="shared" ref="CP317" si="687">CO317-CN317</f>
        <v>-11</v>
      </c>
      <c r="CQ317" s="240"/>
      <c r="CR317" s="303">
        <f>SUM(CR274:CR276)</f>
        <v>0</v>
      </c>
      <c r="CS317" s="231">
        <f t="shared" ref="CS317" si="688">CN317+CQ317-CR317</f>
        <v>11</v>
      </c>
      <c r="CT317" s="121"/>
      <c r="CU317" s="6"/>
      <c r="CV317" s="35"/>
      <c r="CW317" s="612"/>
      <c r="CX317" s="121"/>
      <c r="CY317" s="6"/>
      <c r="CZ317" s="35"/>
      <c r="DA317" s="612"/>
      <c r="DB317" s="21"/>
      <c r="DC317" s="6"/>
      <c r="DD317" s="35"/>
      <c r="DE317" s="234"/>
      <c r="DF317" s="234"/>
      <c r="DG317" s="395">
        <f t="shared" si="647"/>
        <v>-5</v>
      </c>
      <c r="DH317" s="29">
        <f t="shared" si="599"/>
        <v>11</v>
      </c>
      <c r="DI317" s="298">
        <f>SUM(DI272:DI275)</f>
        <v>0</v>
      </c>
      <c r="DJ317" s="5">
        <f t="shared" si="648"/>
        <v>-11</v>
      </c>
      <c r="DK317" s="240"/>
      <c r="DL317" s="303">
        <f>SUM(DL274:DL276)</f>
        <v>0</v>
      </c>
      <c r="DM317" s="231">
        <f t="shared" si="649"/>
        <v>11</v>
      </c>
    </row>
    <row r="318" spans="1:117" x14ac:dyDescent="0.25">
      <c r="A318" s="360"/>
      <c r="B318" s="347" t="s">
        <v>35</v>
      </c>
      <c r="C318" s="360" t="s">
        <v>51</v>
      </c>
      <c r="D318" s="361"/>
      <c r="E318" s="361"/>
      <c r="F318" s="362"/>
      <c r="G318" s="361"/>
      <c r="H318" s="363"/>
      <c r="I318" s="363"/>
      <c r="J318" s="363"/>
      <c r="K318" s="363"/>
      <c r="L318" s="364"/>
      <c r="M318" s="374"/>
      <c r="N318" s="374"/>
      <c r="O318" s="375"/>
      <c r="P318" s="375"/>
      <c r="Q318" s="365"/>
      <c r="R318" s="366"/>
      <c r="S318" s="367"/>
      <c r="T318" s="368"/>
      <c r="U318" s="718"/>
      <c r="V318" s="366"/>
      <c r="W318" s="367"/>
      <c r="X318" s="368"/>
      <c r="Y318" s="718"/>
      <c r="Z318" s="369"/>
      <c r="AA318" s="367"/>
      <c r="AB318" s="368"/>
      <c r="AC318" s="718"/>
      <c r="AD318" s="718"/>
      <c r="AE318" s="363"/>
      <c r="AF318" s="364"/>
      <c r="AG318" s="374"/>
      <c r="AH318" s="374"/>
      <c r="AI318" s="375"/>
      <c r="AJ318" s="375"/>
      <c r="AK318" s="365"/>
      <c r="AL318" s="366"/>
      <c r="AM318" s="367"/>
      <c r="AN318" s="368"/>
      <c r="AO318" s="718"/>
      <c r="AP318" s="366"/>
      <c r="AQ318" s="367"/>
      <c r="AR318" s="368"/>
      <c r="AS318" s="718"/>
      <c r="AT318" s="369"/>
      <c r="AU318" s="367"/>
      <c r="AV318" s="368"/>
      <c r="AW318" s="718"/>
      <c r="AX318" s="718"/>
      <c r="AY318" s="363"/>
      <c r="AZ318" s="364"/>
      <c r="BA318" s="374"/>
      <c r="BB318" s="374"/>
      <c r="BC318" s="375"/>
      <c r="BD318" s="375"/>
      <c r="BE318" s="365"/>
      <c r="BF318" s="366"/>
      <c r="BG318" s="367"/>
      <c r="BH318" s="368"/>
      <c r="BI318" s="718"/>
      <c r="BJ318" s="366"/>
      <c r="BK318" s="367"/>
      <c r="BL318" s="368"/>
      <c r="BM318" s="718"/>
      <c r="BN318" s="369"/>
      <c r="BO318" s="367"/>
      <c r="BP318" s="368"/>
      <c r="BQ318" s="718"/>
      <c r="BR318" s="718"/>
      <c r="BS318" s="363"/>
      <c r="BT318" s="364"/>
      <c r="BU318" s="374"/>
      <c r="BV318" s="374"/>
      <c r="BW318" s="375"/>
      <c r="BX318" s="375"/>
      <c r="BY318" s="365"/>
      <c r="BZ318" s="366"/>
      <c r="CA318" s="367"/>
      <c r="CB318" s="368"/>
      <c r="CC318" s="718"/>
      <c r="CD318" s="366"/>
      <c r="CE318" s="367"/>
      <c r="CF318" s="368"/>
      <c r="CG318" s="718"/>
      <c r="CH318" s="369"/>
      <c r="CI318" s="367"/>
      <c r="CJ318" s="368"/>
      <c r="CK318" s="718"/>
      <c r="CL318" s="718"/>
      <c r="CM318" s="363"/>
      <c r="CN318" s="364"/>
      <c r="CO318" s="374"/>
      <c r="CP318" s="374"/>
      <c r="CQ318" s="375"/>
      <c r="CR318" s="375"/>
      <c r="CS318" s="365"/>
      <c r="CT318" s="366"/>
      <c r="CU318" s="367"/>
      <c r="CV318" s="368"/>
      <c r="CW318" s="718"/>
      <c r="CX318" s="366"/>
      <c r="CY318" s="367"/>
      <c r="CZ318" s="368"/>
      <c r="DA318" s="718"/>
      <c r="DB318" s="369"/>
      <c r="DC318" s="367"/>
      <c r="DD318" s="368"/>
      <c r="DE318" s="718"/>
      <c r="DF318" s="718"/>
      <c r="DG318" s="363"/>
      <c r="DH318" s="364"/>
      <c r="DI318" s="374"/>
      <c r="DJ318" s="374"/>
      <c r="DK318" s="375"/>
      <c r="DL318" s="375"/>
      <c r="DM318" s="365"/>
    </row>
    <row r="319" spans="1:117" x14ac:dyDescent="0.25">
      <c r="A319" s="18"/>
      <c r="B319" s="74" t="s">
        <v>289</v>
      </c>
      <c r="C319" s="75">
        <v>1</v>
      </c>
      <c r="D319" s="15" t="s">
        <v>108</v>
      </c>
      <c r="E319" s="274"/>
      <c r="F319" s="275"/>
      <c r="G319" s="74"/>
      <c r="H319" s="77"/>
      <c r="I319" s="77"/>
      <c r="J319" s="530">
        <f t="shared" ref="J319:J326" si="689">SUM(M319,AG319,BA319,BU319)-L319</f>
        <v>-2</v>
      </c>
      <c r="K319" s="395">
        <f t="shared" si="585"/>
        <v>-2</v>
      </c>
      <c r="L319" s="544">
        <v>2</v>
      </c>
      <c r="M319" s="298">
        <f>SUM(M272,M273)</f>
        <v>0</v>
      </c>
      <c r="N319" s="5">
        <f t="shared" ref="N319:N326" si="690">M319-L319</f>
        <v>-2</v>
      </c>
      <c r="O319" s="256">
        <v>0</v>
      </c>
      <c r="P319" s="376">
        <f>SUM(P272,P273)</f>
        <v>0</v>
      </c>
      <c r="Q319" s="231">
        <f t="shared" ref="Q319:Q320" si="691">L319+O319-P319</f>
        <v>2</v>
      </c>
      <c r="R319" s="129"/>
      <c r="S319" s="130"/>
      <c r="T319" s="79"/>
      <c r="U319" s="712"/>
      <c r="V319" s="129"/>
      <c r="W319" s="130"/>
      <c r="X319" s="79"/>
      <c r="Y319" s="712"/>
      <c r="Z319" s="131"/>
      <c r="AA319" s="130"/>
      <c r="AB319" s="79"/>
      <c r="AC319" s="619"/>
      <c r="AD319" s="619"/>
      <c r="AE319" s="395">
        <f t="shared" ref="AE319:AE326" si="692">SUM(M319,AG319)-SUM(O319,AI319)-L319</f>
        <v>-2</v>
      </c>
      <c r="AF319" s="29">
        <f>Q319</f>
        <v>2</v>
      </c>
      <c r="AG319" s="298">
        <f>SUM(AG272,AG273)</f>
        <v>0</v>
      </c>
      <c r="AH319" s="5">
        <f t="shared" ref="AH319:AH326" si="693">AG319-AF319</f>
        <v>-2</v>
      </c>
      <c r="AI319" s="256">
        <v>0</v>
      </c>
      <c r="AJ319" s="376">
        <f>SUM(AJ272,AJ273)</f>
        <v>0</v>
      </c>
      <c r="AK319" s="231">
        <f t="shared" ref="AK319:AK320" si="694">AF319+AI319-AJ319</f>
        <v>2</v>
      </c>
      <c r="AL319" s="129"/>
      <c r="AM319" s="130"/>
      <c r="AN319" s="79"/>
      <c r="AO319" s="712"/>
      <c r="AP319" s="129"/>
      <c r="AQ319" s="130"/>
      <c r="AR319" s="79"/>
      <c r="AS319" s="712"/>
      <c r="AT319" s="131"/>
      <c r="AU319" s="130"/>
      <c r="AV319" s="79"/>
      <c r="AW319" s="619"/>
      <c r="AX319" s="619"/>
      <c r="AY319" s="395">
        <f t="shared" ref="AY319:AY326" si="695">SUM(M319,AG319,BA319)-SUM(O319,AI319,BC319)-L319</f>
        <v>-2</v>
      </c>
      <c r="AZ319" s="29">
        <f t="shared" ref="AZ319:AZ320" si="696">AK319</f>
        <v>2</v>
      </c>
      <c r="BA319" s="298">
        <f>SUM(BA272,BA273)</f>
        <v>0</v>
      </c>
      <c r="BB319" s="5">
        <f t="shared" ref="BB319:BB326" si="697">BA319-AZ319</f>
        <v>-2</v>
      </c>
      <c r="BC319" s="256"/>
      <c r="BD319" s="376">
        <f>SUM(BD272,BD273)</f>
        <v>0</v>
      </c>
      <c r="BE319" s="231">
        <f t="shared" ref="BE319:BE320" si="698">AZ319+BC319-BD319</f>
        <v>2</v>
      </c>
      <c r="BF319" s="129"/>
      <c r="BG319" s="130"/>
      <c r="BH319" s="79"/>
      <c r="BI319" s="712"/>
      <c r="BJ319" s="129"/>
      <c r="BK319" s="130"/>
      <c r="BL319" s="79"/>
      <c r="BM319" s="712"/>
      <c r="BN319" s="131"/>
      <c r="BO319" s="130"/>
      <c r="BP319" s="79"/>
      <c r="BQ319" s="619"/>
      <c r="BR319" s="619"/>
      <c r="BS319" s="395">
        <f t="shared" ref="BS319:BS326" si="699">SUM(M319,AG319,BA319,BU319)-SUM(O319,AI319,BC319,BW319)-L319</f>
        <v>-2</v>
      </c>
      <c r="BT319" s="29">
        <f t="shared" ref="BT319:BT320" si="700">BE319</f>
        <v>2</v>
      </c>
      <c r="BU319" s="298">
        <f>SUM(BU272,BU273)</f>
        <v>0</v>
      </c>
      <c r="BV319" s="5">
        <f t="shared" ref="BV319:BV326" si="701">BU319-BT319</f>
        <v>-2</v>
      </c>
      <c r="BW319" s="256">
        <v>0</v>
      </c>
      <c r="BX319" s="244"/>
      <c r="BY319" s="231">
        <f t="shared" ref="BY319:BY320" si="702">BT319+BW319-BX319</f>
        <v>2</v>
      </c>
      <c r="BZ319" s="129"/>
      <c r="CA319" s="130"/>
      <c r="CB319" s="79"/>
      <c r="CC319" s="712"/>
      <c r="CD319" s="129"/>
      <c r="CE319" s="130"/>
      <c r="CF319" s="79"/>
      <c r="CG319" s="712"/>
      <c r="CH319" s="131"/>
      <c r="CI319" s="130"/>
      <c r="CJ319" s="79"/>
      <c r="CK319" s="619"/>
      <c r="CL319" s="619"/>
      <c r="CM319" s="395">
        <f t="shared" ref="CM319:CM326" si="703">SUM(M319,AG319,BA319,BU319,CO319)-SUM(O319,AI319,BC319,BW319,CQ319)-L319</f>
        <v>-2</v>
      </c>
      <c r="CN319" s="29">
        <f t="shared" ref="CN319:CN320" si="704">BY319</f>
        <v>2</v>
      </c>
      <c r="CO319" s="298">
        <f>SUM(CO272,CO273)</f>
        <v>0</v>
      </c>
      <c r="CP319" s="5">
        <f t="shared" ref="CP319:CP326" si="705">CO319-CN319</f>
        <v>-2</v>
      </c>
      <c r="CQ319" s="240"/>
      <c r="CR319" s="376">
        <f>SUM(CR272,CR273)</f>
        <v>0</v>
      </c>
      <c r="CS319" s="231">
        <f t="shared" ref="CS319:CS320" si="706">CN319+CQ319-CR319</f>
        <v>2</v>
      </c>
      <c r="CT319" s="129"/>
      <c r="CU319" s="130"/>
      <c r="CV319" s="79"/>
      <c r="CW319" s="712"/>
      <c r="CX319" s="129"/>
      <c r="CY319" s="130"/>
      <c r="CZ319" s="79"/>
      <c r="DA319" s="712"/>
      <c r="DB319" s="131"/>
      <c r="DC319" s="130"/>
      <c r="DD319" s="79"/>
      <c r="DE319" s="619"/>
      <c r="DF319" s="619"/>
      <c r="DG319" s="395">
        <f t="shared" ref="DG319:DG326" si="707">SUM(M319,AG319,BA319,BU319,DI319)-SUM(O319,AI319,BC319,BW319,CQ319)-L319</f>
        <v>-2</v>
      </c>
      <c r="DH319" s="29">
        <f t="shared" si="599"/>
        <v>2</v>
      </c>
      <c r="DI319" s="298">
        <f>SUM(DI272,DI273)</f>
        <v>0</v>
      </c>
      <c r="DJ319" s="5">
        <f t="shared" ref="DJ319:DJ320" si="708">DI319-DH319</f>
        <v>-2</v>
      </c>
      <c r="DK319" s="240"/>
      <c r="DL319" s="376">
        <f>SUM(DL272,DL273)</f>
        <v>0</v>
      </c>
      <c r="DM319" s="231">
        <f t="shared" ref="DM319:DM320" si="709">DH319+DK319-DL319</f>
        <v>2</v>
      </c>
    </row>
    <row r="320" spans="1:117" x14ac:dyDescent="0.25">
      <c r="A320" s="18"/>
      <c r="B320" s="74" t="s">
        <v>290</v>
      </c>
      <c r="C320" s="75">
        <v>1</v>
      </c>
      <c r="D320" s="15" t="s">
        <v>108</v>
      </c>
      <c r="E320" s="274"/>
      <c r="F320" s="275"/>
      <c r="G320" s="74"/>
      <c r="H320" s="77"/>
      <c r="I320" s="77"/>
      <c r="J320" s="530">
        <f t="shared" si="689"/>
        <v>-2</v>
      </c>
      <c r="K320" s="395">
        <f t="shared" si="585"/>
        <v>-2</v>
      </c>
      <c r="L320" s="544">
        <v>2</v>
      </c>
      <c r="M320" s="298">
        <f>SUM(M272,M273)</f>
        <v>0</v>
      </c>
      <c r="N320" s="5">
        <f t="shared" si="690"/>
        <v>-2</v>
      </c>
      <c r="O320" s="256">
        <v>0</v>
      </c>
      <c r="P320" s="376">
        <f>SUM(P272,P273)</f>
        <v>0</v>
      </c>
      <c r="Q320" s="231">
        <f t="shared" si="691"/>
        <v>2</v>
      </c>
      <c r="R320" s="129"/>
      <c r="S320" s="130"/>
      <c r="T320" s="79"/>
      <c r="U320" s="712"/>
      <c r="V320" s="129"/>
      <c r="W320" s="130"/>
      <c r="X320" s="79"/>
      <c r="Y320" s="712"/>
      <c r="Z320" s="131"/>
      <c r="AA320" s="130"/>
      <c r="AB320" s="79"/>
      <c r="AC320" s="619"/>
      <c r="AD320" s="619"/>
      <c r="AE320" s="395">
        <f t="shared" si="692"/>
        <v>-2</v>
      </c>
      <c r="AF320" s="29">
        <f>Q320</f>
        <v>2</v>
      </c>
      <c r="AG320" s="298">
        <f>SUM(AG272,AG273)</f>
        <v>0</v>
      </c>
      <c r="AH320" s="5">
        <f t="shared" si="693"/>
        <v>-2</v>
      </c>
      <c r="AI320" s="256">
        <v>0</v>
      </c>
      <c r="AJ320" s="376">
        <f>SUM(AJ272,AJ273)</f>
        <v>0</v>
      </c>
      <c r="AK320" s="231">
        <f t="shared" si="694"/>
        <v>2</v>
      </c>
      <c r="AL320" s="129"/>
      <c r="AM320" s="130"/>
      <c r="AN320" s="79"/>
      <c r="AO320" s="712"/>
      <c r="AP320" s="129"/>
      <c r="AQ320" s="130"/>
      <c r="AR320" s="79"/>
      <c r="AS320" s="712"/>
      <c r="AT320" s="131"/>
      <c r="AU320" s="130"/>
      <c r="AV320" s="79"/>
      <c r="AW320" s="619"/>
      <c r="AX320" s="619"/>
      <c r="AY320" s="395">
        <f t="shared" si="695"/>
        <v>-2</v>
      </c>
      <c r="AZ320" s="29">
        <f t="shared" si="696"/>
        <v>2</v>
      </c>
      <c r="BA320" s="298">
        <f>SUM(BA272,BA273)</f>
        <v>0</v>
      </c>
      <c r="BB320" s="5">
        <f t="shared" si="697"/>
        <v>-2</v>
      </c>
      <c r="BC320" s="256"/>
      <c r="BD320" s="376">
        <f>SUM(BD272,BD273)</f>
        <v>0</v>
      </c>
      <c r="BE320" s="231">
        <f t="shared" si="698"/>
        <v>2</v>
      </c>
      <c r="BF320" s="129"/>
      <c r="BG320" s="130"/>
      <c r="BH320" s="79"/>
      <c r="BI320" s="712"/>
      <c r="BJ320" s="129"/>
      <c r="BK320" s="130"/>
      <c r="BL320" s="79"/>
      <c r="BM320" s="712"/>
      <c r="BN320" s="131"/>
      <c r="BO320" s="130"/>
      <c r="BP320" s="79"/>
      <c r="BQ320" s="619"/>
      <c r="BR320" s="619"/>
      <c r="BS320" s="395">
        <f t="shared" si="699"/>
        <v>-2</v>
      </c>
      <c r="BT320" s="29">
        <f t="shared" si="700"/>
        <v>2</v>
      </c>
      <c r="BU320" s="298">
        <f>SUM(BU272,BU273)</f>
        <v>0</v>
      </c>
      <c r="BV320" s="5">
        <f t="shared" si="701"/>
        <v>-2</v>
      </c>
      <c r="BW320" s="256">
        <v>0</v>
      </c>
      <c r="BX320" s="244"/>
      <c r="BY320" s="231">
        <f t="shared" si="702"/>
        <v>2</v>
      </c>
      <c r="BZ320" s="129"/>
      <c r="CA320" s="130"/>
      <c r="CB320" s="79"/>
      <c r="CC320" s="712"/>
      <c r="CD320" s="129"/>
      <c r="CE320" s="130"/>
      <c r="CF320" s="79"/>
      <c r="CG320" s="712"/>
      <c r="CH320" s="131"/>
      <c r="CI320" s="130"/>
      <c r="CJ320" s="79"/>
      <c r="CK320" s="619"/>
      <c r="CL320" s="619"/>
      <c r="CM320" s="395">
        <f t="shared" si="703"/>
        <v>-2</v>
      </c>
      <c r="CN320" s="29">
        <f t="shared" si="704"/>
        <v>2</v>
      </c>
      <c r="CO320" s="298">
        <f>SUM(CO272,CO273)</f>
        <v>0</v>
      </c>
      <c r="CP320" s="5">
        <f t="shared" si="705"/>
        <v>-2</v>
      </c>
      <c r="CQ320" s="240"/>
      <c r="CR320" s="376">
        <f>SUM(CR272,CR273)</f>
        <v>0</v>
      </c>
      <c r="CS320" s="231">
        <f t="shared" si="706"/>
        <v>2</v>
      </c>
      <c r="CT320" s="129"/>
      <c r="CU320" s="130"/>
      <c r="CV320" s="79"/>
      <c r="CW320" s="712"/>
      <c r="CX320" s="129"/>
      <c r="CY320" s="130"/>
      <c r="CZ320" s="79"/>
      <c r="DA320" s="712"/>
      <c r="DB320" s="131"/>
      <c r="DC320" s="130"/>
      <c r="DD320" s="79"/>
      <c r="DE320" s="619"/>
      <c r="DF320" s="619"/>
      <c r="DG320" s="395">
        <f t="shared" si="707"/>
        <v>-2</v>
      </c>
      <c r="DH320" s="29">
        <f t="shared" si="599"/>
        <v>2</v>
      </c>
      <c r="DI320" s="298">
        <f>SUM(DI272,DI273)</f>
        <v>0</v>
      </c>
      <c r="DJ320" s="5">
        <f t="shared" si="708"/>
        <v>-2</v>
      </c>
      <c r="DK320" s="240"/>
      <c r="DL320" s="376">
        <f>SUM(DL272,DL273)</f>
        <v>0</v>
      </c>
      <c r="DM320" s="231">
        <f t="shared" si="709"/>
        <v>2</v>
      </c>
    </row>
    <row r="321" spans="1:117" x14ac:dyDescent="0.25">
      <c r="A321" s="18"/>
      <c r="B321" s="11" t="s">
        <v>291</v>
      </c>
      <c r="C321" s="18">
        <v>1</v>
      </c>
      <c r="D321" s="15" t="s">
        <v>108</v>
      </c>
      <c r="E321" s="15"/>
      <c r="F321" s="149"/>
      <c r="G321" s="11"/>
      <c r="H321" s="25" t="s">
        <v>29</v>
      </c>
      <c r="I321" s="25"/>
      <c r="J321" s="530">
        <f t="shared" si="689"/>
        <v>-2</v>
      </c>
      <c r="K321" s="395">
        <f t="shared" si="585"/>
        <v>-2</v>
      </c>
      <c r="L321" s="544">
        <v>2</v>
      </c>
      <c r="M321" s="298">
        <f>SUM(M272,M273)</f>
        <v>0</v>
      </c>
      <c r="N321" s="5">
        <f>M321-L321</f>
        <v>-2</v>
      </c>
      <c r="O321" s="256">
        <v>0</v>
      </c>
      <c r="P321" s="303">
        <f>SUM(P272,P273)</f>
        <v>0</v>
      </c>
      <c r="Q321" s="231">
        <f>L321+O321-P321</f>
        <v>2</v>
      </c>
      <c r="R321" s="121"/>
      <c r="S321" s="6"/>
      <c r="T321" s="35"/>
      <c r="U321" s="612"/>
      <c r="V321" s="121"/>
      <c r="W321" s="6"/>
      <c r="X321" s="35"/>
      <c r="Y321" s="612"/>
      <c r="Z321" s="21"/>
      <c r="AA321" s="6"/>
      <c r="AB321" s="35"/>
      <c r="AC321" s="234"/>
      <c r="AD321" s="234"/>
      <c r="AE321" s="395">
        <f t="shared" si="692"/>
        <v>-2</v>
      </c>
      <c r="AF321" s="29">
        <f>Q321</f>
        <v>2</v>
      </c>
      <c r="AG321" s="298">
        <f>SUM(AG272,AG273)</f>
        <v>0</v>
      </c>
      <c r="AH321" s="5">
        <f>AG321-AF321</f>
        <v>-2</v>
      </c>
      <c r="AI321" s="256">
        <v>0</v>
      </c>
      <c r="AJ321" s="303">
        <f>SUM(AJ272,AJ273)</f>
        <v>0</v>
      </c>
      <c r="AK321" s="231">
        <f>AF321+AI321-AJ321</f>
        <v>2</v>
      </c>
      <c r="AL321" s="121"/>
      <c r="AM321" s="6"/>
      <c r="AN321" s="35"/>
      <c r="AO321" s="612"/>
      <c r="AP321" s="121"/>
      <c r="AQ321" s="6"/>
      <c r="AR321" s="35"/>
      <c r="AS321" s="612"/>
      <c r="AT321" s="21"/>
      <c r="AU321" s="6"/>
      <c r="AV321" s="35"/>
      <c r="AW321" s="234"/>
      <c r="AX321" s="234"/>
      <c r="AY321" s="395">
        <f t="shared" si="695"/>
        <v>-2</v>
      </c>
      <c r="AZ321" s="29">
        <f>AK321</f>
        <v>2</v>
      </c>
      <c r="BA321" s="298">
        <f>SUM(BA272,BA273)</f>
        <v>0</v>
      </c>
      <c r="BB321" s="5">
        <f>BA321-AZ321</f>
        <v>-2</v>
      </c>
      <c r="BC321" s="256"/>
      <c r="BD321" s="303">
        <f>SUM(BD272,BD273)</f>
        <v>0</v>
      </c>
      <c r="BE321" s="231">
        <f>AZ321+BC321-BD321</f>
        <v>2</v>
      </c>
      <c r="BF321" s="121"/>
      <c r="BG321" s="6"/>
      <c r="BH321" s="35"/>
      <c r="BI321" s="612"/>
      <c r="BJ321" s="121"/>
      <c r="BK321" s="6"/>
      <c r="BL321" s="35"/>
      <c r="BM321" s="612"/>
      <c r="BN321" s="21"/>
      <c r="BO321" s="6"/>
      <c r="BP321" s="35"/>
      <c r="BQ321" s="234"/>
      <c r="BR321" s="234"/>
      <c r="BS321" s="395">
        <f t="shared" si="699"/>
        <v>-2</v>
      </c>
      <c r="BT321" s="29">
        <f>BE321</f>
        <v>2</v>
      </c>
      <c r="BU321" s="298">
        <f>SUM(BU272,BU273)</f>
        <v>0</v>
      </c>
      <c r="BV321" s="5">
        <f>BU321-BT321</f>
        <v>-2</v>
      </c>
      <c r="BW321" s="256">
        <v>0</v>
      </c>
      <c r="BX321" s="240"/>
      <c r="BY321" s="231">
        <f>BT321+BW321-BX321</f>
        <v>2</v>
      </c>
      <c r="BZ321" s="121"/>
      <c r="CA321" s="6"/>
      <c r="CB321" s="35"/>
      <c r="CC321" s="612"/>
      <c r="CD321" s="121"/>
      <c r="CE321" s="6"/>
      <c r="CF321" s="35"/>
      <c r="CG321" s="612"/>
      <c r="CH321" s="21"/>
      <c r="CI321" s="6"/>
      <c r="CJ321" s="35"/>
      <c r="CK321" s="234"/>
      <c r="CL321" s="234"/>
      <c r="CM321" s="395">
        <f t="shared" si="703"/>
        <v>-2</v>
      </c>
      <c r="CN321" s="29">
        <f>BY321</f>
        <v>2</v>
      </c>
      <c r="CO321" s="298">
        <f>SUM(CO272,CO273)</f>
        <v>0</v>
      </c>
      <c r="CP321" s="5">
        <f>CO321-CN321</f>
        <v>-2</v>
      </c>
      <c r="CQ321" s="240"/>
      <c r="CR321" s="303">
        <f>SUM(CR272,CR273)</f>
        <v>0</v>
      </c>
      <c r="CS321" s="231">
        <f>CN321+CQ321-CR321</f>
        <v>2</v>
      </c>
      <c r="CT321" s="121"/>
      <c r="CU321" s="6"/>
      <c r="CV321" s="35"/>
      <c r="CW321" s="612"/>
      <c r="CX321" s="121"/>
      <c r="CY321" s="6"/>
      <c r="CZ321" s="35"/>
      <c r="DA321" s="612"/>
      <c r="DB321" s="21"/>
      <c r="DC321" s="6"/>
      <c r="DD321" s="35"/>
      <c r="DE321" s="234"/>
      <c r="DF321" s="234"/>
      <c r="DG321" s="395">
        <f t="shared" si="707"/>
        <v>-2</v>
      </c>
      <c r="DH321" s="29">
        <f t="shared" si="599"/>
        <v>2</v>
      </c>
      <c r="DI321" s="298">
        <f>SUM(DI272,DI273)</f>
        <v>0</v>
      </c>
      <c r="DJ321" s="5">
        <f>DI321-DH321</f>
        <v>-2</v>
      </c>
      <c r="DK321" s="240"/>
      <c r="DL321" s="303">
        <f>SUM(DL272,DL273)</f>
        <v>0</v>
      </c>
      <c r="DM321" s="231">
        <f>DH321+DK321-DL321</f>
        <v>2</v>
      </c>
    </row>
    <row r="322" spans="1:117" x14ac:dyDescent="0.25">
      <c r="A322" s="18"/>
      <c r="B322" s="514" t="s">
        <v>16</v>
      </c>
      <c r="C322" s="18" t="s">
        <v>51</v>
      </c>
      <c r="D322" s="15" t="s">
        <v>108</v>
      </c>
      <c r="E322" s="15"/>
      <c r="F322" s="149"/>
      <c r="G322" s="11"/>
      <c r="H322" s="25" t="s">
        <v>23</v>
      </c>
      <c r="I322" s="25"/>
      <c r="J322" s="530">
        <f t="shared" si="689"/>
        <v>0</v>
      </c>
      <c r="K322" s="395">
        <f t="shared" si="585"/>
        <v>0</v>
      </c>
      <c r="L322" s="544">
        <v>0</v>
      </c>
      <c r="M322" s="298">
        <f>SUM(M272,M273)</f>
        <v>0</v>
      </c>
      <c r="N322" s="5">
        <f t="shared" ref="N322:N324" si="710">M322-L322</f>
        <v>0</v>
      </c>
      <c r="O322" s="256">
        <v>0</v>
      </c>
      <c r="P322" s="303">
        <f>SUM(P272,P273)</f>
        <v>0</v>
      </c>
      <c r="Q322" s="231">
        <f>L322+O322-P322</f>
        <v>0</v>
      </c>
      <c r="R322" s="121"/>
      <c r="S322" s="6"/>
      <c r="T322" s="35"/>
      <c r="U322" s="612"/>
      <c r="V322" s="121"/>
      <c r="W322" s="6"/>
      <c r="X322" s="35"/>
      <c r="Y322" s="612"/>
      <c r="Z322" s="21"/>
      <c r="AA322" s="6"/>
      <c r="AB322" s="35"/>
      <c r="AC322" s="234"/>
      <c r="AD322" s="234"/>
      <c r="AE322" s="395">
        <f t="shared" si="692"/>
        <v>0</v>
      </c>
      <c r="AF322" s="29"/>
      <c r="AG322" s="298">
        <f>SUM(AG272,AG273)</f>
        <v>0</v>
      </c>
      <c r="AH322" s="5">
        <f t="shared" ref="AH322:AH324" si="711">AG322-AF322</f>
        <v>0</v>
      </c>
      <c r="AI322" s="256">
        <v>0</v>
      </c>
      <c r="AJ322" s="303">
        <f>SUM(AJ272,AJ273)</f>
        <v>0</v>
      </c>
      <c r="AK322" s="231">
        <f>AF322+AI322-AJ322</f>
        <v>0</v>
      </c>
      <c r="AL322" s="121"/>
      <c r="AM322" s="6"/>
      <c r="AN322" s="35"/>
      <c r="AO322" s="612"/>
      <c r="AP322" s="121"/>
      <c r="AQ322" s="6"/>
      <c r="AR322" s="35"/>
      <c r="AS322" s="612"/>
      <c r="AT322" s="21"/>
      <c r="AU322" s="6"/>
      <c r="AV322" s="35"/>
      <c r="AW322" s="234"/>
      <c r="AX322" s="234"/>
      <c r="AY322" s="395">
        <f t="shared" si="695"/>
        <v>0</v>
      </c>
      <c r="AZ322" s="29"/>
      <c r="BA322" s="298">
        <f>SUM(BA272,BA273)</f>
        <v>0</v>
      </c>
      <c r="BB322" s="5">
        <f t="shared" ref="BB322:BB324" si="712">BA322-AZ322</f>
        <v>0</v>
      </c>
      <c r="BC322" s="256"/>
      <c r="BD322" s="303">
        <f>SUM(BD272,BD273)</f>
        <v>0</v>
      </c>
      <c r="BE322" s="231">
        <f>AZ322+BC322-BD322</f>
        <v>0</v>
      </c>
      <c r="BF322" s="121"/>
      <c r="BG322" s="6"/>
      <c r="BH322" s="35"/>
      <c r="BI322" s="612"/>
      <c r="BJ322" s="121"/>
      <c r="BK322" s="6"/>
      <c r="BL322" s="35"/>
      <c r="BM322" s="612"/>
      <c r="BN322" s="21"/>
      <c r="BO322" s="6"/>
      <c r="BP322" s="35"/>
      <c r="BQ322" s="234"/>
      <c r="BR322" s="234"/>
      <c r="BS322" s="395">
        <f t="shared" si="699"/>
        <v>0</v>
      </c>
      <c r="BT322" s="29"/>
      <c r="BU322" s="298">
        <f>SUM(BU272,BU273)</f>
        <v>0</v>
      </c>
      <c r="BV322" s="5">
        <f t="shared" ref="BV322:BV324" si="713">BU322-BT322</f>
        <v>0</v>
      </c>
      <c r="BW322" s="256">
        <v>0</v>
      </c>
      <c r="BX322" s="303">
        <f>SUM(BX272,BX273)</f>
        <v>0</v>
      </c>
      <c r="BY322" s="231">
        <f>BT322+BW322-BX322</f>
        <v>0</v>
      </c>
      <c r="BZ322" s="121"/>
      <c r="CA322" s="6"/>
      <c r="CB322" s="35"/>
      <c r="CC322" s="612"/>
      <c r="CD322" s="121"/>
      <c r="CE322" s="6"/>
      <c r="CF322" s="35"/>
      <c r="CG322" s="612"/>
      <c r="CH322" s="21"/>
      <c r="CI322" s="6"/>
      <c r="CJ322" s="35"/>
      <c r="CK322" s="234"/>
      <c r="CL322" s="234"/>
      <c r="CM322" s="395">
        <f t="shared" si="703"/>
        <v>0</v>
      </c>
      <c r="CN322" s="29">
        <f>BY322</f>
        <v>0</v>
      </c>
      <c r="CO322" s="298">
        <f>SUM(CO272,CO273)</f>
        <v>0</v>
      </c>
      <c r="CP322" s="5">
        <f t="shared" ref="CP322:CP324" si="714">CO322-CN322</f>
        <v>0</v>
      </c>
      <c r="CQ322" s="240"/>
      <c r="CR322" s="303">
        <f>SUM(CR272,CR273)</f>
        <v>0</v>
      </c>
      <c r="CS322" s="231">
        <f>CN322+CQ322-CR322</f>
        <v>0</v>
      </c>
      <c r="CT322" s="121"/>
      <c r="CU322" s="6"/>
      <c r="CV322" s="35"/>
      <c r="CW322" s="612"/>
      <c r="CX322" s="121"/>
      <c r="CY322" s="6"/>
      <c r="CZ322" s="35"/>
      <c r="DA322" s="612"/>
      <c r="DB322" s="21"/>
      <c r="DC322" s="6"/>
      <c r="DD322" s="35"/>
      <c r="DE322" s="234"/>
      <c r="DF322" s="234"/>
      <c r="DG322" s="395">
        <f t="shared" si="707"/>
        <v>0</v>
      </c>
      <c r="DH322" s="29">
        <f t="shared" si="599"/>
        <v>0</v>
      </c>
      <c r="DI322" s="298">
        <f>SUM(DI272,DI273)</f>
        <v>0</v>
      </c>
      <c r="DJ322" s="5">
        <f t="shared" ref="DJ322:DJ324" si="715">DI322-DH322</f>
        <v>0</v>
      </c>
      <c r="DK322" s="240"/>
      <c r="DL322" s="303">
        <f>SUM(DL272,DL273)</f>
        <v>0</v>
      </c>
      <c r="DM322" s="231">
        <f>DH322+DK322-DL322</f>
        <v>0</v>
      </c>
    </row>
    <row r="323" spans="1:117" ht="15.75" thickBot="1" x14ac:dyDescent="0.3">
      <c r="A323" s="18"/>
      <c r="B323" s="74" t="s">
        <v>396</v>
      </c>
      <c r="C323" s="75">
        <v>1</v>
      </c>
      <c r="D323" s="80" t="s">
        <v>378</v>
      </c>
      <c r="E323" s="419"/>
      <c r="F323" s="610">
        <v>1384.8</v>
      </c>
      <c r="G323" s="74" t="s">
        <v>28</v>
      </c>
      <c r="H323" s="25" t="s">
        <v>55</v>
      </c>
      <c r="I323" s="25"/>
      <c r="J323" s="530">
        <f t="shared" si="689"/>
        <v>-3</v>
      </c>
      <c r="K323" s="395">
        <f t="shared" si="585"/>
        <v>-12</v>
      </c>
      <c r="L323" s="544">
        <v>13</v>
      </c>
      <c r="M323" s="298">
        <f>M290</f>
        <v>1</v>
      </c>
      <c r="N323" s="5">
        <f t="shared" si="710"/>
        <v>-12</v>
      </c>
      <c r="O323" s="258"/>
      <c r="P323" s="376">
        <f>P290</f>
        <v>1</v>
      </c>
      <c r="Q323" s="231">
        <f t="shared" ref="Q323:Q324" si="716">L323+O323-P323</f>
        <v>12</v>
      </c>
      <c r="R323" s="129"/>
      <c r="S323" s="130"/>
      <c r="T323" s="79"/>
      <c r="U323" s="712"/>
      <c r="V323" s="129"/>
      <c r="W323" s="130"/>
      <c r="X323" s="79"/>
      <c r="Y323" s="712"/>
      <c r="Z323" s="131"/>
      <c r="AA323" s="130"/>
      <c r="AB323" s="79"/>
      <c r="AC323" s="619"/>
      <c r="AD323" s="619"/>
      <c r="AE323" s="395">
        <f t="shared" si="692"/>
        <v>-11</v>
      </c>
      <c r="AF323" s="29">
        <f>Q323</f>
        <v>12</v>
      </c>
      <c r="AG323" s="298">
        <f>AG290</f>
        <v>1</v>
      </c>
      <c r="AH323" s="5">
        <f t="shared" si="711"/>
        <v>-11</v>
      </c>
      <c r="AI323" s="256"/>
      <c r="AJ323" s="376">
        <f>AJ290</f>
        <v>0</v>
      </c>
      <c r="AK323" s="231">
        <f t="shared" ref="AK323:AK324" si="717">AF323+AI323-AJ323</f>
        <v>12</v>
      </c>
      <c r="AL323" s="129"/>
      <c r="AM323" s="130"/>
      <c r="AN323" s="79"/>
      <c r="AO323" s="712"/>
      <c r="AP323" s="129"/>
      <c r="AQ323" s="130"/>
      <c r="AR323" s="79"/>
      <c r="AS323" s="712"/>
      <c r="AT323" s="131"/>
      <c r="AU323" s="130"/>
      <c r="AV323" s="79"/>
      <c r="AW323" s="619"/>
      <c r="AX323" s="619"/>
      <c r="AY323" s="395">
        <f t="shared" si="695"/>
        <v>-9</v>
      </c>
      <c r="AZ323" s="29">
        <f t="shared" ref="AZ323:AZ324" si="718">AK323</f>
        <v>12</v>
      </c>
      <c r="BA323" s="298">
        <f>BA290</f>
        <v>2</v>
      </c>
      <c r="BB323" s="5">
        <f t="shared" si="712"/>
        <v>-10</v>
      </c>
      <c r="BC323" s="240"/>
      <c r="BD323" s="376">
        <f>BD290</f>
        <v>3</v>
      </c>
      <c r="BE323" s="231">
        <f t="shared" ref="BE323:BE324" si="719">AZ323+BC323-BD323</f>
        <v>9</v>
      </c>
      <c r="BF323" s="129"/>
      <c r="BG323" s="130"/>
      <c r="BH323" s="79"/>
      <c r="BI323" s="712"/>
      <c r="BJ323" s="129"/>
      <c r="BK323" s="130"/>
      <c r="BL323" s="79"/>
      <c r="BM323" s="712"/>
      <c r="BN323" s="200"/>
      <c r="BO323" s="130"/>
      <c r="BP323" s="79"/>
      <c r="BQ323" s="619"/>
      <c r="BR323" s="619"/>
      <c r="BS323" s="395">
        <f t="shared" si="699"/>
        <v>-13</v>
      </c>
      <c r="BT323" s="29">
        <f t="shared" ref="BT323:BT324" si="720">BE323</f>
        <v>9</v>
      </c>
      <c r="BU323" s="298">
        <f>BU290</f>
        <v>6</v>
      </c>
      <c r="BV323" s="5">
        <f t="shared" si="713"/>
        <v>-3</v>
      </c>
      <c r="BW323" s="621">
        <v>10</v>
      </c>
      <c r="BX323" s="376">
        <f>BX290</f>
        <v>0</v>
      </c>
      <c r="BY323" s="231">
        <f t="shared" ref="BY323:BY324" si="721">BT323+BW323-BX323</f>
        <v>19</v>
      </c>
      <c r="BZ323" s="129"/>
      <c r="CA323" s="130"/>
      <c r="CB323" s="79" t="s">
        <v>962</v>
      </c>
      <c r="CC323" s="760"/>
      <c r="CD323" s="292"/>
      <c r="CE323" s="292"/>
      <c r="CF323" s="502"/>
      <c r="CG323" s="786"/>
      <c r="CH323" s="680">
        <f>F323*1.2*BW323</f>
        <v>16617.599999999999</v>
      </c>
      <c r="CI323" s="292"/>
      <c r="CJ323" s="654" t="s">
        <v>900</v>
      </c>
      <c r="CK323" s="809"/>
      <c r="CL323" s="809"/>
      <c r="CM323" s="395">
        <f t="shared" si="703"/>
        <v>-13</v>
      </c>
      <c r="CN323" s="29">
        <f t="shared" ref="CN323:CN324" si="722">BY323</f>
        <v>19</v>
      </c>
      <c r="CO323" s="298">
        <f>SUM(CO274,CO275)</f>
        <v>0</v>
      </c>
      <c r="CP323" s="5">
        <f t="shared" si="714"/>
        <v>-19</v>
      </c>
      <c r="CQ323" s="240"/>
      <c r="CR323" s="376">
        <f>SUM(CR274,CR275)</f>
        <v>0</v>
      </c>
      <c r="CS323" s="231">
        <f t="shared" ref="CS323:CS324" si="723">CN323+CQ323-CR323</f>
        <v>19</v>
      </c>
      <c r="CT323" s="129"/>
      <c r="CU323" s="130"/>
      <c r="CV323" s="79"/>
      <c r="CW323" s="712"/>
      <c r="CX323" s="129"/>
      <c r="CY323" s="130"/>
      <c r="CZ323" s="79"/>
      <c r="DA323" s="712"/>
      <c r="DB323" s="131"/>
      <c r="DC323" s="130"/>
      <c r="DD323" s="79"/>
      <c r="DE323" s="619"/>
      <c r="DF323" s="619"/>
      <c r="DG323" s="395">
        <f t="shared" si="707"/>
        <v>-13</v>
      </c>
      <c r="DH323" s="29">
        <f t="shared" si="599"/>
        <v>19</v>
      </c>
      <c r="DI323" s="298">
        <f>SUM(DI274,DI275)</f>
        <v>0</v>
      </c>
      <c r="DJ323" s="5">
        <f t="shared" si="715"/>
        <v>-19</v>
      </c>
      <c r="DK323" s="240"/>
      <c r="DL323" s="376">
        <f>SUM(DL274,DL275)</f>
        <v>0</v>
      </c>
      <c r="DM323" s="231">
        <f t="shared" ref="DM323:DM324" si="724">DH323+DK323-DL323</f>
        <v>19</v>
      </c>
    </row>
    <row r="324" spans="1:117" ht="15.75" thickBot="1" x14ac:dyDescent="0.3">
      <c r="A324" s="18"/>
      <c r="B324" s="74" t="s">
        <v>397</v>
      </c>
      <c r="C324" s="75">
        <v>1</v>
      </c>
      <c r="D324" s="80" t="s">
        <v>378</v>
      </c>
      <c r="E324" s="419"/>
      <c r="F324" s="610">
        <v>584.38</v>
      </c>
      <c r="G324" s="74" t="s">
        <v>28</v>
      </c>
      <c r="H324" s="25" t="s">
        <v>55</v>
      </c>
      <c r="I324" s="25"/>
      <c r="J324" s="530">
        <f t="shared" si="689"/>
        <v>-6</v>
      </c>
      <c r="K324" s="395">
        <f t="shared" si="585"/>
        <v>-15</v>
      </c>
      <c r="L324" s="544">
        <v>16</v>
      </c>
      <c r="M324" s="298">
        <f>M290</f>
        <v>1</v>
      </c>
      <c r="N324" s="5">
        <f t="shared" si="710"/>
        <v>-15</v>
      </c>
      <c r="O324" s="258"/>
      <c r="P324" s="376">
        <f>P290</f>
        <v>1</v>
      </c>
      <c r="Q324" s="231">
        <f t="shared" si="716"/>
        <v>15</v>
      </c>
      <c r="R324" s="129"/>
      <c r="S324" s="130"/>
      <c r="T324" s="79"/>
      <c r="U324" s="712"/>
      <c r="V324" s="129"/>
      <c r="W324" s="130"/>
      <c r="X324" s="79"/>
      <c r="Y324" s="712"/>
      <c r="Z324" s="131"/>
      <c r="AA324" s="130"/>
      <c r="AB324" s="79"/>
      <c r="AC324" s="619"/>
      <c r="AD324" s="619"/>
      <c r="AE324" s="395">
        <f t="shared" si="692"/>
        <v>-14</v>
      </c>
      <c r="AF324" s="29">
        <f>Q324</f>
        <v>15</v>
      </c>
      <c r="AG324" s="298">
        <f>AG290</f>
        <v>1</v>
      </c>
      <c r="AH324" s="5">
        <f t="shared" si="711"/>
        <v>-14</v>
      </c>
      <c r="AI324" s="256"/>
      <c r="AJ324" s="376">
        <f>AJ290</f>
        <v>0</v>
      </c>
      <c r="AK324" s="231">
        <f t="shared" si="717"/>
        <v>15</v>
      </c>
      <c r="AL324" s="129"/>
      <c r="AM324" s="130"/>
      <c r="AN324" s="79"/>
      <c r="AO324" s="712"/>
      <c r="AP324" s="129"/>
      <c r="AQ324" s="130"/>
      <c r="AR324" s="79"/>
      <c r="AS324" s="712"/>
      <c r="AT324" s="131"/>
      <c r="AU324" s="130"/>
      <c r="AV324" s="79"/>
      <c r="AW324" s="619"/>
      <c r="AX324" s="619"/>
      <c r="AY324" s="395">
        <f t="shared" si="695"/>
        <v>-12</v>
      </c>
      <c r="AZ324" s="29">
        <f t="shared" si="718"/>
        <v>15</v>
      </c>
      <c r="BA324" s="298">
        <f>BA290</f>
        <v>2</v>
      </c>
      <c r="BB324" s="5">
        <f t="shared" si="712"/>
        <v>-13</v>
      </c>
      <c r="BC324" s="240"/>
      <c r="BD324" s="376">
        <f>BD290</f>
        <v>3</v>
      </c>
      <c r="BE324" s="231">
        <f t="shared" si="719"/>
        <v>12</v>
      </c>
      <c r="BF324" s="129"/>
      <c r="BG324" s="130"/>
      <c r="BH324" s="79"/>
      <c r="BI324" s="712"/>
      <c r="BJ324" s="129"/>
      <c r="BK324" s="130"/>
      <c r="BL324" s="79"/>
      <c r="BM324" s="712"/>
      <c r="BN324" s="200"/>
      <c r="BO324" s="130"/>
      <c r="BP324" s="79"/>
      <c r="BQ324" s="619"/>
      <c r="BR324" s="619"/>
      <c r="BS324" s="395">
        <f t="shared" si="699"/>
        <v>-16</v>
      </c>
      <c r="BT324" s="29">
        <f t="shared" si="720"/>
        <v>12</v>
      </c>
      <c r="BU324" s="298">
        <f>BU290</f>
        <v>6</v>
      </c>
      <c r="BV324" s="5">
        <f t="shared" si="713"/>
        <v>-6</v>
      </c>
      <c r="BW324" s="621">
        <v>10</v>
      </c>
      <c r="BX324" s="376">
        <f>BX290</f>
        <v>0</v>
      </c>
      <c r="BY324" s="231">
        <f t="shared" si="721"/>
        <v>22</v>
      </c>
      <c r="BZ324" s="129"/>
      <c r="CA324" s="130"/>
      <c r="CB324" s="79" t="s">
        <v>962</v>
      </c>
      <c r="CC324" s="760"/>
      <c r="CD324" s="292"/>
      <c r="CE324" s="292"/>
      <c r="CF324" s="502"/>
      <c r="CG324" s="786"/>
      <c r="CH324" s="680">
        <f>F324*1.2*BW324</f>
        <v>7012.5599999999995</v>
      </c>
      <c r="CI324" s="292"/>
      <c r="CJ324" s="654" t="s">
        <v>900</v>
      </c>
      <c r="CK324" s="809"/>
      <c r="CL324" s="809"/>
      <c r="CM324" s="395">
        <f t="shared" si="703"/>
        <v>-16</v>
      </c>
      <c r="CN324" s="29">
        <f t="shared" si="722"/>
        <v>22</v>
      </c>
      <c r="CO324" s="298">
        <f>SUM(CO274,CO275)</f>
        <v>0</v>
      </c>
      <c r="CP324" s="5">
        <f t="shared" si="714"/>
        <v>-22</v>
      </c>
      <c r="CQ324" s="240"/>
      <c r="CR324" s="376">
        <f>SUM(CR274,CR275)</f>
        <v>0</v>
      </c>
      <c r="CS324" s="231">
        <f t="shared" si="723"/>
        <v>22</v>
      </c>
      <c r="CT324" s="129"/>
      <c r="CU324" s="130"/>
      <c r="CV324" s="79"/>
      <c r="CW324" s="712"/>
      <c r="CX324" s="129"/>
      <c r="CY324" s="130"/>
      <c r="CZ324" s="79"/>
      <c r="DA324" s="712"/>
      <c r="DB324" s="131"/>
      <c r="DC324" s="130"/>
      <c r="DD324" s="79"/>
      <c r="DE324" s="619"/>
      <c r="DF324" s="619"/>
      <c r="DG324" s="395">
        <f t="shared" si="707"/>
        <v>-16</v>
      </c>
      <c r="DH324" s="29">
        <f t="shared" si="599"/>
        <v>22</v>
      </c>
      <c r="DI324" s="298">
        <f>SUM(DI274,DI275)</f>
        <v>0</v>
      </c>
      <c r="DJ324" s="5">
        <f t="shared" si="715"/>
        <v>-22</v>
      </c>
      <c r="DK324" s="240"/>
      <c r="DL324" s="376">
        <f>SUM(DL274,DL275)</f>
        <v>0</v>
      </c>
      <c r="DM324" s="231">
        <f t="shared" si="724"/>
        <v>22</v>
      </c>
    </row>
    <row r="325" spans="1:117" ht="15.75" thickBot="1" x14ac:dyDescent="0.3">
      <c r="A325" s="18"/>
      <c r="B325" s="11" t="s">
        <v>435</v>
      </c>
      <c r="C325" s="18">
        <v>1</v>
      </c>
      <c r="D325" s="80" t="s">
        <v>378</v>
      </c>
      <c r="E325" s="80"/>
      <c r="F325" s="568">
        <v>4387.25</v>
      </c>
      <c r="G325" s="11" t="s">
        <v>528</v>
      </c>
      <c r="H325" s="25" t="s">
        <v>55</v>
      </c>
      <c r="I325" s="25"/>
      <c r="J325" s="530">
        <f t="shared" si="689"/>
        <v>1</v>
      </c>
      <c r="K325" s="395">
        <f t="shared" si="585"/>
        <v>-8</v>
      </c>
      <c r="L325" s="544">
        <v>9</v>
      </c>
      <c r="M325" s="298">
        <f>M290</f>
        <v>1</v>
      </c>
      <c r="N325" s="5">
        <f>M325-L325</f>
        <v>-8</v>
      </c>
      <c r="O325" s="258"/>
      <c r="P325" s="303">
        <f>P290</f>
        <v>1</v>
      </c>
      <c r="Q325" s="231">
        <f>L325+O325-P325</f>
        <v>8</v>
      </c>
      <c r="R325" s="121"/>
      <c r="S325" s="6"/>
      <c r="T325" s="35"/>
      <c r="U325" s="612"/>
      <c r="V325" s="121"/>
      <c r="W325" s="6"/>
      <c r="X325" s="35"/>
      <c r="Y325" s="612"/>
      <c r="Z325" s="21"/>
      <c r="AA325" s="6"/>
      <c r="AB325" s="35"/>
      <c r="AC325" s="234"/>
      <c r="AD325" s="234"/>
      <c r="AE325" s="395">
        <f t="shared" si="692"/>
        <v>-7</v>
      </c>
      <c r="AF325" s="29">
        <f>Q325</f>
        <v>8</v>
      </c>
      <c r="AG325" s="298">
        <f>AG290</f>
        <v>1</v>
      </c>
      <c r="AH325" s="5">
        <f>AG325-AF325</f>
        <v>-7</v>
      </c>
      <c r="AI325" s="256"/>
      <c r="AJ325" s="303">
        <f>AJ290</f>
        <v>0</v>
      </c>
      <c r="AK325" s="231">
        <f>AF325+AI325-AJ325</f>
        <v>8</v>
      </c>
      <c r="AL325" s="121"/>
      <c r="AM325" s="6"/>
      <c r="AN325" s="35"/>
      <c r="AO325" s="612"/>
      <c r="AP325" s="121"/>
      <c r="AQ325" s="6"/>
      <c r="AR325" s="35"/>
      <c r="AS325" s="612"/>
      <c r="AT325" s="21"/>
      <c r="AU325" s="6"/>
      <c r="AV325" s="79"/>
      <c r="AW325" s="619"/>
      <c r="AX325" s="619"/>
      <c r="AY325" s="395">
        <f t="shared" si="695"/>
        <v>-5</v>
      </c>
      <c r="AZ325" s="29">
        <f>AK325</f>
        <v>8</v>
      </c>
      <c r="BA325" s="298">
        <f>BA290</f>
        <v>2</v>
      </c>
      <c r="BB325" s="5">
        <f>BA325-AZ325</f>
        <v>-6</v>
      </c>
      <c r="BC325" s="240"/>
      <c r="BD325" s="303">
        <f>BD290</f>
        <v>3</v>
      </c>
      <c r="BE325" s="231">
        <f>AZ325+BC325-BD325</f>
        <v>5</v>
      </c>
      <c r="BF325" s="21"/>
      <c r="BG325" s="130"/>
      <c r="BH325" s="79"/>
      <c r="BI325" s="712"/>
      <c r="BJ325" s="121"/>
      <c r="BK325" s="6"/>
      <c r="BL325" s="35"/>
      <c r="BM325" s="712"/>
      <c r="BN325" s="200"/>
      <c r="BO325" s="6"/>
      <c r="BP325" s="79"/>
      <c r="BQ325" s="619"/>
      <c r="BR325" s="619"/>
      <c r="BS325" s="395">
        <f t="shared" si="699"/>
        <v>-9</v>
      </c>
      <c r="BT325" s="29">
        <f>BE325</f>
        <v>5</v>
      </c>
      <c r="BU325" s="298">
        <f>BU290</f>
        <v>6</v>
      </c>
      <c r="BV325" s="5">
        <f>BU325-BT325</f>
        <v>1</v>
      </c>
      <c r="BW325" s="621">
        <v>10</v>
      </c>
      <c r="BX325" s="303">
        <f>BX290</f>
        <v>0</v>
      </c>
      <c r="BY325" s="231">
        <f>BT325+BW325-BX325</f>
        <v>15</v>
      </c>
      <c r="BZ325" s="121"/>
      <c r="CA325" s="6"/>
      <c r="CB325" s="79" t="s">
        <v>962</v>
      </c>
      <c r="CC325" s="760"/>
      <c r="CD325" s="199"/>
      <c r="CE325" s="199"/>
      <c r="CF325" s="502"/>
      <c r="CG325" s="786"/>
      <c r="CH325" s="680">
        <f>F325*1.2*BW325</f>
        <v>52647</v>
      </c>
      <c r="CI325" s="199"/>
      <c r="CJ325" s="654" t="s">
        <v>900</v>
      </c>
      <c r="CK325" s="809"/>
      <c r="CL325" s="809"/>
      <c r="CM325" s="395">
        <f t="shared" si="703"/>
        <v>-9</v>
      </c>
      <c r="CN325" s="29">
        <f>BY325</f>
        <v>15</v>
      </c>
      <c r="CO325" s="298">
        <f>SUM(CO274,CO275)</f>
        <v>0</v>
      </c>
      <c r="CP325" s="5">
        <f>CO325-CN325</f>
        <v>-15</v>
      </c>
      <c r="CQ325" s="240"/>
      <c r="CR325" s="303">
        <f>SUM(CR274,CR275)</f>
        <v>0</v>
      </c>
      <c r="CS325" s="231">
        <f>CN325+CQ325-CR325</f>
        <v>15</v>
      </c>
      <c r="CT325" s="121"/>
      <c r="CU325" s="6"/>
      <c r="CV325" s="35"/>
      <c r="CW325" s="612"/>
      <c r="CX325" s="121"/>
      <c r="CY325" s="6"/>
      <c r="CZ325" s="35"/>
      <c r="DA325" s="612"/>
      <c r="DB325" s="21"/>
      <c r="DC325" s="6"/>
      <c r="DD325" s="35"/>
      <c r="DE325" s="234"/>
      <c r="DF325" s="234"/>
      <c r="DG325" s="395">
        <f t="shared" si="707"/>
        <v>-9</v>
      </c>
      <c r="DH325" s="29">
        <f t="shared" si="599"/>
        <v>15</v>
      </c>
      <c r="DI325" s="298">
        <f>SUM(DI274,DI275)</f>
        <v>0</v>
      </c>
      <c r="DJ325" s="5">
        <f>DI325-DH325</f>
        <v>-15</v>
      </c>
      <c r="DK325" s="240"/>
      <c r="DL325" s="303">
        <f>SUM(DL274,DL275)</f>
        <v>0</v>
      </c>
      <c r="DM325" s="231">
        <f>DH325+DK325-DL325</f>
        <v>15</v>
      </c>
    </row>
    <row r="326" spans="1:117" ht="15.75" thickBot="1" x14ac:dyDescent="0.3">
      <c r="A326" s="18"/>
      <c r="B326" s="12" t="s">
        <v>515</v>
      </c>
      <c r="C326" s="19">
        <v>1</v>
      </c>
      <c r="D326" s="60" t="s">
        <v>378</v>
      </c>
      <c r="E326" s="60"/>
      <c r="F326" s="146">
        <v>4319.8</v>
      </c>
      <c r="G326" s="12" t="s">
        <v>547</v>
      </c>
      <c r="H326" s="28" t="s">
        <v>82</v>
      </c>
      <c r="I326" s="420"/>
      <c r="J326" s="534">
        <f t="shared" si="689"/>
        <v>10</v>
      </c>
      <c r="K326" s="395">
        <f t="shared" si="585"/>
        <v>-8</v>
      </c>
      <c r="L326" s="544">
        <v>0</v>
      </c>
      <c r="M326" s="301">
        <f>M290</f>
        <v>1</v>
      </c>
      <c r="N326" s="31">
        <f t="shared" si="690"/>
        <v>1</v>
      </c>
      <c r="O326" s="241">
        <v>9</v>
      </c>
      <c r="P326" s="305">
        <f>P290</f>
        <v>1</v>
      </c>
      <c r="Q326" s="231">
        <f>L326+O326-P326</f>
        <v>8</v>
      </c>
      <c r="R326" s="200"/>
      <c r="S326" s="201"/>
      <c r="T326" s="36"/>
      <c r="U326" s="220"/>
      <c r="V326" s="200"/>
      <c r="W326" s="201"/>
      <c r="X326" s="36"/>
      <c r="Y326" s="220"/>
      <c r="Z326" s="122"/>
      <c r="AA326" s="201"/>
      <c r="AB326" s="36"/>
      <c r="AC326" s="619"/>
      <c r="AD326" s="619"/>
      <c r="AE326" s="395">
        <f t="shared" si="692"/>
        <v>-7</v>
      </c>
      <c r="AF326" s="29">
        <f>Q326</f>
        <v>8</v>
      </c>
      <c r="AG326" s="301">
        <f>AG290</f>
        <v>1</v>
      </c>
      <c r="AH326" s="31">
        <f t="shared" si="693"/>
        <v>-7</v>
      </c>
      <c r="AI326" s="240"/>
      <c r="AJ326" s="305">
        <f>AJ290</f>
        <v>0</v>
      </c>
      <c r="AK326" s="231">
        <f>AF326+AI326-AJ326</f>
        <v>8</v>
      </c>
      <c r="AL326" s="200"/>
      <c r="AM326" s="201"/>
      <c r="AN326" s="36"/>
      <c r="AO326" s="220"/>
      <c r="AP326" s="200"/>
      <c r="AQ326" s="201"/>
      <c r="AR326" s="36"/>
      <c r="AS326" s="220"/>
      <c r="AT326" s="122"/>
      <c r="AU326" s="201"/>
      <c r="AV326" s="36"/>
      <c r="AW326" s="619"/>
      <c r="AX326" s="619"/>
      <c r="AY326" s="395">
        <f t="shared" si="695"/>
        <v>-5</v>
      </c>
      <c r="AZ326" s="29">
        <f>AK326</f>
        <v>8</v>
      </c>
      <c r="BA326" s="301">
        <f>BA290</f>
        <v>2</v>
      </c>
      <c r="BB326" s="31">
        <f t="shared" si="697"/>
        <v>-6</v>
      </c>
      <c r="BC326" s="240"/>
      <c r="BD326" s="305">
        <f>BD290</f>
        <v>3</v>
      </c>
      <c r="BE326" s="231">
        <f>AZ326+BC326-BD326</f>
        <v>5</v>
      </c>
      <c r="BF326" s="200"/>
      <c r="BG326" s="201"/>
      <c r="BH326" s="36"/>
      <c r="BI326" s="220"/>
      <c r="BJ326" s="200"/>
      <c r="BK326" s="201"/>
      <c r="BL326" s="255"/>
      <c r="BM326" s="770"/>
      <c r="BN326" s="200"/>
      <c r="BO326" s="201"/>
      <c r="BP326" s="79"/>
      <c r="BQ326" s="619"/>
      <c r="BR326" s="619"/>
      <c r="BS326" s="395">
        <f t="shared" si="699"/>
        <v>-4</v>
      </c>
      <c r="BT326" s="29">
        <f>BE326</f>
        <v>5</v>
      </c>
      <c r="BU326" s="301">
        <f>BU290</f>
        <v>6</v>
      </c>
      <c r="BV326" s="31">
        <f t="shared" si="701"/>
        <v>1</v>
      </c>
      <c r="BW326" s="655">
        <v>5</v>
      </c>
      <c r="BX326" s="305">
        <f>BX290</f>
        <v>0</v>
      </c>
      <c r="BY326" s="231">
        <f>BT326+BW326-BX326</f>
        <v>10</v>
      </c>
      <c r="BZ326" s="200"/>
      <c r="CA326" s="201"/>
      <c r="CB326" s="36" t="s">
        <v>951</v>
      </c>
      <c r="CC326" s="227"/>
      <c r="CD326" s="217"/>
      <c r="CE326" s="217"/>
      <c r="CF326" s="502"/>
      <c r="CG326" s="786"/>
      <c r="CH326" s="272"/>
      <c r="CI326" s="217"/>
      <c r="CJ326" s="502"/>
      <c r="CK326" s="810"/>
      <c r="CL326" s="810"/>
      <c r="CM326" s="395">
        <f t="shared" si="703"/>
        <v>-4</v>
      </c>
      <c r="CN326" s="29">
        <f>BY326</f>
        <v>10</v>
      </c>
      <c r="CO326" s="301">
        <f>SUM(CO274,CO275)</f>
        <v>0</v>
      </c>
      <c r="CP326" s="31">
        <f t="shared" si="705"/>
        <v>-10</v>
      </c>
      <c r="CQ326" s="241"/>
      <c r="CR326" s="305">
        <f>SUM(CR274,CR275)</f>
        <v>0</v>
      </c>
      <c r="CS326" s="231">
        <f>CN326+CQ326-CR326</f>
        <v>10</v>
      </c>
      <c r="CT326" s="200"/>
      <c r="CU326" s="201"/>
      <c r="CV326" s="36"/>
      <c r="CW326" s="220"/>
      <c r="CX326" s="200"/>
      <c r="CY326" s="201"/>
      <c r="CZ326" s="36"/>
      <c r="DA326" s="220"/>
      <c r="DB326" s="122"/>
      <c r="DC326" s="201"/>
      <c r="DD326" s="36"/>
      <c r="DE326" s="619"/>
      <c r="DF326" s="619"/>
      <c r="DG326" s="395">
        <f t="shared" si="707"/>
        <v>-4</v>
      </c>
      <c r="DH326" s="29">
        <f t="shared" si="599"/>
        <v>10</v>
      </c>
      <c r="DI326" s="301">
        <f>SUM(DI274,DI275)</f>
        <v>0</v>
      </c>
      <c r="DJ326" s="31">
        <f t="shared" ref="DJ326" si="725">DI326-DH326</f>
        <v>-10</v>
      </c>
      <c r="DK326" s="241"/>
      <c r="DL326" s="305">
        <f>SUM(DL274,DL275)</f>
        <v>0</v>
      </c>
      <c r="DM326" s="231">
        <f>DH326+DK326-DL326</f>
        <v>10</v>
      </c>
    </row>
    <row r="327" spans="1:117" ht="45" x14ac:dyDescent="0.25">
      <c r="A327" s="53"/>
      <c r="B327" s="417" t="s">
        <v>380</v>
      </c>
      <c r="C327" s="53">
        <v>1</v>
      </c>
      <c r="D327" s="81" t="s">
        <v>367</v>
      </c>
      <c r="E327" s="81"/>
      <c r="F327" s="338"/>
      <c r="G327" s="51"/>
      <c r="H327" s="54"/>
      <c r="I327" s="54"/>
      <c r="J327" s="53">
        <f>SUM(M327,AG327,BA327,BU327)</f>
        <v>9</v>
      </c>
      <c r="K327" s="53"/>
      <c r="L327" s="55"/>
      <c r="M327" s="306">
        <f>SUM(M272,M273,M275)+0-SUM(M272,M273,M275)</f>
        <v>0</v>
      </c>
      <c r="N327" s="56"/>
      <c r="O327" s="56"/>
      <c r="P327" s="243"/>
      <c r="Q327" s="219"/>
      <c r="R327" s="119">
        <f>SUM(R328:R336)</f>
        <v>0</v>
      </c>
      <c r="S327" s="120">
        <f>SUM(S328:S336)</f>
        <v>0</v>
      </c>
      <c r="T327" s="57"/>
      <c r="U327" s="219"/>
      <c r="V327" s="119">
        <f>SUM(V328:V336)</f>
        <v>0</v>
      </c>
      <c r="W327" s="120">
        <f>SUM(W328:W336)</f>
        <v>0</v>
      </c>
      <c r="X327" s="57"/>
      <c r="Y327" s="219"/>
      <c r="Z327" s="119">
        <f>SUM(Z328:Z336)</f>
        <v>0</v>
      </c>
      <c r="AA327" s="120">
        <f>SUM(AA328:AA336)</f>
        <v>0</v>
      </c>
      <c r="AB327" s="57"/>
      <c r="AC327" s="230"/>
      <c r="AD327" s="230"/>
      <c r="AE327" s="53">
        <f>SUM(AG327,BA327,BU327)</f>
        <v>9</v>
      </c>
      <c r="AF327" s="55"/>
      <c r="AG327" s="306">
        <f>SUM(AG272,AG273,AG275)</f>
        <v>1</v>
      </c>
      <c r="AH327" s="56"/>
      <c r="AI327" s="56"/>
      <c r="AJ327" s="243"/>
      <c r="AK327" s="219"/>
      <c r="AL327" s="119">
        <f>SUM(AL328:AL336)</f>
        <v>0</v>
      </c>
      <c r="AM327" s="120">
        <f>SUM(AM328:AM336)</f>
        <v>0</v>
      </c>
      <c r="AN327" s="57"/>
      <c r="AO327" s="219"/>
      <c r="AP327" s="119">
        <f>SUM(AP328:AP336)</f>
        <v>0</v>
      </c>
      <c r="AQ327" s="120">
        <f>SUM(AQ328:AQ336)</f>
        <v>0</v>
      </c>
      <c r="AR327" s="57"/>
      <c r="AS327" s="219"/>
      <c r="AT327" s="119">
        <f>SUM(AT328:AT336)</f>
        <v>0</v>
      </c>
      <c r="AU327" s="120">
        <f>SUM(AU328:AU336)</f>
        <v>0</v>
      </c>
      <c r="AV327" s="57"/>
      <c r="AW327" s="230"/>
      <c r="AX327" s="230"/>
      <c r="AY327" s="53">
        <f>SUM(BA327,BU327)</f>
        <v>8</v>
      </c>
      <c r="AZ327" s="55"/>
      <c r="BA327" s="306">
        <f>SUM(BA272,BA273,BA275)</f>
        <v>2</v>
      </c>
      <c r="BB327" s="56"/>
      <c r="BC327" s="56"/>
      <c r="BD327" s="243"/>
      <c r="BE327" s="219"/>
      <c r="BF327" s="119">
        <f>SUM(BF328:BF336)</f>
        <v>0</v>
      </c>
      <c r="BG327" s="120">
        <f>SUM(BG328:BG336)</f>
        <v>0</v>
      </c>
      <c r="BH327" s="57"/>
      <c r="BI327" s="219"/>
      <c r="BJ327" s="119">
        <f>SUM(BJ328:BJ336)</f>
        <v>0</v>
      </c>
      <c r="BK327" s="120">
        <f>SUM(BK328:BK336)</f>
        <v>0</v>
      </c>
      <c r="BL327" s="57"/>
      <c r="BM327" s="219"/>
      <c r="BN327" s="119">
        <f>SUM(BN328:BN336)</f>
        <v>0</v>
      </c>
      <c r="BO327" s="120">
        <f>SUM(BO328:BO336)</f>
        <v>0</v>
      </c>
      <c r="BP327" s="57"/>
      <c r="BQ327" s="230"/>
      <c r="BR327" s="230"/>
      <c r="BS327" s="53">
        <f>BU327</f>
        <v>6</v>
      </c>
      <c r="BT327" s="55"/>
      <c r="BU327" s="306">
        <f>SUM(BU272,BU273,BU275)</f>
        <v>6</v>
      </c>
      <c r="BV327" s="56"/>
      <c r="BW327" s="56"/>
      <c r="BX327" s="243"/>
      <c r="BY327" s="219"/>
      <c r="BZ327" s="119">
        <f>SUM(BZ328:BZ336)</f>
        <v>0</v>
      </c>
      <c r="CA327" s="120">
        <f>SUM(CA328:CA336)</f>
        <v>0</v>
      </c>
      <c r="CB327" s="57"/>
      <c r="CC327" s="219"/>
      <c r="CD327" s="119">
        <f>SUM(CD328:CD336)</f>
        <v>0</v>
      </c>
      <c r="CE327" s="120">
        <f>SUM(CE328:CE336)</f>
        <v>0</v>
      </c>
      <c r="CF327" s="57"/>
      <c r="CG327" s="219"/>
      <c r="CH327" s="119">
        <f>SUM(CH328:CH336)</f>
        <v>5600</v>
      </c>
      <c r="CI327" s="120">
        <f>SUM(CI328:CI336)</f>
        <v>0</v>
      </c>
      <c r="CJ327" s="57"/>
      <c r="CK327" s="230"/>
      <c r="CL327" s="230"/>
      <c r="CM327" s="53">
        <f>CO327</f>
        <v>0</v>
      </c>
      <c r="CN327" s="55"/>
      <c r="CO327" s="306">
        <f>SUM(CO272,CO273,CO275)</f>
        <v>0</v>
      </c>
      <c r="CP327" s="56"/>
      <c r="CQ327" s="56"/>
      <c r="CR327" s="243"/>
      <c r="CS327" s="230"/>
      <c r="CT327" s="119">
        <f>SUM(CT328:CT336)</f>
        <v>0</v>
      </c>
      <c r="CU327" s="120">
        <f>SUM(CU328:CU336)</f>
        <v>0</v>
      </c>
      <c r="CV327" s="57"/>
      <c r="CW327" s="219"/>
      <c r="CX327" s="119">
        <f>SUM(CX328:CX336)</f>
        <v>0</v>
      </c>
      <c r="CY327" s="120">
        <f>SUM(CY328:CY336)</f>
        <v>0</v>
      </c>
      <c r="CZ327" s="57"/>
      <c r="DA327" s="219"/>
      <c r="DB327" s="119">
        <f>SUM(DB328:DB336)</f>
        <v>0</v>
      </c>
      <c r="DC327" s="120">
        <f>SUM(DC328:DC336)</f>
        <v>0</v>
      </c>
      <c r="DD327" s="57"/>
      <c r="DE327" s="230"/>
      <c r="DF327" s="230"/>
      <c r="DG327" s="53">
        <f>DI327</f>
        <v>0</v>
      </c>
      <c r="DH327" s="55"/>
      <c r="DI327" s="306">
        <f>SUM(DI272,DI273,DI275)</f>
        <v>0</v>
      </c>
      <c r="DJ327" s="56"/>
      <c r="DK327" s="56"/>
      <c r="DL327" s="243"/>
      <c r="DM327" s="230"/>
    </row>
    <row r="328" spans="1:117" ht="30" x14ac:dyDescent="0.25">
      <c r="A328" s="18"/>
      <c r="B328" s="11" t="s">
        <v>436</v>
      </c>
      <c r="C328" s="18" t="s">
        <v>51</v>
      </c>
      <c r="D328" s="15" t="s">
        <v>380</v>
      </c>
      <c r="E328" s="15"/>
      <c r="F328" s="149">
        <v>3340</v>
      </c>
      <c r="G328" s="15" t="s">
        <v>762</v>
      </c>
      <c r="H328" s="25" t="s">
        <v>23</v>
      </c>
      <c r="I328" s="25"/>
      <c r="J328" s="530">
        <f t="shared" ref="J328:J333" si="726">SUM(M328,AG328,BA328,BU328)-L328</f>
        <v>-15</v>
      </c>
      <c r="K328" s="395">
        <f t="shared" si="585"/>
        <v>-24</v>
      </c>
      <c r="L328" s="544">
        <v>24</v>
      </c>
      <c r="M328" s="298">
        <f>SUM(M272,M273,M275)+0-SUM(M272,M273,M275)</f>
        <v>0</v>
      </c>
      <c r="N328" s="5">
        <f t="shared" ref="N328:N331" si="727">M328-L328</f>
        <v>-24</v>
      </c>
      <c r="O328" s="256"/>
      <c r="P328" s="240"/>
      <c r="Q328" s="231">
        <f t="shared" ref="Q328:Q331" si="728">L328+O328-P328</f>
        <v>24</v>
      </c>
      <c r="R328" s="121"/>
      <c r="S328" s="6"/>
      <c r="T328" s="35"/>
      <c r="U328" s="612"/>
      <c r="V328" s="121"/>
      <c r="W328" s="6"/>
      <c r="X328" s="35"/>
      <c r="Y328" s="612"/>
      <c r="Z328" s="21"/>
      <c r="AA328" s="6"/>
      <c r="AB328" s="35"/>
      <c r="AC328" s="234"/>
      <c r="AD328" s="234"/>
      <c r="AE328" s="395">
        <f t="shared" ref="AE328:AE333" si="729">SUM(M328,AG328)-SUM(O328,AI328)-L328</f>
        <v>-23</v>
      </c>
      <c r="AF328" s="29">
        <f t="shared" ref="AF328:AF333" si="730">Q328</f>
        <v>24</v>
      </c>
      <c r="AG328" s="298">
        <f>SUM(AG272,AG273,AG275)</f>
        <v>1</v>
      </c>
      <c r="AH328" s="5">
        <f t="shared" ref="AH328:AH331" si="731">AG328-AF328</f>
        <v>-23</v>
      </c>
      <c r="AI328" s="256"/>
      <c r="AJ328" s="240"/>
      <c r="AK328" s="231">
        <f t="shared" ref="AK328:AK331" si="732">AF328+AI328-AJ328</f>
        <v>24</v>
      </c>
      <c r="AL328" s="121"/>
      <c r="AM328" s="6"/>
      <c r="AN328" s="35"/>
      <c r="AO328" s="612"/>
      <c r="AP328" s="121"/>
      <c r="AQ328" s="6"/>
      <c r="AR328" s="35"/>
      <c r="AS328" s="612"/>
      <c r="AT328" s="21"/>
      <c r="AU328" s="6"/>
      <c r="AV328" s="35"/>
      <c r="AW328" s="234"/>
      <c r="AX328" s="234"/>
      <c r="AY328" s="395">
        <f t="shared" ref="AY328:AY333" si="733">SUM(M328,AG328,BA328)-SUM(O328,AI328,BC328)-L328</f>
        <v>-21</v>
      </c>
      <c r="AZ328" s="29">
        <f t="shared" ref="AZ328:AZ331" si="734">AK328</f>
        <v>24</v>
      </c>
      <c r="BA328" s="298">
        <f>SUM(BA272,BA273,BA275)</f>
        <v>2</v>
      </c>
      <c r="BB328" s="5">
        <f t="shared" ref="BB328:BB331" si="735">BA328-AZ328</f>
        <v>-22</v>
      </c>
      <c r="BC328" s="256"/>
      <c r="BD328" s="240"/>
      <c r="BE328" s="231">
        <f t="shared" ref="BE328:BE331" si="736">AZ328+BC328-BD328</f>
        <v>24</v>
      </c>
      <c r="BF328" s="121"/>
      <c r="BG328" s="6"/>
      <c r="BH328" s="35"/>
      <c r="BI328" s="612"/>
      <c r="BJ328" s="121"/>
      <c r="BK328" s="6"/>
      <c r="BL328" s="35"/>
      <c r="BM328" s="612"/>
      <c r="BN328" s="21"/>
      <c r="BO328" s="6"/>
      <c r="BP328" s="35"/>
      <c r="BQ328" s="234"/>
      <c r="BR328" s="234"/>
      <c r="BS328" s="395">
        <f t="shared" ref="BS328:BS333" si="737">SUM(M328,AG328,BA328,BU328)-SUM(O328,AI328,BC328,BW328)-L328</f>
        <v>-15</v>
      </c>
      <c r="BT328" s="29">
        <f t="shared" ref="BT328:BT331" si="738">BE328</f>
        <v>24</v>
      </c>
      <c r="BU328" s="298">
        <f>SUM(BU272,BU273,BU275)</f>
        <v>6</v>
      </c>
      <c r="BV328" s="5">
        <f t="shared" ref="BV328:BV331" si="739">BU328-BT328</f>
        <v>-18</v>
      </c>
      <c r="BW328" s="256"/>
      <c r="BX328" s="240"/>
      <c r="BY328" s="231">
        <f t="shared" ref="BY328:BY331" si="740">BT328+BW328-BX328</f>
        <v>24</v>
      </c>
      <c r="BZ328" s="121"/>
      <c r="CA328" s="6"/>
      <c r="CB328" s="35"/>
      <c r="CC328" s="612"/>
      <c r="CD328" s="121"/>
      <c r="CE328" s="6"/>
      <c r="CF328" s="35"/>
      <c r="CG328" s="612"/>
      <c r="CH328" s="21"/>
      <c r="CI328" s="6"/>
      <c r="CJ328" s="35"/>
      <c r="CK328" s="234"/>
      <c r="CL328" s="234"/>
      <c r="CM328" s="395">
        <f t="shared" ref="CM328:CM333" si="741">SUM(M328,AG328,BA328,BU328,CO328)-SUM(O328,AI328,BC328,BW328,CQ328)-L328</f>
        <v>-15</v>
      </c>
      <c r="CN328" s="32">
        <f t="shared" ref="CN328:CN331" si="742">BY328</f>
        <v>24</v>
      </c>
      <c r="CO328" s="302">
        <f>SUM(CO272,CO273,CO275)</f>
        <v>0</v>
      </c>
      <c r="CP328" s="7">
        <f t="shared" ref="CP328:CP331" si="743">CO328-CN328</f>
        <v>-24</v>
      </c>
      <c r="CQ328" s="242"/>
      <c r="CR328" s="242"/>
      <c r="CS328" s="234">
        <f t="shared" ref="CS328:CS331" si="744">CN328+CQ328-CR328</f>
        <v>24</v>
      </c>
      <c r="CT328" s="121"/>
      <c r="CU328" s="6"/>
      <c r="CV328" s="35"/>
      <c r="CW328" s="612"/>
      <c r="CX328" s="121"/>
      <c r="CY328" s="6"/>
      <c r="CZ328" s="35"/>
      <c r="DA328" s="612"/>
      <c r="DB328" s="21"/>
      <c r="DC328" s="6"/>
      <c r="DD328" s="35"/>
      <c r="DE328" s="234"/>
      <c r="DF328" s="234"/>
      <c r="DG328" s="395">
        <f t="shared" ref="DG328:DG333" si="745">SUM(M328,AG328,BA328,BU328,DI328)-SUM(O328,AI328,BC328,BW328,CQ328)-L328</f>
        <v>-15</v>
      </c>
      <c r="DH328" s="29">
        <f t="shared" si="599"/>
        <v>24</v>
      </c>
      <c r="DI328" s="302">
        <f>SUM(DI272,DI273,DI275)</f>
        <v>0</v>
      </c>
      <c r="DJ328" s="7">
        <f t="shared" ref="DJ328:DJ333" si="746">DI328-DH328</f>
        <v>-24</v>
      </c>
      <c r="DK328" s="242"/>
      <c r="DL328" s="242"/>
      <c r="DM328" s="234">
        <f t="shared" ref="DM328:DM333" si="747">DH328+DK328-DL328</f>
        <v>24</v>
      </c>
    </row>
    <row r="329" spans="1:117" ht="30" x14ac:dyDescent="0.25">
      <c r="A329" s="18"/>
      <c r="B329" s="10" t="s">
        <v>382</v>
      </c>
      <c r="C329" s="18">
        <v>1</v>
      </c>
      <c r="D329" s="15" t="s">
        <v>386</v>
      </c>
      <c r="E329" s="15"/>
      <c r="F329" s="149"/>
      <c r="G329" s="76" t="s">
        <v>757</v>
      </c>
      <c r="H329" s="25"/>
      <c r="I329" s="25"/>
      <c r="J329" s="530">
        <f t="shared" si="726"/>
        <v>-1</v>
      </c>
      <c r="K329" s="395">
        <f t="shared" si="585"/>
        <v>-1</v>
      </c>
      <c r="L329" s="544">
        <v>1</v>
      </c>
      <c r="M329" s="298">
        <f>SUM(M272,M273)</f>
        <v>0</v>
      </c>
      <c r="N329" s="5">
        <f t="shared" si="727"/>
        <v>-1</v>
      </c>
      <c r="O329" s="256"/>
      <c r="P329" s="303">
        <f>SUM(P272,P273)</f>
        <v>0</v>
      </c>
      <c r="Q329" s="231">
        <f t="shared" si="728"/>
        <v>1</v>
      </c>
      <c r="R329" s="121"/>
      <c r="S329" s="6"/>
      <c r="T329" s="35"/>
      <c r="U329" s="612"/>
      <c r="V329" s="121"/>
      <c r="W329" s="6"/>
      <c r="X329" s="35"/>
      <c r="Y329" s="612"/>
      <c r="Z329" s="21"/>
      <c r="AA329" s="6"/>
      <c r="AB329" s="35"/>
      <c r="AC329" s="234"/>
      <c r="AD329" s="234"/>
      <c r="AE329" s="395">
        <f t="shared" si="729"/>
        <v>-1</v>
      </c>
      <c r="AF329" s="29">
        <f t="shared" si="730"/>
        <v>1</v>
      </c>
      <c r="AG329" s="298">
        <f>SUM(AG272,AG273)</f>
        <v>0</v>
      </c>
      <c r="AH329" s="5">
        <f t="shared" si="731"/>
        <v>-1</v>
      </c>
      <c r="AI329" s="256"/>
      <c r="AJ329" s="303">
        <f>SUM(AJ272,AJ273)</f>
        <v>0</v>
      </c>
      <c r="AK329" s="231">
        <f t="shared" si="732"/>
        <v>1</v>
      </c>
      <c r="AL329" s="121"/>
      <c r="AM329" s="6"/>
      <c r="AN329" s="35"/>
      <c r="AO329" s="612"/>
      <c r="AP329" s="121"/>
      <c r="AQ329" s="6"/>
      <c r="AR329" s="35"/>
      <c r="AS329" s="612"/>
      <c r="AT329" s="21"/>
      <c r="AU329" s="6"/>
      <c r="AV329" s="35"/>
      <c r="AW329" s="234"/>
      <c r="AX329" s="234"/>
      <c r="AY329" s="395">
        <f t="shared" si="733"/>
        <v>-1</v>
      </c>
      <c r="AZ329" s="29">
        <f t="shared" si="734"/>
        <v>1</v>
      </c>
      <c r="BA329" s="298">
        <f>SUM(BA272,BA273)</f>
        <v>0</v>
      </c>
      <c r="BB329" s="5">
        <f t="shared" si="735"/>
        <v>-1</v>
      </c>
      <c r="BC329" s="256"/>
      <c r="BD329" s="303">
        <f>SUM(BD272,BD273)</f>
        <v>0</v>
      </c>
      <c r="BE329" s="231">
        <f t="shared" si="736"/>
        <v>1</v>
      </c>
      <c r="BF329" s="121"/>
      <c r="BG329" s="6"/>
      <c r="BH329" s="35"/>
      <c r="BI329" s="612"/>
      <c r="BJ329" s="121"/>
      <c r="BK329" s="6"/>
      <c r="BL329" s="35"/>
      <c r="BM329" s="612"/>
      <c r="BN329" s="21"/>
      <c r="BO329" s="6"/>
      <c r="BP329" s="35"/>
      <c r="BQ329" s="234"/>
      <c r="BR329" s="234"/>
      <c r="BS329" s="395">
        <f t="shared" si="737"/>
        <v>-1</v>
      </c>
      <c r="BT329" s="29">
        <f t="shared" si="738"/>
        <v>1</v>
      </c>
      <c r="BU329" s="298">
        <f>SUM(BU272,BU273)</f>
        <v>0</v>
      </c>
      <c r="BV329" s="5">
        <f t="shared" si="739"/>
        <v>-1</v>
      </c>
      <c r="BW329" s="256"/>
      <c r="BX329" s="303">
        <f>SUM(BX272,BX273)</f>
        <v>0</v>
      </c>
      <c r="BY329" s="231">
        <f t="shared" si="740"/>
        <v>1</v>
      </c>
      <c r="BZ329" s="121"/>
      <c r="CA329" s="6"/>
      <c r="CB329" s="35"/>
      <c r="CC329" s="612"/>
      <c r="CD329" s="121"/>
      <c r="CE329" s="6"/>
      <c r="CF329" s="35"/>
      <c r="CG329" s="612"/>
      <c r="CH329" s="21"/>
      <c r="CI329" s="6"/>
      <c r="CJ329" s="35"/>
      <c r="CK329" s="234"/>
      <c r="CL329" s="234"/>
      <c r="CM329" s="395">
        <f t="shared" si="741"/>
        <v>-1</v>
      </c>
      <c r="CN329" s="29">
        <f t="shared" si="742"/>
        <v>1</v>
      </c>
      <c r="CO329" s="298">
        <f>SUM(CO272,CO273)</f>
        <v>0</v>
      </c>
      <c r="CP329" s="5">
        <f t="shared" si="743"/>
        <v>-1</v>
      </c>
      <c r="CQ329" s="240"/>
      <c r="CR329" s="303">
        <f>SUM(CR272,CR273)</f>
        <v>0</v>
      </c>
      <c r="CS329" s="231">
        <f t="shared" si="744"/>
        <v>1</v>
      </c>
      <c r="CT329" s="121"/>
      <c r="CU329" s="6"/>
      <c r="CV329" s="35"/>
      <c r="CW329" s="612"/>
      <c r="CX329" s="121"/>
      <c r="CY329" s="6"/>
      <c r="CZ329" s="35"/>
      <c r="DA329" s="612"/>
      <c r="DB329" s="21"/>
      <c r="DC329" s="6"/>
      <c r="DD329" s="35"/>
      <c r="DE329" s="234"/>
      <c r="DF329" s="234"/>
      <c r="DG329" s="395">
        <f t="shared" si="745"/>
        <v>-1</v>
      </c>
      <c r="DH329" s="29">
        <f t="shared" si="599"/>
        <v>1</v>
      </c>
      <c r="DI329" s="298">
        <f>SUM(DI272,DI273)</f>
        <v>0</v>
      </c>
      <c r="DJ329" s="5">
        <f t="shared" si="746"/>
        <v>-1</v>
      </c>
      <c r="DK329" s="240"/>
      <c r="DL329" s="303">
        <f>SUM(DL272,DL273)</f>
        <v>0</v>
      </c>
      <c r="DM329" s="231">
        <f t="shared" si="747"/>
        <v>1</v>
      </c>
    </row>
    <row r="330" spans="1:117" ht="30" x14ac:dyDescent="0.25">
      <c r="A330" s="18"/>
      <c r="B330" s="10" t="s">
        <v>608</v>
      </c>
      <c r="C330" s="18">
        <v>1</v>
      </c>
      <c r="D330" s="15" t="s">
        <v>387</v>
      </c>
      <c r="E330" s="15"/>
      <c r="F330" s="149"/>
      <c r="G330" s="76" t="s">
        <v>757</v>
      </c>
      <c r="H330" s="25"/>
      <c r="I330" s="25"/>
      <c r="J330" s="530">
        <f t="shared" si="726"/>
        <v>-16</v>
      </c>
      <c r="K330" s="395">
        <f t="shared" si="585"/>
        <v>-25</v>
      </c>
      <c r="L330" s="544">
        <v>25</v>
      </c>
      <c r="M330" s="298">
        <f>SUM(M274,M275)+0-SUM(M274,M275)</f>
        <v>0</v>
      </c>
      <c r="N330" s="5">
        <f t="shared" si="727"/>
        <v>-25</v>
      </c>
      <c r="O330" s="256"/>
      <c r="P330" s="240"/>
      <c r="Q330" s="231">
        <f t="shared" si="728"/>
        <v>25</v>
      </c>
      <c r="R330" s="121"/>
      <c r="S330" s="6"/>
      <c r="T330" s="35"/>
      <c r="U330" s="612"/>
      <c r="V330" s="121"/>
      <c r="W330" s="6"/>
      <c r="X330" s="35"/>
      <c r="Y330" s="612"/>
      <c r="Z330" s="21"/>
      <c r="AA330" s="6"/>
      <c r="AB330" s="35"/>
      <c r="AC330" s="234"/>
      <c r="AD330" s="234"/>
      <c r="AE330" s="395">
        <f t="shared" si="729"/>
        <v>-24</v>
      </c>
      <c r="AF330" s="29">
        <f t="shared" si="730"/>
        <v>25</v>
      </c>
      <c r="AG330" s="298">
        <f>SUM(AG274,AG275)</f>
        <v>1</v>
      </c>
      <c r="AH330" s="5">
        <f t="shared" si="731"/>
        <v>-24</v>
      </c>
      <c r="AI330" s="256"/>
      <c r="AJ330" s="240"/>
      <c r="AK330" s="231">
        <f t="shared" si="732"/>
        <v>25</v>
      </c>
      <c r="AL330" s="121"/>
      <c r="AM330" s="6"/>
      <c r="AN330" s="35"/>
      <c r="AO330" s="612"/>
      <c r="AP330" s="121"/>
      <c r="AQ330" s="6"/>
      <c r="AR330" s="35"/>
      <c r="AS330" s="612"/>
      <c r="AT330" s="21"/>
      <c r="AU330" s="6"/>
      <c r="AV330" s="35"/>
      <c r="AW330" s="234"/>
      <c r="AX330" s="234"/>
      <c r="AY330" s="395">
        <f t="shared" si="733"/>
        <v>-22</v>
      </c>
      <c r="AZ330" s="29">
        <f t="shared" si="734"/>
        <v>25</v>
      </c>
      <c r="BA330" s="298">
        <f>SUM(BA274,BA275)</f>
        <v>2</v>
      </c>
      <c r="BB330" s="5">
        <f t="shared" si="735"/>
        <v>-23</v>
      </c>
      <c r="BC330" s="256"/>
      <c r="BD330" s="240"/>
      <c r="BE330" s="231">
        <f t="shared" si="736"/>
        <v>25</v>
      </c>
      <c r="BF330" s="121"/>
      <c r="BG330" s="6"/>
      <c r="BH330" s="35"/>
      <c r="BI330" s="612"/>
      <c r="BJ330" s="121"/>
      <c r="BK330" s="6"/>
      <c r="BL330" s="35"/>
      <c r="BM330" s="612"/>
      <c r="BN330" s="21"/>
      <c r="BO330" s="6"/>
      <c r="BP330" s="35"/>
      <c r="BQ330" s="234"/>
      <c r="BR330" s="234"/>
      <c r="BS330" s="395">
        <f t="shared" si="737"/>
        <v>-16</v>
      </c>
      <c r="BT330" s="29">
        <f t="shared" si="738"/>
        <v>25</v>
      </c>
      <c r="BU330" s="298">
        <f>SUM(BU274,BU275)</f>
        <v>6</v>
      </c>
      <c r="BV330" s="5">
        <f t="shared" si="739"/>
        <v>-19</v>
      </c>
      <c r="BW330" s="240"/>
      <c r="BX330" s="240"/>
      <c r="BY330" s="231">
        <f t="shared" si="740"/>
        <v>25</v>
      </c>
      <c r="BZ330" s="121"/>
      <c r="CA330" s="6"/>
      <c r="CB330" s="35"/>
      <c r="CC330" s="612"/>
      <c r="CD330" s="121"/>
      <c r="CE330" s="6"/>
      <c r="CF330" s="35"/>
      <c r="CG330" s="612"/>
      <c r="CH330" s="21"/>
      <c r="CI330" s="6"/>
      <c r="CJ330" s="35"/>
      <c r="CK330" s="234"/>
      <c r="CL330" s="234"/>
      <c r="CM330" s="395">
        <f t="shared" si="741"/>
        <v>-16</v>
      </c>
      <c r="CN330" s="29">
        <f t="shared" si="742"/>
        <v>25</v>
      </c>
      <c r="CO330" s="298">
        <f>SUM(CO274,CO275)</f>
        <v>0</v>
      </c>
      <c r="CP330" s="5">
        <f t="shared" si="743"/>
        <v>-25</v>
      </c>
      <c r="CQ330" s="240"/>
      <c r="CR330" s="240"/>
      <c r="CS330" s="231">
        <f t="shared" si="744"/>
        <v>25</v>
      </c>
      <c r="CT330" s="121"/>
      <c r="CU330" s="6"/>
      <c r="CV330" s="35"/>
      <c r="CW330" s="612"/>
      <c r="CX330" s="121"/>
      <c r="CY330" s="6"/>
      <c r="CZ330" s="35"/>
      <c r="DA330" s="612"/>
      <c r="DB330" s="21"/>
      <c r="DC330" s="6"/>
      <c r="DD330" s="35"/>
      <c r="DE330" s="234"/>
      <c r="DF330" s="234"/>
      <c r="DG330" s="395">
        <f t="shared" si="745"/>
        <v>-16</v>
      </c>
      <c r="DH330" s="29">
        <f t="shared" si="599"/>
        <v>25</v>
      </c>
      <c r="DI330" s="298">
        <f>SUM(DI274,DI275)</f>
        <v>0</v>
      </c>
      <c r="DJ330" s="5">
        <f t="shared" si="746"/>
        <v>-25</v>
      </c>
      <c r="DK330" s="240"/>
      <c r="DL330" s="240"/>
      <c r="DM330" s="231">
        <f t="shared" si="747"/>
        <v>25</v>
      </c>
    </row>
    <row r="331" spans="1:117" x14ac:dyDescent="0.25">
      <c r="A331" s="18"/>
      <c r="B331" s="11" t="s">
        <v>392</v>
      </c>
      <c r="C331" s="18">
        <v>1</v>
      </c>
      <c r="D331" s="15" t="s">
        <v>287</v>
      </c>
      <c r="E331" s="15"/>
      <c r="F331" s="149">
        <v>280</v>
      </c>
      <c r="G331" s="11" t="s">
        <v>650</v>
      </c>
      <c r="H331" s="25" t="s">
        <v>77</v>
      </c>
      <c r="I331" s="25"/>
      <c r="J331" s="530">
        <f t="shared" si="726"/>
        <v>-3</v>
      </c>
      <c r="K331" s="395">
        <f t="shared" si="585"/>
        <v>-3</v>
      </c>
      <c r="L331" s="544">
        <v>3</v>
      </c>
      <c r="M331" s="298">
        <f>SUM(M272,M273)</f>
        <v>0</v>
      </c>
      <c r="N331" s="5">
        <f t="shared" si="727"/>
        <v>-3</v>
      </c>
      <c r="O331" s="256"/>
      <c r="P331" s="303">
        <f>SUM(P272,P273)</f>
        <v>0</v>
      </c>
      <c r="Q331" s="231">
        <f t="shared" si="728"/>
        <v>3</v>
      </c>
      <c r="R331" s="121"/>
      <c r="S331" s="6"/>
      <c r="T331" s="35"/>
      <c r="U331" s="612"/>
      <c r="V331" s="121"/>
      <c r="W331" s="6"/>
      <c r="X331" s="35"/>
      <c r="Y331" s="612"/>
      <c r="Z331" s="121"/>
      <c r="AA331" s="6"/>
      <c r="AB331" s="35"/>
      <c r="AC331" s="234"/>
      <c r="AD331" s="234"/>
      <c r="AE331" s="395">
        <f t="shared" si="729"/>
        <v>-3</v>
      </c>
      <c r="AF331" s="29">
        <f t="shared" si="730"/>
        <v>3</v>
      </c>
      <c r="AG331" s="298">
        <f>SUM(AG272,AG273)</f>
        <v>0</v>
      </c>
      <c r="AH331" s="5">
        <f t="shared" si="731"/>
        <v>-3</v>
      </c>
      <c r="AI331" s="256"/>
      <c r="AJ331" s="303">
        <f>SUM(AJ272,AJ273)</f>
        <v>0</v>
      </c>
      <c r="AK331" s="231">
        <f t="shared" si="732"/>
        <v>3</v>
      </c>
      <c r="AL331" s="121"/>
      <c r="AM331" s="6"/>
      <c r="AN331" s="35"/>
      <c r="AO331" s="612"/>
      <c r="AP331" s="121"/>
      <c r="AQ331" s="6"/>
      <c r="AR331" s="35"/>
      <c r="AS331" s="612"/>
      <c r="AT331" s="21"/>
      <c r="AU331" s="6"/>
      <c r="AV331" s="35"/>
      <c r="AW331" s="234"/>
      <c r="AX331" s="234"/>
      <c r="AY331" s="395">
        <f t="shared" si="733"/>
        <v>-3</v>
      </c>
      <c r="AZ331" s="29">
        <f t="shared" si="734"/>
        <v>3</v>
      </c>
      <c r="BA331" s="298">
        <f>SUM(BA272,BA273)</f>
        <v>0</v>
      </c>
      <c r="BB331" s="5">
        <f t="shared" si="735"/>
        <v>-3</v>
      </c>
      <c r="BC331" s="256"/>
      <c r="BD331" s="303">
        <f>SUM(BD272,BD273)</f>
        <v>0</v>
      </c>
      <c r="BE331" s="231">
        <f t="shared" si="736"/>
        <v>3</v>
      </c>
      <c r="BF331" s="121"/>
      <c r="BG331" s="6"/>
      <c r="BH331" s="35"/>
      <c r="BI331" s="612"/>
      <c r="BJ331" s="121"/>
      <c r="BK331" s="6"/>
      <c r="BL331" s="35"/>
      <c r="BM331" s="612"/>
      <c r="BN331" s="21"/>
      <c r="BO331" s="6"/>
      <c r="BP331" s="35"/>
      <c r="BQ331" s="234"/>
      <c r="BR331" s="234"/>
      <c r="BS331" s="395">
        <f t="shared" si="737"/>
        <v>-13</v>
      </c>
      <c r="BT331" s="29">
        <f t="shared" si="738"/>
        <v>3</v>
      </c>
      <c r="BU331" s="298">
        <f>SUM(BU272,BU273)</f>
        <v>0</v>
      </c>
      <c r="BV331" s="5">
        <f t="shared" si="739"/>
        <v>-3</v>
      </c>
      <c r="BW331" s="240">
        <v>10</v>
      </c>
      <c r="BX331" s="303">
        <f>SUM(BX272,BX273)</f>
        <v>0</v>
      </c>
      <c r="BY331" s="231">
        <f t="shared" si="740"/>
        <v>13</v>
      </c>
      <c r="BZ331" s="121"/>
      <c r="CA331" s="6"/>
      <c r="CB331" s="35"/>
      <c r="CC331" s="612"/>
      <c r="CD331" s="121"/>
      <c r="CE331" s="6"/>
      <c r="CF331" s="35"/>
      <c r="CG331" s="612"/>
      <c r="CH331" s="215">
        <v>2800</v>
      </c>
      <c r="CI331" s="199"/>
      <c r="CJ331" s="148" t="s">
        <v>815</v>
      </c>
      <c r="CK331" s="807"/>
      <c r="CL331" s="807"/>
      <c r="CM331" s="395">
        <f t="shared" si="741"/>
        <v>-13</v>
      </c>
      <c r="CN331" s="29">
        <f t="shared" si="742"/>
        <v>13</v>
      </c>
      <c r="CO331" s="298">
        <f>SUM(CO272,CO273)</f>
        <v>0</v>
      </c>
      <c r="CP331" s="5">
        <f t="shared" si="743"/>
        <v>-13</v>
      </c>
      <c r="CQ331" s="240"/>
      <c r="CR331" s="303">
        <f>SUM(CR272,CR273)</f>
        <v>0</v>
      </c>
      <c r="CS331" s="231">
        <f t="shared" si="744"/>
        <v>13</v>
      </c>
      <c r="CT331" s="121"/>
      <c r="CU331" s="6"/>
      <c r="CV331" s="35"/>
      <c r="CW331" s="612"/>
      <c r="CX331" s="121"/>
      <c r="CY331" s="6"/>
      <c r="CZ331" s="35"/>
      <c r="DA331" s="612"/>
      <c r="DB331" s="21"/>
      <c r="DC331" s="6"/>
      <c r="DD331" s="35"/>
      <c r="DE331" s="234"/>
      <c r="DF331" s="234"/>
      <c r="DG331" s="395">
        <f t="shared" si="745"/>
        <v>-13</v>
      </c>
      <c r="DH331" s="29">
        <f t="shared" si="599"/>
        <v>13</v>
      </c>
      <c r="DI331" s="298">
        <f>SUM(DI272,DI273)</f>
        <v>0</v>
      </c>
      <c r="DJ331" s="5">
        <f t="shared" si="746"/>
        <v>-13</v>
      </c>
      <c r="DK331" s="240"/>
      <c r="DL331" s="303">
        <f>SUM(DL272,DL273)</f>
        <v>0</v>
      </c>
      <c r="DM331" s="231">
        <f t="shared" si="747"/>
        <v>13</v>
      </c>
    </row>
    <row r="332" spans="1:117" x14ac:dyDescent="0.25">
      <c r="A332" s="18"/>
      <c r="B332" s="11" t="s">
        <v>394</v>
      </c>
      <c r="C332" s="18">
        <v>1</v>
      </c>
      <c r="D332" s="15" t="s">
        <v>381</v>
      </c>
      <c r="E332" s="15"/>
      <c r="F332" s="149">
        <v>280</v>
      </c>
      <c r="G332" s="11" t="s">
        <v>650</v>
      </c>
      <c r="H332" s="25" t="s">
        <v>77</v>
      </c>
      <c r="I332" s="25"/>
      <c r="J332" s="530">
        <f t="shared" si="726"/>
        <v>-9</v>
      </c>
      <c r="K332" s="395">
        <f t="shared" si="585"/>
        <v>-18</v>
      </c>
      <c r="L332" s="544">
        <v>18</v>
      </c>
      <c r="M332" s="298">
        <f>SUM(M274,M275)+0-SUM(M274,M275)</f>
        <v>0</v>
      </c>
      <c r="N332" s="5">
        <f t="shared" ref="N332" si="748">M332-L332</f>
        <v>-18</v>
      </c>
      <c r="O332" s="256"/>
      <c r="P332" s="240"/>
      <c r="Q332" s="231">
        <f t="shared" ref="Q332" si="749">L332+O332-P332</f>
        <v>18</v>
      </c>
      <c r="R332" s="121"/>
      <c r="S332" s="6"/>
      <c r="T332" s="35"/>
      <c r="U332" s="612"/>
      <c r="V332" s="121"/>
      <c r="W332" s="6"/>
      <c r="X332" s="35"/>
      <c r="Y332" s="612"/>
      <c r="Z332" s="21"/>
      <c r="AA332" s="6"/>
      <c r="AB332" s="35"/>
      <c r="AC332" s="234"/>
      <c r="AD332" s="234"/>
      <c r="AE332" s="395">
        <f t="shared" si="729"/>
        <v>-17</v>
      </c>
      <c r="AF332" s="29">
        <f t="shared" si="730"/>
        <v>18</v>
      </c>
      <c r="AG332" s="298">
        <f>SUM(AG274,AG275)</f>
        <v>1</v>
      </c>
      <c r="AH332" s="5">
        <f t="shared" ref="AH332" si="750">AG332-AF332</f>
        <v>-17</v>
      </c>
      <c r="AI332" s="256"/>
      <c r="AJ332" s="240"/>
      <c r="AK332" s="231">
        <f t="shared" ref="AK332" si="751">AF332+AI332-AJ332</f>
        <v>18</v>
      </c>
      <c r="AL332" s="121"/>
      <c r="AM332" s="6"/>
      <c r="AN332" s="35"/>
      <c r="AO332" s="612"/>
      <c r="AP332" s="121"/>
      <c r="AQ332" s="6"/>
      <c r="AR332" s="35"/>
      <c r="AS332" s="612"/>
      <c r="AT332" s="21"/>
      <c r="AU332" s="6"/>
      <c r="AV332" s="35"/>
      <c r="AW332" s="234"/>
      <c r="AX332" s="234"/>
      <c r="AY332" s="395">
        <f t="shared" si="733"/>
        <v>-15</v>
      </c>
      <c r="AZ332" s="29">
        <f t="shared" ref="AZ332" si="752">AK332</f>
        <v>18</v>
      </c>
      <c r="BA332" s="298">
        <f>SUM(BA274,BA275)</f>
        <v>2</v>
      </c>
      <c r="BB332" s="5">
        <f t="shared" ref="BB332" si="753">BA332-AZ332</f>
        <v>-16</v>
      </c>
      <c r="BC332" s="256"/>
      <c r="BD332" s="240"/>
      <c r="BE332" s="231">
        <f t="shared" ref="BE332" si="754">AZ332+BC332-BD332</f>
        <v>18</v>
      </c>
      <c r="BF332" s="121"/>
      <c r="BG332" s="6"/>
      <c r="BH332" s="35"/>
      <c r="BI332" s="612"/>
      <c r="BJ332" s="121"/>
      <c r="BK332" s="6"/>
      <c r="BL332" s="35"/>
      <c r="BM332" s="612"/>
      <c r="BN332" s="21"/>
      <c r="BO332" s="6"/>
      <c r="BP332" s="35"/>
      <c r="BQ332" s="234"/>
      <c r="BR332" s="234"/>
      <c r="BS332" s="395">
        <f t="shared" si="737"/>
        <v>-19</v>
      </c>
      <c r="BT332" s="29">
        <f t="shared" ref="BT332" si="755">BE332</f>
        <v>18</v>
      </c>
      <c r="BU332" s="298">
        <f>SUM(BU274,BU275)</f>
        <v>6</v>
      </c>
      <c r="BV332" s="5">
        <f t="shared" ref="BV332" si="756">BU332-BT332</f>
        <v>-12</v>
      </c>
      <c r="BW332" s="240">
        <v>10</v>
      </c>
      <c r="BX332" s="240"/>
      <c r="BY332" s="231">
        <f t="shared" ref="BY332" si="757">BT332+BW332-BX332</f>
        <v>28</v>
      </c>
      <c r="BZ332" s="121"/>
      <c r="CA332" s="6"/>
      <c r="CB332" s="35"/>
      <c r="CC332" s="612"/>
      <c r="CD332" s="121"/>
      <c r="CE332" s="6"/>
      <c r="CF332" s="35"/>
      <c r="CG332" s="612"/>
      <c r="CH332" s="215">
        <v>2800</v>
      </c>
      <c r="CI332" s="199"/>
      <c r="CJ332" s="148" t="s">
        <v>815</v>
      </c>
      <c r="CK332" s="807"/>
      <c r="CL332" s="807"/>
      <c r="CM332" s="395">
        <f t="shared" si="741"/>
        <v>-19</v>
      </c>
      <c r="CN332" s="29">
        <f t="shared" ref="CN332" si="758">BY332</f>
        <v>28</v>
      </c>
      <c r="CO332" s="298">
        <f>SUM(CO274,CO275)</f>
        <v>0</v>
      </c>
      <c r="CP332" s="5">
        <f t="shared" ref="CP332" si="759">CO332-CN332</f>
        <v>-28</v>
      </c>
      <c r="CQ332" s="240"/>
      <c r="CR332" s="240"/>
      <c r="CS332" s="231">
        <f t="shared" ref="CS332" si="760">CN332+CQ332-CR332</f>
        <v>28</v>
      </c>
      <c r="CT332" s="121"/>
      <c r="CU332" s="6"/>
      <c r="CV332" s="35"/>
      <c r="CW332" s="612"/>
      <c r="CX332" s="121"/>
      <c r="CY332" s="6"/>
      <c r="CZ332" s="35"/>
      <c r="DA332" s="612"/>
      <c r="DB332" s="21"/>
      <c r="DC332" s="6"/>
      <c r="DD332" s="35"/>
      <c r="DE332" s="234"/>
      <c r="DF332" s="234"/>
      <c r="DG332" s="395">
        <f t="shared" si="745"/>
        <v>-19</v>
      </c>
      <c r="DH332" s="29">
        <f t="shared" si="599"/>
        <v>28</v>
      </c>
      <c r="DI332" s="298">
        <f>SUM(DI274,DI275)</f>
        <v>0</v>
      </c>
      <c r="DJ332" s="5">
        <f t="shared" si="746"/>
        <v>-28</v>
      </c>
      <c r="DK332" s="240"/>
      <c r="DL332" s="240"/>
      <c r="DM332" s="231">
        <f t="shared" si="747"/>
        <v>28</v>
      </c>
    </row>
    <row r="333" spans="1:117" ht="30" x14ac:dyDescent="0.25">
      <c r="A333" s="18"/>
      <c r="B333" s="11" t="s">
        <v>393</v>
      </c>
      <c r="C333" s="18">
        <v>1</v>
      </c>
      <c r="D333" s="15" t="s">
        <v>380</v>
      </c>
      <c r="E333" s="15"/>
      <c r="F333" s="149">
        <v>280</v>
      </c>
      <c r="G333" s="11" t="s">
        <v>650</v>
      </c>
      <c r="H333" s="25" t="s">
        <v>77</v>
      </c>
      <c r="I333" s="25"/>
      <c r="J333" s="530">
        <f t="shared" si="726"/>
        <v>-16</v>
      </c>
      <c r="K333" s="395">
        <f t="shared" si="585"/>
        <v>-25</v>
      </c>
      <c r="L333" s="544">
        <v>25</v>
      </c>
      <c r="M333" s="298">
        <f>SUM(M272,M273,M275)+0-SUM(M272,M273,M275)</f>
        <v>0</v>
      </c>
      <c r="N333" s="5">
        <f t="shared" ref="N333" si="761">M333-L333</f>
        <v>-25</v>
      </c>
      <c r="O333" s="256"/>
      <c r="P333" s="240"/>
      <c r="Q333" s="231">
        <f t="shared" ref="Q333" si="762">L333+O333-P333</f>
        <v>25</v>
      </c>
      <c r="R333" s="121"/>
      <c r="S333" s="6"/>
      <c r="T333" s="35"/>
      <c r="U333" s="612"/>
      <c r="V333" s="121"/>
      <c r="W333" s="6"/>
      <c r="X333" s="35"/>
      <c r="Y333" s="612"/>
      <c r="Z333" s="21"/>
      <c r="AA333" s="6"/>
      <c r="AB333" s="35"/>
      <c r="AC333" s="234"/>
      <c r="AD333" s="234"/>
      <c r="AE333" s="395">
        <f t="shared" si="729"/>
        <v>-24</v>
      </c>
      <c r="AF333" s="29">
        <f t="shared" si="730"/>
        <v>25</v>
      </c>
      <c r="AG333" s="298">
        <f>SUM(AG272,AG273,AG275)</f>
        <v>1</v>
      </c>
      <c r="AH333" s="5">
        <f t="shared" ref="AH333" si="763">AG333-AF333</f>
        <v>-24</v>
      </c>
      <c r="AI333" s="256"/>
      <c r="AJ333" s="240"/>
      <c r="AK333" s="231">
        <f t="shared" ref="AK333" si="764">AF333+AI333-AJ333</f>
        <v>25</v>
      </c>
      <c r="AL333" s="121"/>
      <c r="AM333" s="6"/>
      <c r="AN333" s="35"/>
      <c r="AO333" s="612"/>
      <c r="AP333" s="121"/>
      <c r="AQ333" s="6"/>
      <c r="AR333" s="35"/>
      <c r="AS333" s="612"/>
      <c r="AT333" s="21"/>
      <c r="AU333" s="6"/>
      <c r="AV333" s="35"/>
      <c r="AW333" s="234"/>
      <c r="AX333" s="234"/>
      <c r="AY333" s="395">
        <f t="shared" si="733"/>
        <v>-22</v>
      </c>
      <c r="AZ333" s="29">
        <f t="shared" ref="AZ333" si="765">AK333</f>
        <v>25</v>
      </c>
      <c r="BA333" s="298">
        <f>SUM(BA272,BA273,BA275)</f>
        <v>2</v>
      </c>
      <c r="BB333" s="5">
        <f t="shared" ref="BB333" si="766">BA333-AZ333</f>
        <v>-23</v>
      </c>
      <c r="BC333" s="256"/>
      <c r="BD333" s="240"/>
      <c r="BE333" s="231">
        <f t="shared" ref="BE333" si="767">AZ333+BC333-BD333</f>
        <v>25</v>
      </c>
      <c r="BF333" s="121"/>
      <c r="BG333" s="6"/>
      <c r="BH333" s="35"/>
      <c r="BI333" s="612"/>
      <c r="BJ333" s="121"/>
      <c r="BK333" s="6"/>
      <c r="BL333" s="35"/>
      <c r="BM333" s="612"/>
      <c r="BN333" s="21"/>
      <c r="BO333" s="6"/>
      <c r="BP333" s="35"/>
      <c r="BQ333" s="234"/>
      <c r="BR333" s="234"/>
      <c r="BS333" s="395">
        <f t="shared" si="737"/>
        <v>-26</v>
      </c>
      <c r="BT333" s="29">
        <f t="shared" ref="BT333" si="768">BE333</f>
        <v>25</v>
      </c>
      <c r="BU333" s="298">
        <f>SUM(BU272,BU273,BU275)</f>
        <v>6</v>
      </c>
      <c r="BV333" s="5">
        <f t="shared" ref="BV333" si="769">BU333-BT333</f>
        <v>-19</v>
      </c>
      <c r="BW333" s="240">
        <v>10</v>
      </c>
      <c r="BX333" s="240"/>
      <c r="BY333" s="231">
        <f t="shared" ref="BY333" si="770">BT333+BW333-BX333</f>
        <v>35</v>
      </c>
      <c r="BZ333" s="121"/>
      <c r="CA333" s="6"/>
      <c r="CB333" s="35"/>
      <c r="CC333" s="612"/>
      <c r="CD333" s="121"/>
      <c r="CE333" s="6"/>
      <c r="CF333" s="35"/>
      <c r="CG333" s="612"/>
      <c r="CH333" s="21"/>
      <c r="CI333" s="6"/>
      <c r="CJ333" s="35"/>
      <c r="CK333" s="234"/>
      <c r="CL333" s="234"/>
      <c r="CM333" s="395">
        <f t="shared" si="741"/>
        <v>-26</v>
      </c>
      <c r="CN333" s="29">
        <f t="shared" ref="CN333" si="771">BY333</f>
        <v>35</v>
      </c>
      <c r="CO333" s="298">
        <f>SUM(CO272,CO273,CO275)</f>
        <v>0</v>
      </c>
      <c r="CP333" s="5">
        <f t="shared" ref="CP333" si="772">CO333-CN333</f>
        <v>-35</v>
      </c>
      <c r="CQ333" s="240"/>
      <c r="CR333" s="240"/>
      <c r="CS333" s="231">
        <f t="shared" ref="CS333" si="773">CN333+CQ333-CR333</f>
        <v>35</v>
      </c>
      <c r="CT333" s="121"/>
      <c r="CU333" s="6"/>
      <c r="CV333" s="35"/>
      <c r="CW333" s="612"/>
      <c r="CX333" s="121"/>
      <c r="CY333" s="6"/>
      <c r="CZ333" s="35"/>
      <c r="DA333" s="612"/>
      <c r="DB333" s="21"/>
      <c r="DC333" s="6"/>
      <c r="DD333" s="35"/>
      <c r="DE333" s="234"/>
      <c r="DF333" s="234"/>
      <c r="DG333" s="395">
        <f t="shared" si="745"/>
        <v>-26</v>
      </c>
      <c r="DH333" s="29">
        <f t="shared" si="599"/>
        <v>35</v>
      </c>
      <c r="DI333" s="298">
        <f>SUM(DI272,DI273,DI275)</f>
        <v>0</v>
      </c>
      <c r="DJ333" s="5">
        <f t="shared" si="746"/>
        <v>-35</v>
      </c>
      <c r="DK333" s="240"/>
      <c r="DL333" s="240"/>
      <c r="DM333" s="231">
        <f t="shared" si="747"/>
        <v>35</v>
      </c>
    </row>
    <row r="334" spans="1:117" x14ac:dyDescent="0.25">
      <c r="A334" s="360"/>
      <c r="B334" s="347" t="s">
        <v>35</v>
      </c>
      <c r="C334" s="360" t="s">
        <v>51</v>
      </c>
      <c r="D334" s="361" t="s">
        <v>176</v>
      </c>
      <c r="E334" s="361"/>
      <c r="F334" s="362">
        <v>3554</v>
      </c>
      <c r="G334" s="361" t="s">
        <v>28</v>
      </c>
      <c r="H334" s="363"/>
      <c r="I334" s="363"/>
      <c r="J334" s="363"/>
      <c r="K334" s="363"/>
      <c r="L334" s="29"/>
      <c r="M334" s="374"/>
      <c r="N334" s="374"/>
      <c r="O334" s="375"/>
      <c r="P334" s="375"/>
      <c r="Q334" s="365"/>
      <c r="R334" s="366"/>
      <c r="S334" s="367"/>
      <c r="T334" s="368"/>
      <c r="U334" s="718"/>
      <c r="V334" s="366"/>
      <c r="W334" s="367"/>
      <c r="X334" s="368"/>
      <c r="Y334" s="718"/>
      <c r="Z334" s="369"/>
      <c r="AA334" s="367"/>
      <c r="AB334" s="368"/>
      <c r="AC334" s="718"/>
      <c r="AD334" s="718"/>
      <c r="AE334" s="363"/>
      <c r="AF334" s="364"/>
      <c r="AG334" s="374"/>
      <c r="AH334" s="374"/>
      <c r="AI334" s="375"/>
      <c r="AJ334" s="375"/>
      <c r="AK334" s="365"/>
      <c r="AL334" s="366"/>
      <c r="AM334" s="367"/>
      <c r="AN334" s="368"/>
      <c r="AO334" s="718"/>
      <c r="AP334" s="366"/>
      <c r="AQ334" s="367"/>
      <c r="AR334" s="368"/>
      <c r="AS334" s="718"/>
      <c r="AT334" s="369"/>
      <c r="AU334" s="367"/>
      <c r="AV334" s="368"/>
      <c r="AW334" s="718"/>
      <c r="AX334" s="718"/>
      <c r="AY334" s="363"/>
      <c r="AZ334" s="364"/>
      <c r="BA334" s="374"/>
      <c r="BB334" s="374"/>
      <c r="BC334" s="375"/>
      <c r="BD334" s="375"/>
      <c r="BE334" s="365"/>
      <c r="BF334" s="366"/>
      <c r="BG334" s="367"/>
      <c r="BH334" s="368"/>
      <c r="BI334" s="718"/>
      <c r="BJ334" s="366"/>
      <c r="BK334" s="367"/>
      <c r="BL334" s="368"/>
      <c r="BM334" s="718"/>
      <c r="BN334" s="369"/>
      <c r="BO334" s="367"/>
      <c r="BP334" s="368"/>
      <c r="BQ334" s="718"/>
      <c r="BR334" s="718"/>
      <c r="BS334" s="363"/>
      <c r="BT334" s="364"/>
      <c r="BU334" s="374"/>
      <c r="BV334" s="374"/>
      <c r="BW334" s="375"/>
      <c r="BX334" s="375"/>
      <c r="BY334" s="365"/>
      <c r="BZ334" s="366"/>
      <c r="CA334" s="367"/>
      <c r="CB334" s="368"/>
      <c r="CC334" s="718"/>
      <c r="CD334" s="366"/>
      <c r="CE334" s="367"/>
      <c r="CF334" s="368"/>
      <c r="CG334" s="718"/>
      <c r="CH334" s="369"/>
      <c r="CI334" s="367"/>
      <c r="CJ334" s="368"/>
      <c r="CK334" s="718"/>
      <c r="CL334" s="718"/>
      <c r="CM334" s="363"/>
      <c r="CN334" s="364"/>
      <c r="CO334" s="374"/>
      <c r="CP334" s="374"/>
      <c r="CQ334" s="375"/>
      <c r="CR334" s="375"/>
      <c r="CS334" s="365"/>
      <c r="CT334" s="366"/>
      <c r="CU334" s="367"/>
      <c r="CV334" s="368"/>
      <c r="CW334" s="718"/>
      <c r="CX334" s="366"/>
      <c r="CY334" s="367"/>
      <c r="CZ334" s="368"/>
      <c r="DA334" s="718"/>
      <c r="DB334" s="369"/>
      <c r="DC334" s="367"/>
      <c r="DD334" s="368"/>
      <c r="DE334" s="355"/>
      <c r="DF334" s="355"/>
      <c r="DG334" s="346"/>
      <c r="DH334" s="364"/>
      <c r="DI334" s="374"/>
      <c r="DJ334" s="374"/>
      <c r="DK334" s="375"/>
      <c r="DL334" s="375"/>
      <c r="DM334" s="365"/>
    </row>
    <row r="335" spans="1:117" ht="30" x14ac:dyDescent="0.25">
      <c r="A335" s="18"/>
      <c r="B335" s="74" t="s">
        <v>288</v>
      </c>
      <c r="C335" s="75">
        <v>1</v>
      </c>
      <c r="D335" s="15" t="s">
        <v>380</v>
      </c>
      <c r="E335" s="274"/>
      <c r="F335" s="275"/>
      <c r="G335" s="74"/>
      <c r="H335" s="77"/>
      <c r="I335" s="77"/>
      <c r="J335" s="530">
        <f>SUM(M335,AG335,BA335,BU335)-L335</f>
        <v>-22</v>
      </c>
      <c r="K335" s="395">
        <f t="shared" si="585"/>
        <v>-31</v>
      </c>
      <c r="L335" s="544">
        <v>31</v>
      </c>
      <c r="M335" s="298">
        <f>SUM(M272,M273,M275)+0-SUM(M272,M273,M275)</f>
        <v>0</v>
      </c>
      <c r="N335" s="5">
        <f t="shared" ref="N335:N336" si="774">M335-L335</f>
        <v>-31</v>
      </c>
      <c r="O335" s="256"/>
      <c r="P335" s="244"/>
      <c r="Q335" s="231">
        <f t="shared" ref="Q335" si="775">L335+O335-P335</f>
        <v>31</v>
      </c>
      <c r="R335" s="129"/>
      <c r="S335" s="130"/>
      <c r="T335" s="79"/>
      <c r="U335" s="712"/>
      <c r="V335" s="129"/>
      <c r="W335" s="130"/>
      <c r="X335" s="79"/>
      <c r="Y335" s="712"/>
      <c r="Z335" s="131"/>
      <c r="AA335" s="130"/>
      <c r="AB335" s="79"/>
      <c r="AC335" s="619"/>
      <c r="AD335" s="619"/>
      <c r="AE335" s="395">
        <f>SUM(M335,AG335)-SUM(O335,AI335)-L335</f>
        <v>-30</v>
      </c>
      <c r="AF335" s="29">
        <f>Q335</f>
        <v>31</v>
      </c>
      <c r="AG335" s="298">
        <f>SUM(AG272,AG273,AG275)</f>
        <v>1</v>
      </c>
      <c r="AH335" s="5">
        <f t="shared" ref="AH335:AH336" si="776">AG335-AF335</f>
        <v>-30</v>
      </c>
      <c r="AI335" s="256"/>
      <c r="AJ335" s="244"/>
      <c r="AK335" s="231">
        <f t="shared" ref="AK335" si="777">AF335+AI335-AJ335</f>
        <v>31</v>
      </c>
      <c r="AL335" s="129"/>
      <c r="AM335" s="130"/>
      <c r="AN335" s="79"/>
      <c r="AO335" s="712"/>
      <c r="AP335" s="129"/>
      <c r="AQ335" s="130"/>
      <c r="AR335" s="79"/>
      <c r="AS335" s="712"/>
      <c r="AT335" s="131"/>
      <c r="AU335" s="130"/>
      <c r="AV335" s="79"/>
      <c r="AW335" s="619"/>
      <c r="AX335" s="619"/>
      <c r="AY335" s="395">
        <f>SUM(M335,AG335,BA335)-SUM(O335,AI335,BC335)-L335</f>
        <v>-28</v>
      </c>
      <c r="AZ335" s="29">
        <f t="shared" ref="AZ335" si="778">AK335</f>
        <v>31</v>
      </c>
      <c r="BA335" s="298">
        <f>SUM(BA272,BA273,BA275)</f>
        <v>2</v>
      </c>
      <c r="BB335" s="5">
        <f t="shared" ref="BB335:BB336" si="779">BA335-AZ335</f>
        <v>-29</v>
      </c>
      <c r="BC335" s="256"/>
      <c r="BD335" s="244"/>
      <c r="BE335" s="231">
        <f t="shared" ref="BE335" si="780">AZ335+BC335-BD335</f>
        <v>31</v>
      </c>
      <c r="BF335" s="129"/>
      <c r="BG335" s="130"/>
      <c r="BH335" s="79"/>
      <c r="BI335" s="712"/>
      <c r="BJ335" s="129"/>
      <c r="BK335" s="130"/>
      <c r="BL335" s="79"/>
      <c r="BM335" s="712"/>
      <c r="BN335" s="131"/>
      <c r="BO335" s="130"/>
      <c r="BP335" s="79"/>
      <c r="BQ335" s="619"/>
      <c r="BR335" s="619"/>
      <c r="BS335" s="395">
        <f>SUM(M335,AG335,BA335,BU335)-SUM(O335,AI335,BC335,BW335)-L335</f>
        <v>-22</v>
      </c>
      <c r="BT335" s="29">
        <f t="shared" ref="BT335" si="781">BE335</f>
        <v>31</v>
      </c>
      <c r="BU335" s="298">
        <f>SUM(BU272,BU273,BU275)</f>
        <v>6</v>
      </c>
      <c r="BV335" s="5">
        <f t="shared" ref="BV335:BV336" si="782">BU335-BT335</f>
        <v>-25</v>
      </c>
      <c r="BW335" s="256"/>
      <c r="BX335" s="244"/>
      <c r="BY335" s="231">
        <f t="shared" ref="BY335" si="783">BT335+BW335-BX335</f>
        <v>31</v>
      </c>
      <c r="BZ335" s="129"/>
      <c r="CA335" s="130"/>
      <c r="CB335" s="79"/>
      <c r="CC335" s="712"/>
      <c r="CD335" s="129"/>
      <c r="CE335" s="130"/>
      <c r="CF335" s="79"/>
      <c r="CG335" s="712"/>
      <c r="CH335" s="131"/>
      <c r="CI335" s="130"/>
      <c r="CJ335" s="79"/>
      <c r="CK335" s="619"/>
      <c r="CL335" s="619"/>
      <c r="CM335" s="395">
        <f>SUM(M335,AG335,BA335,BU335,CO335)-SUM(O335,AI335,BC335,BW335,CQ335)-L335</f>
        <v>-22</v>
      </c>
      <c r="CN335" s="29">
        <f t="shared" ref="CN335" si="784">BY335</f>
        <v>31</v>
      </c>
      <c r="CO335" s="298">
        <f>SUM(CO272,CO273,CO275)</f>
        <v>0</v>
      </c>
      <c r="CP335" s="5">
        <f t="shared" ref="CP335:CP336" si="785">CO335-CN335</f>
        <v>-31</v>
      </c>
      <c r="CQ335" s="240"/>
      <c r="CR335" s="244"/>
      <c r="CS335" s="231">
        <f t="shared" ref="CS335" si="786">CN335+CQ335-CR335</f>
        <v>31</v>
      </c>
      <c r="CT335" s="129"/>
      <c r="CU335" s="130"/>
      <c r="CV335" s="79"/>
      <c r="CW335" s="712"/>
      <c r="CX335" s="129"/>
      <c r="CY335" s="130"/>
      <c r="CZ335" s="79"/>
      <c r="DA335" s="712"/>
      <c r="DB335" s="131"/>
      <c r="DC335" s="130"/>
      <c r="DD335" s="79"/>
      <c r="DE335" s="619"/>
      <c r="DF335" s="619"/>
      <c r="DG335" s="395">
        <f>SUM(M335,AG335,BA335,BU335,DI335)-SUM(O335,AI335,BC335,BW335,CQ335)-L335</f>
        <v>-22</v>
      </c>
      <c r="DH335" s="29">
        <f t="shared" si="599"/>
        <v>31</v>
      </c>
      <c r="DI335" s="298">
        <f>SUM(DI272,DI273,DI275)</f>
        <v>0</v>
      </c>
      <c r="DJ335" s="5">
        <f t="shared" ref="DJ335:DJ336" si="787">DI335-DH335</f>
        <v>-31</v>
      </c>
      <c r="DK335" s="240"/>
      <c r="DL335" s="244"/>
      <c r="DM335" s="231">
        <f t="shared" ref="DM335" si="788">DH335+DK335-DL335</f>
        <v>31</v>
      </c>
    </row>
    <row r="336" spans="1:117" ht="30.75" thickBot="1" x14ac:dyDescent="0.3">
      <c r="A336" s="18"/>
      <c r="B336" s="12" t="s">
        <v>16</v>
      </c>
      <c r="C336" s="19" t="s">
        <v>51</v>
      </c>
      <c r="D336" s="60" t="s">
        <v>380</v>
      </c>
      <c r="E336" s="60"/>
      <c r="F336" s="146">
        <v>1650</v>
      </c>
      <c r="G336" s="12"/>
      <c r="H336" s="28" t="s">
        <v>23</v>
      </c>
      <c r="I336" s="77"/>
      <c r="J336" s="530">
        <f>SUM(M336,AG336,BA336,BU336)-L336</f>
        <v>0</v>
      </c>
      <c r="K336" s="395">
        <f t="shared" si="585"/>
        <v>0</v>
      </c>
      <c r="L336" s="29"/>
      <c r="M336" s="31"/>
      <c r="N336" s="31">
        <f t="shared" si="774"/>
        <v>0</v>
      </c>
      <c r="O336" s="284"/>
      <c r="P336" s="241"/>
      <c r="Q336" s="231"/>
      <c r="R336" s="200"/>
      <c r="S336" s="201"/>
      <c r="T336" s="36"/>
      <c r="U336" s="220"/>
      <c r="V336" s="200"/>
      <c r="W336" s="201"/>
      <c r="X336" s="36"/>
      <c r="Y336" s="220"/>
      <c r="Z336" s="122"/>
      <c r="AA336" s="201"/>
      <c r="AB336" s="36"/>
      <c r="AC336" s="619"/>
      <c r="AD336" s="619"/>
      <c r="AE336" s="395">
        <f>SUM(M336,AG336)-SUM(O336,AI336)-L336</f>
        <v>0</v>
      </c>
      <c r="AF336" s="29"/>
      <c r="AG336" s="31"/>
      <c r="AH336" s="31">
        <f t="shared" si="776"/>
        <v>0</v>
      </c>
      <c r="AI336" s="284"/>
      <c r="AJ336" s="241"/>
      <c r="AK336" s="231"/>
      <c r="AL336" s="200"/>
      <c r="AM336" s="201"/>
      <c r="AN336" s="36"/>
      <c r="AO336" s="220"/>
      <c r="AP336" s="200"/>
      <c r="AQ336" s="201"/>
      <c r="AR336" s="36"/>
      <c r="AS336" s="220"/>
      <c r="AT336" s="122"/>
      <c r="AU336" s="201"/>
      <c r="AV336" s="36"/>
      <c r="AW336" s="619"/>
      <c r="AX336" s="619"/>
      <c r="AY336" s="395">
        <f>SUM(M336,AG336,BA336)-SUM(O336,AI336,BC336)-L336</f>
        <v>0</v>
      </c>
      <c r="AZ336" s="29"/>
      <c r="BA336" s="31"/>
      <c r="BB336" s="31">
        <f t="shared" si="779"/>
        <v>0</v>
      </c>
      <c r="BC336" s="284"/>
      <c r="BD336" s="241"/>
      <c r="BE336" s="231"/>
      <c r="BF336" s="200"/>
      <c r="BG336" s="201"/>
      <c r="BH336" s="36"/>
      <c r="BI336" s="220"/>
      <c r="BJ336" s="200"/>
      <c r="BK336" s="201"/>
      <c r="BL336" s="36"/>
      <c r="BM336" s="220"/>
      <c r="BN336" s="122"/>
      <c r="BO336" s="201"/>
      <c r="BP336" s="36"/>
      <c r="BQ336" s="619"/>
      <c r="BR336" s="619"/>
      <c r="BS336" s="395">
        <f>SUM(M336,AG336,BA336,BU336)-SUM(O336,AI336,BC336,BW336)-L336</f>
        <v>0</v>
      </c>
      <c r="BT336" s="29"/>
      <c r="BU336" s="31"/>
      <c r="BV336" s="31">
        <f t="shared" si="782"/>
        <v>0</v>
      </c>
      <c r="BW336" s="284"/>
      <c r="BX336" s="241"/>
      <c r="BY336" s="231"/>
      <c r="BZ336" s="200"/>
      <c r="CA336" s="201"/>
      <c r="CB336" s="36"/>
      <c r="CC336" s="220"/>
      <c r="CD336" s="200"/>
      <c r="CE336" s="201"/>
      <c r="CF336" s="36"/>
      <c r="CG336" s="220"/>
      <c r="CH336" s="122"/>
      <c r="CI336" s="201"/>
      <c r="CJ336" s="36"/>
      <c r="CK336" s="619"/>
      <c r="CL336" s="619"/>
      <c r="CM336" s="395">
        <f>SUM(M336,AG336,BA336,BU336,CO336)-SUM(O336,AI336,BC336,BW336,CQ336)-L336</f>
        <v>0</v>
      </c>
      <c r="CN336" s="29"/>
      <c r="CO336" s="31"/>
      <c r="CP336" s="31">
        <f t="shared" si="785"/>
        <v>0</v>
      </c>
      <c r="CQ336" s="241"/>
      <c r="CR336" s="241"/>
      <c r="CS336" s="231"/>
      <c r="CT336" s="200"/>
      <c r="CU336" s="201"/>
      <c r="CV336" s="36"/>
      <c r="CW336" s="220"/>
      <c r="CX336" s="200"/>
      <c r="CY336" s="201"/>
      <c r="CZ336" s="36"/>
      <c r="DA336" s="220"/>
      <c r="DB336" s="122"/>
      <c r="DC336" s="201"/>
      <c r="DD336" s="36"/>
      <c r="DE336" s="619"/>
      <c r="DF336" s="619"/>
      <c r="DG336" s="395">
        <f>SUM(M336,AG336,BA336,BU336,DI336)-SUM(O336,AI336,BC336,BW336,CQ336)-L336</f>
        <v>0</v>
      </c>
      <c r="DH336" s="29"/>
      <c r="DI336" s="31"/>
      <c r="DJ336" s="31">
        <f t="shared" si="787"/>
        <v>0</v>
      </c>
      <c r="DK336" s="241"/>
      <c r="DL336" s="241"/>
      <c r="DM336" s="231"/>
    </row>
    <row r="337" spans="1:117" x14ac:dyDescent="0.25">
      <c r="A337" s="53"/>
      <c r="B337" s="52" t="s">
        <v>109</v>
      </c>
      <c r="C337" s="53" t="s">
        <v>51</v>
      </c>
      <c r="D337" s="81" t="s">
        <v>185</v>
      </c>
      <c r="E337" s="81"/>
      <c r="F337" s="338"/>
      <c r="G337" s="51"/>
      <c r="H337" s="54"/>
      <c r="I337" s="54"/>
      <c r="J337" s="53">
        <f>SUM(M337,AG337,BA337,BU337)</f>
        <v>0</v>
      </c>
      <c r="K337" s="53"/>
      <c r="L337" s="55"/>
      <c r="M337" s="306">
        <f>M273</f>
        <v>0</v>
      </c>
      <c r="N337" s="56"/>
      <c r="O337" s="56"/>
      <c r="P337" s="243"/>
      <c r="Q337" s="230"/>
      <c r="R337" s="119">
        <f>SUM(R338)</f>
        <v>0</v>
      </c>
      <c r="S337" s="120">
        <f>SUM(S338)</f>
        <v>0</v>
      </c>
      <c r="T337" s="57"/>
      <c r="U337" s="219"/>
      <c r="V337" s="119">
        <f>SUM(V338)</f>
        <v>0</v>
      </c>
      <c r="W337" s="120">
        <f>SUM(W338)</f>
        <v>0</v>
      </c>
      <c r="X337" s="57"/>
      <c r="Y337" s="219"/>
      <c r="Z337" s="119">
        <f>SUM(Z338)</f>
        <v>0</v>
      </c>
      <c r="AA337" s="120">
        <f>SUM(AA338)</f>
        <v>0</v>
      </c>
      <c r="AB337" s="57"/>
      <c r="AC337" s="230"/>
      <c r="AD337" s="230"/>
      <c r="AE337" s="53">
        <f>SUM(AG337,BA337,BU337)</f>
        <v>0</v>
      </c>
      <c r="AF337" s="55"/>
      <c r="AG337" s="306">
        <f>AG273</f>
        <v>0</v>
      </c>
      <c r="AH337" s="56"/>
      <c r="AI337" s="56"/>
      <c r="AJ337" s="243"/>
      <c r="AK337" s="219"/>
      <c r="AL337" s="119">
        <f>SUM(AL338)</f>
        <v>0</v>
      </c>
      <c r="AM337" s="120">
        <f>SUM(AM338)</f>
        <v>0</v>
      </c>
      <c r="AN337" s="57"/>
      <c r="AO337" s="219"/>
      <c r="AP337" s="119">
        <f>SUM(AP338)</f>
        <v>0</v>
      </c>
      <c r="AQ337" s="120">
        <f>SUM(AQ338)</f>
        <v>0</v>
      </c>
      <c r="AR337" s="57"/>
      <c r="AS337" s="219"/>
      <c r="AT337" s="119">
        <f>SUM(AT338)</f>
        <v>0</v>
      </c>
      <c r="AU337" s="120">
        <f>SUM(AU338)</f>
        <v>0</v>
      </c>
      <c r="AV337" s="57"/>
      <c r="AW337" s="230"/>
      <c r="AX337" s="230"/>
      <c r="AY337" s="53">
        <f>SUM(BA337,BU337)</f>
        <v>0</v>
      </c>
      <c r="AZ337" s="55"/>
      <c r="BA337" s="306">
        <f>BA273</f>
        <v>0</v>
      </c>
      <c r="BB337" s="56"/>
      <c r="BC337" s="56"/>
      <c r="BD337" s="243"/>
      <c r="BE337" s="219"/>
      <c r="BF337" s="119">
        <f>SUM(BF338)</f>
        <v>0</v>
      </c>
      <c r="BG337" s="120">
        <f>SUM(BG338)</f>
        <v>0</v>
      </c>
      <c r="BH337" s="57"/>
      <c r="BI337" s="219"/>
      <c r="BJ337" s="119">
        <f>SUM(BJ338)</f>
        <v>0</v>
      </c>
      <c r="BK337" s="120">
        <f>SUM(BK338)</f>
        <v>0</v>
      </c>
      <c r="BL337" s="57"/>
      <c r="BM337" s="219"/>
      <c r="BN337" s="119">
        <f>SUM(BN338)</f>
        <v>0</v>
      </c>
      <c r="BO337" s="120">
        <f>SUM(BO338)</f>
        <v>0</v>
      </c>
      <c r="BP337" s="57"/>
      <c r="BQ337" s="230"/>
      <c r="BR337" s="230"/>
      <c r="BS337" s="53">
        <f>BU337</f>
        <v>0</v>
      </c>
      <c r="BT337" s="55"/>
      <c r="BU337" s="306">
        <f>BU273</f>
        <v>0</v>
      </c>
      <c r="BV337" s="56"/>
      <c r="BW337" s="56"/>
      <c r="BX337" s="243"/>
      <c r="BY337" s="219"/>
      <c r="BZ337" s="119">
        <f>SUM(BZ338)</f>
        <v>0</v>
      </c>
      <c r="CA337" s="120">
        <f>SUM(CA338)</f>
        <v>0</v>
      </c>
      <c r="CB337" s="57"/>
      <c r="CC337" s="219"/>
      <c r="CD337" s="119">
        <f>SUM(CD338)</f>
        <v>0</v>
      </c>
      <c r="CE337" s="120">
        <f>SUM(CE338)</f>
        <v>0</v>
      </c>
      <c r="CF337" s="57"/>
      <c r="CG337" s="219"/>
      <c r="CH337" s="119">
        <f>SUM(CH338)</f>
        <v>0</v>
      </c>
      <c r="CI337" s="120">
        <f>SUM(CI338)</f>
        <v>0</v>
      </c>
      <c r="CJ337" s="57"/>
      <c r="CK337" s="230"/>
      <c r="CL337" s="230"/>
      <c r="CM337" s="53">
        <f>CO337</f>
        <v>0</v>
      </c>
      <c r="CN337" s="55"/>
      <c r="CO337" s="306">
        <f>CO273</f>
        <v>0</v>
      </c>
      <c r="CP337" s="56"/>
      <c r="CQ337" s="56"/>
      <c r="CR337" s="243"/>
      <c r="CS337" s="230"/>
      <c r="CT337" s="119">
        <f>SUM(CT338)</f>
        <v>0</v>
      </c>
      <c r="CU337" s="120">
        <f>SUM(CU338)</f>
        <v>0</v>
      </c>
      <c r="CV337" s="57"/>
      <c r="CW337" s="219"/>
      <c r="CX337" s="119">
        <f>SUM(CX338)</f>
        <v>0</v>
      </c>
      <c r="CY337" s="120">
        <f>SUM(CY338)</f>
        <v>0</v>
      </c>
      <c r="CZ337" s="57"/>
      <c r="DA337" s="219"/>
      <c r="DB337" s="119">
        <f>SUM(DB338)</f>
        <v>0</v>
      </c>
      <c r="DC337" s="120">
        <f>SUM(DC338)</f>
        <v>0</v>
      </c>
      <c r="DD337" s="57"/>
      <c r="DE337" s="230"/>
      <c r="DF337" s="230"/>
      <c r="DG337" s="53">
        <f>DI337</f>
        <v>0</v>
      </c>
      <c r="DH337" s="55"/>
      <c r="DI337" s="306">
        <f>DI273</f>
        <v>0</v>
      </c>
      <c r="DJ337" s="56"/>
      <c r="DK337" s="56"/>
      <c r="DL337" s="243"/>
      <c r="DM337" s="230"/>
    </row>
    <row r="338" spans="1:117" ht="15.75" thickBot="1" x14ac:dyDescent="0.3">
      <c r="A338" s="19"/>
      <c r="B338" s="12" t="s">
        <v>35</v>
      </c>
      <c r="C338" s="19">
        <v>2</v>
      </c>
      <c r="D338" s="60"/>
      <c r="E338" s="60"/>
      <c r="F338" s="146">
        <v>5.04</v>
      </c>
      <c r="G338" s="12" t="s">
        <v>28</v>
      </c>
      <c r="H338" s="28" t="s">
        <v>55</v>
      </c>
      <c r="I338" s="28"/>
      <c r="J338" s="531">
        <f>SUM(M338,AG338,BA338,BU338)-L338</f>
        <v>-8</v>
      </c>
      <c r="K338" s="396">
        <f t="shared" si="585"/>
        <v>-8</v>
      </c>
      <c r="L338" s="30">
        <v>8</v>
      </c>
      <c r="M338" s="301">
        <f>M337*2</f>
        <v>0</v>
      </c>
      <c r="N338" s="31">
        <f>M338-L338</f>
        <v>-8</v>
      </c>
      <c r="O338" s="284"/>
      <c r="P338" s="305">
        <f>P337*2</f>
        <v>0</v>
      </c>
      <c r="Q338" s="232">
        <f>L338+O338-P338</f>
        <v>8</v>
      </c>
      <c r="R338" s="200"/>
      <c r="S338" s="201"/>
      <c r="T338" s="36"/>
      <c r="U338" s="220"/>
      <c r="V338" s="200"/>
      <c r="W338" s="201"/>
      <c r="X338" s="36"/>
      <c r="Y338" s="220"/>
      <c r="Z338" s="122"/>
      <c r="AA338" s="201"/>
      <c r="AB338" s="36"/>
      <c r="AC338" s="297"/>
      <c r="AD338" s="297"/>
      <c r="AE338" s="396">
        <f>SUM(M338,AG338)-SUM(O338,AI338)-L338</f>
        <v>-8</v>
      </c>
      <c r="AF338" s="30">
        <f>Q338</f>
        <v>8</v>
      </c>
      <c r="AG338" s="301">
        <f>AG337*2</f>
        <v>0</v>
      </c>
      <c r="AH338" s="31">
        <f>AG338-AF338</f>
        <v>-8</v>
      </c>
      <c r="AI338" s="284"/>
      <c r="AJ338" s="305">
        <f>AJ337*2</f>
        <v>0</v>
      </c>
      <c r="AK338" s="232">
        <f>AF338+AI338-AJ338</f>
        <v>8</v>
      </c>
      <c r="AL338" s="200"/>
      <c r="AM338" s="201"/>
      <c r="AN338" s="36"/>
      <c r="AO338" s="220"/>
      <c r="AP338" s="200"/>
      <c r="AQ338" s="201"/>
      <c r="AR338" s="36"/>
      <c r="AS338" s="220"/>
      <c r="AT338" s="122"/>
      <c r="AU338" s="201"/>
      <c r="AV338" s="36"/>
      <c r="AW338" s="297"/>
      <c r="AX338" s="297"/>
      <c r="AY338" s="396">
        <f>SUM(M338,AG338,BA338)-SUM(O338,AI338,BC338)-L338</f>
        <v>-8</v>
      </c>
      <c r="AZ338" s="30">
        <f>AK338</f>
        <v>8</v>
      </c>
      <c r="BA338" s="301">
        <f>BA337*2</f>
        <v>0</v>
      </c>
      <c r="BB338" s="31">
        <f>BA338-AZ338</f>
        <v>-8</v>
      </c>
      <c r="BC338" s="284"/>
      <c r="BD338" s="305">
        <f>BD337*2</f>
        <v>0</v>
      </c>
      <c r="BE338" s="232">
        <f>AZ338+BC338-BD338</f>
        <v>8</v>
      </c>
      <c r="BF338" s="200"/>
      <c r="BG338" s="201"/>
      <c r="BH338" s="36"/>
      <c r="BI338" s="220"/>
      <c r="BJ338" s="200"/>
      <c r="BK338" s="201"/>
      <c r="BL338" s="36"/>
      <c r="BM338" s="220"/>
      <c r="BN338" s="122"/>
      <c r="BO338" s="201"/>
      <c r="BP338" s="36"/>
      <c r="BQ338" s="297"/>
      <c r="BR338" s="297"/>
      <c r="BS338" s="396">
        <f>SUM(M338,AG338,BA338,BU338)-SUM(O338,AI338,BC338,BW338)-L338</f>
        <v>-8</v>
      </c>
      <c r="BT338" s="30">
        <f>BE338</f>
        <v>8</v>
      </c>
      <c r="BU338" s="301">
        <f>BU337*2</f>
        <v>0</v>
      </c>
      <c r="BV338" s="31">
        <f>BU338-BT338</f>
        <v>-8</v>
      </c>
      <c r="BW338" s="284"/>
      <c r="BX338" s="305">
        <f>BX337*2</f>
        <v>0</v>
      </c>
      <c r="BY338" s="232">
        <f>BT338+BW338-BX338</f>
        <v>8</v>
      </c>
      <c r="BZ338" s="200"/>
      <c r="CA338" s="201"/>
      <c r="CB338" s="36"/>
      <c r="CC338" s="220"/>
      <c r="CD338" s="200"/>
      <c r="CE338" s="201"/>
      <c r="CF338" s="36"/>
      <c r="CG338" s="220"/>
      <c r="CH338" s="122"/>
      <c r="CI338" s="201"/>
      <c r="CJ338" s="36"/>
      <c r="CK338" s="297"/>
      <c r="CL338" s="297"/>
      <c r="CM338" s="396">
        <f>SUM(M338,AG338,BA338,BU338,CO338)-SUM(O338,AI338,BC338,BW338,CQ338)-L338</f>
        <v>-8</v>
      </c>
      <c r="CN338" s="30">
        <f>BY338</f>
        <v>8</v>
      </c>
      <c r="CO338" s="301">
        <f>CO337*2</f>
        <v>0</v>
      </c>
      <c r="CP338" s="31">
        <f>CO338-CN338</f>
        <v>-8</v>
      </c>
      <c r="CQ338" s="241"/>
      <c r="CR338" s="305">
        <f>CR337*2</f>
        <v>0</v>
      </c>
      <c r="CS338" s="232">
        <f>CN338+CQ338-CR338</f>
        <v>8</v>
      </c>
      <c r="CT338" s="200"/>
      <c r="CU338" s="201"/>
      <c r="CV338" s="36"/>
      <c r="CW338" s="220"/>
      <c r="CX338" s="200"/>
      <c r="CY338" s="201"/>
      <c r="CZ338" s="36"/>
      <c r="DA338" s="220"/>
      <c r="DB338" s="122"/>
      <c r="DC338" s="201"/>
      <c r="DD338" s="36"/>
      <c r="DE338" s="297"/>
      <c r="DF338" s="297"/>
      <c r="DG338" s="396">
        <f>SUM(M338,AG338,BA338,BU338,DI338)-SUM(O338,AI338,BC338,BW338,CQ338)-L338</f>
        <v>-8</v>
      </c>
      <c r="DH338" s="30">
        <f t="shared" ref="DH338" si="789">BY338</f>
        <v>8</v>
      </c>
      <c r="DI338" s="301">
        <f>DI337*2</f>
        <v>0</v>
      </c>
      <c r="DJ338" s="31">
        <f>DI338-DH338</f>
        <v>-8</v>
      </c>
      <c r="DK338" s="241"/>
      <c r="DL338" s="305">
        <f>DL337*2</f>
        <v>0</v>
      </c>
      <c r="DM338" s="232">
        <f>DH338+DK338-DL338</f>
        <v>8</v>
      </c>
    </row>
    <row r="339" spans="1:117" ht="15.75" thickBot="1" x14ac:dyDescent="0.3">
      <c r="P339" s="248"/>
      <c r="AJ339" s="248"/>
      <c r="BD339" s="248"/>
      <c r="BX339" s="248"/>
      <c r="CR339" s="248"/>
      <c r="DL339" s="248"/>
    </row>
    <row r="340" spans="1:117" ht="15.75" thickBot="1" x14ac:dyDescent="0.3">
      <c r="A340" s="95"/>
      <c r="B340" s="94" t="s">
        <v>115</v>
      </c>
      <c r="C340" s="95"/>
      <c r="D340" s="93"/>
      <c r="E340" s="93"/>
      <c r="F340" s="340"/>
      <c r="G340" s="93"/>
      <c r="H340" s="96"/>
      <c r="I340" s="96"/>
      <c r="J340" s="96">
        <f>SUM(M340,AG340,BA340,BU340)</f>
        <v>0</v>
      </c>
      <c r="K340" s="95"/>
      <c r="L340" s="97">
        <v>0</v>
      </c>
      <c r="M340" s="98">
        <v>0</v>
      </c>
      <c r="N340" s="98">
        <f>M340-L340</f>
        <v>0</v>
      </c>
      <c r="O340" s="98"/>
      <c r="P340" s="249"/>
      <c r="Q340" s="237">
        <f>L340+O340-P340</f>
        <v>0</v>
      </c>
      <c r="R340" s="124">
        <f>SUM(R341:R342)</f>
        <v>0</v>
      </c>
      <c r="S340" s="125">
        <f>SUM(S341:S342)</f>
        <v>0</v>
      </c>
      <c r="T340" s="99"/>
      <c r="U340" s="221"/>
      <c r="V340" s="124">
        <f>SUM(V341:V342)</f>
        <v>0</v>
      </c>
      <c r="W340" s="125">
        <f>SUM(W341:W342)</f>
        <v>0</v>
      </c>
      <c r="X340" s="99"/>
      <c r="Y340" s="221"/>
      <c r="Z340" s="124">
        <f>SUM(Z341:Z342)</f>
        <v>0</v>
      </c>
      <c r="AA340" s="125">
        <f>SUM(AA341:AA342)</f>
        <v>0</v>
      </c>
      <c r="AB340" s="99"/>
      <c r="AC340" s="237"/>
      <c r="AD340" s="237"/>
      <c r="AE340" s="95">
        <f>SUM(AG340,BA340,BU340)</f>
        <v>0</v>
      </c>
      <c r="AF340" s="97">
        <v>0</v>
      </c>
      <c r="AG340" s="98">
        <v>0</v>
      </c>
      <c r="AH340" s="98">
        <f>AG340-AF340</f>
        <v>0</v>
      </c>
      <c r="AI340" s="98"/>
      <c r="AJ340" s="249"/>
      <c r="AK340" s="237">
        <f>AF340+AI340-AJ340</f>
        <v>0</v>
      </c>
      <c r="AL340" s="124">
        <f>SUM(AL341:AL342)</f>
        <v>0</v>
      </c>
      <c r="AM340" s="125">
        <f>SUM(AM341:AM342)</f>
        <v>0</v>
      </c>
      <c r="AN340" s="99"/>
      <c r="AO340" s="221"/>
      <c r="AP340" s="124">
        <f>SUM(AP341:AP342)</f>
        <v>0</v>
      </c>
      <c r="AQ340" s="125">
        <f>SUM(AQ341:AQ342)</f>
        <v>0</v>
      </c>
      <c r="AR340" s="99"/>
      <c r="AS340" s="221"/>
      <c r="AT340" s="124">
        <f>SUM(AT341:AT342)</f>
        <v>0</v>
      </c>
      <c r="AU340" s="125">
        <f>SUM(AU341:AU342)</f>
        <v>0</v>
      </c>
      <c r="AV340" s="99"/>
      <c r="AW340" s="237"/>
      <c r="AX340" s="237"/>
      <c r="AY340" s="95">
        <f>SUM(BA340,BU340)</f>
        <v>0</v>
      </c>
      <c r="AZ340" s="97">
        <v>0</v>
      </c>
      <c r="BA340" s="98">
        <v>0</v>
      </c>
      <c r="BB340" s="98">
        <f>BA340-AZ340</f>
        <v>0</v>
      </c>
      <c r="BC340" s="98"/>
      <c r="BD340" s="249"/>
      <c r="BE340" s="237">
        <f>AZ340+BC340-BD340</f>
        <v>0</v>
      </c>
      <c r="BF340" s="124">
        <f>SUM(BF341:BF342)</f>
        <v>0</v>
      </c>
      <c r="BG340" s="125">
        <f>SUM(BG341:BG342)</f>
        <v>0</v>
      </c>
      <c r="BH340" s="99"/>
      <c r="BI340" s="221"/>
      <c r="BJ340" s="124">
        <f>SUM(BJ341:BJ342)</f>
        <v>0</v>
      </c>
      <c r="BK340" s="125">
        <f>SUM(BK341:BK342)</f>
        <v>0</v>
      </c>
      <c r="BL340" s="99"/>
      <c r="BM340" s="221"/>
      <c r="BN340" s="124">
        <f>SUM(BN341:BN342)</f>
        <v>0</v>
      </c>
      <c r="BO340" s="125">
        <f>SUM(BO341:BO342)</f>
        <v>0</v>
      </c>
      <c r="BP340" s="99"/>
      <c r="BQ340" s="736"/>
      <c r="BR340" s="736"/>
      <c r="BS340" s="401">
        <f>BV340</f>
        <v>0</v>
      </c>
      <c r="BT340" s="97">
        <v>0</v>
      </c>
      <c r="BU340" s="98">
        <v>0</v>
      </c>
      <c r="BV340" s="98">
        <f>BU340-BT340</f>
        <v>0</v>
      </c>
      <c r="BW340" s="98"/>
      <c r="BX340" s="249"/>
      <c r="BY340" s="237">
        <f>BT340+BW340-BX340</f>
        <v>0</v>
      </c>
      <c r="BZ340" s="124">
        <f>SUM(BZ341:BZ342)</f>
        <v>0</v>
      </c>
      <c r="CA340" s="125">
        <f>SUM(CA341:CA342)</f>
        <v>0</v>
      </c>
      <c r="CB340" s="99"/>
      <c r="CC340" s="221"/>
      <c r="CD340" s="124">
        <f>SUM(CD341:CD342)</f>
        <v>0</v>
      </c>
      <c r="CE340" s="125">
        <f>SUM(CE341:CE342)</f>
        <v>0</v>
      </c>
      <c r="CF340" s="99"/>
      <c r="CG340" s="221"/>
      <c r="CH340" s="124">
        <f>SUM(CH341:CH342)</f>
        <v>0</v>
      </c>
      <c r="CI340" s="125">
        <f>SUM(CI341:CI342)</f>
        <v>0</v>
      </c>
      <c r="CJ340" s="99"/>
      <c r="CK340" s="237"/>
      <c r="CL340" s="237"/>
      <c r="CM340" s="95">
        <f>CP340</f>
        <v>0</v>
      </c>
      <c r="CN340" s="97">
        <v>0</v>
      </c>
      <c r="CO340" s="98">
        <v>0</v>
      </c>
      <c r="CP340" s="98">
        <f>CO340-CN340</f>
        <v>0</v>
      </c>
      <c r="CQ340" s="98"/>
      <c r="CR340" s="249"/>
      <c r="CS340" s="237">
        <f>CN340+CQ340-CR340</f>
        <v>0</v>
      </c>
      <c r="CT340" s="124">
        <f>SUM(CT341:CT342)</f>
        <v>0</v>
      </c>
      <c r="CU340" s="125">
        <f>SUM(CU341:CU342)</f>
        <v>0</v>
      </c>
      <c r="CV340" s="99"/>
      <c r="CW340" s="221"/>
      <c r="CX340" s="124">
        <f>SUM(CX341:CX342)</f>
        <v>0</v>
      </c>
      <c r="CY340" s="125">
        <f>SUM(CY341:CY342)</f>
        <v>0</v>
      </c>
      <c r="CZ340" s="99"/>
      <c r="DA340" s="221"/>
      <c r="DB340" s="124">
        <f>SUM(DB341:DB342)</f>
        <v>0</v>
      </c>
      <c r="DC340" s="125">
        <f>SUM(DC341:DC342)</f>
        <v>0</v>
      </c>
      <c r="DD340" s="99"/>
      <c r="DE340" s="237"/>
      <c r="DF340" s="237"/>
      <c r="DG340" s="95">
        <f>DJ340</f>
        <v>0</v>
      </c>
      <c r="DH340" s="97">
        <v>0</v>
      </c>
      <c r="DI340" s="98">
        <v>0</v>
      </c>
      <c r="DJ340" s="98">
        <f>DI340-DH340</f>
        <v>0</v>
      </c>
      <c r="DK340" s="98"/>
      <c r="DL340" s="249"/>
      <c r="DM340" s="237">
        <f>DH340+DK340-DL340</f>
        <v>0</v>
      </c>
    </row>
    <row r="341" spans="1:117" x14ac:dyDescent="0.25">
      <c r="A341" s="17">
        <v>5528</v>
      </c>
      <c r="B341" s="10" t="s">
        <v>113</v>
      </c>
      <c r="C341" s="17">
        <v>1</v>
      </c>
      <c r="D341" s="10"/>
      <c r="E341" s="10"/>
      <c r="F341" s="337">
        <v>24900</v>
      </c>
      <c r="G341" s="10" t="s">
        <v>91</v>
      </c>
      <c r="H341" s="24" t="s">
        <v>555</v>
      </c>
      <c r="I341" s="24"/>
      <c r="J341" s="532">
        <f>SUM(M341,AG341,BA341,BU341)-L341</f>
        <v>0</v>
      </c>
      <c r="K341" s="395">
        <f t="shared" ref="K341:K342" si="790">M341-O341-L341</f>
        <v>0</v>
      </c>
      <c r="L341" s="29">
        <v>0</v>
      </c>
      <c r="M341" s="302">
        <f>M340</f>
        <v>0</v>
      </c>
      <c r="N341" s="7">
        <f>M341-L341</f>
        <v>0</v>
      </c>
      <c r="O341" s="258"/>
      <c r="P341" s="242"/>
      <c r="Q341" s="231">
        <f>L341+O341-P341</f>
        <v>0</v>
      </c>
      <c r="R341" s="123"/>
      <c r="S341" s="8"/>
      <c r="T341" s="34"/>
      <c r="U341" s="713"/>
      <c r="V341" s="123"/>
      <c r="W341" s="8"/>
      <c r="X341" s="34"/>
      <c r="Y341" s="713"/>
      <c r="Z341" s="20"/>
      <c r="AA341" s="8"/>
      <c r="AB341" s="34"/>
      <c r="AC341" s="234"/>
      <c r="AD341" s="234"/>
      <c r="AE341" s="397">
        <f>SUM(M341,AG341)-SUM(O341,AI341)-L341</f>
        <v>0</v>
      </c>
      <c r="AF341" s="29">
        <f>Q341</f>
        <v>0</v>
      </c>
      <c r="AG341" s="302">
        <f>AG340</f>
        <v>0</v>
      </c>
      <c r="AH341" s="7">
        <f>AG341-AF341</f>
        <v>0</v>
      </c>
      <c r="AI341" s="258"/>
      <c r="AJ341" s="242"/>
      <c r="AK341" s="231">
        <f>AF341+AI341-AJ341</f>
        <v>0</v>
      </c>
      <c r="AL341" s="123"/>
      <c r="AM341" s="8"/>
      <c r="AN341" s="34"/>
      <c r="AO341" s="713"/>
      <c r="AP341" s="123"/>
      <c r="AQ341" s="8"/>
      <c r="AR341" s="34"/>
      <c r="AS341" s="713"/>
      <c r="AT341" s="20"/>
      <c r="AU341" s="8"/>
      <c r="AV341" s="34"/>
      <c r="AW341" s="234"/>
      <c r="AX341" s="234"/>
      <c r="AY341" s="397">
        <f>SUM(M341,AG341,BA341)-SUM(O341,AI341,BC341)-L341</f>
        <v>0</v>
      </c>
      <c r="AZ341" s="29">
        <f>AK341</f>
        <v>0</v>
      </c>
      <c r="BA341" s="302">
        <f>BA340</f>
        <v>0</v>
      </c>
      <c r="BB341" s="7">
        <f>BA341-AZ341</f>
        <v>0</v>
      </c>
      <c r="BC341" s="258"/>
      <c r="BD341" s="242"/>
      <c r="BE341" s="231">
        <f>AZ341+BC341-BD341</f>
        <v>0</v>
      </c>
      <c r="BF341" s="123"/>
      <c r="BG341" s="8"/>
      <c r="BH341" s="34"/>
      <c r="BI341" s="713"/>
      <c r="BJ341" s="123"/>
      <c r="BK341" s="8"/>
      <c r="BL341" s="34"/>
      <c r="BM341" s="713"/>
      <c r="BN341" s="20"/>
      <c r="BO341" s="8"/>
      <c r="BP341" s="34"/>
      <c r="BQ341" s="234"/>
      <c r="BR341" s="234"/>
      <c r="BS341" s="397">
        <f>SUM(M341,AG341,BA341,BU341)-SUM(O341,AI341,BC341,BW341)-L341</f>
        <v>0</v>
      </c>
      <c r="BT341" s="29">
        <f>BE341</f>
        <v>0</v>
      </c>
      <c r="BU341" s="302">
        <f>BU340</f>
        <v>0</v>
      </c>
      <c r="BV341" s="7">
        <f>BU341-BT341</f>
        <v>0</v>
      </c>
      <c r="BW341" s="258"/>
      <c r="BX341" s="242"/>
      <c r="BY341" s="231">
        <f>BT341+BW341-BX341</f>
        <v>0</v>
      </c>
      <c r="BZ341" s="123"/>
      <c r="CA341" s="8"/>
      <c r="CB341" s="34"/>
      <c r="CC341" s="713"/>
      <c r="CD341" s="123"/>
      <c r="CE341" s="8"/>
      <c r="CF341" s="34"/>
      <c r="CG341" s="713"/>
      <c r="CH341" s="20"/>
      <c r="CI341" s="8"/>
      <c r="CJ341" s="34"/>
      <c r="CK341" s="234"/>
      <c r="CL341" s="234"/>
      <c r="CM341" s="395">
        <f>SUM(M341,AG341,BA341,BU341,CO341)-SUM(O341,AI341,BC341,BW341,CQ341)-L341</f>
        <v>0</v>
      </c>
      <c r="CN341" s="29">
        <f>BY341</f>
        <v>0</v>
      </c>
      <c r="CO341" s="302">
        <f>CO340</f>
        <v>0</v>
      </c>
      <c r="CP341" s="7">
        <f>CO341-CN341</f>
        <v>0</v>
      </c>
      <c r="CQ341" s="242"/>
      <c r="CR341" s="242"/>
      <c r="CS341" s="231">
        <f>CN341+CQ341-CR341</f>
        <v>0</v>
      </c>
      <c r="CT341" s="123"/>
      <c r="CU341" s="8"/>
      <c r="CV341" s="34"/>
      <c r="CW341" s="713"/>
      <c r="CX341" s="123"/>
      <c r="CY341" s="8"/>
      <c r="CZ341" s="34"/>
      <c r="DA341" s="713"/>
      <c r="DB341" s="20"/>
      <c r="DC341" s="8"/>
      <c r="DD341" s="34"/>
      <c r="DE341" s="234"/>
      <c r="DF341" s="234"/>
      <c r="DG341" s="395">
        <f>SUM(M341,AG341,BA341,BU341,DI341)-SUM(O341,AI341,BC341,BW341,CQ341)-L341</f>
        <v>0</v>
      </c>
      <c r="DH341" s="29">
        <f t="shared" ref="DH341:DH342" si="791">BY341</f>
        <v>0</v>
      </c>
      <c r="DI341" s="302">
        <f>DI340</f>
        <v>0</v>
      </c>
      <c r="DJ341" s="7">
        <f>DI341-DH341</f>
        <v>0</v>
      </c>
      <c r="DK341" s="242"/>
      <c r="DL341" s="242"/>
      <c r="DM341" s="231">
        <f>DH341+DK341-DL341</f>
        <v>0</v>
      </c>
    </row>
    <row r="342" spans="1:117" ht="15.75" thickBot="1" x14ac:dyDescent="0.3">
      <c r="A342" s="19">
        <v>6286</v>
      </c>
      <c r="B342" s="12" t="s">
        <v>114</v>
      </c>
      <c r="C342" s="19">
        <v>1</v>
      </c>
      <c r="D342" s="12"/>
      <c r="E342" s="12"/>
      <c r="F342" s="146">
        <v>6475</v>
      </c>
      <c r="G342" s="12" t="s">
        <v>646</v>
      </c>
      <c r="H342" s="28" t="s">
        <v>138</v>
      </c>
      <c r="I342" s="28"/>
      <c r="J342" s="531">
        <f>SUM(M342,AG342,BA342,BU342)-L342</f>
        <v>-1</v>
      </c>
      <c r="K342" s="396">
        <f t="shared" si="790"/>
        <v>-1</v>
      </c>
      <c r="L342" s="545">
        <v>1</v>
      </c>
      <c r="M342" s="301">
        <f>M340</f>
        <v>0</v>
      </c>
      <c r="N342" s="31">
        <f>M342-L342</f>
        <v>-1</v>
      </c>
      <c r="O342" s="284"/>
      <c r="P342" s="241"/>
      <c r="Q342" s="232">
        <f>L342+O342-P342</f>
        <v>1</v>
      </c>
      <c r="R342" s="272"/>
      <c r="S342" s="217"/>
      <c r="T342" s="273"/>
      <c r="U342" s="714"/>
      <c r="V342" s="200"/>
      <c r="W342" s="201"/>
      <c r="X342" s="36"/>
      <c r="Y342" s="220"/>
      <c r="Z342" s="122"/>
      <c r="AA342" s="201"/>
      <c r="AB342" s="36"/>
      <c r="AC342" s="297"/>
      <c r="AD342" s="297"/>
      <c r="AE342" s="396">
        <f>SUM(M342,AG342)-SUM(O342,AI342)-L342</f>
        <v>-1</v>
      </c>
      <c r="AF342" s="30">
        <f>Q342</f>
        <v>1</v>
      </c>
      <c r="AG342" s="301">
        <f>AG340</f>
        <v>0</v>
      </c>
      <c r="AH342" s="31">
        <f>AG342-AF342</f>
        <v>-1</v>
      </c>
      <c r="AI342" s="284"/>
      <c r="AJ342" s="241"/>
      <c r="AK342" s="232">
        <f>AF342+AI342-AJ342</f>
        <v>1</v>
      </c>
      <c r="AL342" s="272"/>
      <c r="AM342" s="217"/>
      <c r="AN342" s="273"/>
      <c r="AO342" s="714"/>
      <c r="AP342" s="200"/>
      <c r="AQ342" s="201"/>
      <c r="AR342" s="36"/>
      <c r="AS342" s="220"/>
      <c r="AT342" s="122"/>
      <c r="AU342" s="201"/>
      <c r="AV342" s="36"/>
      <c r="AW342" s="297"/>
      <c r="AX342" s="297"/>
      <c r="AY342" s="396">
        <f>SUM(M342,AG342,BA342)-SUM(O342,AI342,BC342)-L342</f>
        <v>-1</v>
      </c>
      <c r="AZ342" s="30">
        <f>AK342</f>
        <v>1</v>
      </c>
      <c r="BA342" s="301">
        <f>BA340</f>
        <v>0</v>
      </c>
      <c r="BB342" s="31">
        <f>BA342-AZ342</f>
        <v>-1</v>
      </c>
      <c r="BC342" s="284"/>
      <c r="BD342" s="241"/>
      <c r="BE342" s="232">
        <f>AZ342+BC342-BD342</f>
        <v>1</v>
      </c>
      <c r="BF342" s="272"/>
      <c r="BG342" s="217"/>
      <c r="BH342" s="273"/>
      <c r="BI342" s="714"/>
      <c r="BJ342" s="200"/>
      <c r="BK342" s="201"/>
      <c r="BL342" s="36"/>
      <c r="BM342" s="220"/>
      <c r="BN342" s="122"/>
      <c r="BO342" s="201"/>
      <c r="BP342" s="36"/>
      <c r="BQ342" s="297"/>
      <c r="BR342" s="297"/>
      <c r="BS342" s="396">
        <f>SUM(M342,AG342,BA342,BU342)-SUM(O342,AI342,BC342,BW342)-L342</f>
        <v>-1</v>
      </c>
      <c r="BT342" s="30">
        <f>BE342</f>
        <v>1</v>
      </c>
      <c r="BU342" s="301">
        <f>BU340</f>
        <v>0</v>
      </c>
      <c r="BV342" s="31">
        <f>BU342-BT342</f>
        <v>-1</v>
      </c>
      <c r="BW342" s="284"/>
      <c r="BX342" s="241"/>
      <c r="BY342" s="232">
        <f>BT342+BW342-BX342</f>
        <v>1</v>
      </c>
      <c r="BZ342" s="272"/>
      <c r="CA342" s="217"/>
      <c r="CB342" s="273"/>
      <c r="CC342" s="714"/>
      <c r="CD342" s="200"/>
      <c r="CE342" s="201"/>
      <c r="CF342" s="36"/>
      <c r="CG342" s="220"/>
      <c r="CH342" s="122"/>
      <c r="CI342" s="201"/>
      <c r="CJ342" s="36"/>
      <c r="CK342" s="297"/>
      <c r="CL342" s="297"/>
      <c r="CM342" s="396">
        <f>SUM(M342,AG342,BA342,BU342,CO342)-SUM(O342,AI342,BC342,BW342,CQ342)-L342</f>
        <v>-1</v>
      </c>
      <c r="CN342" s="30">
        <f>BY342</f>
        <v>1</v>
      </c>
      <c r="CO342" s="301">
        <f>CO340</f>
        <v>0</v>
      </c>
      <c r="CP342" s="31">
        <f>CO342-CN342</f>
        <v>-1</v>
      </c>
      <c r="CQ342" s="241"/>
      <c r="CR342" s="241"/>
      <c r="CS342" s="232">
        <f>CN342+CQ342-CR342</f>
        <v>1</v>
      </c>
      <c r="CT342" s="272"/>
      <c r="CU342" s="217"/>
      <c r="CV342" s="273"/>
      <c r="CW342" s="714"/>
      <c r="CX342" s="200"/>
      <c r="CY342" s="201"/>
      <c r="CZ342" s="36"/>
      <c r="DA342" s="220"/>
      <c r="DB342" s="122"/>
      <c r="DC342" s="201"/>
      <c r="DD342" s="36"/>
      <c r="DE342" s="297"/>
      <c r="DF342" s="297"/>
      <c r="DG342" s="396">
        <f>SUM(M342,AG342,BA342,BU342,DI342)-SUM(O342,AI342,BC342,BW342,CQ342)-L342</f>
        <v>-1</v>
      </c>
      <c r="DH342" s="30">
        <f t="shared" si="791"/>
        <v>1</v>
      </c>
      <c r="DI342" s="301">
        <f>DI340</f>
        <v>0</v>
      </c>
      <c r="DJ342" s="31">
        <f>DI342-DH342</f>
        <v>-1</v>
      </c>
      <c r="DK342" s="241"/>
      <c r="DL342" s="241"/>
      <c r="DM342" s="232">
        <f>DH342+DK342-DL342</f>
        <v>1</v>
      </c>
    </row>
    <row r="343" spans="1:117" ht="15.75" thickBot="1" x14ac:dyDescent="0.3">
      <c r="P343" s="248"/>
      <c r="AJ343" s="248"/>
      <c r="BD343" s="248"/>
      <c r="BX343" s="248"/>
      <c r="CR343" s="248"/>
      <c r="DL343" s="248"/>
    </row>
    <row r="344" spans="1:117" x14ac:dyDescent="0.25">
      <c r="A344" s="69"/>
      <c r="B344" s="82" t="s">
        <v>120</v>
      </c>
      <c r="C344" s="69"/>
      <c r="D344" s="68"/>
      <c r="E344" s="68"/>
      <c r="F344" s="563"/>
      <c r="G344" s="68"/>
      <c r="H344" s="70"/>
      <c r="I344" s="70"/>
      <c r="J344" s="69">
        <f>SUM(M344,AG344,BA344,BU344)</f>
        <v>12</v>
      </c>
      <c r="K344" s="69"/>
      <c r="L344" s="71"/>
      <c r="M344" s="72">
        <f>1+0-1</f>
        <v>0</v>
      </c>
      <c r="N344" s="72"/>
      <c r="O344" s="72"/>
      <c r="P344" s="254"/>
      <c r="Q344" s="224"/>
      <c r="R344" s="137">
        <f>SUM(R345,R346,R353)</f>
        <v>0</v>
      </c>
      <c r="S344" s="138">
        <f>SUM(S345,S346,S353)</f>
        <v>0</v>
      </c>
      <c r="T344" s="73"/>
      <c r="U344" s="224"/>
      <c r="V344" s="137">
        <f>SUM(V345,V346,V353)</f>
        <v>78427.5</v>
      </c>
      <c r="W344" s="138">
        <f>SUM(W345,W346,W353)</f>
        <v>0</v>
      </c>
      <c r="X344" s="73"/>
      <c r="Y344" s="224"/>
      <c r="Z344" s="137">
        <f>SUM(Z345,Z346,Z353)</f>
        <v>11800.2</v>
      </c>
      <c r="AA344" s="138">
        <f>SUM(AA345,AA346,AA353)</f>
        <v>78427.5</v>
      </c>
      <c r="AB344" s="73"/>
      <c r="AC344" s="426"/>
      <c r="AD344" s="426"/>
      <c r="AE344" s="69">
        <f>SUM(AG344,BA344,BU344)</f>
        <v>12</v>
      </c>
      <c r="AF344" s="71"/>
      <c r="AG344" s="72">
        <f>5-5</f>
        <v>0</v>
      </c>
      <c r="AH344" s="72"/>
      <c r="AI344" s="72"/>
      <c r="AJ344" s="254"/>
      <c r="AK344" s="224"/>
      <c r="AL344" s="137">
        <f>SUM(AL345,AL346,AL353)</f>
        <v>29450</v>
      </c>
      <c r="AM344" s="138">
        <f>SUM(AM345,AM346,AM353)</f>
        <v>0</v>
      </c>
      <c r="AN344" s="73"/>
      <c r="AO344" s="224"/>
      <c r="AP344" s="137">
        <f>SUM(AP345,AP346,AP353)</f>
        <v>0</v>
      </c>
      <c r="AQ344" s="138">
        <f>SUM(AQ345,AQ346,AQ353)</f>
        <v>0</v>
      </c>
      <c r="AR344" s="73"/>
      <c r="AS344" s="224"/>
      <c r="AT344" s="137">
        <f>SUM(AT345,AT346,AT353)</f>
        <v>0</v>
      </c>
      <c r="AU344" s="138">
        <f>SUM(AU345,AU346,AU353)</f>
        <v>0</v>
      </c>
      <c r="AV344" s="73"/>
      <c r="AW344" s="426"/>
      <c r="AX344" s="426"/>
      <c r="AY344" s="69">
        <f>SUM(BA344,BU344)</f>
        <v>12</v>
      </c>
      <c r="AZ344" s="71"/>
      <c r="BA344" s="72">
        <v>5</v>
      </c>
      <c r="BB344" s="72"/>
      <c r="BC344" s="72"/>
      <c r="BD344" s="254"/>
      <c r="BE344" s="224"/>
      <c r="BF344" s="137">
        <f>SUM(BF345,BF346,BF353)</f>
        <v>0</v>
      </c>
      <c r="BG344" s="138">
        <f>SUM(BG345,BG346,BG353)</f>
        <v>29450</v>
      </c>
      <c r="BH344" s="73"/>
      <c r="BI344" s="224"/>
      <c r="BJ344" s="137">
        <f>SUM(BJ345,BJ346,BJ353)</f>
        <v>0</v>
      </c>
      <c r="BK344" s="138">
        <f>SUM(BK345,BK346,BK353)</f>
        <v>0</v>
      </c>
      <c r="BL344" s="73"/>
      <c r="BM344" s="224"/>
      <c r="BN344" s="137">
        <f>SUM(BN345,BN346,BN353)</f>
        <v>0</v>
      </c>
      <c r="BO344" s="138">
        <f>SUM(BO345,BO346,BO353)</f>
        <v>0</v>
      </c>
      <c r="BP344" s="73"/>
      <c r="BQ344" s="426"/>
      <c r="BR344" s="426"/>
      <c r="BS344" s="69">
        <f>BU344</f>
        <v>7</v>
      </c>
      <c r="BT344" s="71"/>
      <c r="BU344" s="72">
        <v>7</v>
      </c>
      <c r="BV344" s="72"/>
      <c r="BW344" s="72"/>
      <c r="BX344" s="254"/>
      <c r="BY344" s="224"/>
      <c r="BZ344" s="137">
        <f>SUM(BZ345,BZ346,BZ353)</f>
        <v>0</v>
      </c>
      <c r="CA344" s="138">
        <f>SUM(CA345,CA346,CA353)</f>
        <v>0</v>
      </c>
      <c r="CB344" s="73"/>
      <c r="CC344" s="224"/>
      <c r="CD344" s="137">
        <f>SUM(CD345,CD346,CD353)</f>
        <v>345665.8</v>
      </c>
      <c r="CE344" s="138">
        <f>SUM(CE345,CE346,CE353)</f>
        <v>0</v>
      </c>
      <c r="CF344" s="73"/>
      <c r="CG344" s="224"/>
      <c r="CH344" s="137">
        <f>SUM(CH345,CH346,CH353)</f>
        <v>185.5</v>
      </c>
      <c r="CI344" s="138">
        <f>SUM(CI345,CI346,CI353)</f>
        <v>350282.5</v>
      </c>
      <c r="CJ344" s="73"/>
      <c r="CK344" s="426"/>
      <c r="CL344" s="426"/>
      <c r="CM344" s="69">
        <f>CO344</f>
        <v>0</v>
      </c>
      <c r="CN344" s="71"/>
      <c r="CO344" s="254"/>
      <c r="CP344" s="72"/>
      <c r="CQ344" s="72"/>
      <c r="CR344" s="254"/>
      <c r="CS344" s="426"/>
      <c r="CT344" s="137">
        <f>SUM(CT345,CT346,CT353)</f>
        <v>0</v>
      </c>
      <c r="CU344" s="138">
        <f>SUM(CU345,CU346,CU353)</f>
        <v>0</v>
      </c>
      <c r="CV344" s="73"/>
      <c r="CW344" s="224"/>
      <c r="CX344" s="137">
        <f>SUM(CX345,CX346,CX353)</f>
        <v>0</v>
      </c>
      <c r="CY344" s="138">
        <f>SUM(CY345,CY346,CY353)</f>
        <v>0</v>
      </c>
      <c r="CZ344" s="73"/>
      <c r="DA344" s="224"/>
      <c r="DB344" s="137">
        <f>SUM(DB345,DB346,DB353)</f>
        <v>0</v>
      </c>
      <c r="DC344" s="138">
        <f>SUM(DC345,DC346,DC353)</f>
        <v>244625</v>
      </c>
      <c r="DD344" s="73"/>
      <c r="DE344" s="426"/>
      <c r="DF344" s="426"/>
      <c r="DG344" s="69">
        <f>DI344</f>
        <v>0</v>
      </c>
      <c r="DH344" s="71"/>
      <c r="DI344" s="254"/>
      <c r="DJ344" s="72"/>
      <c r="DK344" s="72"/>
      <c r="DL344" s="254"/>
      <c r="DM344" s="426"/>
    </row>
    <row r="345" spans="1:117" ht="15.75" thickBot="1" x14ac:dyDescent="0.3">
      <c r="A345" s="19"/>
      <c r="B345" s="12" t="s">
        <v>121</v>
      </c>
      <c r="C345" s="19"/>
      <c r="D345" s="12" t="s">
        <v>271</v>
      </c>
      <c r="E345" s="12"/>
      <c r="F345" s="146">
        <v>26000</v>
      </c>
      <c r="G345" s="12" t="s">
        <v>33</v>
      </c>
      <c r="H345" s="28" t="s">
        <v>11</v>
      </c>
      <c r="I345" s="311"/>
      <c r="J345" s="311"/>
      <c r="K345" s="28"/>
      <c r="L345" s="30"/>
      <c r="M345" s="31"/>
      <c r="N345" s="31"/>
      <c r="O345" s="31"/>
      <c r="P345" s="241"/>
      <c r="Q345" s="220"/>
      <c r="R345" s="200"/>
      <c r="S345" s="201"/>
      <c r="T345" s="36"/>
      <c r="U345" s="220"/>
      <c r="V345" s="200"/>
      <c r="W345" s="201"/>
      <c r="X345" s="36"/>
      <c r="Y345" s="220"/>
      <c r="Z345" s="122"/>
      <c r="AA345" s="201"/>
      <c r="AB345" s="36"/>
      <c r="AC345" s="220"/>
      <c r="AD345" s="220"/>
      <c r="AE345" s="28"/>
      <c r="AF345" s="30"/>
      <c r="AG345" s="31"/>
      <c r="AH345" s="31"/>
      <c r="AI345" s="31"/>
      <c r="AJ345" s="241"/>
      <c r="AK345" s="220"/>
      <c r="AL345" s="200"/>
      <c r="AM345" s="201"/>
      <c r="AN345" s="36"/>
      <c r="AO345" s="220"/>
      <c r="AP345" s="200"/>
      <c r="AQ345" s="201"/>
      <c r="AR345" s="36"/>
      <c r="AS345" s="220"/>
      <c r="AT345" s="122"/>
      <c r="AU345" s="201"/>
      <c r="AV345" s="36"/>
      <c r="AW345" s="715"/>
      <c r="AX345" s="715"/>
      <c r="AY345" s="311"/>
      <c r="AZ345" s="30"/>
      <c r="BA345" s="31"/>
      <c r="BB345" s="31"/>
      <c r="BC345" s="31"/>
      <c r="BD345" s="241"/>
      <c r="BE345" s="220"/>
      <c r="BF345" s="200"/>
      <c r="BG345" s="201"/>
      <c r="BH345" s="36"/>
      <c r="BI345" s="220"/>
      <c r="BJ345" s="200"/>
      <c r="BK345" s="201"/>
      <c r="BL345" s="36"/>
      <c r="BM345" s="220"/>
      <c r="BN345" s="122"/>
      <c r="BO345" s="201"/>
      <c r="BP345" s="36"/>
      <c r="BQ345" s="220"/>
      <c r="BR345" s="220"/>
      <c r="BS345" s="28"/>
      <c r="BT345" s="30"/>
      <c r="BU345" s="31"/>
      <c r="BV345" s="31"/>
      <c r="BW345" s="31"/>
      <c r="BX345" s="241"/>
      <c r="BY345" s="220"/>
      <c r="BZ345" s="200"/>
      <c r="CA345" s="201"/>
      <c r="CB345" s="36"/>
      <c r="CC345" s="220"/>
      <c r="CD345" s="200"/>
      <c r="CE345" s="201"/>
      <c r="CF345" s="36"/>
      <c r="CG345" s="220"/>
      <c r="CH345" s="122"/>
      <c r="CI345" s="201"/>
      <c r="CJ345" s="36"/>
      <c r="CK345" s="220"/>
      <c r="CL345" s="220"/>
      <c r="CM345" s="28"/>
      <c r="CN345" s="30"/>
      <c r="CO345" s="31"/>
      <c r="CP345" s="31"/>
      <c r="CQ345" s="31"/>
      <c r="CR345" s="241"/>
      <c r="CS345" s="232"/>
      <c r="CT345" s="200"/>
      <c r="CU345" s="201"/>
      <c r="CV345" s="36"/>
      <c r="CW345" s="220"/>
      <c r="CX345" s="200"/>
      <c r="CY345" s="201"/>
      <c r="CZ345" s="36"/>
      <c r="DA345" s="220"/>
      <c r="DB345" s="122"/>
      <c r="DC345" s="201"/>
      <c r="DD345" s="36"/>
      <c r="DE345" s="220"/>
      <c r="DF345" s="220"/>
      <c r="DG345" s="28"/>
      <c r="DH345" s="30"/>
      <c r="DI345" s="31"/>
      <c r="DJ345" s="31"/>
      <c r="DK345" s="31"/>
      <c r="DL345" s="241"/>
      <c r="DM345" s="232"/>
    </row>
    <row r="346" spans="1:117" x14ac:dyDescent="0.25">
      <c r="A346" s="53"/>
      <c r="B346" s="52" t="s">
        <v>122</v>
      </c>
      <c r="C346" s="53"/>
      <c r="D346" s="51" t="s">
        <v>97</v>
      </c>
      <c r="E346" s="51"/>
      <c r="F346" s="338"/>
      <c r="G346" s="51"/>
      <c r="H346" s="54"/>
      <c r="I346" s="54"/>
      <c r="J346" s="53">
        <f>SUM(M346,AG346,BA346,BU346)</f>
        <v>23</v>
      </c>
      <c r="K346" s="53"/>
      <c r="L346" s="55"/>
      <c r="M346" s="56">
        <f>2+3-2</f>
        <v>3</v>
      </c>
      <c r="N346" s="56"/>
      <c r="O346" s="56"/>
      <c r="P346" s="243">
        <f>1+2</f>
        <v>3</v>
      </c>
      <c r="Q346" s="57"/>
      <c r="R346" s="119">
        <f>SUM(R347:R351)</f>
        <v>0</v>
      </c>
      <c r="S346" s="120">
        <f>SUM(S347:S351)</f>
        <v>0</v>
      </c>
      <c r="T346" s="57"/>
      <c r="U346" s="219"/>
      <c r="V346" s="119">
        <f>SUM(V347:V351)</f>
        <v>78427.5</v>
      </c>
      <c r="W346" s="120">
        <f>SUM(W347:W351)</f>
        <v>0</v>
      </c>
      <c r="X346" s="57"/>
      <c r="Y346" s="219"/>
      <c r="Z346" s="119">
        <f>SUM(Z347:Z351)</f>
        <v>11800.2</v>
      </c>
      <c r="AA346" s="120">
        <f>SUM(AA347:AA351)</f>
        <v>78427.5</v>
      </c>
      <c r="AB346" s="225"/>
      <c r="AC346" s="737"/>
      <c r="AD346" s="737"/>
      <c r="AE346" s="410">
        <f>SUM(AG346,BA346,BU346)</f>
        <v>20</v>
      </c>
      <c r="AF346" s="411"/>
      <c r="AG346" s="56">
        <f>2-2+4-4+8</f>
        <v>8</v>
      </c>
      <c r="AH346" s="56"/>
      <c r="AI346" s="56"/>
      <c r="AJ346" s="243">
        <f>1+1+1+4+1</f>
        <v>8</v>
      </c>
      <c r="AK346" s="57"/>
      <c r="AL346" s="119">
        <f>SUM(AL347:AL351)</f>
        <v>29450</v>
      </c>
      <c r="AM346" s="120">
        <f>SUM(AM347:AM351)</f>
        <v>0</v>
      </c>
      <c r="AN346" s="57"/>
      <c r="AO346" s="219"/>
      <c r="AP346" s="119">
        <f>SUM(AP347:AP351)</f>
        <v>0</v>
      </c>
      <c r="AQ346" s="120">
        <f>SUM(AQ347:AQ351)</f>
        <v>0</v>
      </c>
      <c r="AR346" s="57"/>
      <c r="AS346" s="219"/>
      <c r="AT346" s="119">
        <f>SUM(AT347:AT351)</f>
        <v>0</v>
      </c>
      <c r="AU346" s="120">
        <f>SUM(AU347:AU351)</f>
        <v>0</v>
      </c>
      <c r="AV346" s="57"/>
      <c r="AW346" s="230"/>
      <c r="AX346" s="230"/>
      <c r="AY346" s="53">
        <f>SUM(BA346,BU346)</f>
        <v>12</v>
      </c>
      <c r="AZ346" s="55"/>
      <c r="BA346" s="56">
        <f>6-6+3</f>
        <v>3</v>
      </c>
      <c r="BB346" s="56"/>
      <c r="BC346" s="56"/>
      <c r="BD346" s="243">
        <f>1+3</f>
        <v>4</v>
      </c>
      <c r="BE346" s="57"/>
      <c r="BF346" s="119">
        <f>SUM(BF347:BF351)</f>
        <v>0</v>
      </c>
      <c r="BG346" s="120">
        <f>SUM(BG347:BG351)</f>
        <v>29450</v>
      </c>
      <c r="BH346" s="57"/>
      <c r="BI346" s="219"/>
      <c r="BJ346" s="119">
        <f>SUM(BJ347:BJ351)</f>
        <v>0</v>
      </c>
      <c r="BK346" s="120">
        <f>SUM(BK347:BK351)</f>
        <v>0</v>
      </c>
      <c r="BL346" s="57"/>
      <c r="BM346" s="219"/>
      <c r="BN346" s="119">
        <f>SUM(BN347:BN351)</f>
        <v>0</v>
      </c>
      <c r="BO346" s="120">
        <f>SUM(BO347:BO351)</f>
        <v>0</v>
      </c>
      <c r="BP346" s="57"/>
      <c r="BQ346" s="230"/>
      <c r="BR346" s="230"/>
      <c r="BS346" s="53">
        <f>BU346</f>
        <v>9</v>
      </c>
      <c r="BT346" s="55"/>
      <c r="BU346" s="56">
        <f>7-7+9</f>
        <v>9</v>
      </c>
      <c r="BV346" s="56"/>
      <c r="BW346" s="56"/>
      <c r="BX346" s="243">
        <f>1+1+1+1+1</f>
        <v>5</v>
      </c>
      <c r="BY346" s="57"/>
      <c r="BZ346" s="119">
        <f>SUM(BZ347:BZ351)</f>
        <v>0</v>
      </c>
      <c r="CA346" s="120">
        <f>SUM(CA347:CA351)</f>
        <v>0</v>
      </c>
      <c r="CB346" s="57"/>
      <c r="CC346" s="219"/>
      <c r="CD346" s="119">
        <f>SUM(CD347:CD351)</f>
        <v>73810.8</v>
      </c>
      <c r="CE346" s="120">
        <f>SUM(CE347:CE351)</f>
        <v>0</v>
      </c>
      <c r="CF346" s="57"/>
      <c r="CG346" s="219"/>
      <c r="CH346" s="119">
        <f>SUM(CH347:CH351)</f>
        <v>0</v>
      </c>
      <c r="CI346" s="120">
        <f>SUM(CI347:CI351)</f>
        <v>78427.5</v>
      </c>
      <c r="CJ346" s="57"/>
      <c r="CK346" s="230"/>
      <c r="CL346" s="230"/>
      <c r="CM346" s="53">
        <f>CO346</f>
        <v>0</v>
      </c>
      <c r="CN346" s="55"/>
      <c r="CO346" s="243"/>
      <c r="CP346" s="56"/>
      <c r="CQ346" s="56"/>
      <c r="CR346" s="243"/>
      <c r="CS346" s="57"/>
      <c r="CT346" s="119">
        <f>SUM(CT347:CT351)</f>
        <v>0</v>
      </c>
      <c r="CU346" s="120">
        <f>SUM(CU347:CU351)</f>
        <v>0</v>
      </c>
      <c r="CV346" s="57"/>
      <c r="CW346" s="219"/>
      <c r="CX346" s="119">
        <f>SUM(CX347:CX351)</f>
        <v>0</v>
      </c>
      <c r="CY346" s="120">
        <f>SUM(CY347:CY351)</f>
        <v>0</v>
      </c>
      <c r="CZ346" s="57"/>
      <c r="DA346" s="219"/>
      <c r="DB346" s="119">
        <f>SUM(DB347:DB351)</f>
        <v>0</v>
      </c>
      <c r="DC346" s="120">
        <f>SUM(DC347:DC351)</f>
        <v>0</v>
      </c>
      <c r="DD346" s="57"/>
      <c r="DE346" s="230"/>
      <c r="DF346" s="230"/>
      <c r="DG346" s="53">
        <f>DI346</f>
        <v>0</v>
      </c>
      <c r="DH346" s="55"/>
      <c r="DI346" s="243"/>
      <c r="DJ346" s="56"/>
      <c r="DK346" s="56"/>
      <c r="DL346" s="243"/>
      <c r="DM346" s="57"/>
    </row>
    <row r="347" spans="1:117" x14ac:dyDescent="0.25">
      <c r="A347" s="18"/>
      <c r="B347" s="11" t="s">
        <v>215</v>
      </c>
      <c r="C347" s="18"/>
      <c r="D347" s="11"/>
      <c r="E347" s="11"/>
      <c r="F347" s="149"/>
      <c r="G347" s="11"/>
      <c r="H347" s="25"/>
      <c r="I347" s="25"/>
      <c r="J347" s="530">
        <f>SUM(M347,AG347,BA347,BU347)-L347</f>
        <v>13</v>
      </c>
      <c r="K347" s="395">
        <f t="shared" ref="K347:K351" si="792">M347-O347-L347</f>
        <v>-37</v>
      </c>
      <c r="L347" s="544">
        <v>10</v>
      </c>
      <c r="M347" s="298">
        <f>M346</f>
        <v>3</v>
      </c>
      <c r="N347" s="5">
        <f>M347-L347</f>
        <v>-7</v>
      </c>
      <c r="O347" s="256">
        <v>30</v>
      </c>
      <c r="P347" s="303">
        <f>P346</f>
        <v>3</v>
      </c>
      <c r="Q347" s="35">
        <f>L347+O347-P347</f>
        <v>37</v>
      </c>
      <c r="R347" s="121"/>
      <c r="S347" s="6"/>
      <c r="T347" s="35"/>
      <c r="U347" s="612"/>
      <c r="V347" s="121"/>
      <c r="W347" s="6"/>
      <c r="X347" s="35"/>
      <c r="Y347" s="612"/>
      <c r="Z347" s="21"/>
      <c r="AA347" s="6"/>
      <c r="AB347" s="226"/>
      <c r="AC347" s="612"/>
      <c r="AD347" s="612"/>
      <c r="AE347" s="398">
        <f>SUM(M347,AG347)-SUM(O347,AI347)-L347</f>
        <v>-29</v>
      </c>
      <c r="AF347" s="409">
        <f>Q347</f>
        <v>37</v>
      </c>
      <c r="AG347" s="298">
        <f>AG346</f>
        <v>8</v>
      </c>
      <c r="AH347" s="5">
        <f>AG347-AF347</f>
        <v>-29</v>
      </c>
      <c r="AI347" s="258"/>
      <c r="AJ347" s="303">
        <f>AJ346</f>
        <v>8</v>
      </c>
      <c r="AK347" s="35">
        <f>AF347+AI347-AJ347</f>
        <v>29</v>
      </c>
      <c r="AL347" s="121"/>
      <c r="AM347" s="6"/>
      <c r="AN347" s="35"/>
      <c r="AO347" s="612"/>
      <c r="AP347" s="121"/>
      <c r="AQ347" s="6"/>
      <c r="AR347" s="35"/>
      <c r="AS347" s="612"/>
      <c r="AT347" s="21"/>
      <c r="AU347" s="6"/>
      <c r="AV347" s="35"/>
      <c r="AW347" s="234"/>
      <c r="AX347" s="234"/>
      <c r="AY347" s="395">
        <f>SUM(M347,AG347,BA347)-SUM(O347,AI347,BC347)-L347</f>
        <v>-26</v>
      </c>
      <c r="AZ347" s="29">
        <f>AK347</f>
        <v>29</v>
      </c>
      <c r="BA347" s="298">
        <f>BA346</f>
        <v>3</v>
      </c>
      <c r="BB347" s="5">
        <f>BA347-AZ347</f>
        <v>-26</v>
      </c>
      <c r="BC347" s="256"/>
      <c r="BD347" s="303">
        <f>BD346</f>
        <v>4</v>
      </c>
      <c r="BE347" s="35">
        <f>AZ347+BC347-BD347</f>
        <v>25</v>
      </c>
      <c r="BF347" s="121"/>
      <c r="BG347" s="6"/>
      <c r="BH347" s="35"/>
      <c r="BI347" s="612"/>
      <c r="BJ347" s="121"/>
      <c r="BK347" s="6"/>
      <c r="BL347" s="35"/>
      <c r="BM347" s="612"/>
      <c r="BN347" s="21"/>
      <c r="BO347" s="6"/>
      <c r="BP347" s="35"/>
      <c r="BQ347" s="234"/>
      <c r="BR347" s="234"/>
      <c r="BS347" s="395">
        <f>SUM(M347,AG347,BA347,BU347)-SUM(O347,AI347,BC347,BW347)-L347</f>
        <v>-17</v>
      </c>
      <c r="BT347" s="29">
        <f>BE347</f>
        <v>25</v>
      </c>
      <c r="BU347" s="298">
        <f>BU346</f>
        <v>9</v>
      </c>
      <c r="BV347" s="5">
        <f>BU347-BT347</f>
        <v>-16</v>
      </c>
      <c r="BW347" s="256"/>
      <c r="BX347" s="303">
        <f>BX346</f>
        <v>5</v>
      </c>
      <c r="BY347" s="35">
        <f>BT347+BW347-BX347</f>
        <v>20</v>
      </c>
      <c r="BZ347" s="121"/>
      <c r="CA347" s="6"/>
      <c r="CB347" s="35"/>
      <c r="CC347" s="612"/>
      <c r="CD347" s="121"/>
      <c r="CE347" s="6"/>
      <c r="CF347" s="35"/>
      <c r="CG347" s="612"/>
      <c r="CH347" s="21"/>
      <c r="CI347" s="6"/>
      <c r="CJ347" s="35"/>
      <c r="CK347" s="234"/>
      <c r="CL347" s="234"/>
      <c r="CM347" s="395">
        <f>SUM(M347,AG347,BA347,BU347,CO347)-SUM(O347,AI347,BC347,BW347,CQ347)-L347</f>
        <v>-17</v>
      </c>
      <c r="CN347" s="29">
        <f>BY347</f>
        <v>20</v>
      </c>
      <c r="CO347" s="298">
        <f>CO346</f>
        <v>0</v>
      </c>
      <c r="CP347" s="5">
        <f>CO347-CN347</f>
        <v>-20</v>
      </c>
      <c r="CQ347" s="240"/>
      <c r="CR347" s="303">
        <f>CR346</f>
        <v>0</v>
      </c>
      <c r="CS347" s="35">
        <f>CN347+CQ347-CR347</f>
        <v>20</v>
      </c>
      <c r="CT347" s="121"/>
      <c r="CU347" s="6"/>
      <c r="CV347" s="35"/>
      <c r="CW347" s="612"/>
      <c r="CX347" s="121"/>
      <c r="CY347" s="6"/>
      <c r="CZ347" s="35"/>
      <c r="DA347" s="612"/>
      <c r="DB347" s="21"/>
      <c r="DC347" s="6"/>
      <c r="DD347" s="35"/>
      <c r="DE347" s="234"/>
      <c r="DF347" s="234"/>
      <c r="DG347" s="395">
        <f>SUM(M347,AG347,BA347,BU347,DI347)-SUM(O347,AI347,BC347,BW347,CQ347)-L347</f>
        <v>-17</v>
      </c>
      <c r="DH347" s="29">
        <f t="shared" ref="DH347:DH351" si="793">BY347</f>
        <v>20</v>
      </c>
      <c r="DI347" s="298">
        <f>DI346</f>
        <v>0</v>
      </c>
      <c r="DJ347" s="5">
        <f>DI347-DH347</f>
        <v>-20</v>
      </c>
      <c r="DK347" s="240"/>
      <c r="DL347" s="303">
        <f>DL346</f>
        <v>0</v>
      </c>
      <c r="DM347" s="35">
        <f>DH347+DK347-DL347</f>
        <v>20</v>
      </c>
    </row>
    <row r="348" spans="1:117" x14ac:dyDescent="0.25">
      <c r="A348" s="18"/>
      <c r="B348" s="11" t="s">
        <v>123</v>
      </c>
      <c r="C348" s="18">
        <v>2</v>
      </c>
      <c r="D348" s="11"/>
      <c r="E348" s="11"/>
      <c r="F348" s="568">
        <v>10457</v>
      </c>
      <c r="G348" s="11" t="s">
        <v>124</v>
      </c>
      <c r="H348" s="25" t="s">
        <v>170</v>
      </c>
      <c r="I348" s="25"/>
      <c r="J348" s="530">
        <f>SUM(M348,AG348,BA348,BU348)-L348</f>
        <v>26</v>
      </c>
      <c r="K348" s="395">
        <f t="shared" si="792"/>
        <v>-44</v>
      </c>
      <c r="L348" s="544">
        <v>20</v>
      </c>
      <c r="M348" s="298">
        <f>M346*2</f>
        <v>6</v>
      </c>
      <c r="N348" s="5">
        <f>M348-L348</f>
        <v>-14</v>
      </c>
      <c r="O348" s="256">
        <v>30</v>
      </c>
      <c r="P348" s="303">
        <f>P346*2</f>
        <v>6</v>
      </c>
      <c r="Q348" s="35">
        <f>L348+O348-P348</f>
        <v>44</v>
      </c>
      <c r="R348" s="21"/>
      <c r="S348" s="6"/>
      <c r="T348" s="35"/>
      <c r="U348" s="612"/>
      <c r="V348" s="573">
        <f>$F$348*50%*15</f>
        <v>78427.5</v>
      </c>
      <c r="W348" s="6"/>
      <c r="X348" s="35" t="s">
        <v>711</v>
      </c>
      <c r="Y348" s="612"/>
      <c r="Z348" s="21"/>
      <c r="AA348" s="579">
        <f>$F$348*50%*15</f>
        <v>78427.5</v>
      </c>
      <c r="AB348" s="35" t="s">
        <v>712</v>
      </c>
      <c r="AC348" s="231"/>
      <c r="AD348" s="231"/>
      <c r="AE348" s="398">
        <f>SUM(M348,AG348)-SUM(O348,AI348)-L348</f>
        <v>-28</v>
      </c>
      <c r="AF348" s="409">
        <f>Q348</f>
        <v>44</v>
      </c>
      <c r="AG348" s="298">
        <f>AG346*2</f>
        <v>16</v>
      </c>
      <c r="AH348" s="5">
        <f>AG348-AF348</f>
        <v>-28</v>
      </c>
      <c r="AI348" s="242"/>
      <c r="AJ348" s="303">
        <f>AJ346*2</f>
        <v>16</v>
      </c>
      <c r="AK348" s="35">
        <f>AF348+AI348-AJ348</f>
        <v>28</v>
      </c>
      <c r="AL348" s="121"/>
      <c r="AM348" s="6"/>
      <c r="AN348" s="35"/>
      <c r="AO348" s="612"/>
      <c r="AP348" s="121"/>
      <c r="AQ348" s="6"/>
      <c r="AR348" s="35"/>
      <c r="AS348" s="612"/>
      <c r="AT348" s="21"/>
      <c r="AU348" s="6"/>
      <c r="AV348" s="35"/>
      <c r="AW348" s="234"/>
      <c r="AX348" s="234"/>
      <c r="AY348" s="395">
        <f>SUM(M348,AG348,BA348)-SUM(O348,AI348,BC348)-L348</f>
        <v>-22</v>
      </c>
      <c r="AZ348" s="29">
        <f>AK348</f>
        <v>28</v>
      </c>
      <c r="BA348" s="298">
        <f>BA346*2</f>
        <v>6</v>
      </c>
      <c r="BB348" s="5">
        <f>BA348-AZ348</f>
        <v>-22</v>
      </c>
      <c r="BC348" s="256"/>
      <c r="BD348" s="303">
        <f>BD346*2</f>
        <v>8</v>
      </c>
      <c r="BE348" s="35">
        <f>AZ348+BC348-BD348</f>
        <v>20</v>
      </c>
      <c r="BF348" s="121"/>
      <c r="BG348" s="6"/>
      <c r="BH348" s="35"/>
      <c r="BI348" s="612"/>
      <c r="BJ348" s="121"/>
      <c r="BK348" s="6"/>
      <c r="BL348" s="35"/>
      <c r="BM348" s="612"/>
      <c r="BN348" s="21"/>
      <c r="BO348" s="6"/>
      <c r="BP348" s="35"/>
      <c r="BQ348" s="234"/>
      <c r="BR348" s="234"/>
      <c r="BS348" s="395">
        <f>SUM(M348,AG348,BA348,BU348)-SUM(O348,AI348,BC348,BW348)-L348</f>
        <v>-20</v>
      </c>
      <c r="BT348" s="29">
        <f>BE348</f>
        <v>20</v>
      </c>
      <c r="BU348" s="298">
        <f>BU346*2</f>
        <v>18</v>
      </c>
      <c r="BV348" s="5">
        <f>BU348-BT348</f>
        <v>-2</v>
      </c>
      <c r="BW348" s="621">
        <v>16</v>
      </c>
      <c r="BX348" s="303">
        <f>BX346*2</f>
        <v>10</v>
      </c>
      <c r="BY348" s="35">
        <f>BT348+BW348-BX348</f>
        <v>26</v>
      </c>
      <c r="BZ348" s="121"/>
      <c r="CA348" s="6"/>
      <c r="CB348" s="35"/>
      <c r="CC348" s="612"/>
      <c r="CD348" s="668">
        <f>73810.8</f>
        <v>73810.8</v>
      </c>
      <c r="CE348" s="663"/>
      <c r="CF348" s="664" t="s">
        <v>984</v>
      </c>
      <c r="CG348" s="773"/>
      <c r="CH348" s="21"/>
      <c r="CI348" s="629">
        <v>78427.5</v>
      </c>
      <c r="CJ348" s="625" t="s">
        <v>985</v>
      </c>
      <c r="CK348" s="806"/>
      <c r="CL348" s="806"/>
      <c r="CM348" s="395">
        <f>SUM(M348,AG348,BA348,BU348,CO348)-SUM(O348,AI348,BC348,BW348,CQ348)-L348</f>
        <v>-20</v>
      </c>
      <c r="CN348" s="29">
        <f>BY348</f>
        <v>26</v>
      </c>
      <c r="CO348" s="298">
        <f>CO346*2</f>
        <v>0</v>
      </c>
      <c r="CP348" s="5">
        <f>CO348-CN348</f>
        <v>-26</v>
      </c>
      <c r="CQ348" s="240"/>
      <c r="CR348" s="303">
        <f>CR346*2</f>
        <v>0</v>
      </c>
      <c r="CS348" s="35">
        <f>CN348+CQ348-CR348</f>
        <v>26</v>
      </c>
      <c r="CT348" s="21"/>
      <c r="CU348" s="199"/>
      <c r="CV348" s="148"/>
      <c r="CW348" s="711"/>
      <c r="CX348" s="121"/>
      <c r="CY348" s="6"/>
      <c r="CZ348" s="35"/>
      <c r="DA348" s="612"/>
      <c r="DB348" s="21"/>
      <c r="DC348" s="6"/>
      <c r="DD348" s="35"/>
      <c r="DE348" s="234"/>
      <c r="DF348" s="234"/>
      <c r="DG348" s="395">
        <f>SUM(M348,AG348,BA348,BU348,DI348)-SUM(O348,AI348,BC348,BW348,CQ348)-L348</f>
        <v>-20</v>
      </c>
      <c r="DH348" s="29">
        <f t="shared" si="793"/>
        <v>26</v>
      </c>
      <c r="DI348" s="298">
        <f>DI346*2</f>
        <v>0</v>
      </c>
      <c r="DJ348" s="5">
        <f>DI348-DH348</f>
        <v>-26</v>
      </c>
      <c r="DK348" s="240"/>
      <c r="DL348" s="303">
        <f>DL346*2</f>
        <v>0</v>
      </c>
      <c r="DM348" s="35">
        <f>DH348+DK348-DL348</f>
        <v>26</v>
      </c>
    </row>
    <row r="349" spans="1:117" x14ac:dyDescent="0.25">
      <c r="A349" s="18"/>
      <c r="B349" s="11" t="s">
        <v>15</v>
      </c>
      <c r="C349" s="18">
        <v>2</v>
      </c>
      <c r="D349" s="11"/>
      <c r="E349" s="11"/>
      <c r="F349" s="568">
        <v>950</v>
      </c>
      <c r="G349" s="74" t="s">
        <v>33</v>
      </c>
      <c r="H349" s="25" t="s">
        <v>77</v>
      </c>
      <c r="I349" s="25"/>
      <c r="J349" s="530">
        <f>SUM(M349,AG349,BA349,BU349)-L349</f>
        <v>26</v>
      </c>
      <c r="K349" s="395">
        <f t="shared" si="792"/>
        <v>-14</v>
      </c>
      <c r="L349" s="544">
        <v>20</v>
      </c>
      <c r="M349" s="298">
        <f>M346*2</f>
        <v>6</v>
      </c>
      <c r="N349" s="5">
        <f>M349-L349</f>
        <v>-14</v>
      </c>
      <c r="O349" s="240"/>
      <c r="P349" s="303">
        <f>P346*2</f>
        <v>6</v>
      </c>
      <c r="Q349" s="35">
        <f>L349+O349-P349</f>
        <v>14</v>
      </c>
      <c r="R349" s="121"/>
      <c r="S349" s="6"/>
      <c r="T349" s="35"/>
      <c r="U349" s="612"/>
      <c r="V349" s="121"/>
      <c r="W349" s="6"/>
      <c r="X349" s="35"/>
      <c r="Y349" s="612"/>
      <c r="Z349" s="21"/>
      <c r="AA349" s="6"/>
      <c r="AB349" s="35"/>
      <c r="AC349" s="231"/>
      <c r="AD349" s="231"/>
      <c r="AE349" s="398">
        <f>SUM(M349,AG349)-SUM(O349,AI349)-L349</f>
        <v>2</v>
      </c>
      <c r="AF349" s="409">
        <f>Q349</f>
        <v>14</v>
      </c>
      <c r="AG349" s="298">
        <f>AG346*2</f>
        <v>16</v>
      </c>
      <c r="AH349" s="5">
        <f>AG349-AF349</f>
        <v>2</v>
      </c>
      <c r="AI349" s="256"/>
      <c r="AJ349" s="303">
        <f>AJ346*2</f>
        <v>16</v>
      </c>
      <c r="AK349" s="35">
        <f>AF349+AI349-AJ349</f>
        <v>-2</v>
      </c>
      <c r="AL349" s="586">
        <f>$F$349*50%*62</f>
        <v>29450</v>
      </c>
      <c r="AN349" s="35" t="s">
        <v>773</v>
      </c>
      <c r="AO349" s="612"/>
      <c r="AP349" s="121"/>
      <c r="AQ349" s="6"/>
      <c r="AR349" s="35"/>
      <c r="AS349" s="612"/>
      <c r="AT349" s="21"/>
      <c r="AU349" s="6"/>
      <c r="AV349" s="35"/>
      <c r="AW349" s="234"/>
      <c r="AX349" s="234"/>
      <c r="AY349" s="395">
        <f>SUM(M349,AG349,BA349)-SUM(O349,AI349,BC349)-L349</f>
        <v>-54</v>
      </c>
      <c r="AZ349" s="29">
        <f t="shared" ref="AZ349:AZ350" si="794">AK349</f>
        <v>-2</v>
      </c>
      <c r="BA349" s="298">
        <f>BA346*2</f>
        <v>6</v>
      </c>
      <c r="BB349" s="5">
        <f>BA349-AZ349</f>
        <v>8</v>
      </c>
      <c r="BC349" s="256">
        <v>62</v>
      </c>
      <c r="BD349" s="303">
        <f>BD346*2</f>
        <v>8</v>
      </c>
      <c r="BE349" s="35">
        <f>AZ349+BC349-BD349</f>
        <v>52</v>
      </c>
      <c r="BF349" s="121"/>
      <c r="BG349" s="6">
        <f>$F$349*50%*62</f>
        <v>29450</v>
      </c>
      <c r="BH349" s="35" t="s">
        <v>774</v>
      </c>
      <c r="BI349" s="612"/>
      <c r="BJ349" s="121"/>
      <c r="BK349" s="6"/>
      <c r="BL349" s="35"/>
      <c r="BM349" s="612"/>
      <c r="BN349" s="21"/>
      <c r="BO349" s="6"/>
      <c r="BP349" s="35"/>
      <c r="BQ349" s="234"/>
      <c r="BR349" s="234"/>
      <c r="BS349" s="395">
        <f>SUM(M349,AG349,BA349,BU349)-SUM(O349,AI349,BC349,BW349)-L349</f>
        <v>-36</v>
      </c>
      <c r="BT349" s="29">
        <f t="shared" ref="BT349:BT350" si="795">BE349</f>
        <v>52</v>
      </c>
      <c r="BU349" s="298">
        <f>BU346*2</f>
        <v>18</v>
      </c>
      <c r="BV349" s="5">
        <f>BU349-BT349</f>
        <v>-34</v>
      </c>
      <c r="BW349" s="256"/>
      <c r="BX349" s="303">
        <f>BX346*2</f>
        <v>10</v>
      </c>
      <c r="BY349" s="35">
        <f>BT349+BW349-BX349</f>
        <v>42</v>
      </c>
      <c r="BZ349" s="121"/>
      <c r="CA349" s="6"/>
      <c r="CB349" s="35"/>
      <c r="CC349" s="612"/>
      <c r="CD349" s="121"/>
      <c r="CE349" s="6"/>
      <c r="CF349" s="35"/>
      <c r="CG349" s="612"/>
      <c r="CH349" s="121"/>
      <c r="CI349" s="6"/>
      <c r="CJ349" s="35"/>
      <c r="CK349" s="234"/>
      <c r="CL349" s="234"/>
      <c r="CM349" s="395">
        <f>SUM(M349,AG349,BA349,BU349,CO349)-SUM(O349,AI349,BC349,BW349,CQ349)-L349</f>
        <v>-36</v>
      </c>
      <c r="CN349" s="29">
        <f t="shared" ref="CN349:CN350" si="796">BY349</f>
        <v>42</v>
      </c>
      <c r="CO349" s="298">
        <f>CO346*2</f>
        <v>0</v>
      </c>
      <c r="CP349" s="5">
        <f>CO349-CN349</f>
        <v>-42</v>
      </c>
      <c r="CQ349" s="240"/>
      <c r="CR349" s="303">
        <f>CR346*2</f>
        <v>0</v>
      </c>
      <c r="CS349" s="35">
        <f>CN349+CQ349-CR349</f>
        <v>42</v>
      </c>
      <c r="CT349" s="121"/>
      <c r="CU349" s="6"/>
      <c r="CV349" s="35"/>
      <c r="CW349" s="612"/>
      <c r="CX349" s="121"/>
      <c r="CY349" s="6"/>
      <c r="CZ349" s="35"/>
      <c r="DA349" s="612"/>
      <c r="DB349" s="21"/>
      <c r="DC349" s="6"/>
      <c r="DD349" s="35"/>
      <c r="DE349" s="234"/>
      <c r="DF349" s="234"/>
      <c r="DG349" s="395">
        <f>SUM(M349,AG349,BA349,BU349,DI349)-SUM(O349,AI349,BC349,BW349,CQ349)-L349</f>
        <v>-36</v>
      </c>
      <c r="DH349" s="29">
        <f t="shared" si="793"/>
        <v>42</v>
      </c>
      <c r="DI349" s="298">
        <f>DI346*2</f>
        <v>0</v>
      </c>
      <c r="DJ349" s="5">
        <f>DI349-DH349</f>
        <v>-42</v>
      </c>
      <c r="DK349" s="240"/>
      <c r="DL349" s="303">
        <f>DL346*2</f>
        <v>0</v>
      </c>
      <c r="DM349" s="35">
        <f>DH349+DK349-DL349</f>
        <v>42</v>
      </c>
    </row>
    <row r="350" spans="1:117" x14ac:dyDescent="0.25">
      <c r="A350" s="18"/>
      <c r="B350" s="11" t="s">
        <v>119</v>
      </c>
      <c r="C350" s="18">
        <v>2</v>
      </c>
      <c r="D350" s="11"/>
      <c r="E350" s="11"/>
      <c r="F350" s="568">
        <v>165</v>
      </c>
      <c r="G350" s="11" t="s">
        <v>650</v>
      </c>
      <c r="H350" s="25"/>
      <c r="I350" s="25"/>
      <c r="J350" s="530">
        <f>SUM(M350,AG350,BA350,BU350)-L350</f>
        <v>21</v>
      </c>
      <c r="K350" s="395">
        <f t="shared" si="792"/>
        <v>-19</v>
      </c>
      <c r="L350" s="544">
        <v>25</v>
      </c>
      <c r="M350" s="298">
        <f>M346*2</f>
        <v>6</v>
      </c>
      <c r="N350" s="5">
        <f>M350-L350</f>
        <v>-19</v>
      </c>
      <c r="O350" s="240"/>
      <c r="P350" s="303">
        <f>P346*2</f>
        <v>6</v>
      </c>
      <c r="Q350" s="35">
        <f>L350+O350-P350</f>
        <v>19</v>
      </c>
      <c r="R350" s="121"/>
      <c r="S350" s="6"/>
      <c r="T350" s="35"/>
      <c r="U350" s="612"/>
      <c r="V350" s="121"/>
      <c r="W350" s="6"/>
      <c r="X350" s="35"/>
      <c r="Y350" s="612"/>
      <c r="Z350" s="573">
        <f>$F$350*100%*60</f>
        <v>9900</v>
      </c>
      <c r="AA350" s="6"/>
      <c r="AB350" s="35" t="s">
        <v>743</v>
      </c>
      <c r="AC350" s="231"/>
      <c r="AD350" s="231"/>
      <c r="AE350" s="398">
        <f>SUM(M350,AG350)-SUM(O350,AI350)-L350</f>
        <v>-63</v>
      </c>
      <c r="AF350" s="409">
        <f>Q350</f>
        <v>19</v>
      </c>
      <c r="AG350" s="298">
        <f>AG346*2</f>
        <v>16</v>
      </c>
      <c r="AH350" s="5">
        <f>AG350-AF350</f>
        <v>-3</v>
      </c>
      <c r="AI350" s="543">
        <v>60</v>
      </c>
      <c r="AJ350" s="303">
        <f>AJ346*2</f>
        <v>16</v>
      </c>
      <c r="AK350" s="35">
        <f>AF350+AI350-AJ350</f>
        <v>63</v>
      </c>
      <c r="AL350" s="121"/>
      <c r="AM350" s="6"/>
      <c r="AN350" s="35"/>
      <c r="AO350" s="612"/>
      <c r="AP350" s="121"/>
      <c r="AQ350" s="6"/>
      <c r="AR350" s="35"/>
      <c r="AS350" s="612"/>
      <c r="AT350" s="121"/>
      <c r="AU350" s="6"/>
      <c r="AV350" s="35"/>
      <c r="AW350" s="234"/>
      <c r="AX350" s="234"/>
      <c r="AY350" s="395">
        <f>SUM(M350,AG350,BA350)-SUM(O350,AI350,BC350)-L350</f>
        <v>-57</v>
      </c>
      <c r="AZ350" s="29">
        <f t="shared" si="794"/>
        <v>63</v>
      </c>
      <c r="BA350" s="298">
        <f>BA346*2</f>
        <v>6</v>
      </c>
      <c r="BB350" s="5">
        <f>BA350-AZ350</f>
        <v>-57</v>
      </c>
      <c r="BC350" s="256"/>
      <c r="BD350" s="303">
        <f>BD346*2</f>
        <v>8</v>
      </c>
      <c r="BE350" s="35">
        <f>AZ350+BC350-BD350</f>
        <v>55</v>
      </c>
      <c r="BF350" s="121"/>
      <c r="BG350" s="6"/>
      <c r="BH350" s="35"/>
      <c r="BI350" s="612"/>
      <c r="BJ350" s="121"/>
      <c r="BK350" s="6"/>
      <c r="BL350" s="35"/>
      <c r="BM350" s="612"/>
      <c r="BN350" s="21"/>
      <c r="BO350" s="6"/>
      <c r="BP350" s="35"/>
      <c r="BQ350" s="234"/>
      <c r="BR350" s="234"/>
      <c r="BS350" s="395">
        <f>SUM(M350,AG350,BA350,BU350)-SUM(O350,AI350,BC350,BW350)-L350</f>
        <v>-39</v>
      </c>
      <c r="BT350" s="29">
        <f t="shared" si="795"/>
        <v>55</v>
      </c>
      <c r="BU350" s="298">
        <f>BU346*2</f>
        <v>18</v>
      </c>
      <c r="BV350" s="5">
        <f>BU350-BT350</f>
        <v>-37</v>
      </c>
      <c r="BW350" s="5"/>
      <c r="BX350" s="303">
        <f>BX346*2</f>
        <v>10</v>
      </c>
      <c r="BY350" s="35">
        <f>BT350+BW350-BX350</f>
        <v>45</v>
      </c>
      <c r="BZ350" s="121"/>
      <c r="CA350" s="6"/>
      <c r="CB350" s="35"/>
      <c r="CC350" s="612"/>
      <c r="CD350" s="121"/>
      <c r="CE350" s="6"/>
      <c r="CF350" s="35"/>
      <c r="CG350" s="612"/>
      <c r="CH350" s="21"/>
      <c r="CI350" s="6"/>
      <c r="CJ350" s="35"/>
      <c r="CK350" s="234"/>
      <c r="CL350" s="234"/>
      <c r="CM350" s="395">
        <f>SUM(M350,AG350,BA350,BU350,CO350)-SUM(O350,AI350,BC350,BW350,CQ350)-L350</f>
        <v>-39</v>
      </c>
      <c r="CN350" s="29">
        <f t="shared" si="796"/>
        <v>45</v>
      </c>
      <c r="CO350" s="298">
        <f>CO346*2</f>
        <v>0</v>
      </c>
      <c r="CP350" s="5">
        <f>CO350-CN350</f>
        <v>-45</v>
      </c>
      <c r="CQ350" s="240"/>
      <c r="CR350" s="303">
        <f>CR346*2</f>
        <v>0</v>
      </c>
      <c r="CS350" s="35">
        <f>CN350+CQ350-CR350</f>
        <v>45</v>
      </c>
      <c r="CT350" s="121"/>
      <c r="CU350" s="6"/>
      <c r="CV350" s="35"/>
      <c r="CW350" s="612"/>
      <c r="CX350" s="121"/>
      <c r="CY350" s="6"/>
      <c r="CZ350" s="35"/>
      <c r="DA350" s="612"/>
      <c r="DB350" s="21"/>
      <c r="DC350" s="6"/>
      <c r="DD350" s="35"/>
      <c r="DE350" s="234"/>
      <c r="DF350" s="234"/>
      <c r="DG350" s="395">
        <f>SUM(M350,AG350,BA350,BU350,DI350)-SUM(O350,AI350,BC350,BW350,CQ350)-L350</f>
        <v>-39</v>
      </c>
      <c r="DH350" s="29">
        <f t="shared" si="793"/>
        <v>45</v>
      </c>
      <c r="DI350" s="298">
        <f>DI346*2</f>
        <v>0</v>
      </c>
      <c r="DJ350" s="5">
        <f>DI350-DH350</f>
        <v>-45</v>
      </c>
      <c r="DK350" s="240"/>
      <c r="DL350" s="303">
        <f>DL346*2</f>
        <v>0</v>
      </c>
      <c r="DM350" s="35">
        <f>DH350+DK350-DL350</f>
        <v>45</v>
      </c>
    </row>
    <row r="351" spans="1:117" ht="30.75" thickBot="1" x14ac:dyDescent="0.3">
      <c r="A351" s="19"/>
      <c r="B351" s="67" t="s">
        <v>609</v>
      </c>
      <c r="C351" s="19">
        <v>2</v>
      </c>
      <c r="D351" s="320" t="s">
        <v>750</v>
      </c>
      <c r="E351" s="320"/>
      <c r="F351" s="571">
        <v>31.67</v>
      </c>
      <c r="G351" s="386" t="s">
        <v>757</v>
      </c>
      <c r="H351" s="28"/>
      <c r="I351" s="28"/>
      <c r="J351" s="531">
        <f>SUM(M351,AG351,BA351,BU351)-L351</f>
        <v>20</v>
      </c>
      <c r="K351" s="396">
        <f t="shared" si="792"/>
        <v>-80</v>
      </c>
      <c r="L351" s="545">
        <v>26</v>
      </c>
      <c r="M351" s="301">
        <f>M346*2</f>
        <v>6</v>
      </c>
      <c r="N351" s="31">
        <f>M351-L351</f>
        <v>-20</v>
      </c>
      <c r="O351" s="284">
        <v>60</v>
      </c>
      <c r="P351" s="305">
        <f>P346*2</f>
        <v>6</v>
      </c>
      <c r="Q351" s="36">
        <f>L351+O351-P351</f>
        <v>80</v>
      </c>
      <c r="R351" s="200"/>
      <c r="S351" s="201"/>
      <c r="T351" s="36"/>
      <c r="U351" s="220"/>
      <c r="V351" s="200"/>
      <c r="W351" s="201"/>
      <c r="X351" s="36"/>
      <c r="Y351" s="220"/>
      <c r="Z351" s="582">
        <f>$F$351*100%*60</f>
        <v>1900.2</v>
      </c>
      <c r="AA351" s="201"/>
      <c r="AB351" s="227" t="s">
        <v>743</v>
      </c>
      <c r="AC351" s="220"/>
      <c r="AD351" s="220"/>
      <c r="AE351" s="399">
        <f>SUM(M351,AG351)-SUM(O351,AI351)-L351</f>
        <v>-64</v>
      </c>
      <c r="AF351" s="439">
        <f>Q351</f>
        <v>80</v>
      </c>
      <c r="AG351" s="301">
        <f>AG346*2</f>
        <v>16</v>
      </c>
      <c r="AH351" s="31">
        <f>AG351-AF351</f>
        <v>-64</v>
      </c>
      <c r="AI351" s="65"/>
      <c r="AJ351" s="305">
        <f>AJ346*2</f>
        <v>16</v>
      </c>
      <c r="AK351" s="36">
        <f>AF351+AI351-AJ351</f>
        <v>64</v>
      </c>
      <c r="AL351" s="200"/>
      <c r="AM351" s="201"/>
      <c r="AN351" s="36"/>
      <c r="AO351" s="220"/>
      <c r="AP351" s="200"/>
      <c r="AQ351" s="201"/>
      <c r="AR351" s="36"/>
      <c r="AS351" s="220"/>
      <c r="AT351" s="122"/>
      <c r="AU351" s="201"/>
      <c r="AV351" s="36"/>
      <c r="AW351" s="297"/>
      <c r="AX351" s="297"/>
      <c r="AY351" s="396">
        <f>SUM(M351,AG351,BA351)-SUM(O351,AI351,BC351)-L351</f>
        <v>-58</v>
      </c>
      <c r="AZ351" s="30">
        <f>AK351</f>
        <v>64</v>
      </c>
      <c r="BA351" s="301">
        <f>BA346*2</f>
        <v>6</v>
      </c>
      <c r="BB351" s="31">
        <f>BA351-AZ351</f>
        <v>-58</v>
      </c>
      <c r="BC351" s="284"/>
      <c r="BD351" s="305">
        <f>BD346*2</f>
        <v>8</v>
      </c>
      <c r="BE351" s="36">
        <f>AZ351+BC351-BD351</f>
        <v>56</v>
      </c>
      <c r="BF351" s="200"/>
      <c r="BG351" s="201"/>
      <c r="BH351" s="36"/>
      <c r="BI351" s="220"/>
      <c r="BJ351" s="200"/>
      <c r="BK351" s="201"/>
      <c r="BL351" s="36"/>
      <c r="BM351" s="220"/>
      <c r="BN351" s="122"/>
      <c r="BO351" s="201"/>
      <c r="BP351" s="36"/>
      <c r="BQ351" s="297"/>
      <c r="BR351" s="297"/>
      <c r="BS351" s="396">
        <f>SUM(M351,AG351,BA351,BU351)-SUM(O351,AI351,BC351,BW351)-L351</f>
        <v>-40</v>
      </c>
      <c r="BT351" s="30">
        <f>BE351</f>
        <v>56</v>
      </c>
      <c r="BU351" s="301">
        <f>BU346*2</f>
        <v>18</v>
      </c>
      <c r="BV351" s="31">
        <f>BU351-BT351</f>
        <v>-38</v>
      </c>
      <c r="BW351" s="284"/>
      <c r="BX351" s="305">
        <f>BX346*2</f>
        <v>10</v>
      </c>
      <c r="BY351" s="36">
        <f>BT351+BW351-BX351</f>
        <v>46</v>
      </c>
      <c r="BZ351" s="200"/>
      <c r="CA351" s="201"/>
      <c r="CB351" s="36"/>
      <c r="CC351" s="220"/>
      <c r="CD351" s="122"/>
      <c r="CE351" s="201"/>
      <c r="CF351" s="36"/>
      <c r="CG351" s="220"/>
      <c r="CH351" s="122"/>
      <c r="CI351" s="201"/>
      <c r="CJ351" s="36"/>
      <c r="CK351" s="297"/>
      <c r="CL351" s="297"/>
      <c r="CM351" s="396">
        <f>SUM(M351,AG351,BA351,BU351,CO351)-SUM(O351,AI351,BC351,BW351,CQ351)-L351</f>
        <v>-40</v>
      </c>
      <c r="CN351" s="30">
        <f>BY351</f>
        <v>46</v>
      </c>
      <c r="CO351" s="301">
        <f>CO346*2</f>
        <v>0</v>
      </c>
      <c r="CP351" s="31">
        <f>CO351-CN351</f>
        <v>-46</v>
      </c>
      <c r="CQ351" s="241"/>
      <c r="CR351" s="305">
        <f>CR346*2</f>
        <v>0</v>
      </c>
      <c r="CS351" s="36">
        <f>CN351+CQ351-CR351</f>
        <v>46</v>
      </c>
      <c r="CT351" s="200"/>
      <c r="CU351" s="201"/>
      <c r="CV351" s="36"/>
      <c r="CW351" s="220"/>
      <c r="CX351" s="200"/>
      <c r="CY351" s="201"/>
      <c r="CZ351" s="36"/>
      <c r="DA351" s="220"/>
      <c r="DB351" s="122"/>
      <c r="DC351" s="201"/>
      <c r="DD351" s="36"/>
      <c r="DE351" s="297"/>
      <c r="DF351" s="297"/>
      <c r="DG351" s="396">
        <f>SUM(M351,AG351,BA351,BU351,DI351)-SUM(O351,AI351,BC351,BW351,CQ351)-L351</f>
        <v>-40</v>
      </c>
      <c r="DH351" s="30">
        <f t="shared" si="793"/>
        <v>46</v>
      </c>
      <c r="DI351" s="301">
        <f>DI346*2</f>
        <v>0</v>
      </c>
      <c r="DJ351" s="31">
        <f>DI351-DH351</f>
        <v>-46</v>
      </c>
      <c r="DK351" s="241"/>
      <c r="DL351" s="305">
        <f>DL346*2</f>
        <v>0</v>
      </c>
      <c r="DM351" s="36">
        <f>DH351+DK351-DL351</f>
        <v>46</v>
      </c>
    </row>
    <row r="352" spans="1:117" ht="15.75" thickBot="1" x14ac:dyDescent="0.3">
      <c r="B352" s="521"/>
      <c r="D352" s="522"/>
      <c r="E352" s="522"/>
      <c r="G352" s="523"/>
      <c r="P352" s="248"/>
      <c r="AJ352" s="248"/>
      <c r="BD352" s="248"/>
      <c r="BX352" s="248"/>
      <c r="CQ352" s="248"/>
      <c r="CR352" s="248"/>
      <c r="DK352" s="248"/>
      <c r="DL352" s="248"/>
    </row>
    <row r="353" spans="1:117" x14ac:dyDescent="0.25">
      <c r="A353" s="53"/>
      <c r="B353" s="52" t="s">
        <v>125</v>
      </c>
      <c r="C353" s="53"/>
      <c r="D353" s="51" t="s">
        <v>209</v>
      </c>
      <c r="E353" s="51"/>
      <c r="F353" s="338"/>
      <c r="G353" s="51"/>
      <c r="H353" s="54"/>
      <c r="I353" s="54"/>
      <c r="J353" s="53">
        <f>SUM(M353,AG353,BA353,BU353)</f>
        <v>22</v>
      </c>
      <c r="K353" s="53"/>
      <c r="L353" s="55"/>
      <c r="M353" s="56">
        <f>10+20-10</f>
        <v>20</v>
      </c>
      <c r="N353" s="56"/>
      <c r="O353" s="56"/>
      <c r="P353" s="243">
        <f>16+1+2+1</f>
        <v>20</v>
      </c>
      <c r="Q353" s="219"/>
      <c r="R353" s="119">
        <f>SUM(R354:R361)</f>
        <v>0</v>
      </c>
      <c r="S353" s="120">
        <f>SUM(S354:S361)</f>
        <v>0</v>
      </c>
      <c r="T353" s="57"/>
      <c r="U353" s="219"/>
      <c r="V353" s="119">
        <f>SUM(V354:V361)</f>
        <v>0</v>
      </c>
      <c r="W353" s="120">
        <f>SUM(W354:W361)</f>
        <v>0</v>
      </c>
      <c r="X353" s="57"/>
      <c r="Y353" s="219"/>
      <c r="Z353" s="119">
        <f>SUM(Z354:Z361)</f>
        <v>0</v>
      </c>
      <c r="AA353" s="120">
        <f>SUM(AA354:AA361)</f>
        <v>0</v>
      </c>
      <c r="AB353" s="57"/>
      <c r="AC353" s="230"/>
      <c r="AD353" s="230"/>
      <c r="AE353" s="53">
        <f>SUM(AG353,BA353,BU353)</f>
        <v>2</v>
      </c>
      <c r="AF353" s="55"/>
      <c r="AG353" s="56">
        <f>10-10+11-11</f>
        <v>0</v>
      </c>
      <c r="AH353" s="56"/>
      <c r="AI353" s="56"/>
      <c r="AJ353" s="243"/>
      <c r="AK353" s="230"/>
      <c r="AL353" s="119">
        <f>SUM(AL354:AL361)</f>
        <v>0</v>
      </c>
      <c r="AM353" s="120">
        <f>SUM(AM354:AM361)</f>
        <v>0</v>
      </c>
      <c r="AN353" s="57"/>
      <c r="AO353" s="219"/>
      <c r="AP353" s="119">
        <f>SUM(AP354:AP361)</f>
        <v>0</v>
      </c>
      <c r="AQ353" s="120">
        <f>SUM(AQ354:AQ361)</f>
        <v>0</v>
      </c>
      <c r="AR353" s="57"/>
      <c r="AS353" s="219"/>
      <c r="AT353" s="119">
        <f>SUM(AT354:AT361)</f>
        <v>0</v>
      </c>
      <c r="AU353" s="120">
        <f>SUM(AU354:AU361)</f>
        <v>0</v>
      </c>
      <c r="AV353" s="57"/>
      <c r="AW353" s="230"/>
      <c r="AX353" s="230"/>
      <c r="AY353" s="53">
        <f>SUM(BA353,BU353)</f>
        <v>2</v>
      </c>
      <c r="AZ353" s="55"/>
      <c r="BA353" s="56">
        <f>5-5+3-3+1</f>
        <v>1</v>
      </c>
      <c r="BB353" s="56"/>
      <c r="BC353" s="56"/>
      <c r="BD353" s="243">
        <f>4+1</f>
        <v>5</v>
      </c>
      <c r="BE353" s="219"/>
      <c r="BF353" s="119">
        <f>SUM(BF354:BF361)</f>
        <v>0</v>
      </c>
      <c r="BG353" s="120">
        <f>SUM(BG354:BG361)</f>
        <v>0</v>
      </c>
      <c r="BH353" s="57"/>
      <c r="BI353" s="219"/>
      <c r="BJ353" s="119">
        <f>SUM(BJ354:BJ361)</f>
        <v>0</v>
      </c>
      <c r="BK353" s="120">
        <f>SUM(BK354:BK361)</f>
        <v>0</v>
      </c>
      <c r="BL353" s="57"/>
      <c r="BM353" s="219"/>
      <c r="BN353" s="119">
        <f>SUM(BN354:BN361)</f>
        <v>0</v>
      </c>
      <c r="BO353" s="120">
        <f>SUM(BO354:BO361)</f>
        <v>0</v>
      </c>
      <c r="BP353" s="57"/>
      <c r="BQ353" s="230"/>
      <c r="BR353" s="230"/>
      <c r="BS353" s="53">
        <f>BU353</f>
        <v>1</v>
      </c>
      <c r="BT353" s="55"/>
      <c r="BU353" s="56">
        <f>2-2+1</f>
        <v>1</v>
      </c>
      <c r="BV353" s="56"/>
      <c r="BW353" s="56"/>
      <c r="BX353" s="243"/>
      <c r="BY353" s="219"/>
      <c r="BZ353" s="119">
        <f>SUM(BZ354:BZ361)</f>
        <v>0</v>
      </c>
      <c r="CA353" s="120">
        <f>SUM(CA354:CA361)</f>
        <v>0</v>
      </c>
      <c r="CB353" s="57"/>
      <c r="CC353" s="219"/>
      <c r="CD353" s="119">
        <f>SUM(CD354:CD361)</f>
        <v>271855</v>
      </c>
      <c r="CE353" s="120">
        <f>SUM(CE354:CE361)</f>
        <v>0</v>
      </c>
      <c r="CF353" s="57"/>
      <c r="CG353" s="219"/>
      <c r="CH353" s="119">
        <f>SUM(CH354:CH361)</f>
        <v>185.5</v>
      </c>
      <c r="CI353" s="120">
        <f>SUM(CI354:CI361)</f>
        <v>271855</v>
      </c>
      <c r="CJ353" s="57"/>
      <c r="CK353" s="230"/>
      <c r="CL353" s="230"/>
      <c r="CM353" s="53">
        <f>CO353</f>
        <v>0</v>
      </c>
      <c r="CN353" s="55"/>
      <c r="CO353" s="243"/>
      <c r="CP353" s="56"/>
      <c r="CQ353" s="56"/>
      <c r="CR353" s="243"/>
      <c r="CS353" s="230"/>
      <c r="CT353" s="119">
        <f>SUM(CT354:CT361)</f>
        <v>0</v>
      </c>
      <c r="CU353" s="120">
        <f>SUM(CU354:CU361)</f>
        <v>0</v>
      </c>
      <c r="CV353" s="57"/>
      <c r="CW353" s="219"/>
      <c r="CX353" s="119">
        <f>SUM(CX354:CX361)</f>
        <v>0</v>
      </c>
      <c r="CY353" s="120">
        <f>SUM(CY354:CY361)</f>
        <v>0</v>
      </c>
      <c r="CZ353" s="57"/>
      <c r="DA353" s="219"/>
      <c r="DB353" s="119">
        <f>SUM(DB354:DB361)</f>
        <v>0</v>
      </c>
      <c r="DC353" s="120">
        <f>SUM(DC354:DC361)</f>
        <v>244625</v>
      </c>
      <c r="DD353" s="57"/>
      <c r="DE353" s="230"/>
      <c r="DF353" s="230"/>
      <c r="DG353" s="53">
        <f>DI353</f>
        <v>0</v>
      </c>
      <c r="DH353" s="55"/>
      <c r="DI353" s="243"/>
      <c r="DJ353" s="56"/>
      <c r="DK353" s="56"/>
      <c r="DL353" s="243"/>
      <c r="DM353" s="230"/>
    </row>
    <row r="354" spans="1:117" x14ac:dyDescent="0.25">
      <c r="A354" s="18"/>
      <c r="B354" s="11" t="s">
        <v>215</v>
      </c>
      <c r="C354" s="18"/>
      <c r="D354" s="11"/>
      <c r="E354" s="11"/>
      <c r="F354" s="149"/>
      <c r="G354" s="11"/>
      <c r="H354" s="25"/>
      <c r="I354" s="25"/>
      <c r="J354" s="530">
        <f t="shared" ref="J354:J361" si="797">SUM(M354,AG354,BA354,BU354)-L354</f>
        <v>2</v>
      </c>
      <c r="K354" s="395">
        <f t="shared" ref="K354:K361" si="798">M354-O354-L354</f>
        <v>0</v>
      </c>
      <c r="L354" s="29">
        <v>0</v>
      </c>
      <c r="M354" s="298">
        <f>M353+0-M353</f>
        <v>0</v>
      </c>
      <c r="N354" s="5">
        <f t="shared" ref="N354:N361" si="799">M354-L354</f>
        <v>0</v>
      </c>
      <c r="O354" s="256"/>
      <c r="P354" s="240"/>
      <c r="Q354" s="35">
        <f t="shared" ref="Q354:Q361" si="800">L354+O354-P354</f>
        <v>0</v>
      </c>
      <c r="R354" s="121"/>
      <c r="S354" s="6"/>
      <c r="T354" s="35"/>
      <c r="U354" s="612"/>
      <c r="V354" s="121"/>
      <c r="W354" s="6"/>
      <c r="X354" s="35"/>
      <c r="Y354" s="612"/>
      <c r="Z354" s="21"/>
      <c r="AA354" s="6"/>
      <c r="AB354" s="35"/>
      <c r="AC354" s="231"/>
      <c r="AD354" s="231"/>
      <c r="AE354" s="398">
        <f t="shared" ref="AE354:AE361" si="801">SUM(M354,AG354)-SUM(O354,AI354)-L354</f>
        <v>0</v>
      </c>
      <c r="AF354" s="29">
        <f t="shared" ref="AF354:AF361" si="802">Q354</f>
        <v>0</v>
      </c>
      <c r="AG354" s="298">
        <f>AG353</f>
        <v>0</v>
      </c>
      <c r="AH354" s="5">
        <f t="shared" ref="AH354:AH361" si="803">AG354-AF354</f>
        <v>0</v>
      </c>
      <c r="AI354" s="256"/>
      <c r="AJ354" s="240"/>
      <c r="AK354" s="35">
        <f t="shared" ref="AK354:AK361" si="804">AF354+AI354-AJ354</f>
        <v>0</v>
      </c>
      <c r="AL354" s="121"/>
      <c r="AM354" s="6"/>
      <c r="AN354" s="35"/>
      <c r="AO354" s="612"/>
      <c r="AP354" s="121"/>
      <c r="AQ354" s="6"/>
      <c r="AR354" s="35"/>
      <c r="AS354" s="612"/>
      <c r="AT354" s="21"/>
      <c r="AU354" s="6"/>
      <c r="AV354" s="35"/>
      <c r="AW354" s="234"/>
      <c r="AX354" s="234"/>
      <c r="AY354" s="395">
        <f t="shared" ref="AY354:AY361" si="805">SUM(M354,AG354,BA354)-SUM(O354,AI354,BC354)-L354</f>
        <v>1</v>
      </c>
      <c r="AZ354" s="29">
        <f t="shared" ref="AZ354:AZ361" si="806">AK354</f>
        <v>0</v>
      </c>
      <c r="BA354" s="298">
        <f>BA353</f>
        <v>1</v>
      </c>
      <c r="BB354" s="5">
        <f t="shared" ref="BB354:BB361" si="807">BA354-AZ354</f>
        <v>1</v>
      </c>
      <c r="BC354" s="5"/>
      <c r="BD354" s="240"/>
      <c r="BE354" s="35">
        <f t="shared" ref="BE354:BE361" si="808">AZ354+BC354-BD354</f>
        <v>0</v>
      </c>
      <c r="BF354" s="121"/>
      <c r="BG354" s="6"/>
      <c r="BH354" s="35"/>
      <c r="BI354" s="612"/>
      <c r="BJ354" s="121"/>
      <c r="BK354" s="6"/>
      <c r="BL354" s="35"/>
      <c r="BM354" s="612"/>
      <c r="BN354" s="21"/>
      <c r="BO354" s="6"/>
      <c r="BP354" s="35"/>
      <c r="BQ354" s="234"/>
      <c r="BR354" s="234"/>
      <c r="BS354" s="395">
        <f t="shared" ref="BS354:BS361" si="809">SUM(M354,AG354,BA354,BU354)-SUM(O354,AI354,BC354,BW354)-L354</f>
        <v>-3</v>
      </c>
      <c r="BT354" s="29">
        <f t="shared" ref="BT354:BT361" si="810">BE354</f>
        <v>0</v>
      </c>
      <c r="BU354" s="298">
        <f>BU353</f>
        <v>1</v>
      </c>
      <c r="BV354" s="5">
        <f t="shared" ref="BV354:BV361" si="811">BU354-BT354</f>
        <v>1</v>
      </c>
      <c r="BW354" s="621">
        <v>5</v>
      </c>
      <c r="BX354" s="240"/>
      <c r="BY354" s="35">
        <f t="shared" ref="BY354:BY361" si="812">BT354+BW354-BX354</f>
        <v>5</v>
      </c>
      <c r="BZ354" s="121"/>
      <c r="CA354" s="6"/>
      <c r="CB354" s="35"/>
      <c r="CC354" s="612"/>
      <c r="CD354" s="121"/>
      <c r="CE354" s="6"/>
      <c r="CF354" s="625" t="s">
        <v>937</v>
      </c>
      <c r="CG354" s="787"/>
      <c r="CH354" s="21"/>
      <c r="CI354" s="6"/>
      <c r="CJ354" s="35"/>
      <c r="CK354" s="234"/>
      <c r="CL354" s="234"/>
      <c r="CM354" s="395">
        <f t="shared" ref="CM354:CM361" si="813">SUM(M354,AG354,BA354,BU354,CO354)-SUM(O354,AI354,BC354,BW354,CQ354)-L354</f>
        <v>-3</v>
      </c>
      <c r="CN354" s="32">
        <f t="shared" ref="CN354:CN361" si="814">BY354</f>
        <v>5</v>
      </c>
      <c r="CO354" s="302">
        <f>CO353</f>
        <v>0</v>
      </c>
      <c r="CP354" s="7">
        <f t="shared" ref="CP354:CP361" si="815">CO354-CN354</f>
        <v>-5</v>
      </c>
      <c r="CQ354" s="242"/>
      <c r="CR354" s="242"/>
      <c r="CS354" s="34">
        <f t="shared" ref="CS354:CS361" si="816">CN354+CQ354-CR354</f>
        <v>5</v>
      </c>
      <c r="CT354" s="123"/>
      <c r="CU354" s="8"/>
      <c r="CV354" s="34"/>
      <c r="CW354" s="713"/>
      <c r="CX354" s="123"/>
      <c r="CY354" s="8"/>
      <c r="CZ354" s="34"/>
      <c r="DA354" s="713"/>
      <c r="DB354" s="20"/>
      <c r="DC354" s="8"/>
      <c r="DD354" s="34"/>
      <c r="DE354" s="234"/>
      <c r="DF354" s="234"/>
      <c r="DG354" s="395">
        <f t="shared" ref="DG354:DG361" si="817">SUM(M354,AG354,BA354,BU354,DI354)-SUM(O354,AI354,BC354,BW354,CQ354)-L354</f>
        <v>-3</v>
      </c>
      <c r="DH354" s="32">
        <f t="shared" ref="DH354:DH361" si="818">BY354</f>
        <v>5</v>
      </c>
      <c r="DI354" s="302">
        <f>DI353</f>
        <v>0</v>
      </c>
      <c r="DJ354" s="7">
        <f t="shared" ref="DJ354:DJ361" si="819">DI354-DH354</f>
        <v>-5</v>
      </c>
      <c r="DK354" s="242"/>
      <c r="DL354" s="242"/>
      <c r="DM354" s="34">
        <f t="shared" ref="DM354:DM361" si="820">DH354+DK354-DL354</f>
        <v>5</v>
      </c>
    </row>
    <row r="355" spans="1:117" ht="45" x14ac:dyDescent="0.25">
      <c r="A355" s="18">
        <v>12535</v>
      </c>
      <c r="B355" s="15" t="s">
        <v>371</v>
      </c>
      <c r="C355" s="18">
        <v>1</v>
      </c>
      <c r="D355" s="370" t="s">
        <v>433</v>
      </c>
      <c r="E355" s="370"/>
      <c r="F355" s="568">
        <v>107600</v>
      </c>
      <c r="G355" s="11" t="s">
        <v>126</v>
      </c>
      <c r="H355" s="25" t="s">
        <v>127</v>
      </c>
      <c r="I355" s="25"/>
      <c r="J355" s="530">
        <f t="shared" si="797"/>
        <v>-9</v>
      </c>
      <c r="K355" s="395">
        <f t="shared" si="798"/>
        <v>-11</v>
      </c>
      <c r="L355" s="544">
        <v>33</v>
      </c>
      <c r="M355" s="298">
        <f>M353+M385+M432</f>
        <v>22</v>
      </c>
      <c r="N355" s="5">
        <f t="shared" si="799"/>
        <v>-11</v>
      </c>
      <c r="O355" s="256"/>
      <c r="P355" s="303">
        <f>P353+P385+P432</f>
        <v>22</v>
      </c>
      <c r="Q355" s="35">
        <f t="shared" si="800"/>
        <v>11</v>
      </c>
      <c r="R355" s="236"/>
      <c r="S355" s="210"/>
      <c r="T355" s="216"/>
      <c r="U355" s="707"/>
      <c r="V355" s="236"/>
      <c r="W355" s="210"/>
      <c r="X355" s="216"/>
      <c r="Y355" s="707"/>
      <c r="Z355" s="236"/>
      <c r="AA355" s="210"/>
      <c r="AB355" s="216"/>
      <c r="AC355" s="738"/>
      <c r="AD355" s="738"/>
      <c r="AE355" s="398">
        <f t="shared" si="801"/>
        <v>-11</v>
      </c>
      <c r="AF355" s="29">
        <f t="shared" si="802"/>
        <v>11</v>
      </c>
      <c r="AG355" s="298">
        <f>AG353+AG385+AG432</f>
        <v>0</v>
      </c>
      <c r="AH355" s="5">
        <f t="shared" si="803"/>
        <v>-11</v>
      </c>
      <c r="AI355" s="256"/>
      <c r="AJ355" s="303">
        <f>AJ353+AJ385+AJ432</f>
        <v>0</v>
      </c>
      <c r="AK355" s="35">
        <f t="shared" si="804"/>
        <v>11</v>
      </c>
      <c r="AL355" s="236"/>
      <c r="AM355" s="210"/>
      <c r="AN355" s="216"/>
      <c r="AO355" s="707"/>
      <c r="AP355" s="236"/>
      <c r="AQ355" s="210"/>
      <c r="AR355" s="216"/>
      <c r="AS355" s="707"/>
      <c r="AT355" s="21"/>
      <c r="AU355" s="6"/>
      <c r="AV355" s="35"/>
      <c r="AW355" s="234"/>
      <c r="AX355" s="234"/>
      <c r="AY355" s="395">
        <f t="shared" si="805"/>
        <v>-10</v>
      </c>
      <c r="AZ355" s="29">
        <f t="shared" si="806"/>
        <v>11</v>
      </c>
      <c r="BA355" s="298">
        <f>BA353+BA385+BA432</f>
        <v>1</v>
      </c>
      <c r="BB355" s="5">
        <f t="shared" si="807"/>
        <v>-10</v>
      </c>
      <c r="BC355" s="240"/>
      <c r="BD355" s="303">
        <f>BD353+BD385+BD432</f>
        <v>5</v>
      </c>
      <c r="BE355" s="35">
        <f t="shared" si="808"/>
        <v>6</v>
      </c>
      <c r="BF355" s="236"/>
      <c r="BG355" s="6"/>
      <c r="BH355" s="216"/>
      <c r="BI355" s="707"/>
      <c r="BJ355" s="236"/>
      <c r="BK355" s="210"/>
      <c r="BL355" s="216"/>
      <c r="BM355" s="707"/>
      <c r="BN355" s="21"/>
      <c r="BO355" s="6"/>
      <c r="BP355" s="216"/>
      <c r="BQ355" s="739"/>
      <c r="BR355" s="739"/>
      <c r="BS355" s="395">
        <f t="shared" si="809"/>
        <v>-14</v>
      </c>
      <c r="BT355" s="29">
        <f t="shared" si="810"/>
        <v>6</v>
      </c>
      <c r="BU355" s="298">
        <f>BU353+BU385+BU432</f>
        <v>1</v>
      </c>
      <c r="BV355" s="5">
        <f t="shared" si="811"/>
        <v>-5</v>
      </c>
      <c r="BW355" s="621">
        <v>5</v>
      </c>
      <c r="BX355" s="303">
        <f>BX353+BX385+BX432</f>
        <v>0</v>
      </c>
      <c r="BY355" s="35">
        <f t="shared" si="812"/>
        <v>11</v>
      </c>
      <c r="BZ355" s="21"/>
      <c r="CA355" s="6"/>
      <c r="CB355" s="216"/>
      <c r="CC355" s="707"/>
      <c r="CD355" s="666">
        <f>F355*BW355/2</f>
        <v>269000</v>
      </c>
      <c r="CE355" s="663"/>
      <c r="CF355" s="664" t="s">
        <v>813</v>
      </c>
      <c r="CG355" s="773"/>
      <c r="CH355" s="235"/>
      <c r="CI355" s="629">
        <f>538000/2</f>
        <v>269000</v>
      </c>
      <c r="CJ355" s="625" t="s">
        <v>922</v>
      </c>
      <c r="CK355" s="806"/>
      <c r="CL355" s="806"/>
      <c r="CM355" s="395">
        <f t="shared" si="813"/>
        <v>-14</v>
      </c>
      <c r="CN355" s="29">
        <f t="shared" si="814"/>
        <v>11</v>
      </c>
      <c r="CO355" s="298">
        <f>CO353+CO385+CO432</f>
        <v>0</v>
      </c>
      <c r="CP355" s="5">
        <f t="shared" si="815"/>
        <v>-11</v>
      </c>
      <c r="CQ355" s="240"/>
      <c r="CR355" s="303">
        <f>CR353+CR385+CR432</f>
        <v>0</v>
      </c>
      <c r="CS355" s="35">
        <f t="shared" si="816"/>
        <v>11</v>
      </c>
      <c r="CT355" s="236"/>
      <c r="CU355" s="210"/>
      <c r="CV355" s="216"/>
      <c r="CW355" s="707"/>
      <c r="CX355" s="21"/>
      <c r="CY355" s="6"/>
      <c r="CZ355" s="216"/>
      <c r="DA355" s="707"/>
      <c r="DB355" s="21"/>
      <c r="DC355" s="199">
        <v>244625</v>
      </c>
      <c r="DD355" s="148" t="s">
        <v>817</v>
      </c>
      <c r="DE355" s="807"/>
      <c r="DF355" s="807"/>
      <c r="DG355" s="395">
        <f t="shared" si="817"/>
        <v>-14</v>
      </c>
      <c r="DH355" s="29">
        <f t="shared" si="818"/>
        <v>11</v>
      </c>
      <c r="DI355" s="298">
        <f>DI353+DI385+DI432</f>
        <v>0</v>
      </c>
      <c r="DJ355" s="5">
        <f t="shared" si="819"/>
        <v>-11</v>
      </c>
      <c r="DK355" s="240"/>
      <c r="DL355" s="303">
        <f>DL353+DL385+DL432</f>
        <v>0</v>
      </c>
      <c r="DM355" s="35">
        <f t="shared" si="820"/>
        <v>11</v>
      </c>
    </row>
    <row r="356" spans="1:117" x14ac:dyDescent="0.25">
      <c r="A356" s="18"/>
      <c r="B356" s="15" t="s">
        <v>585</v>
      </c>
      <c r="C356" s="18">
        <v>1</v>
      </c>
      <c r="D356" s="15"/>
      <c r="E356" s="15"/>
      <c r="F356" s="149"/>
      <c r="G356" s="11" t="s">
        <v>198</v>
      </c>
      <c r="H356" s="25"/>
      <c r="I356" s="25"/>
      <c r="J356" s="530">
        <f t="shared" si="797"/>
        <v>-153</v>
      </c>
      <c r="K356" s="395">
        <f t="shared" si="798"/>
        <v>-155</v>
      </c>
      <c r="L356" s="544">
        <f>159+16</f>
        <v>175</v>
      </c>
      <c r="M356" s="298">
        <f>M353</f>
        <v>20</v>
      </c>
      <c r="N356" s="5">
        <f t="shared" ref="N356" si="821">M356-L356</f>
        <v>-155</v>
      </c>
      <c r="O356" s="256"/>
      <c r="P356" s="303">
        <f>P353</f>
        <v>20</v>
      </c>
      <c r="Q356" s="35">
        <f t="shared" ref="Q356" si="822">L356+O356-P356</f>
        <v>155</v>
      </c>
      <c r="R356" s="121" t="s">
        <v>219</v>
      </c>
      <c r="S356" s="6" t="s">
        <v>219</v>
      </c>
      <c r="T356" s="35"/>
      <c r="U356" s="612"/>
      <c r="V356" s="235"/>
      <c r="W356" s="6"/>
      <c r="X356" s="148"/>
      <c r="Y356" s="711"/>
      <c r="Z356" s="21"/>
      <c r="AA356" s="6"/>
      <c r="AB356" s="35"/>
      <c r="AC356" s="231"/>
      <c r="AD356" s="231"/>
      <c r="AE356" s="398">
        <f t="shared" si="801"/>
        <v>-155</v>
      </c>
      <c r="AF356" s="29">
        <f t="shared" si="802"/>
        <v>155</v>
      </c>
      <c r="AG356" s="298">
        <f>AG353</f>
        <v>0</v>
      </c>
      <c r="AH356" s="5">
        <f t="shared" ref="AH356" si="823">AG356-AF356</f>
        <v>-155</v>
      </c>
      <c r="AI356" s="256"/>
      <c r="AJ356" s="303">
        <f>AJ353</f>
        <v>0</v>
      </c>
      <c r="AK356" s="35">
        <f t="shared" ref="AK356" si="824">AF356+AI356-AJ356</f>
        <v>155</v>
      </c>
      <c r="AL356" s="21"/>
      <c r="AM356" s="6"/>
      <c r="AN356" s="35"/>
      <c r="AO356" s="612"/>
      <c r="AP356" s="235"/>
      <c r="AQ356" s="6"/>
      <c r="AR356" s="148"/>
      <c r="AS356" s="711"/>
      <c r="AT356" s="21"/>
      <c r="AU356" s="6"/>
      <c r="AV356" s="35"/>
      <c r="AW356" s="234"/>
      <c r="AX356" s="234"/>
      <c r="AY356" s="395">
        <f t="shared" si="805"/>
        <v>-154</v>
      </c>
      <c r="AZ356" s="29">
        <f t="shared" ref="AZ356" si="825">AK356</f>
        <v>155</v>
      </c>
      <c r="BA356" s="298">
        <f>BA353</f>
        <v>1</v>
      </c>
      <c r="BB356" s="5">
        <f t="shared" ref="BB356" si="826">BA356-AZ356</f>
        <v>-154</v>
      </c>
      <c r="BC356" s="5"/>
      <c r="BD356" s="303">
        <f>BD353</f>
        <v>5</v>
      </c>
      <c r="BE356" s="35">
        <f t="shared" ref="BE356" si="827">AZ356+BC356-BD356</f>
        <v>150</v>
      </c>
      <c r="BF356" s="121" t="s">
        <v>219</v>
      </c>
      <c r="BG356" s="6" t="s">
        <v>219</v>
      </c>
      <c r="BH356" s="35"/>
      <c r="BI356" s="612"/>
      <c r="BJ356" s="235"/>
      <c r="BK356" s="6"/>
      <c r="BL356" s="148"/>
      <c r="BM356" s="711"/>
      <c r="BN356" s="21"/>
      <c r="BO356" s="6"/>
      <c r="BP356" s="35"/>
      <c r="BQ356" s="234"/>
      <c r="BR356" s="234"/>
      <c r="BS356" s="395">
        <f t="shared" si="809"/>
        <v>-158</v>
      </c>
      <c r="BT356" s="29">
        <f t="shared" ref="BT356" si="828">BE356</f>
        <v>150</v>
      </c>
      <c r="BU356" s="298">
        <f>BU353</f>
        <v>1</v>
      </c>
      <c r="BV356" s="5">
        <f t="shared" ref="BV356" si="829">BU356-BT356</f>
        <v>-149</v>
      </c>
      <c r="BW356" s="621">
        <v>5</v>
      </c>
      <c r="BX356" s="303">
        <f>BX353</f>
        <v>0</v>
      </c>
      <c r="BY356" s="35">
        <f t="shared" ref="BY356" si="830">BT356+BW356-BX356</f>
        <v>155</v>
      </c>
      <c r="BZ356" s="121" t="s">
        <v>219</v>
      </c>
      <c r="CA356" s="6" t="s">
        <v>219</v>
      </c>
      <c r="CB356" s="35"/>
      <c r="CC356" s="612"/>
      <c r="CD356" s="235"/>
      <c r="CE356" s="6"/>
      <c r="CF356" s="625" t="s">
        <v>937</v>
      </c>
      <c r="CG356" s="787"/>
      <c r="CH356" s="235"/>
      <c r="CI356" s="199"/>
      <c r="CJ356" s="148"/>
      <c r="CK356" s="807"/>
      <c r="CL356" s="807"/>
      <c r="CM356" s="395">
        <f t="shared" si="813"/>
        <v>-158</v>
      </c>
      <c r="CN356" s="29">
        <f t="shared" ref="CN356" si="831">BY356</f>
        <v>155</v>
      </c>
      <c r="CO356" s="298">
        <f>CO353</f>
        <v>0</v>
      </c>
      <c r="CP356" s="5">
        <f t="shared" ref="CP356" si="832">CO356-CN356</f>
        <v>-155</v>
      </c>
      <c r="CQ356" s="240"/>
      <c r="CR356" s="303">
        <f>CR353</f>
        <v>0</v>
      </c>
      <c r="CS356" s="35">
        <f t="shared" ref="CS356" si="833">CN356+CQ356-CR356</f>
        <v>155</v>
      </c>
      <c r="CT356" s="121" t="s">
        <v>219</v>
      </c>
      <c r="CU356" s="6" t="s">
        <v>219</v>
      </c>
      <c r="CV356" s="35"/>
      <c r="CW356" s="612"/>
      <c r="CX356" s="235"/>
      <c r="CY356" s="6"/>
      <c r="CZ356" s="148"/>
      <c r="DA356" s="711"/>
      <c r="DB356" s="21"/>
      <c r="DC356" s="6"/>
      <c r="DD356" s="35"/>
      <c r="DE356" s="234"/>
      <c r="DF356" s="234"/>
      <c r="DG356" s="395">
        <f t="shared" si="817"/>
        <v>-158</v>
      </c>
      <c r="DH356" s="29">
        <f t="shared" si="818"/>
        <v>155</v>
      </c>
      <c r="DI356" s="298">
        <f>DI353</f>
        <v>0</v>
      </c>
      <c r="DJ356" s="5">
        <f t="shared" si="819"/>
        <v>-155</v>
      </c>
      <c r="DK356" s="240"/>
      <c r="DL356" s="303">
        <f>DL353</f>
        <v>0</v>
      </c>
      <c r="DM356" s="35">
        <f t="shared" si="820"/>
        <v>155</v>
      </c>
    </row>
    <row r="357" spans="1:117" x14ac:dyDescent="0.25">
      <c r="A357" s="18"/>
      <c r="B357" s="15" t="s">
        <v>586</v>
      </c>
      <c r="C357" s="18">
        <v>1</v>
      </c>
      <c r="D357" s="15"/>
      <c r="E357" s="15"/>
      <c r="F357" s="149"/>
      <c r="G357" s="11"/>
      <c r="H357" s="25"/>
      <c r="I357" s="25"/>
      <c r="J357" s="530">
        <f t="shared" si="797"/>
        <v>-6</v>
      </c>
      <c r="K357" s="395">
        <f t="shared" si="798"/>
        <v>-8</v>
      </c>
      <c r="L357" s="544">
        <f>12+16</f>
        <v>28</v>
      </c>
      <c r="M357" s="298">
        <f>M353</f>
        <v>20</v>
      </c>
      <c r="N357" s="5">
        <f t="shared" ref="N357" si="834">M357-L357</f>
        <v>-8</v>
      </c>
      <c r="O357" s="256"/>
      <c r="P357" s="303">
        <f>P353</f>
        <v>20</v>
      </c>
      <c r="Q357" s="35">
        <f t="shared" ref="Q357" si="835">L357+O357-P357</f>
        <v>8</v>
      </c>
      <c r="R357" s="121" t="s">
        <v>219</v>
      </c>
      <c r="S357" s="6" t="s">
        <v>219</v>
      </c>
      <c r="T357" s="35"/>
      <c r="U357" s="612"/>
      <c r="V357" s="235"/>
      <c r="W357" s="6"/>
      <c r="X357" s="148"/>
      <c r="Y357" s="711"/>
      <c r="Z357" s="21"/>
      <c r="AA357" s="6"/>
      <c r="AB357" s="35"/>
      <c r="AC357" s="231"/>
      <c r="AD357" s="231"/>
      <c r="AE357" s="398">
        <f t="shared" si="801"/>
        <v>-8</v>
      </c>
      <c r="AF357" s="29">
        <f t="shared" si="802"/>
        <v>8</v>
      </c>
      <c r="AG357" s="298">
        <f>AG353</f>
        <v>0</v>
      </c>
      <c r="AH357" s="5">
        <f t="shared" ref="AH357" si="836">AG357-AF357</f>
        <v>-8</v>
      </c>
      <c r="AI357" s="256"/>
      <c r="AJ357" s="303">
        <f>AJ353</f>
        <v>0</v>
      </c>
      <c r="AK357" s="35">
        <f t="shared" ref="AK357" si="837">AF357+AI357-AJ357</f>
        <v>8</v>
      </c>
      <c r="AL357" s="21"/>
      <c r="AM357" s="6"/>
      <c r="AN357" s="35"/>
      <c r="AO357" s="612"/>
      <c r="AP357" s="235"/>
      <c r="AQ357" s="6"/>
      <c r="AR357" s="148"/>
      <c r="AS357" s="711"/>
      <c r="AT357" s="21"/>
      <c r="AU357" s="6"/>
      <c r="AV357" s="35"/>
      <c r="AW357" s="234"/>
      <c r="AX357" s="234"/>
      <c r="AY357" s="395">
        <f t="shared" si="805"/>
        <v>-7</v>
      </c>
      <c r="AZ357" s="29">
        <f t="shared" ref="AZ357" si="838">AK357</f>
        <v>8</v>
      </c>
      <c r="BA357" s="298">
        <f>BA353</f>
        <v>1</v>
      </c>
      <c r="BB357" s="5">
        <f t="shared" ref="BB357" si="839">BA357-AZ357</f>
        <v>-7</v>
      </c>
      <c r="BC357" s="5"/>
      <c r="BD357" s="303">
        <f>BD353</f>
        <v>5</v>
      </c>
      <c r="BE357" s="35">
        <f t="shared" ref="BE357" si="840">AZ357+BC357-BD357</f>
        <v>3</v>
      </c>
      <c r="BF357" s="121" t="s">
        <v>219</v>
      </c>
      <c r="BG357" s="6" t="s">
        <v>219</v>
      </c>
      <c r="BH357" s="35"/>
      <c r="BI357" s="612"/>
      <c r="BJ357" s="235"/>
      <c r="BK357" s="6"/>
      <c r="BL357" s="148"/>
      <c r="BM357" s="711"/>
      <c r="BN357" s="21"/>
      <c r="BO357" s="6"/>
      <c r="BP357" s="35"/>
      <c r="BQ357" s="234"/>
      <c r="BR357" s="234"/>
      <c r="BS357" s="395">
        <f t="shared" si="809"/>
        <v>-11</v>
      </c>
      <c r="BT357" s="29">
        <f t="shared" ref="BT357" si="841">BE357</f>
        <v>3</v>
      </c>
      <c r="BU357" s="298">
        <f>BU353</f>
        <v>1</v>
      </c>
      <c r="BV357" s="5">
        <f t="shared" ref="BV357" si="842">BU357-BT357</f>
        <v>-2</v>
      </c>
      <c r="BW357" s="240">
        <v>5</v>
      </c>
      <c r="BX357" s="303">
        <f>BX353</f>
        <v>0</v>
      </c>
      <c r="BY357" s="35">
        <f t="shared" ref="BY357" si="843">BT357+BW357-BX357</f>
        <v>8</v>
      </c>
      <c r="BZ357" s="121" t="s">
        <v>219</v>
      </c>
      <c r="CA357" s="6" t="s">
        <v>219</v>
      </c>
      <c r="CB357" s="35"/>
      <c r="CC357" s="612"/>
      <c r="CD357" s="235"/>
      <c r="CE357" s="6"/>
      <c r="CF357" s="148"/>
      <c r="CG357" s="711"/>
      <c r="CH357" s="235"/>
      <c r="CI357" s="199"/>
      <c r="CJ357" s="148"/>
      <c r="CK357" s="807"/>
      <c r="CL357" s="807"/>
      <c r="CM357" s="395">
        <f t="shared" si="813"/>
        <v>-11</v>
      </c>
      <c r="CN357" s="29">
        <f t="shared" ref="CN357" si="844">BY357</f>
        <v>8</v>
      </c>
      <c r="CO357" s="298">
        <f>CO353</f>
        <v>0</v>
      </c>
      <c r="CP357" s="5">
        <f t="shared" ref="CP357" si="845">CO357-CN357</f>
        <v>-8</v>
      </c>
      <c r="CQ357" s="240"/>
      <c r="CR357" s="303">
        <f>CR353</f>
        <v>0</v>
      </c>
      <c r="CS357" s="35">
        <f t="shared" ref="CS357" si="846">CN357+CQ357-CR357</f>
        <v>8</v>
      </c>
      <c r="CT357" s="121" t="s">
        <v>219</v>
      </c>
      <c r="CU357" s="6" t="s">
        <v>219</v>
      </c>
      <c r="CV357" s="35"/>
      <c r="CW357" s="612"/>
      <c r="CX357" s="235"/>
      <c r="CY357" s="6"/>
      <c r="CZ357" s="148"/>
      <c r="DA357" s="711"/>
      <c r="DB357" s="21"/>
      <c r="DC357" s="6"/>
      <c r="DD357" s="35"/>
      <c r="DE357" s="234"/>
      <c r="DF357" s="234"/>
      <c r="DG357" s="395">
        <f t="shared" si="817"/>
        <v>-11</v>
      </c>
      <c r="DH357" s="29">
        <f t="shared" si="818"/>
        <v>8</v>
      </c>
      <c r="DI357" s="298">
        <f>DI353</f>
        <v>0</v>
      </c>
      <c r="DJ357" s="5">
        <f t="shared" si="819"/>
        <v>-8</v>
      </c>
      <c r="DK357" s="240"/>
      <c r="DL357" s="303">
        <f>DL353</f>
        <v>0</v>
      </c>
      <c r="DM357" s="35">
        <f t="shared" si="820"/>
        <v>8</v>
      </c>
    </row>
    <row r="358" spans="1:117" x14ac:dyDescent="0.25">
      <c r="A358" s="18">
        <v>12717</v>
      </c>
      <c r="B358" s="15" t="s">
        <v>218</v>
      </c>
      <c r="C358" s="18"/>
      <c r="D358" s="15"/>
      <c r="E358" s="15"/>
      <c r="F358" s="149"/>
      <c r="G358" s="11" t="s">
        <v>198</v>
      </c>
      <c r="H358" s="25"/>
      <c r="I358" s="25"/>
      <c r="J358" s="530">
        <f t="shared" si="797"/>
        <v>-14</v>
      </c>
      <c r="K358" s="395">
        <f t="shared" si="798"/>
        <v>-16</v>
      </c>
      <c r="L358" s="544">
        <f>20+16</f>
        <v>36</v>
      </c>
      <c r="M358" s="298">
        <f>M353</f>
        <v>20</v>
      </c>
      <c r="N358" s="5">
        <f t="shared" si="799"/>
        <v>-16</v>
      </c>
      <c r="O358" s="256"/>
      <c r="P358" s="303">
        <f>P353</f>
        <v>20</v>
      </c>
      <c r="Q358" s="35">
        <f t="shared" si="800"/>
        <v>16</v>
      </c>
      <c r="R358" s="121" t="s">
        <v>219</v>
      </c>
      <c r="S358" s="6" t="s">
        <v>219</v>
      </c>
      <c r="T358" s="35"/>
      <c r="U358" s="612"/>
      <c r="V358" s="235"/>
      <c r="W358" s="6"/>
      <c r="X358" s="148"/>
      <c r="Y358" s="711"/>
      <c r="Z358" s="21"/>
      <c r="AA358" s="6"/>
      <c r="AB358" s="35"/>
      <c r="AC358" s="231"/>
      <c r="AD358" s="231"/>
      <c r="AE358" s="398">
        <f t="shared" si="801"/>
        <v>-16</v>
      </c>
      <c r="AF358" s="29">
        <f t="shared" si="802"/>
        <v>16</v>
      </c>
      <c r="AG358" s="298">
        <f>AG353</f>
        <v>0</v>
      </c>
      <c r="AH358" s="5">
        <f t="shared" si="803"/>
        <v>-16</v>
      </c>
      <c r="AI358" s="256"/>
      <c r="AJ358" s="303">
        <f>AJ353</f>
        <v>0</v>
      </c>
      <c r="AK358" s="35">
        <f t="shared" si="804"/>
        <v>16</v>
      </c>
      <c r="AL358" s="21"/>
      <c r="AM358" s="6"/>
      <c r="AN358" s="35"/>
      <c r="AO358" s="612"/>
      <c r="AP358" s="235"/>
      <c r="AQ358" s="6"/>
      <c r="AR358" s="148"/>
      <c r="AS358" s="711"/>
      <c r="AT358" s="21"/>
      <c r="AU358" s="6"/>
      <c r="AV358" s="35"/>
      <c r="AW358" s="234"/>
      <c r="AX358" s="234"/>
      <c r="AY358" s="395">
        <f t="shared" si="805"/>
        <v>-15</v>
      </c>
      <c r="AZ358" s="29">
        <f t="shared" si="806"/>
        <v>16</v>
      </c>
      <c r="BA358" s="298">
        <f>BA353</f>
        <v>1</v>
      </c>
      <c r="BB358" s="5">
        <f t="shared" si="807"/>
        <v>-15</v>
      </c>
      <c r="BC358" s="5"/>
      <c r="BD358" s="303">
        <f>BD353</f>
        <v>5</v>
      </c>
      <c r="BE358" s="35">
        <f t="shared" si="808"/>
        <v>11</v>
      </c>
      <c r="BF358" s="121" t="s">
        <v>219</v>
      </c>
      <c r="BG358" s="6" t="s">
        <v>219</v>
      </c>
      <c r="BH358" s="35"/>
      <c r="BI358" s="612"/>
      <c r="BJ358" s="235"/>
      <c r="BK358" s="6"/>
      <c r="BL358" s="148"/>
      <c r="BM358" s="711"/>
      <c r="BN358" s="21"/>
      <c r="BO358" s="6"/>
      <c r="BP358" s="35"/>
      <c r="BQ358" s="234"/>
      <c r="BR358" s="234"/>
      <c r="BS358" s="395">
        <f t="shared" si="809"/>
        <v>-19</v>
      </c>
      <c r="BT358" s="29">
        <f t="shared" si="810"/>
        <v>11</v>
      </c>
      <c r="BU358" s="298">
        <f>BU353</f>
        <v>1</v>
      </c>
      <c r="BV358" s="5">
        <f t="shared" si="811"/>
        <v>-10</v>
      </c>
      <c r="BW358" s="621">
        <v>5</v>
      </c>
      <c r="BX358" s="303">
        <f>BX353</f>
        <v>0</v>
      </c>
      <c r="BY358" s="35">
        <f t="shared" si="812"/>
        <v>16</v>
      </c>
      <c r="BZ358" s="121" t="s">
        <v>219</v>
      </c>
      <c r="CA358" s="6" t="s">
        <v>219</v>
      </c>
      <c r="CB358" s="35"/>
      <c r="CC358" s="612"/>
      <c r="CD358" s="235"/>
      <c r="CE358" s="6"/>
      <c r="CF358" s="625" t="s">
        <v>937</v>
      </c>
      <c r="CG358" s="787"/>
      <c r="CH358" s="235"/>
      <c r="CI358" s="199"/>
      <c r="CJ358" s="148"/>
      <c r="CK358" s="807"/>
      <c r="CL358" s="807"/>
      <c r="CM358" s="395">
        <f t="shared" si="813"/>
        <v>-19</v>
      </c>
      <c r="CN358" s="29">
        <f t="shared" si="814"/>
        <v>16</v>
      </c>
      <c r="CO358" s="298">
        <f>CO353</f>
        <v>0</v>
      </c>
      <c r="CP358" s="5">
        <f t="shared" si="815"/>
        <v>-16</v>
      </c>
      <c r="CQ358" s="240"/>
      <c r="CR358" s="303">
        <f>CR353</f>
        <v>0</v>
      </c>
      <c r="CS358" s="35">
        <f t="shared" si="816"/>
        <v>16</v>
      </c>
      <c r="CT358" s="121" t="s">
        <v>219</v>
      </c>
      <c r="CU358" s="6" t="s">
        <v>219</v>
      </c>
      <c r="CV358" s="35"/>
      <c r="CW358" s="612"/>
      <c r="CX358" s="235"/>
      <c r="CY358" s="6"/>
      <c r="CZ358" s="148"/>
      <c r="DA358" s="711"/>
      <c r="DB358" s="21"/>
      <c r="DC358" s="6"/>
      <c r="DD358" s="35"/>
      <c r="DE358" s="234"/>
      <c r="DF358" s="234"/>
      <c r="DG358" s="395">
        <f t="shared" si="817"/>
        <v>-19</v>
      </c>
      <c r="DH358" s="29">
        <f t="shared" si="818"/>
        <v>16</v>
      </c>
      <c r="DI358" s="298">
        <f>DI353</f>
        <v>0</v>
      </c>
      <c r="DJ358" s="5">
        <f t="shared" si="819"/>
        <v>-16</v>
      </c>
      <c r="DK358" s="240"/>
      <c r="DL358" s="303">
        <f>DL353</f>
        <v>0</v>
      </c>
      <c r="DM358" s="35">
        <f t="shared" si="820"/>
        <v>16</v>
      </c>
    </row>
    <row r="359" spans="1:117" x14ac:dyDescent="0.25">
      <c r="A359" s="18">
        <v>12836</v>
      </c>
      <c r="B359" s="11" t="s">
        <v>943</v>
      </c>
      <c r="C359" s="18">
        <v>1</v>
      </c>
      <c r="D359" s="11"/>
      <c r="E359" s="11"/>
      <c r="F359" s="568">
        <v>1142</v>
      </c>
      <c r="G359" s="11" t="s">
        <v>33</v>
      </c>
      <c r="H359" s="25" t="s">
        <v>11</v>
      </c>
      <c r="I359" s="25"/>
      <c r="J359" s="530">
        <f t="shared" si="797"/>
        <v>-18</v>
      </c>
      <c r="K359" s="395">
        <f t="shared" si="798"/>
        <v>-20</v>
      </c>
      <c r="L359" s="544">
        <f>24+16</f>
        <v>40</v>
      </c>
      <c r="M359" s="298">
        <f>M353</f>
        <v>20</v>
      </c>
      <c r="N359" s="5">
        <f t="shared" si="799"/>
        <v>-20</v>
      </c>
      <c r="O359" s="242"/>
      <c r="P359" s="303">
        <f>P353</f>
        <v>20</v>
      </c>
      <c r="Q359" s="35">
        <f t="shared" si="800"/>
        <v>20</v>
      </c>
      <c r="R359" s="121"/>
      <c r="S359" s="6"/>
      <c r="T359" s="35"/>
      <c r="U359" s="612"/>
      <c r="V359" s="121"/>
      <c r="W359" s="6"/>
      <c r="X359" s="35"/>
      <c r="Y359" s="612"/>
      <c r="Z359" s="121"/>
      <c r="AA359" s="6"/>
      <c r="AB359" s="35"/>
      <c r="AC359" s="231"/>
      <c r="AD359" s="231"/>
      <c r="AE359" s="398">
        <f t="shared" si="801"/>
        <v>-20</v>
      </c>
      <c r="AF359" s="29">
        <f t="shared" si="802"/>
        <v>20</v>
      </c>
      <c r="AG359" s="298">
        <f>AG353</f>
        <v>0</v>
      </c>
      <c r="AH359" s="5">
        <f t="shared" si="803"/>
        <v>-20</v>
      </c>
      <c r="AI359" s="258"/>
      <c r="AJ359" s="303">
        <f>AJ353</f>
        <v>0</v>
      </c>
      <c r="AK359" s="35">
        <f t="shared" si="804"/>
        <v>20</v>
      </c>
      <c r="AL359" s="121"/>
      <c r="AM359" s="6"/>
      <c r="AN359" s="35"/>
      <c r="AO359" s="612"/>
      <c r="AP359" s="21"/>
      <c r="AQ359" s="6"/>
      <c r="AR359" s="35"/>
      <c r="AS359" s="612"/>
      <c r="AT359" s="21"/>
      <c r="AU359" s="6"/>
      <c r="AV359" s="35"/>
      <c r="AW359" s="234"/>
      <c r="AX359" s="234"/>
      <c r="AY359" s="395">
        <f t="shared" si="805"/>
        <v>-19</v>
      </c>
      <c r="AZ359" s="29">
        <f t="shared" si="806"/>
        <v>20</v>
      </c>
      <c r="BA359" s="298">
        <f>BA353</f>
        <v>1</v>
      </c>
      <c r="BB359" s="5">
        <f t="shared" si="807"/>
        <v>-19</v>
      </c>
      <c r="BC359" s="256"/>
      <c r="BD359" s="303">
        <f>BD353</f>
        <v>5</v>
      </c>
      <c r="BE359" s="35">
        <f t="shared" si="808"/>
        <v>15</v>
      </c>
      <c r="BF359" s="121"/>
      <c r="BG359" s="6"/>
      <c r="BH359" s="35"/>
      <c r="BI359" s="612"/>
      <c r="BJ359" s="121"/>
      <c r="BK359" s="6"/>
      <c r="BL359" s="35"/>
      <c r="BM359" s="612"/>
      <c r="BN359" s="21"/>
      <c r="BO359" s="6"/>
      <c r="BP359" s="35"/>
      <c r="BQ359" s="234"/>
      <c r="BR359" s="234"/>
      <c r="BS359" s="395">
        <f t="shared" si="809"/>
        <v>-23</v>
      </c>
      <c r="BT359" s="29">
        <f t="shared" si="810"/>
        <v>15</v>
      </c>
      <c r="BU359" s="298">
        <f>BU353</f>
        <v>1</v>
      </c>
      <c r="BV359" s="5">
        <f t="shared" si="811"/>
        <v>-14</v>
      </c>
      <c r="BW359" s="621">
        <v>5</v>
      </c>
      <c r="BX359" s="303">
        <f>BX353</f>
        <v>0</v>
      </c>
      <c r="BY359" s="35">
        <f t="shared" si="812"/>
        <v>20</v>
      </c>
      <c r="BZ359" s="121"/>
      <c r="CA359" s="6"/>
      <c r="CB359" s="35"/>
      <c r="CC359" s="612"/>
      <c r="CD359" s="668">
        <f>F359*BW359/2</f>
        <v>2855</v>
      </c>
      <c r="CE359" s="663"/>
      <c r="CF359" s="664" t="s">
        <v>813</v>
      </c>
      <c r="CG359" s="773"/>
      <c r="CH359" s="235"/>
      <c r="CI359" s="629">
        <v>2855</v>
      </c>
      <c r="CJ359" s="625" t="s">
        <v>818</v>
      </c>
      <c r="CK359" s="806"/>
      <c r="CL359" s="806"/>
      <c r="CM359" s="395">
        <f t="shared" si="813"/>
        <v>-23</v>
      </c>
      <c r="CN359" s="29">
        <f t="shared" si="814"/>
        <v>20</v>
      </c>
      <c r="CO359" s="298">
        <f>CO353</f>
        <v>0</v>
      </c>
      <c r="CP359" s="5">
        <f t="shared" si="815"/>
        <v>-20</v>
      </c>
      <c r="CQ359" s="240"/>
      <c r="CR359" s="303">
        <f>CR353</f>
        <v>0</v>
      </c>
      <c r="CS359" s="35">
        <f t="shared" si="816"/>
        <v>20</v>
      </c>
      <c r="CT359" s="121"/>
      <c r="CU359" s="235"/>
      <c r="CV359" s="35"/>
      <c r="CW359" s="612"/>
      <c r="CX359" s="121"/>
      <c r="CY359" s="6"/>
      <c r="CZ359" s="35"/>
      <c r="DA359" s="612"/>
      <c r="DB359" s="21"/>
      <c r="DC359" s="6"/>
      <c r="DD359" s="35"/>
      <c r="DE359" s="234"/>
      <c r="DF359" s="234"/>
      <c r="DG359" s="395">
        <f t="shared" si="817"/>
        <v>-23</v>
      </c>
      <c r="DH359" s="29">
        <f t="shared" si="818"/>
        <v>20</v>
      </c>
      <c r="DI359" s="298">
        <f>DI353</f>
        <v>0</v>
      </c>
      <c r="DJ359" s="5">
        <f t="shared" si="819"/>
        <v>-20</v>
      </c>
      <c r="DK359" s="240"/>
      <c r="DL359" s="303">
        <f>DL353</f>
        <v>0</v>
      </c>
      <c r="DM359" s="35">
        <f t="shared" si="820"/>
        <v>20</v>
      </c>
    </row>
    <row r="360" spans="1:117" x14ac:dyDescent="0.25">
      <c r="A360" s="75"/>
      <c r="B360" s="74" t="s">
        <v>354</v>
      </c>
      <c r="C360" s="75">
        <v>1</v>
      </c>
      <c r="D360" s="74"/>
      <c r="E360" s="74"/>
      <c r="F360" s="275">
        <v>13.3</v>
      </c>
      <c r="G360" s="109" t="s">
        <v>757</v>
      </c>
      <c r="H360" s="77"/>
      <c r="I360" s="77"/>
      <c r="J360" s="530">
        <f t="shared" si="797"/>
        <v>-63</v>
      </c>
      <c r="K360" s="395">
        <f t="shared" si="798"/>
        <v>-65</v>
      </c>
      <c r="L360" s="544">
        <f>69+16</f>
        <v>85</v>
      </c>
      <c r="M360" s="299">
        <f>M353</f>
        <v>20</v>
      </c>
      <c r="N360" s="5">
        <f t="shared" si="799"/>
        <v>-65</v>
      </c>
      <c r="O360" s="258"/>
      <c r="P360" s="376">
        <f>P353</f>
        <v>20</v>
      </c>
      <c r="Q360" s="35">
        <f t="shared" si="800"/>
        <v>65</v>
      </c>
      <c r="R360" s="129"/>
      <c r="S360" s="130"/>
      <c r="T360" s="79"/>
      <c r="U360" s="712"/>
      <c r="V360" s="129"/>
      <c r="W360" s="130"/>
      <c r="X360" s="79"/>
      <c r="Y360" s="712"/>
      <c r="Z360" s="131"/>
      <c r="AA360" s="130"/>
      <c r="AB360" s="79"/>
      <c r="AC360" s="233"/>
      <c r="AD360" s="233"/>
      <c r="AE360" s="398">
        <f t="shared" si="801"/>
        <v>-65</v>
      </c>
      <c r="AF360" s="29">
        <f t="shared" si="802"/>
        <v>65</v>
      </c>
      <c r="AG360" s="299">
        <f>AG353</f>
        <v>0</v>
      </c>
      <c r="AH360" s="5">
        <f t="shared" si="803"/>
        <v>-65</v>
      </c>
      <c r="AI360" s="277"/>
      <c r="AJ360" s="376">
        <f>AJ353</f>
        <v>0</v>
      </c>
      <c r="AK360" s="35">
        <f t="shared" si="804"/>
        <v>65</v>
      </c>
      <c r="AL360" s="129"/>
      <c r="AM360" s="130"/>
      <c r="AN360" s="79"/>
      <c r="AO360" s="712"/>
      <c r="AP360" s="129"/>
      <c r="AQ360" s="130"/>
      <c r="AR360" s="79"/>
      <c r="AS360" s="712"/>
      <c r="AT360" s="131"/>
      <c r="AU360" s="130"/>
      <c r="AV360" s="79"/>
      <c r="AW360" s="619"/>
      <c r="AX360" s="619"/>
      <c r="AY360" s="395">
        <f t="shared" si="805"/>
        <v>-64</v>
      </c>
      <c r="AZ360" s="29">
        <f t="shared" si="806"/>
        <v>65</v>
      </c>
      <c r="BA360" s="299">
        <f>BA353</f>
        <v>1</v>
      </c>
      <c r="BB360" s="5">
        <f t="shared" si="807"/>
        <v>-64</v>
      </c>
      <c r="BC360" s="277"/>
      <c r="BD360" s="376">
        <f>BD353</f>
        <v>5</v>
      </c>
      <c r="BE360" s="35">
        <f t="shared" si="808"/>
        <v>60</v>
      </c>
      <c r="BF360" s="129"/>
      <c r="BG360" s="130"/>
      <c r="BH360" s="79"/>
      <c r="BI360" s="712"/>
      <c r="BJ360" s="129"/>
      <c r="BK360" s="130"/>
      <c r="BL360" s="79"/>
      <c r="BM360" s="712"/>
      <c r="BN360" s="131"/>
      <c r="BO360" s="130"/>
      <c r="BP360" s="79"/>
      <c r="BQ360" s="619"/>
      <c r="BR360" s="619"/>
      <c r="BS360" s="395">
        <f t="shared" si="809"/>
        <v>-68</v>
      </c>
      <c r="BT360" s="29">
        <f t="shared" si="810"/>
        <v>60</v>
      </c>
      <c r="BU360" s="299">
        <f>BU353</f>
        <v>1</v>
      </c>
      <c r="BV360" s="5">
        <f t="shared" si="811"/>
        <v>-59</v>
      </c>
      <c r="BW360" s="244">
        <v>5</v>
      </c>
      <c r="BX360" s="376">
        <f>BX353</f>
        <v>0</v>
      </c>
      <c r="BY360" s="35">
        <f t="shared" si="812"/>
        <v>65</v>
      </c>
      <c r="BZ360" s="129"/>
      <c r="CA360" s="130"/>
      <c r="CB360" s="79"/>
      <c r="CC360" s="712"/>
      <c r="CD360" s="129"/>
      <c r="CE360" s="130"/>
      <c r="CF360" s="79"/>
      <c r="CG360" s="712"/>
      <c r="CH360" s="235">
        <f>BW360*F360</f>
        <v>66.5</v>
      </c>
      <c r="CI360" s="292"/>
      <c r="CJ360" s="148" t="s">
        <v>818</v>
      </c>
      <c r="CK360" s="807"/>
      <c r="CL360" s="807"/>
      <c r="CM360" s="395">
        <f t="shared" si="813"/>
        <v>-68</v>
      </c>
      <c r="CN360" s="29">
        <f t="shared" si="814"/>
        <v>65</v>
      </c>
      <c r="CO360" s="299">
        <f>CO353</f>
        <v>0</v>
      </c>
      <c r="CP360" s="5">
        <f t="shared" si="815"/>
        <v>-65</v>
      </c>
      <c r="CQ360" s="244"/>
      <c r="CR360" s="376">
        <f>CR353</f>
        <v>0</v>
      </c>
      <c r="CS360" s="35">
        <f t="shared" si="816"/>
        <v>65</v>
      </c>
      <c r="CT360" s="129"/>
      <c r="CU360" s="235"/>
      <c r="CV360" s="79"/>
      <c r="CW360" s="712"/>
      <c r="CX360" s="129"/>
      <c r="CY360" s="130"/>
      <c r="CZ360" s="79"/>
      <c r="DA360" s="712"/>
      <c r="DB360" s="131"/>
      <c r="DC360" s="130"/>
      <c r="DD360" s="79"/>
      <c r="DE360" s="619"/>
      <c r="DF360" s="619"/>
      <c r="DG360" s="395">
        <f t="shared" si="817"/>
        <v>-68</v>
      </c>
      <c r="DH360" s="29">
        <f t="shared" si="818"/>
        <v>65</v>
      </c>
      <c r="DI360" s="299">
        <f>DI353</f>
        <v>0</v>
      </c>
      <c r="DJ360" s="5">
        <f t="shared" si="819"/>
        <v>-65</v>
      </c>
      <c r="DK360" s="244"/>
      <c r="DL360" s="376">
        <f>DL353</f>
        <v>0</v>
      </c>
      <c r="DM360" s="35">
        <f t="shared" si="820"/>
        <v>65</v>
      </c>
    </row>
    <row r="361" spans="1:117" ht="30.75" thickBot="1" x14ac:dyDescent="0.3">
      <c r="A361" s="19">
        <v>12838</v>
      </c>
      <c r="B361" s="12" t="s">
        <v>610</v>
      </c>
      <c r="C361" s="19" t="s">
        <v>51</v>
      </c>
      <c r="D361" s="320" t="s">
        <v>533</v>
      </c>
      <c r="E361" s="320"/>
      <c r="F361" s="146">
        <v>23.8</v>
      </c>
      <c r="G361" s="386" t="s">
        <v>757</v>
      </c>
      <c r="H361" s="28" t="s">
        <v>11</v>
      </c>
      <c r="I361" s="28"/>
      <c r="J361" s="531">
        <f t="shared" si="797"/>
        <v>-33</v>
      </c>
      <c r="K361" s="396">
        <f t="shared" si="798"/>
        <v>-35</v>
      </c>
      <c r="L361" s="545">
        <f>39+16</f>
        <v>55</v>
      </c>
      <c r="M361" s="301">
        <f>M353</f>
        <v>20</v>
      </c>
      <c r="N361" s="31">
        <f t="shared" si="799"/>
        <v>-35</v>
      </c>
      <c r="O361" s="284"/>
      <c r="P361" s="305">
        <f>P353</f>
        <v>20</v>
      </c>
      <c r="Q361" s="36">
        <f t="shared" si="800"/>
        <v>35</v>
      </c>
      <c r="R361" s="200"/>
      <c r="S361" s="201"/>
      <c r="T361" s="36"/>
      <c r="U361" s="220"/>
      <c r="V361" s="200"/>
      <c r="W361" s="201"/>
      <c r="X361" s="36"/>
      <c r="Y361" s="220"/>
      <c r="Z361" s="122"/>
      <c r="AA361" s="201"/>
      <c r="AB361" s="36"/>
      <c r="AC361" s="232"/>
      <c r="AD361" s="232"/>
      <c r="AE361" s="399">
        <f t="shared" si="801"/>
        <v>-35</v>
      </c>
      <c r="AF361" s="30">
        <f t="shared" si="802"/>
        <v>35</v>
      </c>
      <c r="AG361" s="301">
        <f>AG353</f>
        <v>0</v>
      </c>
      <c r="AH361" s="31">
        <f t="shared" si="803"/>
        <v>-35</v>
      </c>
      <c r="AI361" s="241"/>
      <c r="AJ361" s="305">
        <f>AJ353</f>
        <v>0</v>
      </c>
      <c r="AK361" s="36">
        <f t="shared" si="804"/>
        <v>35</v>
      </c>
      <c r="AL361" s="200"/>
      <c r="AM361" s="201"/>
      <c r="AN361" s="36"/>
      <c r="AO361" s="220"/>
      <c r="AP361" s="200"/>
      <c r="AQ361" s="201"/>
      <c r="AR361" s="36"/>
      <c r="AS361" s="220"/>
      <c r="AT361" s="122"/>
      <c r="AU361" s="201"/>
      <c r="AV361" s="36"/>
      <c r="AW361" s="297"/>
      <c r="AX361" s="297"/>
      <c r="AY361" s="396">
        <f t="shared" si="805"/>
        <v>-34</v>
      </c>
      <c r="AZ361" s="30">
        <f t="shared" si="806"/>
        <v>35</v>
      </c>
      <c r="BA361" s="301">
        <f>BA353</f>
        <v>1</v>
      </c>
      <c r="BB361" s="31">
        <f t="shared" si="807"/>
        <v>-34</v>
      </c>
      <c r="BC361" s="241"/>
      <c r="BD361" s="305">
        <f>BD353</f>
        <v>5</v>
      </c>
      <c r="BE361" s="36">
        <f t="shared" si="808"/>
        <v>30</v>
      </c>
      <c r="BF361" s="200"/>
      <c r="BG361" s="201"/>
      <c r="BH361" s="36"/>
      <c r="BI361" s="220"/>
      <c r="BJ361" s="200"/>
      <c r="BK361" s="201"/>
      <c r="BL361" s="36"/>
      <c r="BM361" s="220"/>
      <c r="BN361" s="122"/>
      <c r="BO361" s="201"/>
      <c r="BP361" s="36"/>
      <c r="BQ361" s="297"/>
      <c r="BR361" s="297"/>
      <c r="BS361" s="396">
        <f t="shared" si="809"/>
        <v>-38</v>
      </c>
      <c r="BT361" s="30">
        <f t="shared" si="810"/>
        <v>30</v>
      </c>
      <c r="BU361" s="301">
        <f>BU353</f>
        <v>1</v>
      </c>
      <c r="BV361" s="31">
        <f t="shared" si="811"/>
        <v>-29</v>
      </c>
      <c r="BW361" s="241">
        <v>5</v>
      </c>
      <c r="BX361" s="305">
        <f>BX353</f>
        <v>0</v>
      </c>
      <c r="BY361" s="36">
        <f t="shared" si="812"/>
        <v>35</v>
      </c>
      <c r="BZ361" s="200"/>
      <c r="CA361" s="201"/>
      <c r="CB361" s="36"/>
      <c r="CC361" s="220"/>
      <c r="CD361" s="200"/>
      <c r="CE361" s="201"/>
      <c r="CF361" s="36"/>
      <c r="CG361" s="712"/>
      <c r="CH361" s="235">
        <f>BW361*F361</f>
        <v>119</v>
      </c>
      <c r="CI361" s="217"/>
      <c r="CJ361" s="148" t="s">
        <v>818</v>
      </c>
      <c r="CK361" s="810"/>
      <c r="CL361" s="810"/>
      <c r="CM361" s="396">
        <f t="shared" si="813"/>
        <v>-38</v>
      </c>
      <c r="CN361" s="30">
        <f t="shared" si="814"/>
        <v>35</v>
      </c>
      <c r="CO361" s="301">
        <f>CO353</f>
        <v>0</v>
      </c>
      <c r="CP361" s="31">
        <f t="shared" si="815"/>
        <v>-35</v>
      </c>
      <c r="CQ361" s="241"/>
      <c r="CR361" s="305">
        <f>CR353</f>
        <v>0</v>
      </c>
      <c r="CS361" s="36">
        <f t="shared" si="816"/>
        <v>35</v>
      </c>
      <c r="CT361" s="200"/>
      <c r="CU361" s="235"/>
      <c r="CV361" s="36"/>
      <c r="CW361" s="220"/>
      <c r="CX361" s="200"/>
      <c r="CY361" s="201"/>
      <c r="CZ361" s="36"/>
      <c r="DA361" s="220"/>
      <c r="DB361" s="122"/>
      <c r="DC361" s="201"/>
      <c r="DD361" s="36"/>
      <c r="DE361" s="297"/>
      <c r="DF361" s="297"/>
      <c r="DG361" s="396">
        <f t="shared" si="817"/>
        <v>-38</v>
      </c>
      <c r="DH361" s="30">
        <f t="shared" si="818"/>
        <v>35</v>
      </c>
      <c r="DI361" s="301">
        <f>DI353</f>
        <v>0</v>
      </c>
      <c r="DJ361" s="31">
        <f t="shared" si="819"/>
        <v>-35</v>
      </c>
      <c r="DK361" s="241"/>
      <c r="DL361" s="305">
        <f>DL353</f>
        <v>0</v>
      </c>
      <c r="DM361" s="36">
        <f t="shared" si="820"/>
        <v>35</v>
      </c>
    </row>
    <row r="362" spans="1:117" ht="15.75" thickBot="1" x14ac:dyDescent="0.3">
      <c r="P362" s="248"/>
      <c r="AJ362" s="248"/>
      <c r="BD362" s="248"/>
      <c r="BX362" s="248"/>
      <c r="CR362" s="248"/>
      <c r="DL362" s="248"/>
    </row>
    <row r="363" spans="1:117" x14ac:dyDescent="0.25">
      <c r="A363" s="53"/>
      <c r="B363" s="58" t="s">
        <v>130</v>
      </c>
      <c r="C363" s="53"/>
      <c r="D363" s="51"/>
      <c r="E363" s="51"/>
      <c r="F363" s="338"/>
      <c r="G363" s="51"/>
      <c r="H363" s="54"/>
      <c r="I363" s="54"/>
      <c r="J363" s="54">
        <f>SUM(M363,AG363,BA363,BU363)</f>
        <v>10</v>
      </c>
      <c r="K363" s="53"/>
      <c r="L363" s="55"/>
      <c r="M363" s="56">
        <f>1+2-1</f>
        <v>2</v>
      </c>
      <c r="N363" s="56"/>
      <c r="O363" s="56"/>
      <c r="P363" s="243">
        <f>1+1</f>
        <v>2</v>
      </c>
      <c r="Q363" s="230"/>
      <c r="R363" s="119">
        <f>SUM(R364:R378)</f>
        <v>301817.5</v>
      </c>
      <c r="S363" s="120">
        <f>SUM(S364:S378)</f>
        <v>0</v>
      </c>
      <c r="T363" s="57"/>
      <c r="U363" s="219"/>
      <c r="V363" s="119">
        <f>SUM(V364:V378)</f>
        <v>0</v>
      </c>
      <c r="W363" s="120">
        <f>SUM(W364:W378)</f>
        <v>0</v>
      </c>
      <c r="X363" s="57"/>
      <c r="Y363" s="219"/>
      <c r="Z363" s="119">
        <f>SUM(Z364:Z378)</f>
        <v>54269.64</v>
      </c>
      <c r="AA363" s="120">
        <f>SUM(AA364:AA378)</f>
        <v>238337.14</v>
      </c>
      <c r="AB363" s="57"/>
      <c r="AC363" s="230"/>
      <c r="AD363" s="230"/>
      <c r="AE363" s="53">
        <f>SUM(AG363,BA363,BU363)</f>
        <v>8</v>
      </c>
      <c r="AF363" s="55"/>
      <c r="AG363" s="56">
        <f>3-3+1-1+2</f>
        <v>2</v>
      </c>
      <c r="AH363" s="56"/>
      <c r="AI363" s="56"/>
      <c r="AJ363" s="243">
        <f>1+1</f>
        <v>2</v>
      </c>
      <c r="AK363" s="230"/>
      <c r="AL363" s="119">
        <f>SUM(AL364:AL378)</f>
        <v>0</v>
      </c>
      <c r="AM363" s="120">
        <f>SUM(AM364:AM378)</f>
        <v>0</v>
      </c>
      <c r="AN363" s="57"/>
      <c r="AO363" s="219"/>
      <c r="AP363" s="119">
        <f>SUM(AP364:AP378)</f>
        <v>0</v>
      </c>
      <c r="AQ363" s="120">
        <f>SUM(AQ364:AQ378)</f>
        <v>0</v>
      </c>
      <c r="AR363" s="57"/>
      <c r="AS363" s="219"/>
      <c r="AT363" s="119">
        <f>SUM(AT364:AT378)</f>
        <v>0</v>
      </c>
      <c r="AU363" s="120">
        <f>SUM(AU364:AU378)</f>
        <v>0</v>
      </c>
      <c r="AV363" s="57"/>
      <c r="AW363" s="230"/>
      <c r="AX363" s="230"/>
      <c r="AY363" s="53">
        <f>SUM(BA363,BU363)</f>
        <v>6</v>
      </c>
      <c r="AZ363" s="55"/>
      <c r="BA363" s="56">
        <f>3-3+4-4+1</f>
        <v>1</v>
      </c>
      <c r="BB363" s="56"/>
      <c r="BC363" s="56"/>
      <c r="BD363" s="243">
        <f>1+1+1</f>
        <v>3</v>
      </c>
      <c r="BE363" s="230"/>
      <c r="BF363" s="119">
        <f>SUM(BF364:BF378)</f>
        <v>0</v>
      </c>
      <c r="BG363" s="120">
        <f>SUM(BG364:BG378)</f>
        <v>0</v>
      </c>
      <c r="BH363" s="57"/>
      <c r="BI363" s="219"/>
      <c r="BJ363" s="119">
        <f>SUM(BJ364:BJ378)</f>
        <v>0</v>
      </c>
      <c r="BK363" s="120">
        <f>SUM(BK364:BK378)</f>
        <v>0</v>
      </c>
      <c r="BL363" s="57"/>
      <c r="BM363" s="219"/>
      <c r="BN363" s="119">
        <f>SUM(BN364:BN378)</f>
        <v>476753.3</v>
      </c>
      <c r="BO363" s="120">
        <f>SUM(BO364:BO378)</f>
        <v>67837.05</v>
      </c>
      <c r="BP363" s="57"/>
      <c r="BQ363" s="230"/>
      <c r="BR363" s="230"/>
      <c r="BS363" s="53">
        <f>BU363</f>
        <v>5</v>
      </c>
      <c r="BT363" s="55"/>
      <c r="BU363" s="56">
        <f>7-7+5</f>
        <v>5</v>
      </c>
      <c r="BV363" s="56"/>
      <c r="BW363" s="56"/>
      <c r="BX363" s="243"/>
      <c r="BY363" s="230"/>
      <c r="BZ363" s="119">
        <f>SUM(BZ364:BZ378)</f>
        <v>0</v>
      </c>
      <c r="CA363" s="120">
        <f>SUM(CA364:CA378)</f>
        <v>63750</v>
      </c>
      <c r="CB363" s="57"/>
      <c r="CC363" s="219"/>
      <c r="CD363" s="119">
        <f>SUM(CD364:CD378)</f>
        <v>0</v>
      </c>
      <c r="CE363" s="120">
        <f>SUM(CE364:CE378)</f>
        <v>5000</v>
      </c>
      <c r="CF363" s="57"/>
      <c r="CG363" s="219"/>
      <c r="CH363" s="119">
        <f>SUM(CH364:CH378)</f>
        <v>0</v>
      </c>
      <c r="CI363" s="120">
        <f>SUM(CI364:CI378)</f>
        <v>271711</v>
      </c>
      <c r="CJ363" s="57"/>
      <c r="CK363" s="230"/>
      <c r="CL363" s="230"/>
      <c r="CM363" s="53">
        <f>CO363</f>
        <v>0</v>
      </c>
      <c r="CN363" s="55"/>
      <c r="CO363" s="243"/>
      <c r="CP363" s="56"/>
      <c r="CQ363" s="56"/>
      <c r="CR363" s="243"/>
      <c r="CS363" s="230"/>
      <c r="CT363" s="119">
        <f>SUM(CT364:CT378)</f>
        <v>0</v>
      </c>
      <c r="CU363" s="120">
        <f>SUM(CU364:CU378)</f>
        <v>247848.07500000001</v>
      </c>
      <c r="CV363" s="57"/>
      <c r="CW363" s="219"/>
      <c r="CX363" s="119">
        <f>SUM(CX364:CX378)</f>
        <v>0</v>
      </c>
      <c r="CY363" s="120">
        <f>SUM(CY364:CY378)</f>
        <v>0</v>
      </c>
      <c r="CZ363" s="57"/>
      <c r="DA363" s="219"/>
      <c r="DB363" s="119">
        <f>SUM(DB364:DB378)</f>
        <v>0</v>
      </c>
      <c r="DC363" s="120">
        <f>SUM(DC364:DC378)</f>
        <v>0</v>
      </c>
      <c r="DD363" s="57"/>
      <c r="DE363" s="230"/>
      <c r="DF363" s="230"/>
      <c r="DG363" s="53">
        <f>DI363</f>
        <v>0</v>
      </c>
      <c r="DH363" s="55"/>
      <c r="DI363" s="243"/>
      <c r="DJ363" s="56"/>
      <c r="DK363" s="56"/>
      <c r="DL363" s="243"/>
      <c r="DM363" s="230"/>
    </row>
    <row r="364" spans="1:117" x14ac:dyDescent="0.25">
      <c r="A364" s="17"/>
      <c r="B364" s="10" t="s">
        <v>215</v>
      </c>
      <c r="C364" s="17"/>
      <c r="D364" s="10"/>
      <c r="E364" s="10"/>
      <c r="F364" s="337"/>
      <c r="G364" s="10"/>
      <c r="H364" s="24"/>
      <c r="I364" s="24"/>
      <c r="J364" s="534">
        <f t="shared" ref="J364:J378" si="847">SUM(M364,AG364,BA364,BU364)-L364</f>
        <v>10</v>
      </c>
      <c r="K364" s="395">
        <f t="shared" ref="K364:K378" si="848">M364-O364-L364</f>
        <v>2</v>
      </c>
      <c r="L364" s="32"/>
      <c r="M364" s="302">
        <f>M363</f>
        <v>2</v>
      </c>
      <c r="N364" s="7"/>
      <c r="O364" s="258"/>
      <c r="P364" s="304">
        <f>P363</f>
        <v>2</v>
      </c>
      <c r="Q364" s="234"/>
      <c r="R364" s="123"/>
      <c r="S364" s="8"/>
      <c r="T364" s="34"/>
      <c r="U364" s="713"/>
      <c r="V364" s="474"/>
      <c r="W364" s="412"/>
      <c r="X364" s="313"/>
      <c r="Y364" s="716"/>
      <c r="Z364" s="20"/>
      <c r="AA364" s="8"/>
      <c r="AB364" s="34"/>
      <c r="AC364" s="234"/>
      <c r="AD364" s="234"/>
      <c r="AE364" s="395">
        <f t="shared" ref="AE364:AE378" si="849">SUM(M364,AG364)-SUM(O364,AI364)-L364</f>
        <v>4</v>
      </c>
      <c r="AF364" s="32"/>
      <c r="AG364" s="302">
        <f>AG363</f>
        <v>2</v>
      </c>
      <c r="AH364" s="7"/>
      <c r="AI364" s="258"/>
      <c r="AJ364" s="304">
        <f>AJ363</f>
        <v>2</v>
      </c>
      <c r="AK364" s="234"/>
      <c r="AL364" s="123"/>
      <c r="AM364" s="8"/>
      <c r="AN364" s="34"/>
      <c r="AO364" s="713"/>
      <c r="AP364" s="123"/>
      <c r="AQ364" s="8"/>
      <c r="AR364" s="34"/>
      <c r="AS364" s="713"/>
      <c r="AT364" s="20"/>
      <c r="AU364" s="8"/>
      <c r="AV364" s="34"/>
      <c r="AW364" s="234"/>
      <c r="AX364" s="234"/>
      <c r="AY364" s="395">
        <f t="shared" ref="AY364:AY378" si="850">SUM(M364,AG364,BA364)-SUM(O364,AI364,BC364)-L364</f>
        <v>5</v>
      </c>
      <c r="AZ364" s="32"/>
      <c r="BA364" s="302">
        <f>BA363</f>
        <v>1</v>
      </c>
      <c r="BB364" s="7"/>
      <c r="BC364" s="258"/>
      <c r="BD364" s="304">
        <f>BD363</f>
        <v>3</v>
      </c>
      <c r="BE364" s="234"/>
      <c r="BF364" s="123"/>
      <c r="BG364" s="8"/>
      <c r="BH364" s="34"/>
      <c r="BI364" s="713"/>
      <c r="BJ364" s="123"/>
      <c r="BK364" s="8"/>
      <c r="BL364" s="34"/>
      <c r="BM364" s="713"/>
      <c r="BN364" s="20"/>
      <c r="BO364" s="8"/>
      <c r="BP364" s="34"/>
      <c r="BQ364" s="234"/>
      <c r="BR364" s="234"/>
      <c r="BS364" s="395">
        <f t="shared" ref="BS364:BS378" si="851">SUM(M364,AG364,BA364,BU364)-SUM(O364,AI364,BC364,BW364)-L364</f>
        <v>10</v>
      </c>
      <c r="BT364" s="32"/>
      <c r="BU364" s="302">
        <f>BU363</f>
        <v>5</v>
      </c>
      <c r="BV364" s="7"/>
      <c r="BW364" s="258"/>
      <c r="BX364" s="304">
        <f>BX363</f>
        <v>0</v>
      </c>
      <c r="BY364" s="234"/>
      <c r="BZ364" s="123"/>
      <c r="CA364" s="8"/>
      <c r="CB364" s="34"/>
      <c r="CC364" s="713"/>
      <c r="CD364" s="123"/>
      <c r="CE364" s="8"/>
      <c r="CF364" s="34"/>
      <c r="CG364" s="713"/>
      <c r="CH364" s="20"/>
      <c r="CI364" s="8"/>
      <c r="CJ364" s="34"/>
      <c r="CK364" s="234"/>
      <c r="CL364" s="234"/>
      <c r="CM364" s="395">
        <f t="shared" ref="CM364:CM378" si="852">SUM(M364,AG364,BA364,BU364,CO364)-SUM(O364,AI364,BC364,BW364,CQ364)-L364</f>
        <v>10</v>
      </c>
      <c r="CN364" s="32"/>
      <c r="CO364" s="302">
        <f>CO363</f>
        <v>0</v>
      </c>
      <c r="CP364" s="7"/>
      <c r="CQ364" s="258"/>
      <c r="CR364" s="304">
        <f>CR363</f>
        <v>0</v>
      </c>
      <c r="CS364" s="234"/>
      <c r="CT364" s="123"/>
      <c r="CU364" s="8"/>
      <c r="CV364" s="34"/>
      <c r="CW364" s="713"/>
      <c r="CX364" s="123"/>
      <c r="CY364" s="8"/>
      <c r="CZ364" s="34"/>
      <c r="DA364" s="713"/>
      <c r="DB364" s="20"/>
      <c r="DC364" s="8"/>
      <c r="DD364" s="34"/>
      <c r="DE364" s="234"/>
      <c r="DF364" s="234"/>
      <c r="DG364" s="395">
        <f t="shared" ref="DG364:DG378" si="853">SUM(M364,AG364,BA364,BU364,DI364)-SUM(O364,AI364,BC364,BW364,CQ364)-L364</f>
        <v>10</v>
      </c>
      <c r="DH364" s="32">
        <f t="shared" ref="DH364:DH378" si="854">BY364</f>
        <v>0</v>
      </c>
      <c r="DI364" s="302">
        <f>DI363</f>
        <v>0</v>
      </c>
      <c r="DJ364" s="7"/>
      <c r="DK364" s="258"/>
      <c r="DL364" s="304">
        <f>DL363</f>
        <v>0</v>
      </c>
      <c r="DM364" s="234"/>
    </row>
    <row r="365" spans="1:117" x14ac:dyDescent="0.25">
      <c r="A365" s="17"/>
      <c r="B365" s="10" t="s">
        <v>476</v>
      </c>
      <c r="C365" s="17" t="s">
        <v>51</v>
      </c>
      <c r="D365" s="10"/>
      <c r="E365" s="10"/>
      <c r="F365" s="572">
        <v>23550</v>
      </c>
      <c r="G365" s="10" t="s">
        <v>193</v>
      </c>
      <c r="H365" s="24" t="s">
        <v>34</v>
      </c>
      <c r="I365" s="24"/>
      <c r="J365" s="530">
        <f t="shared" si="847"/>
        <v>8</v>
      </c>
      <c r="K365" s="395">
        <f t="shared" si="848"/>
        <v>-5</v>
      </c>
      <c r="L365" s="515">
        <v>2</v>
      </c>
      <c r="M365" s="302">
        <f>M363</f>
        <v>2</v>
      </c>
      <c r="N365" s="7">
        <f t="shared" ref="N365:N378" si="855">M365-L365</f>
        <v>0</v>
      </c>
      <c r="O365" s="256">
        <v>5</v>
      </c>
      <c r="P365" s="304">
        <f>P363</f>
        <v>2</v>
      </c>
      <c r="Q365" s="34">
        <f t="shared" ref="Q365:Q378" si="856">L365+O365-P365</f>
        <v>5</v>
      </c>
      <c r="R365" s="575">
        <f>$F$365*100%*5</f>
        <v>117750</v>
      </c>
      <c r="S365" s="213"/>
      <c r="T365" s="313" t="s">
        <v>699</v>
      </c>
      <c r="U365" s="716"/>
      <c r="V365" s="444"/>
      <c r="W365" s="412"/>
      <c r="X365" s="313"/>
      <c r="Y365" s="716"/>
      <c r="Z365" s="444"/>
      <c r="AA365" s="6"/>
      <c r="AB365" s="446"/>
      <c r="AC365" s="735"/>
      <c r="AD365" s="735"/>
      <c r="AE365" s="398">
        <f t="shared" si="849"/>
        <v>-3</v>
      </c>
      <c r="AF365" s="32">
        <f t="shared" ref="AF365:AF378" si="857">Q365</f>
        <v>5</v>
      </c>
      <c r="AG365" s="302">
        <f>AG363</f>
        <v>2</v>
      </c>
      <c r="AH365" s="7">
        <f t="shared" ref="AH365:AH378" si="858">AG365-AF365</f>
        <v>-3</v>
      </c>
      <c r="AI365" s="256"/>
      <c r="AJ365" s="304">
        <f>AJ363</f>
        <v>2</v>
      </c>
      <c r="AK365" s="34">
        <f t="shared" ref="AK365:AK378" si="859">AF365+AI365-AJ365</f>
        <v>3</v>
      </c>
      <c r="AL365" s="474"/>
      <c r="AM365" s="213"/>
      <c r="AN365" s="313"/>
      <c r="AO365" s="716"/>
      <c r="AP365" s="444"/>
      <c r="AQ365" s="412"/>
      <c r="AR365" s="313"/>
      <c r="AS365" s="716"/>
      <c r="AT365" s="444"/>
      <c r="AU365" s="412"/>
      <c r="AV365" s="313"/>
      <c r="AW365" s="739"/>
      <c r="AX365" s="739"/>
      <c r="AY365" s="395">
        <f t="shared" si="850"/>
        <v>-7</v>
      </c>
      <c r="AZ365" s="32">
        <f>AK365</f>
        <v>3</v>
      </c>
      <c r="BA365" s="302">
        <f>BA363</f>
        <v>1</v>
      </c>
      <c r="BB365" s="7">
        <f t="shared" ref="BB365:BB378" si="860">BA365-AZ365</f>
        <v>-2</v>
      </c>
      <c r="BC365" s="240">
        <v>5</v>
      </c>
      <c r="BD365" s="304">
        <f>BD363</f>
        <v>3</v>
      </c>
      <c r="BE365" s="34">
        <f t="shared" ref="BE365:BE378" si="861">AZ365+BC365-BD365</f>
        <v>5</v>
      </c>
      <c r="BF365" s="444"/>
      <c r="BG365" s="412"/>
      <c r="BH365" s="313"/>
      <c r="BI365" s="716"/>
      <c r="BJ365" s="444"/>
      <c r="BK365" s="412"/>
      <c r="BL365" s="313"/>
      <c r="BM365" s="716"/>
      <c r="BN365" s="444">
        <f>+BC365*F365/2</f>
        <v>58875</v>
      </c>
      <c r="BO365" s="412"/>
      <c r="BP365" s="313" t="s">
        <v>819</v>
      </c>
      <c r="BQ365" s="739"/>
      <c r="BR365" s="739"/>
      <c r="BS365" s="395">
        <f t="shared" si="851"/>
        <v>-7</v>
      </c>
      <c r="BT365" s="32">
        <f>BE365</f>
        <v>5</v>
      </c>
      <c r="BU365" s="302">
        <f>BU363</f>
        <v>5</v>
      </c>
      <c r="BV365" s="7">
        <f t="shared" ref="BV365:BV378" si="862">BU365-BT365</f>
        <v>0</v>
      </c>
      <c r="BW365" s="5">
        <v>5</v>
      </c>
      <c r="BX365" s="304">
        <f>BX363</f>
        <v>0</v>
      </c>
      <c r="BY365" s="34">
        <f t="shared" ref="BY365:BY378" si="863">BT365+BW365-BX365</f>
        <v>10</v>
      </c>
      <c r="BZ365" s="474"/>
      <c r="CA365" s="154">
        <v>63750</v>
      </c>
      <c r="CB365" s="656" t="s">
        <v>857</v>
      </c>
      <c r="CC365" s="783"/>
      <c r="CD365" s="213"/>
      <c r="CE365" s="6"/>
      <c r="CF365" s="446"/>
      <c r="CG365" s="733"/>
      <c r="CH365" s="20"/>
      <c r="CI365" s="8"/>
      <c r="CJ365" s="34"/>
      <c r="CK365" s="234"/>
      <c r="CL365" s="234"/>
      <c r="CM365" s="395">
        <f t="shared" si="852"/>
        <v>-7</v>
      </c>
      <c r="CN365" s="32">
        <f>BY365</f>
        <v>10</v>
      </c>
      <c r="CO365" s="302">
        <f>CO363</f>
        <v>0</v>
      </c>
      <c r="CP365" s="7">
        <f t="shared" ref="CP365:CP378" si="864">CO365-CN365</f>
        <v>-10</v>
      </c>
      <c r="CQ365" s="256"/>
      <c r="CR365" s="304">
        <f>CR363</f>
        <v>0</v>
      </c>
      <c r="CS365" s="34">
        <f t="shared" ref="CS365:CS378" si="865">CN365+CQ365-CR365</f>
        <v>10</v>
      </c>
      <c r="CT365" s="20"/>
      <c r="CU365" s="213">
        <v>58875</v>
      </c>
      <c r="CV365" s="212" t="s">
        <v>814</v>
      </c>
      <c r="CW365" s="797"/>
      <c r="CX365" s="312"/>
      <c r="CY365" s="213"/>
      <c r="CZ365" s="212"/>
      <c r="DA365" s="797"/>
      <c r="DB365" s="20"/>
      <c r="DC365" s="8"/>
      <c r="DD365" s="34"/>
      <c r="DE365" s="234"/>
      <c r="DF365" s="234"/>
      <c r="DG365" s="395">
        <f t="shared" si="853"/>
        <v>-7</v>
      </c>
      <c r="DH365" s="32">
        <f t="shared" si="854"/>
        <v>10</v>
      </c>
      <c r="DI365" s="302">
        <f>DI363</f>
        <v>0</v>
      </c>
      <c r="DJ365" s="7">
        <f t="shared" ref="DJ365:DJ378" si="866">DI365-DH365</f>
        <v>-10</v>
      </c>
      <c r="DK365" s="256"/>
      <c r="DL365" s="304">
        <f>DL363</f>
        <v>0</v>
      </c>
      <c r="DM365" s="34">
        <f t="shared" ref="DM365:DM378" si="867">DH365+DK365-DL365</f>
        <v>10</v>
      </c>
    </row>
    <row r="366" spans="1:117" x14ac:dyDescent="0.25">
      <c r="A366" s="18"/>
      <c r="B366" s="11" t="s">
        <v>131</v>
      </c>
      <c r="C366" s="18" t="s">
        <v>51</v>
      </c>
      <c r="D366" s="11"/>
      <c r="E366" s="11"/>
      <c r="F366" s="568">
        <v>73627</v>
      </c>
      <c r="G366" s="11" t="s">
        <v>549</v>
      </c>
      <c r="H366" s="25" t="s">
        <v>244</v>
      </c>
      <c r="I366" s="25"/>
      <c r="J366" s="530">
        <f t="shared" si="847"/>
        <v>8</v>
      </c>
      <c r="K366" s="395">
        <f t="shared" si="848"/>
        <v>-5</v>
      </c>
      <c r="L366" s="515">
        <v>2</v>
      </c>
      <c r="M366" s="298">
        <f>M363</f>
        <v>2</v>
      </c>
      <c r="N366" s="7">
        <f t="shared" si="855"/>
        <v>0</v>
      </c>
      <c r="O366" s="256">
        <v>5</v>
      </c>
      <c r="P366" s="304">
        <f>P363</f>
        <v>2</v>
      </c>
      <c r="Q366" s="35">
        <f t="shared" si="856"/>
        <v>5</v>
      </c>
      <c r="R366" s="576">
        <f>$F$366*50%*5</f>
        <v>184067.5</v>
      </c>
      <c r="S366" s="412"/>
      <c r="T366" s="313" t="s">
        <v>698</v>
      </c>
      <c r="U366" s="716"/>
      <c r="V366" s="444"/>
      <c r="W366" s="412"/>
      <c r="X366" s="313"/>
      <c r="Y366" s="716"/>
      <c r="Z366" s="444"/>
      <c r="AA366" s="579">
        <f>$F$366*50%*5</f>
        <v>184067.5</v>
      </c>
      <c r="AB366" s="313" t="s">
        <v>700</v>
      </c>
      <c r="AC366" s="739"/>
      <c r="AD366" s="739"/>
      <c r="AE366" s="398">
        <f t="shared" si="849"/>
        <v>-3</v>
      </c>
      <c r="AF366" s="32">
        <f t="shared" si="857"/>
        <v>5</v>
      </c>
      <c r="AG366" s="298">
        <f>AG363</f>
        <v>2</v>
      </c>
      <c r="AH366" s="7">
        <f t="shared" si="858"/>
        <v>-3</v>
      </c>
      <c r="AI366" s="256"/>
      <c r="AJ366" s="304">
        <f>AJ363</f>
        <v>2</v>
      </c>
      <c r="AK366" s="35">
        <f t="shared" si="859"/>
        <v>3</v>
      </c>
      <c r="AL366" s="444"/>
      <c r="AM366" s="6"/>
      <c r="AN366" s="313"/>
      <c r="AO366" s="716"/>
      <c r="AP366" s="444"/>
      <c r="AQ366" s="6"/>
      <c r="AR366" s="446"/>
      <c r="AS366" s="733"/>
      <c r="AT366" s="444"/>
      <c r="AU366" s="6"/>
      <c r="AV366" s="446"/>
      <c r="AW366" s="735"/>
      <c r="AX366" s="735"/>
      <c r="AY366" s="395">
        <f t="shared" si="850"/>
        <v>-7</v>
      </c>
      <c r="AZ366" s="32">
        <f t="shared" ref="AZ366:AZ378" si="868">AK366</f>
        <v>3</v>
      </c>
      <c r="BA366" s="298">
        <f>BA363</f>
        <v>1</v>
      </c>
      <c r="BB366" s="7">
        <f t="shared" si="860"/>
        <v>-2</v>
      </c>
      <c r="BC366" s="240">
        <v>5</v>
      </c>
      <c r="BD366" s="304">
        <f>BD363</f>
        <v>3</v>
      </c>
      <c r="BE366" s="35">
        <f t="shared" si="861"/>
        <v>5</v>
      </c>
      <c r="BF366" s="444"/>
      <c r="BG366" s="412"/>
      <c r="BH366" s="257"/>
      <c r="BI366" s="728"/>
      <c r="BJ366" s="444"/>
      <c r="BK366" s="412"/>
      <c r="BL366" s="257"/>
      <c r="BM366" s="728"/>
      <c r="BN366" s="672">
        <f>220881</f>
        <v>220881</v>
      </c>
      <c r="BO366" s="663"/>
      <c r="BP366" s="656" t="s">
        <v>819</v>
      </c>
      <c r="BQ366" s="775"/>
      <c r="BR366" s="775"/>
      <c r="BS366" s="395">
        <f t="shared" si="851"/>
        <v>-7</v>
      </c>
      <c r="BT366" s="32">
        <f t="shared" ref="BT366:BT378" si="869">BE366</f>
        <v>5</v>
      </c>
      <c r="BU366" s="298">
        <f>BU363</f>
        <v>5</v>
      </c>
      <c r="BV366" s="7">
        <f t="shared" si="862"/>
        <v>0</v>
      </c>
      <c r="BW366" s="5">
        <v>5</v>
      </c>
      <c r="BX366" s="304">
        <f>BX363</f>
        <v>0</v>
      </c>
      <c r="BY366" s="35">
        <f t="shared" si="863"/>
        <v>10</v>
      </c>
      <c r="BZ366" s="444"/>
      <c r="CA366" s="6"/>
      <c r="CB366" s="446"/>
      <c r="CC366" s="784"/>
      <c r="CD366" s="412"/>
      <c r="CE366" s="210"/>
      <c r="CF366" s="446"/>
      <c r="CG366" s="733"/>
      <c r="CH366" s="444"/>
      <c r="CI366" s="629">
        <v>220881</v>
      </c>
      <c r="CJ366" s="673" t="s">
        <v>857</v>
      </c>
      <c r="CK366" s="812"/>
      <c r="CL366" s="812"/>
      <c r="CM366" s="395">
        <f t="shared" si="852"/>
        <v>-7</v>
      </c>
      <c r="CN366" s="32">
        <f t="shared" ref="CN366:CN378" si="870">BY366</f>
        <v>10</v>
      </c>
      <c r="CO366" s="298">
        <f>CO363</f>
        <v>0</v>
      </c>
      <c r="CP366" s="7">
        <f t="shared" si="864"/>
        <v>-10</v>
      </c>
      <c r="CQ366" s="256"/>
      <c r="CR366" s="304">
        <f>CR363</f>
        <v>0</v>
      </c>
      <c r="CS366" s="35">
        <f t="shared" si="865"/>
        <v>10</v>
      </c>
      <c r="CT366" s="444"/>
      <c r="CU366" s="412">
        <v>184067.5</v>
      </c>
      <c r="CV366" s="212" t="s">
        <v>814</v>
      </c>
      <c r="CW366" s="797"/>
      <c r="CX366" s="312"/>
      <c r="CY366" s="213"/>
      <c r="CZ366" s="212"/>
      <c r="DA366" s="797"/>
      <c r="DB366" s="21"/>
      <c r="DC366" s="6"/>
      <c r="DD366" s="35"/>
      <c r="DE366" s="234"/>
      <c r="DF366" s="234"/>
      <c r="DG366" s="395">
        <f t="shared" si="853"/>
        <v>-7</v>
      </c>
      <c r="DH366" s="32">
        <f t="shared" si="854"/>
        <v>10</v>
      </c>
      <c r="DI366" s="298">
        <f>DI363</f>
        <v>0</v>
      </c>
      <c r="DJ366" s="7">
        <f t="shared" si="866"/>
        <v>-10</v>
      </c>
      <c r="DK366" s="256"/>
      <c r="DL366" s="304">
        <f>DL363</f>
        <v>0</v>
      </c>
      <c r="DM366" s="35">
        <f t="shared" si="867"/>
        <v>10</v>
      </c>
    </row>
    <row r="367" spans="1:117" ht="30" x14ac:dyDescent="0.25">
      <c r="A367" s="18"/>
      <c r="B367" s="11" t="s">
        <v>446</v>
      </c>
      <c r="C367" s="18" t="s">
        <v>51</v>
      </c>
      <c r="D367" s="11"/>
      <c r="E367" s="11"/>
      <c r="F367" s="149">
        <v>742.15</v>
      </c>
      <c r="G367" s="274" t="s">
        <v>915</v>
      </c>
      <c r="H367" s="25"/>
      <c r="I367" s="25"/>
      <c r="J367" s="530">
        <f t="shared" si="847"/>
        <v>-3</v>
      </c>
      <c r="K367" s="395">
        <f t="shared" si="848"/>
        <v>-11</v>
      </c>
      <c r="L367" s="515">
        <v>13</v>
      </c>
      <c r="M367" s="298">
        <f>M363</f>
        <v>2</v>
      </c>
      <c r="N367" s="7">
        <f t="shared" si="855"/>
        <v>-11</v>
      </c>
      <c r="O367" s="242"/>
      <c r="P367" s="304">
        <f>P363</f>
        <v>2</v>
      </c>
      <c r="Q367" s="35">
        <f t="shared" si="856"/>
        <v>11</v>
      </c>
      <c r="R367" s="235"/>
      <c r="S367" s="412"/>
      <c r="T367" s="313"/>
      <c r="U367" s="716"/>
      <c r="V367" s="444"/>
      <c r="W367" s="412"/>
      <c r="X367" s="313"/>
      <c r="Y367" s="716"/>
      <c r="Z367" s="236"/>
      <c r="AA367" s="6"/>
      <c r="AB367" s="446"/>
      <c r="AC367" s="735"/>
      <c r="AD367" s="735"/>
      <c r="AE367" s="398">
        <f t="shared" si="849"/>
        <v>-9</v>
      </c>
      <c r="AF367" s="32">
        <f t="shared" si="857"/>
        <v>11</v>
      </c>
      <c r="AG367" s="298">
        <f>AG363</f>
        <v>2</v>
      </c>
      <c r="AH367" s="7">
        <f t="shared" si="858"/>
        <v>-9</v>
      </c>
      <c r="AI367" s="258"/>
      <c r="AJ367" s="304">
        <f>AJ363</f>
        <v>2</v>
      </c>
      <c r="AK367" s="35">
        <f t="shared" si="859"/>
        <v>9</v>
      </c>
      <c r="AL367" s="236"/>
      <c r="AM367" s="6"/>
      <c r="AN367" s="446"/>
      <c r="AO367" s="733"/>
      <c r="AP367" s="444"/>
      <c r="AQ367" s="412"/>
      <c r="AR367" s="313"/>
      <c r="AS367" s="716"/>
      <c r="AT367" s="444"/>
      <c r="AU367" s="412"/>
      <c r="AV367" s="313"/>
      <c r="AW367" s="739"/>
      <c r="AX367" s="739"/>
      <c r="AY367" s="395">
        <f t="shared" si="850"/>
        <v>-8</v>
      </c>
      <c r="AZ367" s="32">
        <f t="shared" si="868"/>
        <v>9</v>
      </c>
      <c r="BA367" s="298">
        <f>BA363</f>
        <v>1</v>
      </c>
      <c r="BB367" s="7">
        <f t="shared" si="860"/>
        <v>-8</v>
      </c>
      <c r="BC367" s="242"/>
      <c r="BD367" s="304">
        <f>BD363</f>
        <v>3</v>
      </c>
      <c r="BE367" s="35">
        <f t="shared" si="861"/>
        <v>6</v>
      </c>
      <c r="BF367" s="444"/>
      <c r="BG367" s="412"/>
      <c r="BH367" s="35"/>
      <c r="BI367" s="713"/>
      <c r="BJ367" s="444"/>
      <c r="BK367" s="8"/>
      <c r="BL367" s="257"/>
      <c r="BM367" s="728"/>
      <c r="BN367" s="444"/>
      <c r="BO367" s="8"/>
      <c r="BP367" s="313"/>
      <c r="BQ367" s="739"/>
      <c r="BR367" s="739"/>
      <c r="BS367" s="395">
        <f t="shared" si="851"/>
        <v>-9</v>
      </c>
      <c r="BT367" s="32">
        <f t="shared" si="869"/>
        <v>6</v>
      </c>
      <c r="BU367" s="298">
        <f>BU363</f>
        <v>5</v>
      </c>
      <c r="BV367" s="7">
        <f t="shared" si="862"/>
        <v>-1</v>
      </c>
      <c r="BW367" s="623">
        <v>6</v>
      </c>
      <c r="BX367" s="304">
        <f>BX363</f>
        <v>0</v>
      </c>
      <c r="BY367" s="35">
        <f t="shared" si="863"/>
        <v>12</v>
      </c>
      <c r="BZ367" s="444"/>
      <c r="CA367" s="6"/>
      <c r="CB367" s="446"/>
      <c r="CC367" s="784"/>
      <c r="CD367" s="213"/>
      <c r="CE367" s="154">
        <v>2500</v>
      </c>
      <c r="CF367" s="658" t="s">
        <v>899</v>
      </c>
      <c r="CG367" s="796"/>
      <c r="CH367" s="21"/>
      <c r="CI367" s="6"/>
      <c r="CJ367" s="35" t="s">
        <v>916</v>
      </c>
      <c r="CK367" s="234"/>
      <c r="CL367" s="234"/>
      <c r="CM367" s="395">
        <f t="shared" si="852"/>
        <v>-9</v>
      </c>
      <c r="CN367" s="32">
        <f t="shared" si="870"/>
        <v>12</v>
      </c>
      <c r="CO367" s="298">
        <f>CO363</f>
        <v>0</v>
      </c>
      <c r="CP367" s="7">
        <f t="shared" si="864"/>
        <v>-12</v>
      </c>
      <c r="CQ367" s="258"/>
      <c r="CR367" s="304">
        <f>CR363</f>
        <v>0</v>
      </c>
      <c r="CS367" s="35">
        <f t="shared" si="865"/>
        <v>12</v>
      </c>
      <c r="CT367" s="235"/>
      <c r="CU367" s="213">
        <v>1855.375</v>
      </c>
      <c r="CV367" s="212" t="s">
        <v>814</v>
      </c>
      <c r="CW367" s="797"/>
      <c r="CX367" s="312"/>
      <c r="CY367" s="213"/>
      <c r="CZ367" s="212"/>
      <c r="DA367" s="797"/>
      <c r="DB367" s="21"/>
      <c r="DC367" s="6"/>
      <c r="DD367" s="35"/>
      <c r="DE367" s="234"/>
      <c r="DF367" s="234"/>
      <c r="DG367" s="395">
        <f t="shared" si="853"/>
        <v>-9</v>
      </c>
      <c r="DH367" s="32">
        <f t="shared" si="854"/>
        <v>12</v>
      </c>
      <c r="DI367" s="298">
        <f>DI363</f>
        <v>0</v>
      </c>
      <c r="DJ367" s="7">
        <f t="shared" si="866"/>
        <v>-12</v>
      </c>
      <c r="DK367" s="258"/>
      <c r="DL367" s="304">
        <f>DL363</f>
        <v>0</v>
      </c>
      <c r="DM367" s="35">
        <f t="shared" si="867"/>
        <v>12</v>
      </c>
    </row>
    <row r="368" spans="1:117" ht="30" x14ac:dyDescent="0.25">
      <c r="A368" s="18"/>
      <c r="B368" s="11" t="s">
        <v>447</v>
      </c>
      <c r="C368" s="18" t="s">
        <v>51</v>
      </c>
      <c r="D368" s="11"/>
      <c r="E368" s="11"/>
      <c r="F368" s="149">
        <v>890.58</v>
      </c>
      <c r="G368" s="274" t="s">
        <v>915</v>
      </c>
      <c r="H368" s="25"/>
      <c r="I368" s="25"/>
      <c r="J368" s="530">
        <f t="shared" si="847"/>
        <v>-4</v>
      </c>
      <c r="K368" s="395">
        <f t="shared" si="848"/>
        <v>-12</v>
      </c>
      <c r="L368" s="515">
        <v>14</v>
      </c>
      <c r="M368" s="298">
        <f>M363</f>
        <v>2</v>
      </c>
      <c r="N368" s="7">
        <f t="shared" si="855"/>
        <v>-12</v>
      </c>
      <c r="O368" s="242"/>
      <c r="P368" s="304">
        <f>P363</f>
        <v>2</v>
      </c>
      <c r="Q368" s="35">
        <f t="shared" si="856"/>
        <v>12</v>
      </c>
      <c r="R368" s="235"/>
      <c r="S368" s="412"/>
      <c r="T368" s="313"/>
      <c r="U368" s="716"/>
      <c r="V368" s="444"/>
      <c r="W368" s="412"/>
      <c r="X368" s="313"/>
      <c r="Y368" s="716"/>
      <c r="Z368" s="236"/>
      <c r="AA368" s="6"/>
      <c r="AB368" s="446"/>
      <c r="AC368" s="735"/>
      <c r="AD368" s="735"/>
      <c r="AE368" s="398">
        <f t="shared" si="849"/>
        <v>-10</v>
      </c>
      <c r="AF368" s="32">
        <f t="shared" si="857"/>
        <v>12</v>
      </c>
      <c r="AG368" s="298">
        <f>AG363</f>
        <v>2</v>
      </c>
      <c r="AH368" s="7">
        <f t="shared" si="858"/>
        <v>-10</v>
      </c>
      <c r="AI368" s="258"/>
      <c r="AJ368" s="304">
        <f>AJ363</f>
        <v>2</v>
      </c>
      <c r="AK368" s="35">
        <f t="shared" si="859"/>
        <v>10</v>
      </c>
      <c r="AL368" s="236"/>
      <c r="AM368" s="6"/>
      <c r="AN368" s="446"/>
      <c r="AO368" s="733"/>
      <c r="AP368" s="444"/>
      <c r="AQ368" s="412"/>
      <c r="AR368" s="313"/>
      <c r="AS368" s="716"/>
      <c r="AT368" s="444"/>
      <c r="AU368" s="412"/>
      <c r="AV368" s="313"/>
      <c r="AW368" s="739"/>
      <c r="AX368" s="739"/>
      <c r="AY368" s="395">
        <f t="shared" si="850"/>
        <v>-9</v>
      </c>
      <c r="AZ368" s="32">
        <f t="shared" si="868"/>
        <v>10</v>
      </c>
      <c r="BA368" s="298">
        <f>BA363</f>
        <v>1</v>
      </c>
      <c r="BB368" s="7">
        <f t="shared" si="860"/>
        <v>-9</v>
      </c>
      <c r="BC368" s="242"/>
      <c r="BD368" s="304">
        <f>BD363</f>
        <v>3</v>
      </c>
      <c r="BE368" s="35">
        <f t="shared" si="861"/>
        <v>7</v>
      </c>
      <c r="BF368" s="444"/>
      <c r="BG368" s="412"/>
      <c r="BH368" s="35"/>
      <c r="BI368" s="713"/>
      <c r="BJ368" s="444"/>
      <c r="BK368" s="8"/>
      <c r="BL368" s="257"/>
      <c r="BM368" s="728"/>
      <c r="BN368" s="444"/>
      <c r="BO368" s="8"/>
      <c r="BP368" s="313"/>
      <c r="BQ368" s="739"/>
      <c r="BR368" s="739"/>
      <c r="BS368" s="395">
        <f t="shared" si="851"/>
        <v>-10</v>
      </c>
      <c r="BT368" s="32">
        <f t="shared" si="869"/>
        <v>7</v>
      </c>
      <c r="BU368" s="298">
        <f>BU363</f>
        <v>5</v>
      </c>
      <c r="BV368" s="7">
        <f t="shared" si="862"/>
        <v>-2</v>
      </c>
      <c r="BW368" s="623">
        <v>6</v>
      </c>
      <c r="BX368" s="304">
        <f>BX363</f>
        <v>0</v>
      </c>
      <c r="BY368" s="35">
        <f t="shared" si="863"/>
        <v>13</v>
      </c>
      <c r="BZ368" s="444"/>
      <c r="CA368" s="6"/>
      <c r="CB368" s="446"/>
      <c r="CC368" s="784"/>
      <c r="CD368" s="213"/>
      <c r="CE368" s="154">
        <v>2500</v>
      </c>
      <c r="CF368" s="658" t="s">
        <v>899</v>
      </c>
      <c r="CG368" s="796"/>
      <c r="CH368" s="21"/>
      <c r="CI368" s="6"/>
      <c r="CJ368" s="35" t="s">
        <v>916</v>
      </c>
      <c r="CK368" s="234"/>
      <c r="CL368" s="234"/>
      <c r="CM368" s="395">
        <f t="shared" si="852"/>
        <v>-10</v>
      </c>
      <c r="CN368" s="32">
        <f t="shared" si="870"/>
        <v>13</v>
      </c>
      <c r="CO368" s="298">
        <f>CO363</f>
        <v>0</v>
      </c>
      <c r="CP368" s="7">
        <f t="shared" si="864"/>
        <v>-13</v>
      </c>
      <c r="CQ368" s="258"/>
      <c r="CR368" s="304">
        <f>CR363</f>
        <v>0</v>
      </c>
      <c r="CS368" s="35">
        <f t="shared" si="865"/>
        <v>13</v>
      </c>
      <c r="CT368" s="235"/>
      <c r="CU368" s="213">
        <v>2226.4500000000003</v>
      </c>
      <c r="CV368" s="212" t="s">
        <v>814</v>
      </c>
      <c r="CW368" s="797"/>
      <c r="CX368" s="312"/>
      <c r="CY368" s="213"/>
      <c r="CZ368" s="212"/>
      <c r="DA368" s="797"/>
      <c r="DB368" s="21"/>
      <c r="DC368" s="6"/>
      <c r="DD368" s="35"/>
      <c r="DE368" s="234"/>
      <c r="DF368" s="234"/>
      <c r="DG368" s="395">
        <f t="shared" si="853"/>
        <v>-10</v>
      </c>
      <c r="DH368" s="32">
        <f t="shared" si="854"/>
        <v>13</v>
      </c>
      <c r="DI368" s="298">
        <f>DI363</f>
        <v>0</v>
      </c>
      <c r="DJ368" s="7">
        <f t="shared" si="866"/>
        <v>-13</v>
      </c>
      <c r="DK368" s="258"/>
      <c r="DL368" s="304">
        <f>DL363</f>
        <v>0</v>
      </c>
      <c r="DM368" s="35">
        <f t="shared" si="867"/>
        <v>13</v>
      </c>
    </row>
    <row r="369" spans="1:117" x14ac:dyDescent="0.25">
      <c r="A369" s="18"/>
      <c r="B369" s="11" t="s">
        <v>132</v>
      </c>
      <c r="C369" s="18" t="s">
        <v>51</v>
      </c>
      <c r="D369" s="11"/>
      <c r="E369" s="11"/>
      <c r="F369" s="568">
        <v>17053</v>
      </c>
      <c r="G369" s="11" t="s">
        <v>124</v>
      </c>
      <c r="H369" s="25" t="s">
        <v>553</v>
      </c>
      <c r="I369" s="25"/>
      <c r="J369" s="530">
        <f t="shared" si="847"/>
        <v>-4</v>
      </c>
      <c r="K369" s="395">
        <f t="shared" si="848"/>
        <v>-12</v>
      </c>
      <c r="L369" s="515">
        <v>14</v>
      </c>
      <c r="M369" s="298">
        <f>M363</f>
        <v>2</v>
      </c>
      <c r="N369" s="7">
        <f t="shared" si="855"/>
        <v>-12</v>
      </c>
      <c r="O369" s="242"/>
      <c r="P369" s="304">
        <f>P363</f>
        <v>2</v>
      </c>
      <c r="Q369" s="35">
        <f t="shared" si="856"/>
        <v>12</v>
      </c>
      <c r="R369" s="121"/>
      <c r="S369" s="6"/>
      <c r="T369" s="35"/>
      <c r="U369" s="612"/>
      <c r="V369" s="310"/>
      <c r="W369" s="210"/>
      <c r="X369" s="35"/>
      <c r="Y369" s="612"/>
      <c r="Z369" s="21"/>
      <c r="AA369" s="6"/>
      <c r="AB369" s="35"/>
      <c r="AC369" s="231"/>
      <c r="AD369" s="231"/>
      <c r="AE369" s="398">
        <f t="shared" si="849"/>
        <v>-10</v>
      </c>
      <c r="AF369" s="32">
        <f t="shared" si="857"/>
        <v>12</v>
      </c>
      <c r="AG369" s="298">
        <f>AG363</f>
        <v>2</v>
      </c>
      <c r="AH369" s="7">
        <f t="shared" si="858"/>
        <v>-10</v>
      </c>
      <c r="AI369" s="258"/>
      <c r="AJ369" s="304">
        <f>AJ363</f>
        <v>2</v>
      </c>
      <c r="AK369" s="35">
        <f t="shared" si="859"/>
        <v>10</v>
      </c>
      <c r="AL369" s="121"/>
      <c r="AM369" s="6"/>
      <c r="AN369" s="35"/>
      <c r="AO369" s="612"/>
      <c r="AP369" s="121"/>
      <c r="AQ369" s="6"/>
      <c r="AR369" s="313"/>
      <c r="AS369" s="716"/>
      <c r="AT369" s="21"/>
      <c r="AU369" s="6"/>
      <c r="AV369" s="313"/>
      <c r="AW369" s="739"/>
      <c r="AX369" s="739"/>
      <c r="AY369" s="395">
        <f t="shared" si="850"/>
        <v>-14</v>
      </c>
      <c r="AZ369" s="32">
        <f t="shared" si="868"/>
        <v>10</v>
      </c>
      <c r="BA369" s="298">
        <f>BA363</f>
        <v>1</v>
      </c>
      <c r="BB369" s="7">
        <f t="shared" si="860"/>
        <v>-9</v>
      </c>
      <c r="BC369" s="242">
        <v>5</v>
      </c>
      <c r="BD369" s="304">
        <f>BD363</f>
        <v>3</v>
      </c>
      <c r="BE369" s="35">
        <f t="shared" si="861"/>
        <v>12</v>
      </c>
      <c r="BF369" s="121"/>
      <c r="BG369" s="6"/>
      <c r="BH369" s="35"/>
      <c r="BI369" s="713"/>
      <c r="BJ369" s="444"/>
      <c r="BK369" s="6"/>
      <c r="BL369" s="35"/>
      <c r="BM369" s="713"/>
      <c r="BN369" s="444">
        <v>120000</v>
      </c>
      <c r="BO369" s="6"/>
      <c r="BP369" s="313" t="s">
        <v>827</v>
      </c>
      <c r="BQ369" s="739"/>
      <c r="BR369" s="739"/>
      <c r="BS369" s="395">
        <f t="shared" si="851"/>
        <v>-19</v>
      </c>
      <c r="BT369" s="32">
        <f t="shared" si="869"/>
        <v>12</v>
      </c>
      <c r="BU369" s="298">
        <f>BU363</f>
        <v>5</v>
      </c>
      <c r="BV369" s="7">
        <f t="shared" si="862"/>
        <v>-7</v>
      </c>
      <c r="BW369" s="623">
        <v>10</v>
      </c>
      <c r="BX369" s="304">
        <f>BX363</f>
        <v>0</v>
      </c>
      <c r="BY369" s="35">
        <f t="shared" si="863"/>
        <v>22</v>
      </c>
      <c r="BZ369" s="21"/>
      <c r="CA369" s="6"/>
      <c r="CB369" s="313"/>
      <c r="CC369" s="785"/>
      <c r="CD369" s="6"/>
      <c r="CE369" s="6"/>
      <c r="CF369" s="446"/>
      <c r="CG369" s="733"/>
      <c r="CH369" s="121"/>
      <c r="CI369" s="629">
        <v>50830</v>
      </c>
      <c r="CJ369" s="625" t="s">
        <v>904</v>
      </c>
      <c r="CK369" s="806"/>
      <c r="CL369" s="806"/>
      <c r="CM369" s="395">
        <f t="shared" si="852"/>
        <v>-19</v>
      </c>
      <c r="CN369" s="32">
        <f t="shared" si="870"/>
        <v>22</v>
      </c>
      <c r="CO369" s="298">
        <f>CO363</f>
        <v>0</v>
      </c>
      <c r="CP369" s="7">
        <f t="shared" si="864"/>
        <v>-22</v>
      </c>
      <c r="CQ369" s="242"/>
      <c r="CR369" s="304">
        <f>CR363</f>
        <v>0</v>
      </c>
      <c r="CS369" s="35">
        <f t="shared" si="865"/>
        <v>22</v>
      </c>
      <c r="CT369" s="121"/>
      <c r="CU369" s="6"/>
      <c r="CV369" s="212"/>
      <c r="CW369" s="797"/>
      <c r="CX369" s="121"/>
      <c r="CY369" s="6"/>
      <c r="CZ369" s="35"/>
      <c r="DA369" s="612"/>
      <c r="DB369" s="21"/>
      <c r="DC369" s="6"/>
      <c r="DD369" s="35"/>
      <c r="DE369" s="234"/>
      <c r="DF369" s="234"/>
      <c r="DG369" s="395">
        <f t="shared" si="853"/>
        <v>-19</v>
      </c>
      <c r="DH369" s="32">
        <f t="shared" si="854"/>
        <v>22</v>
      </c>
      <c r="DI369" s="298">
        <f>DI363</f>
        <v>0</v>
      </c>
      <c r="DJ369" s="7">
        <f t="shared" si="866"/>
        <v>-22</v>
      </c>
      <c r="DK369" s="242"/>
      <c r="DL369" s="304">
        <f>DL363</f>
        <v>0</v>
      </c>
      <c r="DM369" s="35">
        <f t="shared" si="867"/>
        <v>22</v>
      </c>
    </row>
    <row r="370" spans="1:117" x14ac:dyDescent="0.25">
      <c r="A370" s="18"/>
      <c r="B370" s="11" t="s">
        <v>561</v>
      </c>
      <c r="C370" s="18">
        <v>1</v>
      </c>
      <c r="D370" s="11"/>
      <c r="E370" s="11"/>
      <c r="F370" s="149">
        <v>329.5</v>
      </c>
      <c r="G370" s="11" t="s">
        <v>28</v>
      </c>
      <c r="H370" s="25" t="s">
        <v>29</v>
      </c>
      <c r="I370" s="25"/>
      <c r="J370" s="530">
        <f t="shared" si="847"/>
        <v>-3</v>
      </c>
      <c r="K370" s="395">
        <f t="shared" si="848"/>
        <v>-11</v>
      </c>
      <c r="L370" s="515">
        <v>13</v>
      </c>
      <c r="M370" s="298">
        <f>M363</f>
        <v>2</v>
      </c>
      <c r="N370" s="7">
        <f t="shared" si="855"/>
        <v>-11</v>
      </c>
      <c r="O370" s="258"/>
      <c r="P370" s="304">
        <f>P363</f>
        <v>2</v>
      </c>
      <c r="Q370" s="35">
        <f t="shared" si="856"/>
        <v>11</v>
      </c>
      <c r="R370" s="121"/>
      <c r="S370" s="6"/>
      <c r="T370" s="35"/>
      <c r="U370" s="612"/>
      <c r="V370" s="310"/>
      <c r="W370" s="210"/>
      <c r="X370" s="216"/>
      <c r="Y370" s="707"/>
      <c r="Z370" s="310"/>
      <c r="AA370" s="210"/>
      <c r="AB370" s="216"/>
      <c r="AC370" s="738"/>
      <c r="AD370" s="738"/>
      <c r="AE370" s="398">
        <f t="shared" si="849"/>
        <v>-9</v>
      </c>
      <c r="AF370" s="32">
        <f t="shared" si="857"/>
        <v>11</v>
      </c>
      <c r="AG370" s="298">
        <f>AG363</f>
        <v>2</v>
      </c>
      <c r="AH370" s="7">
        <f t="shared" si="858"/>
        <v>-9</v>
      </c>
      <c r="AI370" s="258"/>
      <c r="AJ370" s="304">
        <f>AJ363</f>
        <v>2</v>
      </c>
      <c r="AK370" s="35">
        <f t="shared" si="859"/>
        <v>9</v>
      </c>
      <c r="AL370" s="121"/>
      <c r="AM370" s="6"/>
      <c r="AN370" s="35"/>
      <c r="AO370" s="612"/>
      <c r="AP370" s="121"/>
      <c r="AQ370" s="6"/>
      <c r="AR370" s="35"/>
      <c r="AS370" s="612"/>
      <c r="AT370" s="21"/>
      <c r="AU370" s="6"/>
      <c r="AV370" s="35"/>
      <c r="AW370" s="234"/>
      <c r="AX370" s="234"/>
      <c r="AY370" s="395">
        <f t="shared" si="850"/>
        <v>-28</v>
      </c>
      <c r="AZ370" s="32">
        <f t="shared" si="868"/>
        <v>9</v>
      </c>
      <c r="BA370" s="298">
        <f>BA363</f>
        <v>1</v>
      </c>
      <c r="BB370" s="7">
        <f t="shared" si="860"/>
        <v>-8</v>
      </c>
      <c r="BC370" s="5">
        <v>20</v>
      </c>
      <c r="BD370" s="304">
        <f>BD363</f>
        <v>3</v>
      </c>
      <c r="BE370" s="35">
        <f t="shared" si="861"/>
        <v>26</v>
      </c>
      <c r="BF370" s="121"/>
      <c r="BG370" s="6"/>
      <c r="BH370" s="35"/>
      <c r="BI370" s="612"/>
      <c r="BJ370" s="121"/>
      <c r="BK370" s="6"/>
      <c r="BL370" s="35"/>
      <c r="BM370" s="713"/>
      <c r="BN370" s="444">
        <v>8504</v>
      </c>
      <c r="BO370" s="6"/>
      <c r="BP370" s="313" t="s">
        <v>845</v>
      </c>
      <c r="BQ370" s="739"/>
      <c r="BR370" s="739"/>
      <c r="BS370" s="395">
        <f t="shared" si="851"/>
        <v>-23</v>
      </c>
      <c r="BT370" s="32">
        <f t="shared" si="869"/>
        <v>26</v>
      </c>
      <c r="BU370" s="298">
        <f>BU363</f>
        <v>5</v>
      </c>
      <c r="BV370" s="7">
        <f t="shared" si="862"/>
        <v>-21</v>
      </c>
      <c r="BW370" s="240"/>
      <c r="BX370" s="304">
        <f>BX363</f>
        <v>0</v>
      </c>
      <c r="BY370" s="35">
        <f t="shared" si="863"/>
        <v>26</v>
      </c>
      <c r="BZ370" s="121"/>
      <c r="CA370" s="6"/>
      <c r="CB370" s="35"/>
      <c r="CC370" s="226"/>
      <c r="CD370" s="6"/>
      <c r="CE370" s="6"/>
      <c r="CF370" s="446"/>
      <c r="CG370" s="733"/>
      <c r="CH370" s="21"/>
      <c r="CI370" s="6"/>
      <c r="CJ370" s="35"/>
      <c r="CK370" s="234"/>
      <c r="CL370" s="234"/>
      <c r="CM370" s="395">
        <f t="shared" si="852"/>
        <v>-23</v>
      </c>
      <c r="CN370" s="32">
        <f t="shared" si="870"/>
        <v>26</v>
      </c>
      <c r="CO370" s="298">
        <f>CO363</f>
        <v>0</v>
      </c>
      <c r="CP370" s="7">
        <f t="shared" si="864"/>
        <v>-26</v>
      </c>
      <c r="CQ370" s="242"/>
      <c r="CR370" s="304">
        <f>CR363</f>
        <v>0</v>
      </c>
      <c r="CS370" s="35">
        <f t="shared" si="865"/>
        <v>26</v>
      </c>
      <c r="CT370" s="121"/>
      <c r="CU370" s="6">
        <v>823.75</v>
      </c>
      <c r="CV370" s="212" t="s">
        <v>814</v>
      </c>
      <c r="CW370" s="797"/>
      <c r="CX370" s="121"/>
      <c r="CY370" s="6"/>
      <c r="CZ370" s="35"/>
      <c r="DA370" s="612"/>
      <c r="DB370" s="21"/>
      <c r="DC370" s="6"/>
      <c r="DD370" s="35"/>
      <c r="DE370" s="234"/>
      <c r="DF370" s="234"/>
      <c r="DG370" s="395">
        <f t="shared" si="853"/>
        <v>-23</v>
      </c>
      <c r="DH370" s="32">
        <f t="shared" si="854"/>
        <v>26</v>
      </c>
      <c r="DI370" s="298">
        <f>DI363</f>
        <v>0</v>
      </c>
      <c r="DJ370" s="7">
        <f t="shared" si="866"/>
        <v>-26</v>
      </c>
      <c r="DK370" s="242"/>
      <c r="DL370" s="304">
        <f>DL363</f>
        <v>0</v>
      </c>
      <c r="DM370" s="35">
        <f t="shared" si="867"/>
        <v>26</v>
      </c>
    </row>
    <row r="371" spans="1:117" ht="30" x14ac:dyDescent="0.25">
      <c r="A371" s="18"/>
      <c r="B371" s="23" t="s">
        <v>611</v>
      </c>
      <c r="C371" s="18">
        <v>1</v>
      </c>
      <c r="D371" s="345" t="s">
        <v>535</v>
      </c>
      <c r="E371" s="345"/>
      <c r="F371" s="149">
        <v>120.7</v>
      </c>
      <c r="G371" s="109" t="s">
        <v>757</v>
      </c>
      <c r="H371" s="25"/>
      <c r="I371" s="25"/>
      <c r="J371" s="530">
        <f t="shared" si="847"/>
        <v>-8</v>
      </c>
      <c r="K371" s="395">
        <f t="shared" si="848"/>
        <v>-16</v>
      </c>
      <c r="L371" s="515">
        <v>18</v>
      </c>
      <c r="M371" s="298">
        <f>M363</f>
        <v>2</v>
      </c>
      <c r="N371" s="7">
        <f t="shared" si="855"/>
        <v>-16</v>
      </c>
      <c r="O371" s="242"/>
      <c r="P371" s="304">
        <f>P363</f>
        <v>2</v>
      </c>
      <c r="Q371" s="35">
        <f t="shared" si="856"/>
        <v>16</v>
      </c>
      <c r="R371" s="121"/>
      <c r="S371" s="6"/>
      <c r="T371" s="35"/>
      <c r="U371" s="612"/>
      <c r="V371" s="310"/>
      <c r="W371" s="210"/>
      <c r="X371" s="216"/>
      <c r="Y371" s="707"/>
      <c r="Z371" s="21"/>
      <c r="AA371" s="6"/>
      <c r="AB371" s="35"/>
      <c r="AC371" s="231"/>
      <c r="AD371" s="231"/>
      <c r="AE371" s="398">
        <f t="shared" si="849"/>
        <v>-14</v>
      </c>
      <c r="AF371" s="32">
        <f t="shared" si="857"/>
        <v>16</v>
      </c>
      <c r="AG371" s="298">
        <f>AG363</f>
        <v>2</v>
      </c>
      <c r="AH371" s="7">
        <f t="shared" si="858"/>
        <v>-14</v>
      </c>
      <c r="AI371" s="258"/>
      <c r="AJ371" s="304">
        <f>AJ363</f>
        <v>2</v>
      </c>
      <c r="AK371" s="35">
        <f t="shared" si="859"/>
        <v>14</v>
      </c>
      <c r="AL371" s="21"/>
      <c r="AM371" s="6"/>
      <c r="AN371" s="35"/>
      <c r="AO371" s="612"/>
      <c r="AP371" s="121"/>
      <c r="AQ371" s="6"/>
      <c r="AR371" s="35"/>
      <c r="AS371" s="612"/>
      <c r="AT371" s="21"/>
      <c r="AU371" s="6"/>
      <c r="AV371" s="35"/>
      <c r="AW371" s="234"/>
      <c r="AX371" s="234"/>
      <c r="AY371" s="395">
        <f t="shared" si="850"/>
        <v>-18</v>
      </c>
      <c r="AZ371" s="32">
        <f t="shared" si="868"/>
        <v>14</v>
      </c>
      <c r="BA371" s="298">
        <f>BA363</f>
        <v>1</v>
      </c>
      <c r="BB371" s="5">
        <f t="shared" si="860"/>
        <v>-13</v>
      </c>
      <c r="BC371" s="240">
        <v>5</v>
      </c>
      <c r="BD371" s="304">
        <f>BD363</f>
        <v>3</v>
      </c>
      <c r="BE371" s="35">
        <f t="shared" si="861"/>
        <v>16</v>
      </c>
      <c r="BF371" s="121"/>
      <c r="BG371" s="6"/>
      <c r="BH371" s="35"/>
      <c r="BI371" s="612"/>
      <c r="BJ371" s="121"/>
      <c r="BK371" s="6"/>
      <c r="BL371" s="35"/>
      <c r="BM371" s="713"/>
      <c r="BN371" s="444">
        <f t="shared" ref="BN371:BN376" si="871">+BC371*F371/2</f>
        <v>301.75</v>
      </c>
      <c r="BO371" s="6"/>
      <c r="BP371" s="313" t="s">
        <v>819</v>
      </c>
      <c r="BQ371" s="739"/>
      <c r="BR371" s="739"/>
      <c r="BS371" s="395">
        <f t="shared" si="851"/>
        <v>-13</v>
      </c>
      <c r="BT371" s="32">
        <f t="shared" si="869"/>
        <v>16</v>
      </c>
      <c r="BU371" s="298">
        <f>BU363</f>
        <v>5</v>
      </c>
      <c r="BV371" s="7">
        <f t="shared" si="862"/>
        <v>-11</v>
      </c>
      <c r="BW371" s="240"/>
      <c r="BX371" s="304">
        <f>BX363</f>
        <v>0</v>
      </c>
      <c r="BY371" s="35">
        <f t="shared" si="863"/>
        <v>16</v>
      </c>
      <c r="BZ371" s="121"/>
      <c r="CA371" s="6"/>
      <c r="CB371" s="35"/>
      <c r="CC371" s="612"/>
      <c r="CD371" s="121"/>
      <c r="CE371" s="6"/>
      <c r="CF371" s="35"/>
      <c r="CG371" s="612"/>
      <c r="CH371" s="21"/>
      <c r="CI371" s="6"/>
      <c r="CJ371" s="35"/>
      <c r="CK371" s="234"/>
      <c r="CL371" s="234"/>
      <c r="CM371" s="395">
        <f t="shared" si="852"/>
        <v>-13</v>
      </c>
      <c r="CN371" s="32">
        <f t="shared" si="870"/>
        <v>16</v>
      </c>
      <c r="CO371" s="298">
        <f>CO363</f>
        <v>0</v>
      </c>
      <c r="CP371" s="7">
        <f t="shared" si="864"/>
        <v>-16</v>
      </c>
      <c r="CQ371" s="7"/>
      <c r="CR371" s="304">
        <f>CR363</f>
        <v>0</v>
      </c>
      <c r="CS371" s="35">
        <f t="shared" si="865"/>
        <v>16</v>
      </c>
      <c r="CT371" s="121"/>
      <c r="CU371" s="6"/>
      <c r="CV371" s="35"/>
      <c r="CW371" s="612"/>
      <c r="CX371" s="121"/>
      <c r="CY371" s="6"/>
      <c r="CZ371" s="35"/>
      <c r="DA371" s="612"/>
      <c r="DB371" s="21"/>
      <c r="DC371" s="6"/>
      <c r="DD371" s="35"/>
      <c r="DE371" s="234"/>
      <c r="DF371" s="234"/>
      <c r="DG371" s="395">
        <f t="shared" si="853"/>
        <v>-13</v>
      </c>
      <c r="DH371" s="32">
        <f t="shared" si="854"/>
        <v>16</v>
      </c>
      <c r="DI371" s="298">
        <f>DI363</f>
        <v>0</v>
      </c>
      <c r="DJ371" s="7">
        <f t="shared" si="866"/>
        <v>-16</v>
      </c>
      <c r="DK371" s="7"/>
      <c r="DL371" s="304">
        <f>DL363</f>
        <v>0</v>
      </c>
      <c r="DM371" s="35">
        <f t="shared" si="867"/>
        <v>16</v>
      </c>
    </row>
    <row r="372" spans="1:117" x14ac:dyDescent="0.25">
      <c r="A372" s="18"/>
      <c r="B372" s="23" t="s">
        <v>612</v>
      </c>
      <c r="C372" s="18">
        <v>1</v>
      </c>
      <c r="D372" s="345"/>
      <c r="E372" s="345"/>
      <c r="F372" s="149">
        <v>18</v>
      </c>
      <c r="G372" s="109" t="s">
        <v>757</v>
      </c>
      <c r="H372" s="25"/>
      <c r="I372" s="25"/>
      <c r="J372" s="530">
        <f t="shared" si="847"/>
        <v>-384</v>
      </c>
      <c r="K372" s="395">
        <f t="shared" si="848"/>
        <v>-392</v>
      </c>
      <c r="L372" s="515">
        <v>394</v>
      </c>
      <c r="M372" s="298">
        <f>M363</f>
        <v>2</v>
      </c>
      <c r="N372" s="7">
        <f t="shared" si="855"/>
        <v>-392</v>
      </c>
      <c r="O372" s="242"/>
      <c r="P372" s="304">
        <f>P363</f>
        <v>2</v>
      </c>
      <c r="Q372" s="35">
        <f t="shared" si="856"/>
        <v>392</v>
      </c>
      <c r="R372" s="121"/>
      <c r="S372" s="6"/>
      <c r="T372" s="35"/>
      <c r="U372" s="612"/>
      <c r="V372" s="310"/>
      <c r="W372" s="210"/>
      <c r="X372" s="216"/>
      <c r="Y372" s="707"/>
      <c r="Z372" s="21"/>
      <c r="AA372" s="6"/>
      <c r="AB372" s="35"/>
      <c r="AC372" s="231"/>
      <c r="AD372" s="231"/>
      <c r="AE372" s="398">
        <f t="shared" si="849"/>
        <v>-390</v>
      </c>
      <c r="AF372" s="32">
        <f t="shared" si="857"/>
        <v>392</v>
      </c>
      <c r="AG372" s="298">
        <f>AG363</f>
        <v>2</v>
      </c>
      <c r="AH372" s="7">
        <f t="shared" si="858"/>
        <v>-390</v>
      </c>
      <c r="AI372" s="258"/>
      <c r="AJ372" s="304">
        <f>AJ363</f>
        <v>2</v>
      </c>
      <c r="AK372" s="35">
        <f t="shared" si="859"/>
        <v>390</v>
      </c>
      <c r="AL372" s="21"/>
      <c r="AM372" s="6"/>
      <c r="AN372" s="35"/>
      <c r="AO372" s="612"/>
      <c r="AP372" s="21"/>
      <c r="AQ372" s="6"/>
      <c r="AR372" s="35"/>
      <c r="AS372" s="612"/>
      <c r="AT372" s="21"/>
      <c r="AU372" s="6"/>
      <c r="AV372" s="35"/>
      <c r="AW372" s="234"/>
      <c r="AX372" s="234"/>
      <c r="AY372" s="395">
        <f t="shared" si="850"/>
        <v>-394</v>
      </c>
      <c r="AZ372" s="32">
        <f t="shared" si="868"/>
        <v>390</v>
      </c>
      <c r="BA372" s="298">
        <f>BA363</f>
        <v>1</v>
      </c>
      <c r="BB372" s="5">
        <f t="shared" si="860"/>
        <v>-389</v>
      </c>
      <c r="BC372" s="242">
        <v>5</v>
      </c>
      <c r="BD372" s="304">
        <f>BD363</f>
        <v>3</v>
      </c>
      <c r="BE372" s="35">
        <f t="shared" si="861"/>
        <v>392</v>
      </c>
      <c r="BF372" s="121"/>
      <c r="BG372" s="6"/>
      <c r="BH372" s="35"/>
      <c r="BI372" s="612"/>
      <c r="BJ372" s="121"/>
      <c r="BK372" s="6"/>
      <c r="BL372" s="35"/>
      <c r="BM372" s="713"/>
      <c r="BN372" s="444">
        <f t="shared" si="871"/>
        <v>45</v>
      </c>
      <c r="BO372" s="6"/>
      <c r="BP372" s="313" t="s">
        <v>819</v>
      </c>
      <c r="BQ372" s="739"/>
      <c r="BR372" s="739"/>
      <c r="BS372" s="395">
        <f t="shared" si="851"/>
        <v>-389</v>
      </c>
      <c r="BT372" s="32">
        <f t="shared" si="869"/>
        <v>392</v>
      </c>
      <c r="BU372" s="298">
        <f>BU363</f>
        <v>5</v>
      </c>
      <c r="BV372" s="7">
        <f t="shared" si="862"/>
        <v>-387</v>
      </c>
      <c r="BW372" s="242"/>
      <c r="BX372" s="304">
        <f>BX363</f>
        <v>0</v>
      </c>
      <c r="BY372" s="35">
        <f t="shared" si="863"/>
        <v>392</v>
      </c>
      <c r="BZ372" s="121"/>
      <c r="CA372" s="6"/>
      <c r="CB372" s="35"/>
      <c r="CC372" s="612"/>
      <c r="CD372" s="121"/>
      <c r="CE372" s="6"/>
      <c r="CF372" s="35"/>
      <c r="CG372" s="612"/>
      <c r="CH372" s="21"/>
      <c r="CI372" s="6"/>
      <c r="CJ372" s="35"/>
      <c r="CK372" s="234"/>
      <c r="CL372" s="234"/>
      <c r="CM372" s="395">
        <f t="shared" si="852"/>
        <v>-389</v>
      </c>
      <c r="CN372" s="32">
        <f t="shared" si="870"/>
        <v>392</v>
      </c>
      <c r="CO372" s="298">
        <f>CO363</f>
        <v>0</v>
      </c>
      <c r="CP372" s="7">
        <f t="shared" si="864"/>
        <v>-392</v>
      </c>
      <c r="CQ372" s="258"/>
      <c r="CR372" s="304">
        <f>CR363</f>
        <v>0</v>
      </c>
      <c r="CS372" s="35">
        <f t="shared" si="865"/>
        <v>392</v>
      </c>
      <c r="CT372" s="121"/>
      <c r="CU372" s="6"/>
      <c r="CV372" s="35"/>
      <c r="CW372" s="612"/>
      <c r="CX372" s="121"/>
      <c r="CY372" s="6"/>
      <c r="CZ372" s="35"/>
      <c r="DA372" s="612"/>
      <c r="DB372" s="21"/>
      <c r="DC372" s="6"/>
      <c r="DD372" s="35"/>
      <c r="DE372" s="234"/>
      <c r="DF372" s="234"/>
      <c r="DG372" s="395">
        <f t="shared" si="853"/>
        <v>-389</v>
      </c>
      <c r="DH372" s="32">
        <f t="shared" si="854"/>
        <v>392</v>
      </c>
      <c r="DI372" s="298">
        <f>DI363</f>
        <v>0</v>
      </c>
      <c r="DJ372" s="7">
        <f t="shared" si="866"/>
        <v>-392</v>
      </c>
      <c r="DK372" s="258"/>
      <c r="DL372" s="304">
        <f>DL363</f>
        <v>0</v>
      </c>
      <c r="DM372" s="35">
        <f t="shared" si="867"/>
        <v>392</v>
      </c>
    </row>
    <row r="373" spans="1:117" x14ac:dyDescent="0.25">
      <c r="A373" s="18"/>
      <c r="B373" s="23" t="s">
        <v>613</v>
      </c>
      <c r="C373" s="18">
        <v>1</v>
      </c>
      <c r="D373" s="345"/>
      <c r="E373" s="345"/>
      <c r="F373" s="149">
        <v>20</v>
      </c>
      <c r="G373" s="109" t="s">
        <v>757</v>
      </c>
      <c r="H373" s="25"/>
      <c r="I373" s="25"/>
      <c r="J373" s="530">
        <f t="shared" si="847"/>
        <v>-51</v>
      </c>
      <c r="K373" s="395">
        <f t="shared" si="848"/>
        <v>-59</v>
      </c>
      <c r="L373" s="515">
        <v>61</v>
      </c>
      <c r="M373" s="298">
        <f>M363</f>
        <v>2</v>
      </c>
      <c r="N373" s="7">
        <f t="shared" si="855"/>
        <v>-59</v>
      </c>
      <c r="O373" s="256"/>
      <c r="P373" s="304">
        <f>P363</f>
        <v>2</v>
      </c>
      <c r="Q373" s="35">
        <f t="shared" si="856"/>
        <v>59</v>
      </c>
      <c r="R373" s="121"/>
      <c r="S373" s="6"/>
      <c r="T373" s="35"/>
      <c r="U373" s="612"/>
      <c r="V373" s="310"/>
      <c r="W373" s="210"/>
      <c r="X373" s="216"/>
      <c r="Y373" s="707"/>
      <c r="Z373" s="21"/>
      <c r="AA373" s="6"/>
      <c r="AB373" s="35"/>
      <c r="AC373" s="231"/>
      <c r="AD373" s="231"/>
      <c r="AE373" s="398">
        <f t="shared" si="849"/>
        <v>-57</v>
      </c>
      <c r="AF373" s="32">
        <f t="shared" si="857"/>
        <v>59</v>
      </c>
      <c r="AG373" s="298">
        <f>AG363</f>
        <v>2</v>
      </c>
      <c r="AH373" s="7">
        <f t="shared" si="858"/>
        <v>-57</v>
      </c>
      <c r="AI373" s="256"/>
      <c r="AJ373" s="304">
        <f>AJ363</f>
        <v>2</v>
      </c>
      <c r="AK373" s="35">
        <f t="shared" si="859"/>
        <v>57</v>
      </c>
      <c r="AL373" s="21"/>
      <c r="AM373" s="6"/>
      <c r="AN373" s="35"/>
      <c r="AO373" s="612"/>
      <c r="AP373" s="121"/>
      <c r="AQ373" s="6"/>
      <c r="AR373" s="35"/>
      <c r="AS373" s="612"/>
      <c r="AT373" s="21"/>
      <c r="AU373" s="6"/>
      <c r="AV373" s="35"/>
      <c r="AW373" s="234"/>
      <c r="AX373" s="234"/>
      <c r="AY373" s="395">
        <f t="shared" si="850"/>
        <v>-61</v>
      </c>
      <c r="AZ373" s="32">
        <f t="shared" si="868"/>
        <v>57</v>
      </c>
      <c r="BA373" s="298">
        <f>BA363</f>
        <v>1</v>
      </c>
      <c r="BB373" s="5">
        <f t="shared" si="860"/>
        <v>-56</v>
      </c>
      <c r="BC373" s="242">
        <v>5</v>
      </c>
      <c r="BD373" s="304">
        <f>BD363</f>
        <v>3</v>
      </c>
      <c r="BE373" s="35">
        <f t="shared" si="861"/>
        <v>59</v>
      </c>
      <c r="BF373" s="121"/>
      <c r="BG373" s="6"/>
      <c r="BH373" s="35"/>
      <c r="BI373" s="612"/>
      <c r="BJ373" s="121"/>
      <c r="BK373" s="6"/>
      <c r="BL373" s="35"/>
      <c r="BM373" s="713"/>
      <c r="BN373" s="444">
        <f t="shared" si="871"/>
        <v>50</v>
      </c>
      <c r="BO373" s="6"/>
      <c r="BP373" s="313" t="s">
        <v>819</v>
      </c>
      <c r="BQ373" s="739"/>
      <c r="BR373" s="739"/>
      <c r="BS373" s="395">
        <f t="shared" si="851"/>
        <v>-56</v>
      </c>
      <c r="BT373" s="32">
        <f t="shared" si="869"/>
        <v>59</v>
      </c>
      <c r="BU373" s="298">
        <f>BU363</f>
        <v>5</v>
      </c>
      <c r="BV373" s="7">
        <f t="shared" si="862"/>
        <v>-54</v>
      </c>
      <c r="BW373" s="242"/>
      <c r="BX373" s="304">
        <f>BX363</f>
        <v>0</v>
      </c>
      <c r="BY373" s="35">
        <f t="shared" si="863"/>
        <v>59</v>
      </c>
      <c r="BZ373" s="121"/>
      <c r="CA373" s="6"/>
      <c r="CB373" s="35"/>
      <c r="CC373" s="612"/>
      <c r="CD373" s="121"/>
      <c r="CE373" s="6"/>
      <c r="CF373" s="35"/>
      <c r="CG373" s="612"/>
      <c r="CH373" s="21"/>
      <c r="CI373" s="6"/>
      <c r="CJ373" s="35"/>
      <c r="CK373" s="234"/>
      <c r="CL373" s="234"/>
      <c r="CM373" s="395">
        <f t="shared" si="852"/>
        <v>-56</v>
      </c>
      <c r="CN373" s="32">
        <f t="shared" si="870"/>
        <v>59</v>
      </c>
      <c r="CO373" s="298">
        <f>CO363</f>
        <v>0</v>
      </c>
      <c r="CP373" s="7">
        <f t="shared" si="864"/>
        <v>-59</v>
      </c>
      <c r="CQ373" s="258"/>
      <c r="CR373" s="304">
        <f>CR363</f>
        <v>0</v>
      </c>
      <c r="CS373" s="35">
        <f t="shared" si="865"/>
        <v>59</v>
      </c>
      <c r="CT373" s="121"/>
      <c r="CU373" s="6"/>
      <c r="CV373" s="35"/>
      <c r="CW373" s="612"/>
      <c r="CX373" s="121"/>
      <c r="CY373" s="6"/>
      <c r="CZ373" s="35"/>
      <c r="DA373" s="612"/>
      <c r="DB373" s="21"/>
      <c r="DC373" s="6"/>
      <c r="DD373" s="35"/>
      <c r="DE373" s="234"/>
      <c r="DF373" s="234"/>
      <c r="DG373" s="395">
        <f t="shared" si="853"/>
        <v>-56</v>
      </c>
      <c r="DH373" s="32">
        <f t="shared" si="854"/>
        <v>59</v>
      </c>
      <c r="DI373" s="298">
        <f>DI363</f>
        <v>0</v>
      </c>
      <c r="DJ373" s="7">
        <f t="shared" si="866"/>
        <v>-59</v>
      </c>
      <c r="DK373" s="258"/>
      <c r="DL373" s="304">
        <f>DL363</f>
        <v>0</v>
      </c>
      <c r="DM373" s="35">
        <f t="shared" si="867"/>
        <v>59</v>
      </c>
    </row>
    <row r="374" spans="1:117" x14ac:dyDescent="0.25">
      <c r="A374" s="18"/>
      <c r="B374" s="23" t="s">
        <v>614</v>
      </c>
      <c r="C374" s="18">
        <v>1</v>
      </c>
      <c r="D374" s="345"/>
      <c r="E374" s="345"/>
      <c r="F374" s="149">
        <v>20</v>
      </c>
      <c r="G374" s="109" t="s">
        <v>757</v>
      </c>
      <c r="H374" s="25"/>
      <c r="I374" s="25"/>
      <c r="J374" s="530">
        <f t="shared" si="847"/>
        <v>-15</v>
      </c>
      <c r="K374" s="395">
        <f t="shared" si="848"/>
        <v>-23</v>
      </c>
      <c r="L374" s="515">
        <v>25</v>
      </c>
      <c r="M374" s="298">
        <f>M363</f>
        <v>2</v>
      </c>
      <c r="N374" s="7">
        <f t="shared" si="855"/>
        <v>-23</v>
      </c>
      <c r="O374" s="256"/>
      <c r="P374" s="304">
        <f>P363</f>
        <v>2</v>
      </c>
      <c r="Q374" s="35">
        <f t="shared" si="856"/>
        <v>23</v>
      </c>
      <c r="R374" s="121"/>
      <c r="S374" s="6"/>
      <c r="T374" s="35"/>
      <c r="U374" s="612"/>
      <c r="V374" s="310"/>
      <c r="W374" s="210"/>
      <c r="X374" s="216"/>
      <c r="Y374" s="707"/>
      <c r="Z374" s="21"/>
      <c r="AA374" s="6"/>
      <c r="AB374" s="35"/>
      <c r="AC374" s="231"/>
      <c r="AD374" s="231"/>
      <c r="AE374" s="398">
        <f t="shared" si="849"/>
        <v>-21</v>
      </c>
      <c r="AF374" s="32">
        <f t="shared" si="857"/>
        <v>23</v>
      </c>
      <c r="AG374" s="298">
        <f>AG363</f>
        <v>2</v>
      </c>
      <c r="AH374" s="7">
        <f t="shared" si="858"/>
        <v>-21</v>
      </c>
      <c r="AI374" s="256"/>
      <c r="AJ374" s="304">
        <f>AJ363</f>
        <v>2</v>
      </c>
      <c r="AK374" s="35">
        <f t="shared" si="859"/>
        <v>21</v>
      </c>
      <c r="AL374" s="21"/>
      <c r="AM374" s="6"/>
      <c r="AN374" s="35"/>
      <c r="AO374" s="612"/>
      <c r="AP374" s="121"/>
      <c r="AQ374" s="6"/>
      <c r="AR374" s="35"/>
      <c r="AS374" s="612"/>
      <c r="AT374" s="21"/>
      <c r="AU374" s="6"/>
      <c r="AV374" s="35"/>
      <c r="AW374" s="234"/>
      <c r="AX374" s="234"/>
      <c r="AY374" s="395">
        <f t="shared" si="850"/>
        <v>-25</v>
      </c>
      <c r="AZ374" s="32">
        <f t="shared" si="868"/>
        <v>21</v>
      </c>
      <c r="BA374" s="298">
        <f>BA363</f>
        <v>1</v>
      </c>
      <c r="BB374" s="5">
        <f t="shared" si="860"/>
        <v>-20</v>
      </c>
      <c r="BC374" s="242">
        <v>5</v>
      </c>
      <c r="BD374" s="304">
        <f>BD363</f>
        <v>3</v>
      </c>
      <c r="BE374" s="35">
        <f t="shared" si="861"/>
        <v>23</v>
      </c>
      <c r="BF374" s="121"/>
      <c r="BG374" s="6"/>
      <c r="BH374" s="35"/>
      <c r="BI374" s="612"/>
      <c r="BJ374" s="121"/>
      <c r="BK374" s="6"/>
      <c r="BL374" s="35"/>
      <c r="BM374" s="713"/>
      <c r="BN374" s="444">
        <f t="shared" si="871"/>
        <v>50</v>
      </c>
      <c r="BO374" s="6"/>
      <c r="BP374" s="313" t="s">
        <v>819</v>
      </c>
      <c r="BQ374" s="739"/>
      <c r="BR374" s="739"/>
      <c r="BS374" s="395">
        <f t="shared" si="851"/>
        <v>-20</v>
      </c>
      <c r="BT374" s="32">
        <f t="shared" si="869"/>
        <v>23</v>
      </c>
      <c r="BU374" s="298">
        <f>BU363</f>
        <v>5</v>
      </c>
      <c r="BV374" s="7">
        <f t="shared" si="862"/>
        <v>-18</v>
      </c>
      <c r="BW374" s="242"/>
      <c r="BX374" s="304">
        <f>BX363</f>
        <v>0</v>
      </c>
      <c r="BY374" s="35">
        <f t="shared" si="863"/>
        <v>23</v>
      </c>
      <c r="BZ374" s="121"/>
      <c r="CA374" s="6"/>
      <c r="CB374" s="35"/>
      <c r="CC374" s="612"/>
      <c r="CD374" s="121"/>
      <c r="CE374" s="6"/>
      <c r="CF374" s="35"/>
      <c r="CG374" s="612"/>
      <c r="CH374" s="21"/>
      <c r="CI374" s="6"/>
      <c r="CJ374" s="35"/>
      <c r="CK374" s="234"/>
      <c r="CL374" s="234"/>
      <c r="CM374" s="395">
        <f t="shared" si="852"/>
        <v>-20</v>
      </c>
      <c r="CN374" s="32">
        <f t="shared" si="870"/>
        <v>23</v>
      </c>
      <c r="CO374" s="298">
        <f>CO363</f>
        <v>0</v>
      </c>
      <c r="CP374" s="7">
        <f t="shared" si="864"/>
        <v>-23</v>
      </c>
      <c r="CQ374" s="258"/>
      <c r="CR374" s="304">
        <f>CR363</f>
        <v>0</v>
      </c>
      <c r="CS374" s="35">
        <f t="shared" si="865"/>
        <v>23</v>
      </c>
      <c r="CT374" s="121"/>
      <c r="CU374" s="6"/>
      <c r="CV374" s="35"/>
      <c r="CW374" s="612"/>
      <c r="CX374" s="121"/>
      <c r="CY374" s="6"/>
      <c r="CZ374" s="35"/>
      <c r="DA374" s="612"/>
      <c r="DB374" s="21"/>
      <c r="DC374" s="6"/>
      <c r="DD374" s="35"/>
      <c r="DE374" s="234"/>
      <c r="DF374" s="234"/>
      <c r="DG374" s="395">
        <f t="shared" si="853"/>
        <v>-20</v>
      </c>
      <c r="DH374" s="32">
        <f t="shared" si="854"/>
        <v>23</v>
      </c>
      <c r="DI374" s="298">
        <f>DI363</f>
        <v>0</v>
      </c>
      <c r="DJ374" s="7">
        <f t="shared" si="866"/>
        <v>-23</v>
      </c>
      <c r="DK374" s="258"/>
      <c r="DL374" s="304">
        <f>DL363</f>
        <v>0</v>
      </c>
      <c r="DM374" s="35">
        <f t="shared" si="867"/>
        <v>23</v>
      </c>
    </row>
    <row r="375" spans="1:117" x14ac:dyDescent="0.25">
      <c r="A375" s="18"/>
      <c r="B375" s="23" t="s">
        <v>615</v>
      </c>
      <c r="C375" s="18">
        <v>1</v>
      </c>
      <c r="D375" s="345"/>
      <c r="E375" s="345"/>
      <c r="F375" s="149">
        <v>20</v>
      </c>
      <c r="G375" s="109" t="s">
        <v>757</v>
      </c>
      <c r="H375" s="25"/>
      <c r="I375" s="25"/>
      <c r="J375" s="530">
        <f t="shared" si="847"/>
        <v>-65</v>
      </c>
      <c r="K375" s="395">
        <f t="shared" si="848"/>
        <v>-73</v>
      </c>
      <c r="L375" s="515">
        <v>75</v>
      </c>
      <c r="M375" s="298">
        <f>M363</f>
        <v>2</v>
      </c>
      <c r="N375" s="7">
        <f t="shared" si="855"/>
        <v>-73</v>
      </c>
      <c r="O375" s="258"/>
      <c r="P375" s="304">
        <f>P363</f>
        <v>2</v>
      </c>
      <c r="Q375" s="35">
        <f t="shared" si="856"/>
        <v>73</v>
      </c>
      <c r="R375" s="121"/>
      <c r="S375" s="6"/>
      <c r="T375" s="35"/>
      <c r="U375" s="612"/>
      <c r="V375" s="310"/>
      <c r="W375" s="210"/>
      <c r="X375" s="216"/>
      <c r="Y375" s="707"/>
      <c r="Z375" s="21"/>
      <c r="AA375" s="6"/>
      <c r="AB375" s="35"/>
      <c r="AC375" s="231"/>
      <c r="AD375" s="231"/>
      <c r="AE375" s="398">
        <f t="shared" si="849"/>
        <v>-71</v>
      </c>
      <c r="AF375" s="32">
        <f t="shared" si="857"/>
        <v>73</v>
      </c>
      <c r="AG375" s="298">
        <f>AG363</f>
        <v>2</v>
      </c>
      <c r="AH375" s="7">
        <f t="shared" si="858"/>
        <v>-71</v>
      </c>
      <c r="AI375" s="258"/>
      <c r="AJ375" s="304">
        <f>AJ363</f>
        <v>2</v>
      </c>
      <c r="AK375" s="35">
        <f t="shared" si="859"/>
        <v>71</v>
      </c>
      <c r="AL375" s="21"/>
      <c r="AM375" s="6"/>
      <c r="AN375" s="35"/>
      <c r="AO375" s="612"/>
      <c r="AP375" s="121"/>
      <c r="AQ375" s="6"/>
      <c r="AR375" s="35"/>
      <c r="AS375" s="612"/>
      <c r="AT375" s="21"/>
      <c r="AU375" s="6"/>
      <c r="AV375" s="35"/>
      <c r="AW375" s="234"/>
      <c r="AX375" s="234"/>
      <c r="AY375" s="395">
        <f t="shared" si="850"/>
        <v>-75</v>
      </c>
      <c r="AZ375" s="32">
        <f t="shared" si="868"/>
        <v>71</v>
      </c>
      <c r="BA375" s="298">
        <f>BA363</f>
        <v>1</v>
      </c>
      <c r="BB375" s="7">
        <f t="shared" si="860"/>
        <v>-70</v>
      </c>
      <c r="BC375" s="242">
        <v>5</v>
      </c>
      <c r="BD375" s="304">
        <f>BD363</f>
        <v>3</v>
      </c>
      <c r="BE375" s="35">
        <f t="shared" si="861"/>
        <v>73</v>
      </c>
      <c r="BF375" s="121"/>
      <c r="BG375" s="6"/>
      <c r="BH375" s="35"/>
      <c r="BI375" s="612"/>
      <c r="BJ375" s="121"/>
      <c r="BK375" s="6"/>
      <c r="BL375" s="35"/>
      <c r="BM375" s="713"/>
      <c r="BN375" s="444">
        <f t="shared" si="871"/>
        <v>50</v>
      </c>
      <c r="BO375" s="6"/>
      <c r="BP375" s="313" t="s">
        <v>819</v>
      </c>
      <c r="BQ375" s="739"/>
      <c r="BR375" s="739"/>
      <c r="BS375" s="395">
        <f t="shared" si="851"/>
        <v>-70</v>
      </c>
      <c r="BT375" s="32">
        <f t="shared" si="869"/>
        <v>73</v>
      </c>
      <c r="BU375" s="298">
        <f>BU363</f>
        <v>5</v>
      </c>
      <c r="BV375" s="7">
        <f t="shared" si="862"/>
        <v>-68</v>
      </c>
      <c r="BW375" s="242"/>
      <c r="BX375" s="304">
        <f>BX363</f>
        <v>0</v>
      </c>
      <c r="BY375" s="35">
        <f t="shared" si="863"/>
        <v>73</v>
      </c>
      <c r="BZ375" s="121"/>
      <c r="CA375" s="6"/>
      <c r="CB375" s="35"/>
      <c r="CC375" s="612"/>
      <c r="CD375" s="121"/>
      <c r="CE375" s="6"/>
      <c r="CF375" s="35"/>
      <c r="CG375" s="612"/>
      <c r="CH375" s="21"/>
      <c r="CI375" s="6"/>
      <c r="CJ375" s="35"/>
      <c r="CK375" s="234"/>
      <c r="CL375" s="234"/>
      <c r="CM375" s="395">
        <f t="shared" si="852"/>
        <v>-70</v>
      </c>
      <c r="CN375" s="32">
        <f t="shared" si="870"/>
        <v>73</v>
      </c>
      <c r="CO375" s="298">
        <f>CO363</f>
        <v>0</v>
      </c>
      <c r="CP375" s="7">
        <f t="shared" si="864"/>
        <v>-73</v>
      </c>
      <c r="CQ375" s="258"/>
      <c r="CR375" s="304">
        <f>CR363</f>
        <v>0</v>
      </c>
      <c r="CS375" s="35">
        <f t="shared" si="865"/>
        <v>73</v>
      </c>
      <c r="CT375" s="121"/>
      <c r="CU375" s="6"/>
      <c r="CV375" s="35"/>
      <c r="CW375" s="612"/>
      <c r="CX375" s="121"/>
      <c r="CY375" s="6"/>
      <c r="CZ375" s="35"/>
      <c r="DA375" s="612"/>
      <c r="DB375" s="21"/>
      <c r="DC375" s="6"/>
      <c r="DD375" s="35"/>
      <c r="DE375" s="234"/>
      <c r="DF375" s="234"/>
      <c r="DG375" s="395">
        <f t="shared" si="853"/>
        <v>-70</v>
      </c>
      <c r="DH375" s="32">
        <f t="shared" si="854"/>
        <v>73</v>
      </c>
      <c r="DI375" s="298">
        <f>DI363</f>
        <v>0</v>
      </c>
      <c r="DJ375" s="7">
        <f t="shared" si="866"/>
        <v>-73</v>
      </c>
      <c r="DK375" s="258"/>
      <c r="DL375" s="304">
        <f>DL363</f>
        <v>0</v>
      </c>
      <c r="DM375" s="35">
        <f t="shared" si="867"/>
        <v>73</v>
      </c>
    </row>
    <row r="376" spans="1:117" x14ac:dyDescent="0.25">
      <c r="A376" s="18"/>
      <c r="B376" s="23" t="s">
        <v>451</v>
      </c>
      <c r="C376" s="18">
        <v>1</v>
      </c>
      <c r="D376" s="345"/>
      <c r="E376" s="345"/>
      <c r="F376" s="149">
        <v>63.8</v>
      </c>
      <c r="G376" s="109" t="s">
        <v>757</v>
      </c>
      <c r="H376" s="25"/>
      <c r="I376" s="25"/>
      <c r="J376" s="530">
        <f t="shared" si="847"/>
        <v>-7</v>
      </c>
      <c r="K376" s="395">
        <f t="shared" si="848"/>
        <v>-15</v>
      </c>
      <c r="L376" s="515">
        <v>17</v>
      </c>
      <c r="M376" s="298">
        <f>M363</f>
        <v>2</v>
      </c>
      <c r="N376" s="7">
        <f t="shared" si="855"/>
        <v>-15</v>
      </c>
      <c r="O376" s="242"/>
      <c r="P376" s="304">
        <f>P363</f>
        <v>2</v>
      </c>
      <c r="Q376" s="35">
        <f t="shared" si="856"/>
        <v>15</v>
      </c>
      <c r="R376" s="121"/>
      <c r="S376" s="6"/>
      <c r="T376" s="35"/>
      <c r="U376" s="612"/>
      <c r="V376" s="310"/>
      <c r="W376" s="210"/>
      <c r="X376" s="216"/>
      <c r="Y376" s="707"/>
      <c r="Z376" s="21"/>
      <c r="AA376" s="6"/>
      <c r="AB376" s="35"/>
      <c r="AC376" s="231"/>
      <c r="AD376" s="231"/>
      <c r="AE376" s="398">
        <f t="shared" si="849"/>
        <v>-13</v>
      </c>
      <c r="AF376" s="32">
        <f t="shared" si="857"/>
        <v>15</v>
      </c>
      <c r="AG376" s="298">
        <f>AG363</f>
        <v>2</v>
      </c>
      <c r="AH376" s="7">
        <f t="shared" si="858"/>
        <v>-13</v>
      </c>
      <c r="AI376" s="258"/>
      <c r="AJ376" s="304">
        <f>AJ363</f>
        <v>2</v>
      </c>
      <c r="AK376" s="35">
        <f t="shared" si="859"/>
        <v>13</v>
      </c>
      <c r="AL376" s="21"/>
      <c r="AM376" s="6"/>
      <c r="AN376" s="35"/>
      <c r="AO376" s="612"/>
      <c r="AP376" s="121"/>
      <c r="AQ376" s="6"/>
      <c r="AR376" s="35"/>
      <c r="AS376" s="612"/>
      <c r="AT376" s="21"/>
      <c r="AU376" s="6"/>
      <c r="AV376" s="35"/>
      <c r="AW376" s="234"/>
      <c r="AX376" s="234"/>
      <c r="AY376" s="395">
        <f t="shared" si="850"/>
        <v>-17</v>
      </c>
      <c r="AZ376" s="32">
        <f t="shared" si="868"/>
        <v>13</v>
      </c>
      <c r="BA376" s="298">
        <f>BA363</f>
        <v>1</v>
      </c>
      <c r="BB376" s="5">
        <f t="shared" si="860"/>
        <v>-12</v>
      </c>
      <c r="BC376" s="242">
        <v>5</v>
      </c>
      <c r="BD376" s="304">
        <f>BD363</f>
        <v>3</v>
      </c>
      <c r="BE376" s="35">
        <f t="shared" si="861"/>
        <v>15</v>
      </c>
      <c r="BF376" s="121"/>
      <c r="BG376" s="6"/>
      <c r="BH376" s="35"/>
      <c r="BI376" s="612"/>
      <c r="BJ376" s="121"/>
      <c r="BK376" s="6"/>
      <c r="BL376" s="35"/>
      <c r="BM376" s="713"/>
      <c r="BN376" s="444">
        <f t="shared" si="871"/>
        <v>159.5</v>
      </c>
      <c r="BO376" s="6"/>
      <c r="BP376" s="313" t="s">
        <v>819</v>
      </c>
      <c r="BQ376" s="739"/>
      <c r="BR376" s="739"/>
      <c r="BS376" s="395">
        <f t="shared" si="851"/>
        <v>-12</v>
      </c>
      <c r="BT376" s="32">
        <f t="shared" si="869"/>
        <v>15</v>
      </c>
      <c r="BU376" s="298">
        <f>BU363</f>
        <v>5</v>
      </c>
      <c r="BV376" s="7">
        <f t="shared" si="862"/>
        <v>-10</v>
      </c>
      <c r="BW376" s="242"/>
      <c r="BX376" s="304">
        <f>BX363</f>
        <v>0</v>
      </c>
      <c r="BY376" s="35">
        <f t="shared" si="863"/>
        <v>15</v>
      </c>
      <c r="BZ376" s="121"/>
      <c r="CA376" s="6"/>
      <c r="CB376" s="35"/>
      <c r="CC376" s="612"/>
      <c r="CD376" s="121"/>
      <c r="CE376" s="6"/>
      <c r="CF376" s="35"/>
      <c r="CG376" s="612"/>
      <c r="CH376" s="21"/>
      <c r="CI376" s="6"/>
      <c r="CJ376" s="35"/>
      <c r="CK376" s="234"/>
      <c r="CL376" s="234"/>
      <c r="CM376" s="395">
        <f t="shared" si="852"/>
        <v>-12</v>
      </c>
      <c r="CN376" s="32">
        <f t="shared" si="870"/>
        <v>15</v>
      </c>
      <c r="CO376" s="298">
        <f>CO363</f>
        <v>0</v>
      </c>
      <c r="CP376" s="7">
        <f t="shared" si="864"/>
        <v>-15</v>
      </c>
      <c r="CQ376" s="258"/>
      <c r="CR376" s="304">
        <f>CR363</f>
        <v>0</v>
      </c>
      <c r="CS376" s="35">
        <f t="shared" si="865"/>
        <v>15</v>
      </c>
      <c r="CT376" s="121"/>
      <c r="CU376" s="6"/>
      <c r="CV376" s="35"/>
      <c r="CW376" s="612"/>
      <c r="CX376" s="121"/>
      <c r="CY376" s="6"/>
      <c r="CZ376" s="35"/>
      <c r="DA376" s="612"/>
      <c r="DB376" s="21"/>
      <c r="DC376" s="6"/>
      <c r="DD376" s="35"/>
      <c r="DE376" s="234"/>
      <c r="DF376" s="234"/>
      <c r="DG376" s="395">
        <f t="shared" si="853"/>
        <v>-12</v>
      </c>
      <c r="DH376" s="32">
        <f t="shared" si="854"/>
        <v>15</v>
      </c>
      <c r="DI376" s="298">
        <f>DI363</f>
        <v>0</v>
      </c>
      <c r="DJ376" s="7">
        <f t="shared" si="866"/>
        <v>-15</v>
      </c>
      <c r="DK376" s="258"/>
      <c r="DL376" s="304">
        <f>DL363</f>
        <v>0</v>
      </c>
      <c r="DM376" s="35">
        <f t="shared" si="867"/>
        <v>15</v>
      </c>
    </row>
    <row r="377" spans="1:117" x14ac:dyDescent="0.25">
      <c r="A377" s="18"/>
      <c r="B377" s="11" t="s">
        <v>133</v>
      </c>
      <c r="C377" s="18" t="s">
        <v>51</v>
      </c>
      <c r="D377" s="11" t="s">
        <v>134</v>
      </c>
      <c r="E377" s="11"/>
      <c r="F377" s="568">
        <v>27134.82</v>
      </c>
      <c r="G377" s="11" t="s">
        <v>550</v>
      </c>
      <c r="H377" s="25" t="s">
        <v>153</v>
      </c>
      <c r="I377" s="25"/>
      <c r="J377" s="530">
        <f t="shared" si="847"/>
        <v>-1</v>
      </c>
      <c r="K377" s="395">
        <f t="shared" si="848"/>
        <v>-5</v>
      </c>
      <c r="L377" s="544">
        <v>3</v>
      </c>
      <c r="M377" s="5">
        <v>2</v>
      </c>
      <c r="N377" s="5">
        <f t="shared" ref="N377" si="872">M377-L377</f>
        <v>-1</v>
      </c>
      <c r="O377" s="256">
        <v>4</v>
      </c>
      <c r="P377" s="240">
        <f>1+1</f>
        <v>2</v>
      </c>
      <c r="Q377" s="35">
        <f t="shared" ref="Q377" si="873">L377+O377-P377</f>
        <v>5</v>
      </c>
      <c r="R377" s="121"/>
      <c r="S377" s="6"/>
      <c r="T377" s="35"/>
      <c r="U377" s="612"/>
      <c r="V377" s="310"/>
      <c r="W377" s="210"/>
      <c r="X377" s="216"/>
      <c r="Y377" s="707"/>
      <c r="Z377" s="578">
        <f>$F$377*50%*4</f>
        <v>54269.64</v>
      </c>
      <c r="AA377" s="569">
        <f>$F$377*50%*4</f>
        <v>54269.64</v>
      </c>
      <c r="AB377" s="216" t="s">
        <v>752</v>
      </c>
      <c r="AC377" s="738"/>
      <c r="AD377" s="738"/>
      <c r="AE377" s="398">
        <f t="shared" si="849"/>
        <v>-5</v>
      </c>
      <c r="AF377" s="29">
        <f t="shared" si="857"/>
        <v>5</v>
      </c>
      <c r="AG377" s="5"/>
      <c r="AH377" s="5">
        <f t="shared" ref="AH377" si="874">AG377-AF377</f>
        <v>-5</v>
      </c>
      <c r="AI377" s="258"/>
      <c r="AJ377" s="240">
        <f>1</f>
        <v>1</v>
      </c>
      <c r="AK377" s="35">
        <f t="shared" ref="AK377" si="875">AF377+AI377-AJ377</f>
        <v>4</v>
      </c>
      <c r="AL377" s="121"/>
      <c r="AM377" s="6"/>
      <c r="AN377" s="35"/>
      <c r="AO377" s="612"/>
      <c r="AP377" s="121"/>
      <c r="AQ377" s="6"/>
      <c r="AR377" s="35"/>
      <c r="AS377" s="612"/>
      <c r="AT377" s="121"/>
      <c r="AU377" s="6"/>
      <c r="AV377" s="35"/>
      <c r="AW377" s="231"/>
      <c r="AX377" s="231"/>
      <c r="AY377" s="398">
        <f t="shared" si="850"/>
        <v>-10</v>
      </c>
      <c r="AZ377" s="29">
        <f t="shared" ref="AZ377" si="876">AK377</f>
        <v>4</v>
      </c>
      <c r="BA377" s="5"/>
      <c r="BB377" s="5">
        <f t="shared" ref="BB377" si="877">BA377-AZ377</f>
        <v>-4</v>
      </c>
      <c r="BC377" s="5">
        <v>5</v>
      </c>
      <c r="BD377" s="240">
        <f>1+1+1</f>
        <v>3</v>
      </c>
      <c r="BE377" s="35">
        <f t="shared" ref="BE377" si="878">AZ377+BC377-BD377</f>
        <v>6</v>
      </c>
      <c r="BF377" s="121"/>
      <c r="BG377" s="6"/>
      <c r="BH377" s="35"/>
      <c r="BI377" s="612"/>
      <c r="BJ377" s="121"/>
      <c r="BK377" s="6"/>
      <c r="BL377" s="35"/>
      <c r="BM377" s="713"/>
      <c r="BN377" s="444">
        <f>BC377*F377/2</f>
        <v>67837.05</v>
      </c>
      <c r="BO377" s="6">
        <v>67837.05</v>
      </c>
      <c r="BP377" s="313" t="s">
        <v>820</v>
      </c>
      <c r="BQ377" s="739"/>
      <c r="BR377" s="739"/>
      <c r="BS377" s="398">
        <f t="shared" si="851"/>
        <v>-10</v>
      </c>
      <c r="BT377" s="29">
        <f t="shared" ref="BT377" si="879">BE377</f>
        <v>6</v>
      </c>
      <c r="BU377" s="5"/>
      <c r="BV377" s="5">
        <f t="shared" ref="BV377" si="880">BU377-BT377</f>
        <v>-6</v>
      </c>
      <c r="BW377" s="240"/>
      <c r="BX377" s="240"/>
      <c r="BY377" s="35">
        <f t="shared" ref="BY377" si="881">BT377+BW377-BX377</f>
        <v>6</v>
      </c>
      <c r="BZ377" s="121"/>
      <c r="CA377" s="6"/>
      <c r="CB377" s="35"/>
      <c r="CC377" s="612"/>
      <c r="CD377" s="121"/>
      <c r="CE377" s="6"/>
      <c r="CF377" s="35"/>
      <c r="CG377" s="612"/>
      <c r="CH377" s="21"/>
      <c r="CI377" s="6"/>
      <c r="CJ377" s="35"/>
      <c r="CK377" s="234"/>
      <c r="CL377" s="234"/>
      <c r="CM377" s="395">
        <f t="shared" si="852"/>
        <v>-10</v>
      </c>
      <c r="CN377" s="29">
        <f t="shared" ref="CN377" si="882">BY377</f>
        <v>6</v>
      </c>
      <c r="CO377" s="5"/>
      <c r="CP377" s="5">
        <f t="shared" ref="CP377" si="883">CO377-CN377</f>
        <v>-6</v>
      </c>
      <c r="CQ377" s="5"/>
      <c r="CR377" s="240"/>
      <c r="CS377" s="35">
        <f t="shared" ref="CS377" si="884">CN377+CQ377-CR377</f>
        <v>6</v>
      </c>
      <c r="CT377" s="121"/>
      <c r="CU377" s="6"/>
      <c r="CV377" s="35"/>
      <c r="CW377" s="612"/>
      <c r="CX377" s="121"/>
      <c r="CY377" s="6"/>
      <c r="CZ377" s="35"/>
      <c r="DA377" s="612"/>
      <c r="DB377" s="21"/>
      <c r="DC377" s="6"/>
      <c r="DD377" s="35"/>
      <c r="DE377" s="234"/>
      <c r="DF377" s="234"/>
      <c r="DG377" s="395">
        <f t="shared" si="853"/>
        <v>-10</v>
      </c>
      <c r="DH377" s="32">
        <f t="shared" si="854"/>
        <v>6</v>
      </c>
      <c r="DI377" s="5"/>
      <c r="DJ377" s="5">
        <f t="shared" si="866"/>
        <v>-6</v>
      </c>
      <c r="DK377" s="5"/>
      <c r="DL377" s="240"/>
      <c r="DM377" s="35">
        <f t="shared" si="867"/>
        <v>6</v>
      </c>
    </row>
    <row r="378" spans="1:117" ht="15.75" thickBot="1" x14ac:dyDescent="0.3">
      <c r="A378" s="63"/>
      <c r="B378" s="62" t="s">
        <v>450</v>
      </c>
      <c r="C378" s="63">
        <v>4</v>
      </c>
      <c r="D378" s="62" t="s">
        <v>134</v>
      </c>
      <c r="E378" s="62"/>
      <c r="F378" s="385">
        <v>4080</v>
      </c>
      <c r="G378" s="62"/>
      <c r="H378" s="311"/>
      <c r="I378" s="311"/>
      <c r="J378" s="533">
        <f t="shared" si="847"/>
        <v>0</v>
      </c>
      <c r="K378" s="396">
        <f t="shared" si="848"/>
        <v>0</v>
      </c>
      <c r="L378" s="551">
        <v>0</v>
      </c>
      <c r="M378" s="65"/>
      <c r="N378" s="65">
        <f t="shared" si="855"/>
        <v>0</v>
      </c>
      <c r="O378" s="286"/>
      <c r="P378" s="250"/>
      <c r="Q378" s="66">
        <f t="shared" si="856"/>
        <v>0</v>
      </c>
      <c r="R378" s="126"/>
      <c r="S378" s="127"/>
      <c r="T378" s="66"/>
      <c r="U378" s="715"/>
      <c r="V378" s="470"/>
      <c r="W378" s="469"/>
      <c r="X378" s="472"/>
      <c r="Y378" s="731"/>
      <c r="Z378" s="470"/>
      <c r="AA378" s="469"/>
      <c r="AB378" s="472"/>
      <c r="AC378" s="740"/>
      <c r="AD378" s="740"/>
      <c r="AE378" s="396">
        <f t="shared" si="849"/>
        <v>0</v>
      </c>
      <c r="AF378" s="296">
        <f t="shared" si="857"/>
        <v>0</v>
      </c>
      <c r="AG378" s="65"/>
      <c r="AH378" s="65">
        <f t="shared" si="858"/>
        <v>0</v>
      </c>
      <c r="AI378" s="65"/>
      <c r="AJ378" s="250"/>
      <c r="AK378" s="66">
        <f t="shared" si="859"/>
        <v>0</v>
      </c>
      <c r="AL378" s="126"/>
      <c r="AM378" s="127"/>
      <c r="AN378" s="66"/>
      <c r="AO378" s="715"/>
      <c r="AP378" s="126"/>
      <c r="AQ378" s="127"/>
      <c r="AR378" s="66"/>
      <c r="AS378" s="715"/>
      <c r="AT378" s="126"/>
      <c r="AU378" s="127"/>
      <c r="AV378" s="66"/>
      <c r="AW378" s="297"/>
      <c r="AX378" s="297"/>
      <c r="AY378" s="396">
        <f t="shared" si="850"/>
        <v>0</v>
      </c>
      <c r="AZ378" s="296">
        <f t="shared" si="868"/>
        <v>0</v>
      </c>
      <c r="BA378" s="65"/>
      <c r="BB378" s="65">
        <f t="shared" si="860"/>
        <v>0</v>
      </c>
      <c r="BC378" s="250"/>
      <c r="BD378" s="250"/>
      <c r="BE378" s="66">
        <f t="shared" si="861"/>
        <v>0</v>
      </c>
      <c r="BF378" s="126"/>
      <c r="BG378" s="127"/>
      <c r="BH378" s="66"/>
      <c r="BI378" s="715"/>
      <c r="BJ378" s="126"/>
      <c r="BK378" s="127"/>
      <c r="BL378" s="66"/>
      <c r="BM378" s="715"/>
      <c r="BN378" s="126"/>
      <c r="BO378" s="127"/>
      <c r="BP378" s="471"/>
      <c r="BQ378" s="776"/>
      <c r="BR378" s="776"/>
      <c r="BS378" s="396">
        <f t="shared" si="851"/>
        <v>0</v>
      </c>
      <c r="BT378" s="296">
        <f t="shared" si="869"/>
        <v>0</v>
      </c>
      <c r="BU378" s="65"/>
      <c r="BV378" s="65">
        <f t="shared" si="862"/>
        <v>0</v>
      </c>
      <c r="BW378" s="250"/>
      <c r="BX378" s="250"/>
      <c r="BY378" s="66">
        <f t="shared" si="863"/>
        <v>0</v>
      </c>
      <c r="BZ378" s="126"/>
      <c r="CA378" s="127"/>
      <c r="CB378" s="66"/>
      <c r="CC378" s="715"/>
      <c r="CD378" s="126"/>
      <c r="CE378" s="127"/>
      <c r="CF378" s="66"/>
      <c r="CG378" s="715"/>
      <c r="CH378" s="128"/>
      <c r="CI378" s="127"/>
      <c r="CJ378" s="66"/>
      <c r="CK378" s="297"/>
      <c r="CL378" s="297"/>
      <c r="CM378" s="396">
        <f t="shared" si="852"/>
        <v>0</v>
      </c>
      <c r="CN378" s="296">
        <f t="shared" si="870"/>
        <v>0</v>
      </c>
      <c r="CO378" s="65"/>
      <c r="CP378" s="65">
        <f t="shared" si="864"/>
        <v>0</v>
      </c>
      <c r="CQ378" s="286"/>
      <c r="CR378" s="250"/>
      <c r="CS378" s="66">
        <f t="shared" si="865"/>
        <v>0</v>
      </c>
      <c r="CT378" s="126"/>
      <c r="CU378" s="127"/>
      <c r="CV378" s="66"/>
      <c r="CW378" s="715"/>
      <c r="CX378" s="126"/>
      <c r="CY378" s="127"/>
      <c r="CZ378" s="66"/>
      <c r="DA378" s="715"/>
      <c r="DB378" s="128"/>
      <c r="DC378" s="127"/>
      <c r="DD378" s="66"/>
      <c r="DE378" s="297"/>
      <c r="DF378" s="297"/>
      <c r="DG378" s="396">
        <f t="shared" si="853"/>
        <v>0</v>
      </c>
      <c r="DH378" s="296">
        <f t="shared" si="854"/>
        <v>0</v>
      </c>
      <c r="DI378" s="65"/>
      <c r="DJ378" s="65">
        <f t="shared" si="866"/>
        <v>0</v>
      </c>
      <c r="DK378" s="286"/>
      <c r="DL378" s="250"/>
      <c r="DM378" s="66">
        <f t="shared" si="867"/>
        <v>0</v>
      </c>
    </row>
    <row r="379" spans="1:117" ht="15.75" thickBot="1" x14ac:dyDescent="0.3">
      <c r="P379" s="248"/>
      <c r="AJ379" s="248"/>
      <c r="BD379" s="248"/>
      <c r="BX379" s="248"/>
      <c r="CR379" s="248"/>
      <c r="DL379" s="248"/>
    </row>
    <row r="380" spans="1:117" ht="15.75" thickBot="1" x14ac:dyDescent="0.3">
      <c r="A380" s="95"/>
      <c r="B380" s="94" t="s">
        <v>257</v>
      </c>
      <c r="C380" s="95"/>
      <c r="D380" s="93"/>
      <c r="E380" s="93"/>
      <c r="F380" s="340"/>
      <c r="G380" s="93"/>
      <c r="H380" s="96"/>
      <c r="I380" s="96"/>
      <c r="J380" s="96">
        <f>SUM(M380,AG380,BA380,BU380)</f>
        <v>12</v>
      </c>
      <c r="K380" s="95"/>
      <c r="L380" s="97"/>
      <c r="M380" s="249">
        <f>2+0-2</f>
        <v>0</v>
      </c>
      <c r="N380" s="98"/>
      <c r="O380" s="98"/>
      <c r="P380" s="249"/>
      <c r="Q380" s="237"/>
      <c r="R380" s="124">
        <f>SUM(R381:R383)</f>
        <v>0</v>
      </c>
      <c r="S380" s="125">
        <f>SUM(S381:S383)</f>
        <v>0</v>
      </c>
      <c r="T380" s="99"/>
      <c r="U380" s="221"/>
      <c r="V380" s="124">
        <f>SUM(V381:V383)</f>
        <v>0</v>
      </c>
      <c r="W380" s="125">
        <f>SUM(W381:W383)</f>
        <v>0</v>
      </c>
      <c r="X380" s="99"/>
      <c r="Y380" s="221"/>
      <c r="Z380" s="124">
        <f>SUM(Z381:Z383)</f>
        <v>0</v>
      </c>
      <c r="AA380" s="125">
        <f>SUM(AA381:AA383)</f>
        <v>0</v>
      </c>
      <c r="AB380" s="99"/>
      <c r="AC380" s="237"/>
      <c r="AD380" s="237"/>
      <c r="AE380" s="95">
        <f>SUM(AG380,BA380,BU380)</f>
        <v>12</v>
      </c>
      <c r="AF380" s="97"/>
      <c r="AG380" s="98">
        <f>4-4</f>
        <v>0</v>
      </c>
      <c r="AH380" s="98"/>
      <c r="AI380" s="98"/>
      <c r="AJ380" s="249"/>
      <c r="AK380" s="237"/>
      <c r="AL380" s="124">
        <f>SUM(AL381:AL383)</f>
        <v>0</v>
      </c>
      <c r="AM380" s="125">
        <f>SUM(AM381:AM383)</f>
        <v>0</v>
      </c>
      <c r="AN380" s="99"/>
      <c r="AO380" s="221"/>
      <c r="AP380" s="124">
        <f>SUM(AP381:AP383)</f>
        <v>0</v>
      </c>
      <c r="AQ380" s="125">
        <f>SUM(AQ381:AQ383)</f>
        <v>0</v>
      </c>
      <c r="AR380" s="99"/>
      <c r="AS380" s="221"/>
      <c r="AT380" s="124">
        <f>SUM(AT381:AT383)</f>
        <v>0</v>
      </c>
      <c r="AU380" s="125">
        <f>SUM(AU381:AU383)</f>
        <v>0</v>
      </c>
      <c r="AV380" s="99"/>
      <c r="AW380" s="237"/>
      <c r="AX380" s="237"/>
      <c r="AY380" s="95">
        <f>SUM(BA380,BU380)</f>
        <v>12</v>
      </c>
      <c r="AZ380" s="97"/>
      <c r="BA380" s="98">
        <f>3-3+6-6+1</f>
        <v>1</v>
      </c>
      <c r="BB380" s="98"/>
      <c r="BC380" s="98"/>
      <c r="BD380" s="249"/>
      <c r="BE380" s="237"/>
      <c r="BF380" s="124">
        <f>SUM(BF381:BF383)</f>
        <v>0</v>
      </c>
      <c r="BG380" s="125">
        <f>SUM(BG381:BG383)</f>
        <v>0</v>
      </c>
      <c r="BH380" s="99"/>
      <c r="BI380" s="221"/>
      <c r="BJ380" s="124">
        <f>SUM(BJ381:BJ383)</f>
        <v>0</v>
      </c>
      <c r="BK380" s="125">
        <f>SUM(BK381:BK383)</f>
        <v>0</v>
      </c>
      <c r="BL380" s="99"/>
      <c r="BM380" s="221"/>
      <c r="BN380" s="124">
        <f>SUM(BN381:BN383)</f>
        <v>0</v>
      </c>
      <c r="BO380" s="125">
        <f>SUM(BO381:BO383)</f>
        <v>0</v>
      </c>
      <c r="BP380" s="99"/>
      <c r="BQ380" s="237"/>
      <c r="BR380" s="237"/>
      <c r="BS380" s="95">
        <f>BU380</f>
        <v>11</v>
      </c>
      <c r="BT380" s="97"/>
      <c r="BU380" s="98">
        <f>3-3+4-4+11</f>
        <v>11</v>
      </c>
      <c r="BV380" s="98"/>
      <c r="BW380" s="98"/>
      <c r="BX380" s="249"/>
      <c r="BY380" s="237"/>
      <c r="BZ380" s="124">
        <f>SUM(BZ381:BZ383)</f>
        <v>0</v>
      </c>
      <c r="CA380" s="125">
        <f>SUM(CA381:CA383)</f>
        <v>0</v>
      </c>
      <c r="CB380" s="99"/>
      <c r="CC380" s="221"/>
      <c r="CD380" s="124">
        <f>SUM(CD381:CD383)</f>
        <v>0</v>
      </c>
      <c r="CE380" s="125">
        <f>SUM(CE381:CE383)</f>
        <v>0</v>
      </c>
      <c r="CF380" s="99"/>
      <c r="CG380" s="221"/>
      <c r="CH380" s="124">
        <f>SUM(CH381:CH383)</f>
        <v>0</v>
      </c>
      <c r="CI380" s="125">
        <f>SUM(CI381:CI383)</f>
        <v>0</v>
      </c>
      <c r="CJ380" s="99"/>
      <c r="CK380" s="237"/>
      <c r="CL380" s="237"/>
      <c r="CM380" s="95">
        <f>CO380</f>
        <v>0</v>
      </c>
      <c r="CN380" s="97"/>
      <c r="CO380" s="249"/>
      <c r="CP380" s="98"/>
      <c r="CQ380" s="98"/>
      <c r="CR380" s="249"/>
      <c r="CS380" s="237"/>
      <c r="CT380" s="124">
        <f>SUM(CT381:CT383)</f>
        <v>0</v>
      </c>
      <c r="CU380" s="125">
        <f>SUM(CU381:CU383)</f>
        <v>0</v>
      </c>
      <c r="CV380" s="99"/>
      <c r="CW380" s="221"/>
      <c r="CX380" s="124">
        <f>SUM(CX381:CX383)</f>
        <v>0</v>
      </c>
      <c r="CY380" s="125">
        <f>SUM(CY381:CY383)</f>
        <v>0</v>
      </c>
      <c r="CZ380" s="99"/>
      <c r="DA380" s="221"/>
      <c r="DB380" s="124">
        <f>SUM(DB381:DB383)</f>
        <v>0</v>
      </c>
      <c r="DC380" s="125">
        <f>SUM(DC381:DC383)</f>
        <v>0</v>
      </c>
      <c r="DD380" s="99"/>
      <c r="DE380" s="237"/>
      <c r="DF380" s="237"/>
      <c r="DG380" s="95">
        <f>DI380</f>
        <v>0</v>
      </c>
      <c r="DH380" s="97"/>
      <c r="DI380" s="249"/>
      <c r="DJ380" s="98"/>
      <c r="DK380" s="98"/>
      <c r="DL380" s="249"/>
      <c r="DM380" s="237"/>
    </row>
    <row r="381" spans="1:117" x14ac:dyDescent="0.25">
      <c r="A381" s="17"/>
      <c r="B381" s="10" t="s">
        <v>403</v>
      </c>
      <c r="C381" s="17">
        <v>1</v>
      </c>
      <c r="D381" s="10" t="s">
        <v>913</v>
      </c>
      <c r="E381" s="10"/>
      <c r="F381" s="337">
        <v>3972.94</v>
      </c>
      <c r="G381" s="10" t="s">
        <v>211</v>
      </c>
      <c r="H381" s="24"/>
      <c r="I381" s="24"/>
      <c r="J381" s="532"/>
      <c r="K381" s="395">
        <f t="shared" ref="K381:K383" si="885">M381-O381-L381</f>
        <v>0</v>
      </c>
      <c r="L381" s="29">
        <v>0</v>
      </c>
      <c r="M381" s="7"/>
      <c r="N381" s="7">
        <f>M381-L381</f>
        <v>0</v>
      </c>
      <c r="O381" s="258"/>
      <c r="P381" s="242"/>
      <c r="Q381" s="35">
        <f>L381+O381-P381</f>
        <v>0</v>
      </c>
      <c r="R381" s="123"/>
      <c r="S381" s="8"/>
      <c r="T381" s="34"/>
      <c r="U381" s="713"/>
      <c r="V381" s="123"/>
      <c r="W381" s="8"/>
      <c r="X381" s="34"/>
      <c r="Y381" s="713"/>
      <c r="Z381" s="20"/>
      <c r="AA381" s="8"/>
      <c r="AB381" s="34"/>
      <c r="AC381" s="713"/>
      <c r="AD381" s="713"/>
      <c r="AE381" s="394"/>
      <c r="AF381" s="29">
        <f>Q381</f>
        <v>0</v>
      </c>
      <c r="AG381" s="7"/>
      <c r="AH381" s="7">
        <f>AG381-AF381</f>
        <v>0</v>
      </c>
      <c r="AI381" s="242"/>
      <c r="AJ381" s="242"/>
      <c r="AK381" s="35">
        <f>AF381+AI381-AJ381</f>
        <v>0</v>
      </c>
      <c r="AL381" s="123"/>
      <c r="AM381" s="8"/>
      <c r="AN381" s="34"/>
      <c r="AO381" s="713"/>
      <c r="AP381" s="123"/>
      <c r="AQ381" s="8"/>
      <c r="AR381" s="34"/>
      <c r="AS381" s="713"/>
      <c r="AT381" s="20"/>
      <c r="AU381" s="8"/>
      <c r="AV381" s="34"/>
      <c r="AW381" s="713"/>
      <c r="AX381" s="713"/>
      <c r="AY381" s="394"/>
      <c r="AZ381" s="29">
        <f>AK381</f>
        <v>0</v>
      </c>
      <c r="BA381" s="7"/>
      <c r="BB381" s="7">
        <f>BA381-AZ381</f>
        <v>0</v>
      </c>
      <c r="BC381" s="240">
        <v>10</v>
      </c>
      <c r="BD381" s="242"/>
      <c r="BE381" s="35">
        <f>AZ381+BC381-BD381</f>
        <v>10</v>
      </c>
      <c r="BF381" s="123"/>
      <c r="BG381" s="8"/>
      <c r="BH381" s="34"/>
      <c r="BI381" s="713"/>
      <c r="BJ381" s="123"/>
      <c r="BK381" s="8"/>
      <c r="BL381" s="34"/>
      <c r="BM381" s="713"/>
      <c r="BN381" s="20"/>
      <c r="BO381" s="8"/>
      <c r="BP381" s="34"/>
      <c r="BQ381" s="713"/>
      <c r="BR381" s="713"/>
      <c r="BS381" s="394"/>
      <c r="BT381" s="29">
        <f>BE381</f>
        <v>10</v>
      </c>
      <c r="BU381" s="7"/>
      <c r="BV381" s="7">
        <f>BU381-BT381</f>
        <v>-10</v>
      </c>
      <c r="BW381" s="242"/>
      <c r="BX381" s="242"/>
      <c r="BY381" s="35">
        <f>BT381+BW381-BX381</f>
        <v>10</v>
      </c>
      <c r="BZ381" s="123"/>
      <c r="CA381" s="8"/>
      <c r="CB381" s="34"/>
      <c r="CC381" s="713"/>
      <c r="CD381" s="123"/>
      <c r="CE381" s="8"/>
      <c r="CF381" s="34"/>
      <c r="CG381" s="713"/>
      <c r="CH381" s="20"/>
      <c r="CI381" s="8"/>
      <c r="CJ381" s="34"/>
      <c r="CK381" s="713"/>
      <c r="CL381" s="713"/>
      <c r="CM381" s="394"/>
      <c r="CN381" s="29">
        <f>BY381</f>
        <v>10</v>
      </c>
      <c r="CO381" s="7"/>
      <c r="CP381" s="7">
        <f>CO381-CN381</f>
        <v>-10</v>
      </c>
      <c r="CQ381" s="242"/>
      <c r="CR381" s="242"/>
      <c r="CS381" s="35">
        <f>CN381+CQ381-CR381</f>
        <v>10</v>
      </c>
      <c r="CT381" s="123"/>
      <c r="CU381" s="8"/>
      <c r="CV381" s="34"/>
      <c r="CW381" s="713"/>
      <c r="CX381" s="123"/>
      <c r="CY381" s="8"/>
      <c r="CZ381" s="34"/>
      <c r="DA381" s="713"/>
      <c r="DB381" s="20"/>
      <c r="DC381" s="8"/>
      <c r="DD381" s="34"/>
      <c r="DE381" s="713"/>
      <c r="DF381" s="713"/>
      <c r="DG381" s="394"/>
      <c r="DH381" s="32">
        <f t="shared" ref="DH381:DH383" si="886">BY381</f>
        <v>10</v>
      </c>
      <c r="DI381" s="7"/>
      <c r="DJ381" s="7">
        <f>DI381-DH381</f>
        <v>-10</v>
      </c>
      <c r="DK381" s="242"/>
      <c r="DL381" s="242"/>
      <c r="DM381" s="35">
        <f>DH381+DK381-DL381</f>
        <v>10</v>
      </c>
    </row>
    <row r="382" spans="1:117" ht="30" x14ac:dyDescent="0.25">
      <c r="A382" s="262"/>
      <c r="B382" s="431" t="s">
        <v>400</v>
      </c>
      <c r="C382" s="262">
        <v>1</v>
      </c>
      <c r="D382" s="419" t="s">
        <v>657</v>
      </c>
      <c r="E382" s="419"/>
      <c r="F382" s="510">
        <v>5700.22</v>
      </c>
      <c r="G382" s="74" t="s">
        <v>10</v>
      </c>
      <c r="H382" s="420"/>
      <c r="I382" s="420"/>
      <c r="J382" s="530">
        <f>SUM(M382,AG382,BA382,BU382)-L382</f>
        <v>12</v>
      </c>
      <c r="K382" s="395">
        <f t="shared" si="885"/>
        <v>0</v>
      </c>
      <c r="L382" s="276">
        <v>0</v>
      </c>
      <c r="M382" s="418">
        <f>M380</f>
        <v>0</v>
      </c>
      <c r="N382" s="7">
        <f>M382-L382</f>
        <v>0</v>
      </c>
      <c r="O382" s="425"/>
      <c r="P382" s="434">
        <f>P380</f>
        <v>0</v>
      </c>
      <c r="Q382" s="35">
        <f>L382+O382-P382</f>
        <v>0</v>
      </c>
      <c r="R382" s="421"/>
      <c r="S382" s="416"/>
      <c r="T382" s="415"/>
      <c r="V382" s="433"/>
      <c r="W382" s="416"/>
      <c r="X382" s="415"/>
      <c r="Z382" s="421"/>
      <c r="AA382" s="416"/>
      <c r="AB382" s="415"/>
      <c r="AC382" s="619"/>
      <c r="AD382" s="619"/>
      <c r="AE382" s="398">
        <f>SUM(M382,AG382)-SUM(O382,AI382)-L382</f>
        <v>0</v>
      </c>
      <c r="AF382" s="276">
        <f>Q382</f>
        <v>0</v>
      </c>
      <c r="AG382" s="418">
        <f>AG380</f>
        <v>0</v>
      </c>
      <c r="AH382" s="7">
        <f>AG382-AF382</f>
        <v>0</v>
      </c>
      <c r="AI382" s="258"/>
      <c r="AJ382" s="434">
        <f>AJ380</f>
        <v>0</v>
      </c>
      <c r="AK382" s="35">
        <f>AF382+AI382-AJ382</f>
        <v>0</v>
      </c>
      <c r="AL382" s="421"/>
      <c r="AM382" s="416"/>
      <c r="AN382" s="35"/>
      <c r="AP382" s="433"/>
      <c r="AQ382" s="416"/>
      <c r="AR382" s="415"/>
      <c r="AT382" s="421"/>
      <c r="AU382" s="416"/>
      <c r="AV382" s="415"/>
      <c r="AW382" s="619"/>
      <c r="AX382" s="619"/>
      <c r="AY382" s="395">
        <f>SUM(M382,AG382,BA382)-SUM(O382,AI382,BC382)-L382</f>
        <v>-9</v>
      </c>
      <c r="AZ382" s="276">
        <f>AK382</f>
        <v>0</v>
      </c>
      <c r="BA382" s="418">
        <f>BA380</f>
        <v>1</v>
      </c>
      <c r="BB382" s="7">
        <f>BA382-AZ382</f>
        <v>1</v>
      </c>
      <c r="BC382" s="242">
        <v>10</v>
      </c>
      <c r="BD382" s="434">
        <f>BD380</f>
        <v>0</v>
      </c>
      <c r="BE382" s="35">
        <f>AZ382+BC382-BD382</f>
        <v>10</v>
      </c>
      <c r="BF382" s="421"/>
      <c r="BG382" s="416"/>
      <c r="BH382" s="415"/>
      <c r="BJ382" s="421"/>
      <c r="BK382" s="416"/>
      <c r="BL382" s="415"/>
      <c r="BN382" s="421"/>
      <c r="BO382" s="416"/>
      <c r="BP382" s="415"/>
      <c r="BQ382" s="619"/>
      <c r="BR382" s="619"/>
      <c r="BS382" s="395">
        <f>SUM(M382,AG382,BA382,BU382)-SUM(O382,AI382,BC382,BW382)-L382</f>
        <v>-2</v>
      </c>
      <c r="BT382" s="276">
        <f>BE382</f>
        <v>10</v>
      </c>
      <c r="BU382" s="418">
        <f>BU380</f>
        <v>11</v>
      </c>
      <c r="BV382" s="7">
        <f>BU382-BT382</f>
        <v>1</v>
      </c>
      <c r="BW382" s="242">
        <v>4</v>
      </c>
      <c r="BX382" s="434">
        <f>BX380</f>
        <v>0</v>
      </c>
      <c r="BY382" s="35">
        <f>BT382+BW382-BX382</f>
        <v>14</v>
      </c>
      <c r="BZ382" s="421"/>
      <c r="CA382" s="416"/>
      <c r="CB382" s="415"/>
      <c r="CD382" s="433"/>
      <c r="CE382" s="416"/>
      <c r="CF382" s="450" t="s">
        <v>914</v>
      </c>
      <c r="CG382" s="248"/>
      <c r="CH382" s="421"/>
      <c r="CI382" s="416"/>
      <c r="CJ382" s="415"/>
      <c r="CK382" s="619"/>
      <c r="CL382" s="619"/>
      <c r="CM382" s="395">
        <f>SUM(M382,AG382,BA382,BU382,CO382)-SUM(O382,AI382,BC382,BW382,CQ382)-L382</f>
        <v>-2</v>
      </c>
      <c r="CN382" s="276">
        <f>BY382</f>
        <v>14</v>
      </c>
      <c r="CO382" s="418">
        <f>CO380</f>
        <v>0</v>
      </c>
      <c r="CP382" s="7">
        <f>CO382-CN382</f>
        <v>-14</v>
      </c>
      <c r="CQ382" s="315"/>
      <c r="CR382" s="434">
        <f>CR380</f>
        <v>0</v>
      </c>
      <c r="CS382" s="35">
        <f>CN382+CQ382-CR382</f>
        <v>14</v>
      </c>
      <c r="CT382" s="421"/>
      <c r="CU382" s="416"/>
      <c r="CV382" s="415"/>
      <c r="CX382" s="433"/>
      <c r="CY382" s="416"/>
      <c r="CZ382" s="415"/>
      <c r="DB382" s="421"/>
      <c r="DC382" s="416"/>
      <c r="DD382" s="415"/>
      <c r="DE382" s="619"/>
      <c r="DF382" s="619"/>
      <c r="DG382" s="395">
        <f>SUM(M382,AG382,BA382,BU382,DI382)-SUM(O382,AI382,BC382,BW382,CQ382)-L382</f>
        <v>-2</v>
      </c>
      <c r="DH382" s="32">
        <f t="shared" si="886"/>
        <v>14</v>
      </c>
      <c r="DI382" s="418">
        <f>DI380</f>
        <v>0</v>
      </c>
      <c r="DJ382" s="7">
        <f>DI382-DH382</f>
        <v>-14</v>
      </c>
      <c r="DK382" s="315"/>
      <c r="DL382" s="434">
        <f>DL380</f>
        <v>0</v>
      </c>
      <c r="DM382" s="35">
        <f>DH382+DK382-DL382</f>
        <v>14</v>
      </c>
    </row>
    <row r="383" spans="1:117" ht="15.75" thickBot="1" x14ac:dyDescent="0.3">
      <c r="A383" s="19"/>
      <c r="B383" s="12"/>
      <c r="C383" s="19">
        <v>1</v>
      </c>
      <c r="D383" s="12"/>
      <c r="E383" s="12"/>
      <c r="F383" s="146"/>
      <c r="G383" s="12"/>
      <c r="H383" s="28"/>
      <c r="I383" s="28"/>
      <c r="J383" s="531"/>
      <c r="K383" s="396">
        <f t="shared" si="885"/>
        <v>0</v>
      </c>
      <c r="L383" s="30">
        <v>0</v>
      </c>
      <c r="M383" s="31"/>
      <c r="N383" s="31">
        <f>M383-L383</f>
        <v>0</v>
      </c>
      <c r="O383" s="284"/>
      <c r="P383" s="241"/>
      <c r="Q383" s="36">
        <f>L383+O383-P383</f>
        <v>0</v>
      </c>
      <c r="R383" s="272"/>
      <c r="S383" s="217"/>
      <c r="T383" s="273"/>
      <c r="U383" s="714"/>
      <c r="V383" s="200"/>
      <c r="W383" s="201"/>
      <c r="X383" s="36"/>
      <c r="Y383" s="220"/>
      <c r="Z383" s="122"/>
      <c r="AA383" s="201"/>
      <c r="AB383" s="36"/>
      <c r="AC383" s="232"/>
      <c r="AD383" s="232"/>
      <c r="AE383" s="399"/>
      <c r="AF383" s="30">
        <f>Q383</f>
        <v>0</v>
      </c>
      <c r="AG383" s="31"/>
      <c r="AH383" s="31">
        <f>AG383-AF383</f>
        <v>0</v>
      </c>
      <c r="AI383" s="241"/>
      <c r="AJ383" s="241"/>
      <c r="AK383" s="36">
        <f>AF383+AI383-AJ383</f>
        <v>0</v>
      </c>
      <c r="AL383" s="272"/>
      <c r="AM383" s="217"/>
      <c r="AN383" s="273"/>
      <c r="AO383" s="714"/>
      <c r="AP383" s="200"/>
      <c r="AQ383" s="201"/>
      <c r="AR383" s="36"/>
      <c r="AS383" s="220"/>
      <c r="AT383" s="122"/>
      <c r="AU383" s="201"/>
      <c r="AV383" s="36"/>
      <c r="AW383" s="297"/>
      <c r="AX383" s="297"/>
      <c r="AY383" s="396"/>
      <c r="AZ383" s="30">
        <f>AK383</f>
        <v>0</v>
      </c>
      <c r="BA383" s="31"/>
      <c r="BB383" s="31">
        <f>BA383-AZ383</f>
        <v>0</v>
      </c>
      <c r="BC383" s="241"/>
      <c r="BD383" s="241"/>
      <c r="BE383" s="36">
        <f>AZ383+BC383-BD383</f>
        <v>0</v>
      </c>
      <c r="BF383" s="272"/>
      <c r="BG383" s="217"/>
      <c r="BH383" s="273"/>
      <c r="BI383" s="714"/>
      <c r="BJ383" s="200"/>
      <c r="BK383" s="201"/>
      <c r="BL383" s="36"/>
      <c r="BM383" s="220"/>
      <c r="BN383" s="122"/>
      <c r="BO383" s="201"/>
      <c r="BP383" s="36"/>
      <c r="BQ383" s="297"/>
      <c r="BR383" s="297"/>
      <c r="BS383" s="396"/>
      <c r="BT383" s="30">
        <f>BE383</f>
        <v>0</v>
      </c>
      <c r="BU383" s="31"/>
      <c r="BV383" s="31">
        <f>BU383-BT383</f>
        <v>0</v>
      </c>
      <c r="BW383" s="241"/>
      <c r="BX383" s="241"/>
      <c r="BY383" s="36">
        <f>BT383+BW383-BX383</f>
        <v>0</v>
      </c>
      <c r="BZ383" s="272"/>
      <c r="CA383" s="217"/>
      <c r="CB383" s="273"/>
      <c r="CC383" s="714"/>
      <c r="CD383" s="200"/>
      <c r="CE383" s="201"/>
      <c r="CF383" s="36"/>
      <c r="CG383" s="220"/>
      <c r="CH383" s="122"/>
      <c r="CI383" s="201"/>
      <c r="CJ383" s="36"/>
      <c r="CK383" s="297"/>
      <c r="CL383" s="297"/>
      <c r="CM383" s="396"/>
      <c r="CN383" s="30">
        <f>BY383</f>
        <v>0</v>
      </c>
      <c r="CO383" s="31"/>
      <c r="CP383" s="31">
        <f>CO383-CN383</f>
        <v>0</v>
      </c>
      <c r="CQ383" s="241"/>
      <c r="CR383" s="241"/>
      <c r="CS383" s="36">
        <f>CN383+CQ383-CR383</f>
        <v>0</v>
      </c>
      <c r="CT383" s="272"/>
      <c r="CU383" s="217"/>
      <c r="CV383" s="273"/>
      <c r="CW383" s="714"/>
      <c r="CX383" s="200"/>
      <c r="CY383" s="201"/>
      <c r="CZ383" s="36"/>
      <c r="DA383" s="220"/>
      <c r="DB383" s="122"/>
      <c r="DC383" s="201"/>
      <c r="DD383" s="36"/>
      <c r="DE383" s="297"/>
      <c r="DF383" s="297"/>
      <c r="DG383" s="396"/>
      <c r="DH383" s="296">
        <f t="shared" si="886"/>
        <v>0</v>
      </c>
      <c r="DI383" s="31"/>
      <c r="DJ383" s="31">
        <f>DI383-DH383</f>
        <v>0</v>
      </c>
      <c r="DK383" s="241"/>
      <c r="DL383" s="241"/>
      <c r="DM383" s="36">
        <f>DH383+DK383-DL383</f>
        <v>0</v>
      </c>
    </row>
    <row r="384" spans="1:117" ht="15.75" thickBot="1" x14ac:dyDescent="0.3">
      <c r="P384" s="248"/>
      <c r="AJ384" s="248"/>
      <c r="BD384" s="248"/>
      <c r="BX384" s="248"/>
      <c r="CR384" s="248"/>
      <c r="DL384" s="248"/>
    </row>
    <row r="385" spans="1:117" ht="15.75" thickBot="1" x14ac:dyDescent="0.3">
      <c r="A385" s="95"/>
      <c r="B385" s="94" t="s">
        <v>116</v>
      </c>
      <c r="C385" s="95"/>
      <c r="D385" s="93"/>
      <c r="E385" s="93"/>
      <c r="F385" s="340"/>
      <c r="G385" s="93"/>
      <c r="H385" s="96"/>
      <c r="I385" s="96"/>
      <c r="J385" s="95">
        <f>SUM(M385,AG385,BA385,BU385)</f>
        <v>0</v>
      </c>
      <c r="K385" s="69"/>
      <c r="L385" s="97"/>
      <c r="M385" s="98">
        <v>0</v>
      </c>
      <c r="N385" s="98"/>
      <c r="O385" s="98"/>
      <c r="P385" s="249"/>
      <c r="Q385" s="221"/>
      <c r="R385" s="124">
        <f>SUM(R386:R430)</f>
        <v>0</v>
      </c>
      <c r="S385" s="125">
        <f>SUM(S386:S430)</f>
        <v>0</v>
      </c>
      <c r="T385" s="99"/>
      <c r="U385" s="221"/>
      <c r="V385" s="124">
        <f>SUM(V386:V430)</f>
        <v>0</v>
      </c>
      <c r="W385" s="125">
        <f>SUM(W386:W430)</f>
        <v>0</v>
      </c>
      <c r="X385" s="99"/>
      <c r="Y385" s="221"/>
      <c r="Z385" s="124">
        <f>SUM(Z386:Z430)</f>
        <v>0</v>
      </c>
      <c r="AA385" s="125">
        <f>SUM(AA386:AA430)</f>
        <v>0</v>
      </c>
      <c r="AB385" s="99"/>
      <c r="AC385" s="736"/>
      <c r="AD385" s="736"/>
      <c r="AE385" s="69">
        <f>SUM(AG385,BA385,BU385)</f>
        <v>0</v>
      </c>
      <c r="AF385" s="97"/>
      <c r="AG385" s="98">
        <v>0</v>
      </c>
      <c r="AH385" s="98"/>
      <c r="AI385" s="98"/>
      <c r="AJ385" s="435"/>
      <c r="AK385" s="221"/>
      <c r="AL385" s="124">
        <f>SUM(AL386:AL430)</f>
        <v>0</v>
      </c>
      <c r="AM385" s="125">
        <f>SUM(AM386:AM430)</f>
        <v>0</v>
      </c>
      <c r="AN385" s="99"/>
      <c r="AO385" s="221"/>
      <c r="AP385" s="124">
        <f>SUM(AP386:AP430)</f>
        <v>0</v>
      </c>
      <c r="AQ385" s="125">
        <f>SUM(AQ386:AQ430)</f>
        <v>0</v>
      </c>
      <c r="AR385" s="99"/>
      <c r="AS385" s="221"/>
      <c r="AT385" s="124">
        <f>SUM(AT386:AT430)</f>
        <v>0</v>
      </c>
      <c r="AU385" s="125">
        <f>SUM(AU386:AU430)</f>
        <v>0</v>
      </c>
      <c r="AV385" s="99"/>
      <c r="AW385" s="736"/>
      <c r="AX385" s="736"/>
      <c r="AY385" s="69">
        <f>SUM(BA385,BU385)</f>
        <v>0</v>
      </c>
      <c r="AZ385" s="97"/>
      <c r="BA385" s="98">
        <v>0</v>
      </c>
      <c r="BB385" s="98"/>
      <c r="BC385" s="98"/>
      <c r="BD385" s="249"/>
      <c r="BE385" s="221"/>
      <c r="BF385" s="124">
        <f>SUM(BF386:BF430)</f>
        <v>0</v>
      </c>
      <c r="BG385" s="125">
        <f>SUM(BG386:BG430)</f>
        <v>0</v>
      </c>
      <c r="BH385" s="99"/>
      <c r="BI385" s="221"/>
      <c r="BJ385" s="124">
        <f>SUM(BJ386:BJ430)</f>
        <v>0</v>
      </c>
      <c r="BK385" s="125">
        <f>SUM(BK386:BK430)</f>
        <v>0</v>
      </c>
      <c r="BL385" s="99"/>
      <c r="BM385" s="221"/>
      <c r="BN385" s="124">
        <f>SUM(BN386:BN430)</f>
        <v>0</v>
      </c>
      <c r="BO385" s="125">
        <f>SUM(BO386:BO430)</f>
        <v>0</v>
      </c>
      <c r="BP385" s="99"/>
      <c r="BQ385" s="736"/>
      <c r="BR385" s="736"/>
      <c r="BS385" s="69">
        <f>BU385</f>
        <v>0</v>
      </c>
      <c r="BT385" s="97"/>
      <c r="BU385" s="98">
        <f>1-1+0</f>
        <v>0</v>
      </c>
      <c r="BV385" s="98"/>
      <c r="BW385" s="98"/>
      <c r="BX385" s="249"/>
      <c r="BY385" s="221"/>
      <c r="BZ385" s="124">
        <f>SUM(BZ386:BZ430)</f>
        <v>0</v>
      </c>
      <c r="CA385" s="125">
        <f>SUM(CA386:CA430)</f>
        <v>0</v>
      </c>
      <c r="CB385" s="99"/>
      <c r="CC385" s="221"/>
      <c r="CD385" s="124">
        <f>SUM(CD386:CD430)</f>
        <v>0</v>
      </c>
      <c r="CE385" s="125">
        <f>SUM(CE386:CE430)</f>
        <v>0</v>
      </c>
      <c r="CF385" s="99"/>
      <c r="CG385" s="221"/>
      <c r="CH385" s="124">
        <f>SUM(CH386:CH430)</f>
        <v>0</v>
      </c>
      <c r="CI385" s="125">
        <f>SUM(CI386:CI430)</f>
        <v>0</v>
      </c>
      <c r="CJ385" s="99"/>
      <c r="CK385" s="736"/>
      <c r="CL385" s="736"/>
      <c r="CM385" s="69">
        <f>CO385</f>
        <v>0</v>
      </c>
      <c r="CN385" s="97"/>
      <c r="CO385" s="249">
        <v>0</v>
      </c>
      <c r="CP385" s="98"/>
      <c r="CQ385" s="98"/>
      <c r="CR385" s="249"/>
      <c r="CS385" s="237"/>
      <c r="CT385" s="124">
        <f>SUM(CT386:CT430)</f>
        <v>0</v>
      </c>
      <c r="CU385" s="125">
        <f>SUM(CU386:CU430)</f>
        <v>0</v>
      </c>
      <c r="CV385" s="99"/>
      <c r="CW385" s="221"/>
      <c r="CX385" s="124">
        <f>SUM(CX386:CX430)</f>
        <v>0</v>
      </c>
      <c r="CY385" s="125">
        <f>SUM(CY386:CY430)</f>
        <v>0</v>
      </c>
      <c r="CZ385" s="99"/>
      <c r="DA385" s="221"/>
      <c r="DB385" s="124">
        <f>SUM(DB386:DB430)</f>
        <v>0</v>
      </c>
      <c r="DC385" s="125">
        <f>SUM(DC386:DC430)</f>
        <v>0</v>
      </c>
      <c r="DD385" s="99"/>
      <c r="DE385" s="736"/>
      <c r="DF385" s="736"/>
      <c r="DG385" s="69">
        <f>DI385</f>
        <v>0</v>
      </c>
      <c r="DH385" s="97"/>
      <c r="DI385" s="249"/>
      <c r="DJ385" s="98"/>
      <c r="DK385" s="98"/>
      <c r="DL385" s="249"/>
      <c r="DM385" s="237"/>
    </row>
    <row r="386" spans="1:117" x14ac:dyDescent="0.25">
      <c r="A386" s="45"/>
      <c r="B386" s="10" t="s">
        <v>215</v>
      </c>
      <c r="C386" s="45"/>
      <c r="D386" s="44"/>
      <c r="E386" s="44"/>
      <c r="F386" s="342"/>
      <c r="G386" s="44"/>
      <c r="H386" s="46"/>
      <c r="I386" s="46"/>
      <c r="J386" s="45"/>
      <c r="K386" s="45"/>
      <c r="L386" s="279"/>
      <c r="M386" s="47"/>
      <c r="N386" s="47"/>
      <c r="O386" s="47"/>
      <c r="P386" s="253"/>
      <c r="Q386" s="287"/>
      <c r="R386" s="288"/>
      <c r="S386" s="289"/>
      <c r="T386" s="48"/>
      <c r="U386" s="287"/>
      <c r="V386" s="288"/>
      <c r="W386" s="289"/>
      <c r="X386" s="48"/>
      <c r="Y386" s="287"/>
      <c r="Z386" s="132"/>
      <c r="AA386" s="289"/>
      <c r="AB386" s="48"/>
      <c r="AC386" s="290"/>
      <c r="AD386" s="290"/>
      <c r="AE386" s="45"/>
      <c r="AF386" s="279"/>
      <c r="AG386" s="47"/>
      <c r="AH386" s="47"/>
      <c r="AI386" s="47"/>
      <c r="AJ386" s="253"/>
      <c r="AK386" s="287"/>
      <c r="AL386" s="288"/>
      <c r="AM386" s="289"/>
      <c r="AN386" s="48"/>
      <c r="AO386" s="287"/>
      <c r="AP386" s="288"/>
      <c r="AQ386" s="289"/>
      <c r="AR386" s="48"/>
      <c r="AS386" s="287"/>
      <c r="AT386" s="132"/>
      <c r="AU386" s="289"/>
      <c r="AV386" s="48"/>
      <c r="AW386" s="290"/>
      <c r="AX386" s="290"/>
      <c r="AY386" s="45"/>
      <c r="AZ386" s="279"/>
      <c r="BA386" s="47"/>
      <c r="BB386" s="47"/>
      <c r="BC386" s="47"/>
      <c r="BD386" s="253"/>
      <c r="BE386" s="287"/>
      <c r="BF386" s="288"/>
      <c r="BG386" s="289"/>
      <c r="BH386" s="48"/>
      <c r="BI386" s="287"/>
      <c r="BJ386" s="288"/>
      <c r="BK386" s="289"/>
      <c r="BL386" s="48"/>
      <c r="BM386" s="287"/>
      <c r="BN386" s="132"/>
      <c r="BO386" s="289"/>
      <c r="BP386" s="48"/>
      <c r="BQ386" s="290"/>
      <c r="BR386" s="290"/>
      <c r="BS386" s="45"/>
      <c r="BT386" s="279"/>
      <c r="BU386" s="47"/>
      <c r="BV386" s="47"/>
      <c r="BW386" s="47"/>
      <c r="BX386" s="253"/>
      <c r="BY386" s="287"/>
      <c r="BZ386" s="288"/>
      <c r="CA386" s="289"/>
      <c r="CB386" s="48"/>
      <c r="CC386" s="287"/>
      <c r="CD386" s="288"/>
      <c r="CE386" s="289"/>
      <c r="CF386" s="48"/>
      <c r="CG386" s="287"/>
      <c r="CH386" s="132"/>
      <c r="CI386" s="289"/>
      <c r="CJ386" s="48"/>
      <c r="CK386" s="290"/>
      <c r="CL386" s="290"/>
      <c r="CM386" s="45"/>
      <c r="CN386" s="279"/>
      <c r="CO386" s="47"/>
      <c r="CP386" s="47"/>
      <c r="CQ386" s="47"/>
      <c r="CR386" s="253"/>
      <c r="CS386" s="290"/>
      <c r="CT386" s="288"/>
      <c r="CU386" s="289"/>
      <c r="CV386" s="48"/>
      <c r="CW386" s="287"/>
      <c r="CX386" s="288"/>
      <c r="CY386" s="289"/>
      <c r="CZ386" s="48"/>
      <c r="DA386" s="287"/>
      <c r="DB386" s="132"/>
      <c r="DC386" s="289"/>
      <c r="DD386" s="48"/>
      <c r="DE386" s="290"/>
      <c r="DF386" s="290"/>
      <c r="DG386" s="45"/>
      <c r="DH386" s="279"/>
      <c r="DI386" s="47"/>
      <c r="DJ386" s="47"/>
      <c r="DK386" s="47"/>
      <c r="DL386" s="253"/>
      <c r="DM386" s="290"/>
    </row>
    <row r="387" spans="1:117" x14ac:dyDescent="0.25">
      <c r="A387" s="17"/>
      <c r="B387" s="10" t="s">
        <v>616</v>
      </c>
      <c r="C387" s="17">
        <v>1</v>
      </c>
      <c r="D387" s="422" t="s">
        <v>448</v>
      </c>
      <c r="E387" s="422"/>
      <c r="F387" s="337">
        <v>150</v>
      </c>
      <c r="G387" s="109" t="s">
        <v>757</v>
      </c>
      <c r="H387" s="24"/>
      <c r="I387" s="24"/>
      <c r="J387" s="530">
        <f>SUM(M387,AG387,BA387,BU387)-L387</f>
        <v>0</v>
      </c>
      <c r="K387" s="395">
        <f t="shared" ref="K387" si="887">M387-O387-L387</f>
        <v>0</v>
      </c>
      <c r="L387" s="32">
        <v>0</v>
      </c>
      <c r="M387" s="302">
        <f>M385</f>
        <v>0</v>
      </c>
      <c r="N387" s="7">
        <f t="shared" ref="N387" si="888">M387-L387</f>
        <v>0</v>
      </c>
      <c r="O387" s="258"/>
      <c r="P387" s="304">
        <f>P385</f>
        <v>0</v>
      </c>
      <c r="Q387" s="234">
        <f t="shared" ref="Q387:Q404" si="889">L387+O387-P387</f>
        <v>0</v>
      </c>
      <c r="R387" s="123"/>
      <c r="S387" s="8"/>
      <c r="T387" s="34"/>
      <c r="U387" s="713"/>
      <c r="V387" s="123"/>
      <c r="W387" s="8"/>
      <c r="X387" s="34"/>
      <c r="Y387" s="713"/>
      <c r="Z387" s="20"/>
      <c r="AA387" s="8"/>
      <c r="AB387" s="34"/>
      <c r="AC387" s="234"/>
      <c r="AD387" s="234"/>
      <c r="AE387" s="398">
        <f>SUM(M387,AG387)-SUM(O387,AI387)-L387</f>
        <v>0</v>
      </c>
      <c r="AF387" s="32">
        <f>Q387</f>
        <v>0</v>
      </c>
      <c r="AG387" s="302">
        <f>AG385</f>
        <v>0</v>
      </c>
      <c r="AH387" s="7">
        <f t="shared" ref="AH387" si="890">AG387-AF387</f>
        <v>0</v>
      </c>
      <c r="AI387" s="242"/>
      <c r="AJ387" s="304">
        <f>AJ385</f>
        <v>0</v>
      </c>
      <c r="AK387" s="234">
        <f t="shared" ref="AK387" si="891">AF387+AI387-AJ387</f>
        <v>0</v>
      </c>
      <c r="AL387" s="123"/>
      <c r="AM387" s="8"/>
      <c r="AN387" s="34"/>
      <c r="AO387" s="713"/>
      <c r="AP387" s="123"/>
      <c r="AQ387" s="8"/>
      <c r="AR387" s="34"/>
      <c r="AS387" s="713"/>
      <c r="AT387" s="20"/>
      <c r="AU387" s="8"/>
      <c r="AV387" s="34"/>
      <c r="AW387" s="234"/>
      <c r="AX387" s="234"/>
      <c r="AY387" s="395">
        <f>SUM(M387,AG387,BA387)-SUM(O387,AI387,BC387)-L387</f>
        <v>0</v>
      </c>
      <c r="AZ387" s="32">
        <f>AK387</f>
        <v>0</v>
      </c>
      <c r="BA387" s="302">
        <f>BA385</f>
        <v>0</v>
      </c>
      <c r="BB387" s="7">
        <f t="shared" ref="BB387" si="892">BA387-AZ387</f>
        <v>0</v>
      </c>
      <c r="BC387" s="256"/>
      <c r="BD387" s="304">
        <f>BD385</f>
        <v>0</v>
      </c>
      <c r="BE387" s="234">
        <f t="shared" ref="BE387" si="893">AZ387+BC387-BD387</f>
        <v>0</v>
      </c>
      <c r="BF387" s="123"/>
      <c r="BG387" s="8"/>
      <c r="BH387" s="34"/>
      <c r="BI387" s="713"/>
      <c r="BJ387" s="123"/>
      <c r="BK387" s="8"/>
      <c r="BL387" s="34"/>
      <c r="BM387" s="713"/>
      <c r="BN387" s="20"/>
      <c r="BO387" s="8"/>
      <c r="BP387" s="34"/>
      <c r="BQ387" s="234"/>
      <c r="BR387" s="234"/>
      <c r="BS387" s="395">
        <f>SUM(M387,AG387,BA387,BU387)-SUM(O387,AI387,BC387,BW387)-L387</f>
        <v>0</v>
      </c>
      <c r="BT387" s="32">
        <f>BE387</f>
        <v>0</v>
      </c>
      <c r="BU387" s="302">
        <f>BU385</f>
        <v>0</v>
      </c>
      <c r="BV387" s="7">
        <f t="shared" ref="BV387" si="894">BU387-BT387</f>
        <v>0</v>
      </c>
      <c r="BW387" s="258"/>
      <c r="BX387" s="304">
        <f>BX385</f>
        <v>0</v>
      </c>
      <c r="BY387" s="234">
        <f t="shared" ref="BY387" si="895">BT387+BW387-BX387</f>
        <v>0</v>
      </c>
      <c r="BZ387" s="123"/>
      <c r="CA387" s="8"/>
      <c r="CB387" s="34"/>
      <c r="CC387" s="713"/>
      <c r="CD387" s="123"/>
      <c r="CE387" s="8"/>
      <c r="CF387" s="34"/>
      <c r="CG387" s="713"/>
      <c r="CH387" s="20"/>
      <c r="CI387" s="8"/>
      <c r="CJ387" s="34"/>
      <c r="CK387" s="234"/>
      <c r="CL387" s="234"/>
      <c r="CM387" s="395">
        <f>SUM(M387,AG387,BA387,BU387,CO387)-SUM(O387,AI387,BC387,BW387,CQ387)-L387</f>
        <v>0</v>
      </c>
      <c r="CN387" s="32">
        <f>BX387</f>
        <v>0</v>
      </c>
      <c r="CO387" s="302">
        <f>CO385</f>
        <v>0</v>
      </c>
      <c r="CP387" s="7">
        <f t="shared" ref="CP387" si="896">CO387-CN387</f>
        <v>0</v>
      </c>
      <c r="CQ387" s="242"/>
      <c r="CR387" s="304">
        <f>CR385</f>
        <v>0</v>
      </c>
      <c r="CS387" s="234">
        <f t="shared" ref="CS387" si="897">CN387+CQ387-CR387</f>
        <v>0</v>
      </c>
      <c r="CT387" s="123"/>
      <c r="CU387" s="8"/>
      <c r="CV387" s="34"/>
      <c r="CW387" s="713"/>
      <c r="CX387" s="123"/>
      <c r="CY387" s="8"/>
      <c r="CZ387" s="34"/>
      <c r="DA387" s="713"/>
      <c r="DB387" s="20"/>
      <c r="DC387" s="8"/>
      <c r="DD387" s="34"/>
      <c r="DE387" s="234"/>
      <c r="DF387" s="234"/>
      <c r="DG387" s="395">
        <f>SUM(M387,AG387,BA387,BU387,DI387)-SUM(O387,AI387,BC387,BW387,CQ387)-L387</f>
        <v>0</v>
      </c>
      <c r="DH387" s="32">
        <f t="shared" ref="DH387" si="898">BY387</f>
        <v>0</v>
      </c>
      <c r="DI387" s="302">
        <f>DI385</f>
        <v>0</v>
      </c>
      <c r="DJ387" s="7">
        <f t="shared" ref="DJ387" si="899">DI387-DH387</f>
        <v>0</v>
      </c>
      <c r="DK387" s="242"/>
      <c r="DL387" s="304">
        <f>DL385</f>
        <v>0</v>
      </c>
      <c r="DM387" s="234">
        <f t="shared" ref="DM387" si="900">DH387+DK387-DL387</f>
        <v>0</v>
      </c>
    </row>
    <row r="388" spans="1:117" x14ac:dyDescent="0.25">
      <c r="A388" s="346"/>
      <c r="B388" s="347" t="s">
        <v>117</v>
      </c>
      <c r="C388" s="346" t="s">
        <v>51</v>
      </c>
      <c r="D388" s="348" t="s">
        <v>177</v>
      </c>
      <c r="E388" s="348"/>
      <c r="F388" s="349">
        <v>24800</v>
      </c>
      <c r="G388" s="350" t="s">
        <v>331</v>
      </c>
      <c r="H388" s="351" t="s">
        <v>88</v>
      </c>
      <c r="I388" s="351"/>
      <c r="J388" s="346"/>
      <c r="K388" s="346"/>
      <c r="L388" s="352"/>
      <c r="M388" s="353"/>
      <c r="N388" s="353"/>
      <c r="O388" s="354"/>
      <c r="P388" s="354"/>
      <c r="Q388" s="355"/>
      <c r="R388" s="356"/>
      <c r="S388" s="357"/>
      <c r="T388" s="358"/>
      <c r="U388" s="726"/>
      <c r="V388" s="356"/>
      <c r="W388" s="357"/>
      <c r="X388" s="358"/>
      <c r="Y388" s="726"/>
      <c r="Z388" s="359"/>
      <c r="AA388" s="357"/>
      <c r="AB388" s="358"/>
      <c r="AC388" s="355"/>
      <c r="AD388" s="355"/>
      <c r="AE388" s="346"/>
      <c r="AF388" s="352"/>
      <c r="AG388" s="353"/>
      <c r="AH388" s="353"/>
      <c r="AI388" s="354"/>
      <c r="AJ388" s="354"/>
      <c r="AK388" s="355"/>
      <c r="AL388" s="356"/>
      <c r="AM388" s="357"/>
      <c r="AN388" s="358"/>
      <c r="AO388" s="726"/>
      <c r="AP388" s="356"/>
      <c r="AQ388" s="357"/>
      <c r="AR388" s="358"/>
      <c r="AS388" s="726"/>
      <c r="AT388" s="359"/>
      <c r="AU388" s="357"/>
      <c r="AV388" s="358"/>
      <c r="AW388" s="355"/>
      <c r="AX388" s="355"/>
      <c r="AY388" s="346"/>
      <c r="AZ388" s="352"/>
      <c r="BA388" s="353"/>
      <c r="BB388" s="353"/>
      <c r="BC388" s="354"/>
      <c r="BD388" s="354"/>
      <c r="BE388" s="355"/>
      <c r="BF388" s="356"/>
      <c r="BG388" s="357"/>
      <c r="BH388" s="358"/>
      <c r="BI388" s="726"/>
      <c r="BJ388" s="356"/>
      <c r="BK388" s="357"/>
      <c r="BL388" s="358"/>
      <c r="BM388" s="726"/>
      <c r="BN388" s="359"/>
      <c r="BO388" s="357"/>
      <c r="BP388" s="358"/>
      <c r="BQ388" s="355"/>
      <c r="BR388" s="355"/>
      <c r="BS388" s="346"/>
      <c r="BT388" s="352"/>
      <c r="BU388" s="353"/>
      <c r="BV388" s="353"/>
      <c r="BW388" s="354"/>
      <c r="BX388" s="354"/>
      <c r="BY388" s="355"/>
      <c r="BZ388" s="356"/>
      <c r="CA388" s="357"/>
      <c r="CB388" s="358"/>
      <c r="CC388" s="726"/>
      <c r="CD388" s="356"/>
      <c r="CE388" s="357"/>
      <c r="CF388" s="358"/>
      <c r="CG388" s="726"/>
      <c r="CH388" s="359"/>
      <c r="CI388" s="357"/>
      <c r="CJ388" s="358"/>
      <c r="CK388" s="355"/>
      <c r="CL388" s="355"/>
      <c r="CM388" s="346"/>
      <c r="CN388" s="352"/>
      <c r="CO388" s="353"/>
      <c r="CP388" s="353"/>
      <c r="CQ388" s="354"/>
      <c r="CR388" s="354"/>
      <c r="CS388" s="355"/>
      <c r="CT388" s="356"/>
      <c r="CU388" s="357"/>
      <c r="CV388" s="358"/>
      <c r="CW388" s="726"/>
      <c r="CX388" s="356"/>
      <c r="CY388" s="357"/>
      <c r="CZ388" s="358"/>
      <c r="DA388" s="726"/>
      <c r="DB388" s="359"/>
      <c r="DC388" s="357"/>
      <c r="DD388" s="358"/>
      <c r="DE388" s="355"/>
      <c r="DF388" s="355"/>
      <c r="DG388" s="346"/>
      <c r="DH388" s="352"/>
      <c r="DI388" s="353"/>
      <c r="DJ388" s="353"/>
      <c r="DK388" s="354"/>
      <c r="DL388" s="354"/>
      <c r="DM388" s="355"/>
    </row>
    <row r="389" spans="1:117" x14ac:dyDescent="0.25">
      <c r="A389" s="17"/>
      <c r="B389" s="10" t="s">
        <v>299</v>
      </c>
      <c r="C389" s="17">
        <v>1</v>
      </c>
      <c r="D389" s="10" t="s">
        <v>314</v>
      </c>
      <c r="E389" s="10"/>
      <c r="F389" s="337"/>
      <c r="G389" s="109"/>
      <c r="H389" s="24"/>
      <c r="I389" s="24"/>
      <c r="J389" s="530">
        <f t="shared" ref="J389:J404" si="901">SUM(M389,AG389,BA389,BU389)-L389</f>
        <v>-18</v>
      </c>
      <c r="K389" s="395">
        <f t="shared" ref="K389:K430" si="902">M389-O389-L389</f>
        <v>-18</v>
      </c>
      <c r="L389" s="32">
        <v>18</v>
      </c>
      <c r="M389" s="302">
        <f>M385</f>
        <v>0</v>
      </c>
      <c r="N389" s="7">
        <f t="shared" ref="N389:N404" si="903">M389-L389</f>
        <v>-18</v>
      </c>
      <c r="O389" s="258"/>
      <c r="P389" s="304">
        <f>P385</f>
        <v>0</v>
      </c>
      <c r="Q389" s="234">
        <f t="shared" si="889"/>
        <v>18</v>
      </c>
      <c r="R389" s="123"/>
      <c r="S389" s="8"/>
      <c r="T389" s="34"/>
      <c r="U389" s="713"/>
      <c r="V389" s="123"/>
      <c r="W389" s="8"/>
      <c r="X389" s="34"/>
      <c r="Y389" s="713"/>
      <c r="Z389" s="20"/>
      <c r="AA389" s="8"/>
      <c r="AB389" s="34"/>
      <c r="AC389" s="234"/>
      <c r="AD389" s="234"/>
      <c r="AE389" s="398">
        <f t="shared" ref="AE389:AE404" si="904">SUM(M389,AG389)-SUM(O389,AI389)-L389</f>
        <v>-18</v>
      </c>
      <c r="AF389" s="32">
        <f t="shared" ref="AF389:AF404" si="905">Q389</f>
        <v>18</v>
      </c>
      <c r="AG389" s="302">
        <f>AG385</f>
        <v>0</v>
      </c>
      <c r="AH389" s="7">
        <f t="shared" ref="AH389:AH404" si="906">AG389-AF389</f>
        <v>-18</v>
      </c>
      <c r="AI389" s="258"/>
      <c r="AJ389" s="304">
        <f>AJ385</f>
        <v>0</v>
      </c>
      <c r="AK389" s="234">
        <f t="shared" ref="AK389:AK404" si="907">AF389+AI389-AJ389</f>
        <v>18</v>
      </c>
      <c r="AL389" s="123"/>
      <c r="AM389" s="8"/>
      <c r="AN389" s="34"/>
      <c r="AO389" s="713"/>
      <c r="AP389" s="123"/>
      <c r="AQ389" s="8"/>
      <c r="AR389" s="34"/>
      <c r="AS389" s="713"/>
      <c r="AT389" s="20"/>
      <c r="AU389" s="8"/>
      <c r="AV389" s="34"/>
      <c r="AW389" s="234"/>
      <c r="AX389" s="234"/>
      <c r="AY389" s="395">
        <f t="shared" ref="AY389:AY404" si="908">SUM(M389,AG389,BA389)-SUM(O389,AI389,BC389)-L389</f>
        <v>-18</v>
      </c>
      <c r="AZ389" s="32">
        <f>AK389</f>
        <v>18</v>
      </c>
      <c r="BA389" s="302">
        <f>BA385</f>
        <v>0</v>
      </c>
      <c r="BB389" s="7">
        <f t="shared" ref="BB389:BB404" si="909">BA389-AZ389</f>
        <v>-18</v>
      </c>
      <c r="BC389" s="258"/>
      <c r="BD389" s="304">
        <f>BD385</f>
        <v>0</v>
      </c>
      <c r="BE389" s="234">
        <f t="shared" ref="BE389:BE404" si="910">AZ389+BC389-BD389</f>
        <v>18</v>
      </c>
      <c r="BF389" s="123"/>
      <c r="BG389" s="8"/>
      <c r="BH389" s="34"/>
      <c r="BI389" s="713"/>
      <c r="BJ389" s="123"/>
      <c r="BK389" s="8"/>
      <c r="BL389" s="34"/>
      <c r="BM389" s="713"/>
      <c r="BN389" s="20"/>
      <c r="BO389" s="8"/>
      <c r="BP389" s="34"/>
      <c r="BQ389" s="234"/>
      <c r="BR389" s="234"/>
      <c r="BS389" s="395">
        <f t="shared" ref="BS389:BS404" si="911">SUM(M389,AG389,BA389,BU389)-SUM(O389,AI389,BC389,BW389)-L389</f>
        <v>-18</v>
      </c>
      <c r="BT389" s="32">
        <f>BE389</f>
        <v>18</v>
      </c>
      <c r="BU389" s="302">
        <f>BU385</f>
        <v>0</v>
      </c>
      <c r="BV389" s="7">
        <f t="shared" ref="BV389:BV404" si="912">BU389-BT389</f>
        <v>-18</v>
      </c>
      <c r="BW389" s="258"/>
      <c r="BX389" s="304">
        <f>BX385</f>
        <v>0</v>
      </c>
      <c r="BY389" s="234">
        <f t="shared" ref="BY389:BY404" si="913">BT389+BW389-BX389</f>
        <v>18</v>
      </c>
      <c r="BZ389" s="123"/>
      <c r="CA389" s="8"/>
      <c r="CB389" s="34"/>
      <c r="CC389" s="713"/>
      <c r="CD389" s="123"/>
      <c r="CE389" s="8"/>
      <c r="CF389" s="34"/>
      <c r="CG389" s="713"/>
      <c r="CH389" s="20"/>
      <c r="CI389" s="8"/>
      <c r="CJ389" s="34"/>
      <c r="CK389" s="234"/>
      <c r="CL389" s="234"/>
      <c r="CM389" s="395">
        <f t="shared" ref="CM389:CM404" si="914">SUM(M389,AG389,BA389,BU389,CO389)-SUM(O389,AI389,BC389,BW389,CQ389)-L389</f>
        <v>-18</v>
      </c>
      <c r="CN389" s="32">
        <f>BY389</f>
        <v>18</v>
      </c>
      <c r="CO389" s="302">
        <f>CO385</f>
        <v>0</v>
      </c>
      <c r="CP389" s="7">
        <f t="shared" ref="CP389:CP404" si="915">CO389-CN389</f>
        <v>-18</v>
      </c>
      <c r="CQ389" s="242"/>
      <c r="CR389" s="304">
        <f>CR385</f>
        <v>0</v>
      </c>
      <c r="CS389" s="234">
        <f t="shared" ref="CS389:CS404" si="916">CN389+CQ389-CR389</f>
        <v>18</v>
      </c>
      <c r="CT389" s="123"/>
      <c r="CU389" s="8"/>
      <c r="CV389" s="34"/>
      <c r="CW389" s="713"/>
      <c r="CX389" s="123"/>
      <c r="CY389" s="8"/>
      <c r="CZ389" s="34"/>
      <c r="DA389" s="713"/>
      <c r="DB389" s="20"/>
      <c r="DC389" s="8"/>
      <c r="DD389" s="34"/>
      <c r="DE389" s="234"/>
      <c r="DF389" s="234"/>
      <c r="DG389" s="395">
        <f t="shared" ref="DG389:DG404" si="917">SUM(M389,AG389,BA389,BU389,DI389)-SUM(O389,AI389,BC389,BW389,CQ389)-L389</f>
        <v>-18</v>
      </c>
      <c r="DH389" s="32">
        <f t="shared" ref="DH389:DH430" si="918">BY389</f>
        <v>18</v>
      </c>
      <c r="DI389" s="302">
        <f>DI385</f>
        <v>0</v>
      </c>
      <c r="DJ389" s="7">
        <f t="shared" ref="DJ389:DJ404" si="919">DI389-DH389</f>
        <v>-18</v>
      </c>
      <c r="DK389" s="242"/>
      <c r="DL389" s="304">
        <f>DL385</f>
        <v>0</v>
      </c>
      <c r="DM389" s="234">
        <f t="shared" ref="DM389:DM404" si="920">DH389+DK389-DL389</f>
        <v>18</v>
      </c>
    </row>
    <row r="390" spans="1:117" x14ac:dyDescent="0.25">
      <c r="A390" s="17"/>
      <c r="B390" s="10" t="s">
        <v>300</v>
      </c>
      <c r="C390" s="17">
        <v>5</v>
      </c>
      <c r="D390" s="10" t="s">
        <v>314</v>
      </c>
      <c r="E390" s="10"/>
      <c r="F390" s="337"/>
      <c r="G390" s="109"/>
      <c r="H390" s="24"/>
      <c r="I390" s="24"/>
      <c r="J390" s="530">
        <f t="shared" si="901"/>
        <v>-55</v>
      </c>
      <c r="K390" s="395">
        <f t="shared" si="902"/>
        <v>-55</v>
      </c>
      <c r="L390" s="32">
        <v>55</v>
      </c>
      <c r="M390" s="302">
        <f>M385*5</f>
        <v>0</v>
      </c>
      <c r="N390" s="7">
        <f t="shared" si="903"/>
        <v>-55</v>
      </c>
      <c r="O390" s="258"/>
      <c r="P390" s="304">
        <f>P385*5</f>
        <v>0</v>
      </c>
      <c r="Q390" s="234">
        <f t="shared" si="889"/>
        <v>55</v>
      </c>
      <c r="R390" s="123"/>
      <c r="S390" s="8"/>
      <c r="T390" s="34"/>
      <c r="U390" s="713"/>
      <c r="V390" s="123"/>
      <c r="W390" s="8"/>
      <c r="X390" s="34"/>
      <c r="Y390" s="713"/>
      <c r="Z390" s="20"/>
      <c r="AA390" s="8"/>
      <c r="AB390" s="34"/>
      <c r="AC390" s="234"/>
      <c r="AD390" s="234"/>
      <c r="AE390" s="398">
        <f t="shared" si="904"/>
        <v>-55</v>
      </c>
      <c r="AF390" s="32">
        <f t="shared" si="905"/>
        <v>55</v>
      </c>
      <c r="AG390" s="302">
        <f>AG385*5</f>
        <v>0</v>
      </c>
      <c r="AH390" s="7">
        <f t="shared" si="906"/>
        <v>-55</v>
      </c>
      <c r="AI390" s="258"/>
      <c r="AJ390" s="304">
        <f>AJ385*5</f>
        <v>0</v>
      </c>
      <c r="AK390" s="234">
        <f t="shared" si="907"/>
        <v>55</v>
      </c>
      <c r="AL390" s="123"/>
      <c r="AM390" s="8"/>
      <c r="AN390" s="34"/>
      <c r="AO390" s="713"/>
      <c r="AP390" s="123"/>
      <c r="AQ390" s="8"/>
      <c r="AR390" s="34"/>
      <c r="AS390" s="713"/>
      <c r="AT390" s="20"/>
      <c r="AU390" s="8"/>
      <c r="AV390" s="34"/>
      <c r="AW390" s="234"/>
      <c r="AX390" s="234"/>
      <c r="AY390" s="395">
        <f t="shared" si="908"/>
        <v>-55</v>
      </c>
      <c r="AZ390" s="32">
        <f t="shared" ref="AZ390:AZ404" si="921">AK390</f>
        <v>55</v>
      </c>
      <c r="BA390" s="302">
        <f>BA385*5</f>
        <v>0</v>
      </c>
      <c r="BB390" s="7">
        <f t="shared" si="909"/>
        <v>-55</v>
      </c>
      <c r="BC390" s="258"/>
      <c r="BD390" s="304">
        <f>BD385*5</f>
        <v>0</v>
      </c>
      <c r="BE390" s="234">
        <f t="shared" si="910"/>
        <v>55</v>
      </c>
      <c r="BF390" s="123"/>
      <c r="BG390" s="8"/>
      <c r="BH390" s="34"/>
      <c r="BI390" s="713"/>
      <c r="BJ390" s="123"/>
      <c r="BK390" s="8"/>
      <c r="BL390" s="34"/>
      <c r="BM390" s="713"/>
      <c r="BN390" s="20"/>
      <c r="BO390" s="8"/>
      <c r="BP390" s="34"/>
      <c r="BQ390" s="234"/>
      <c r="BR390" s="234"/>
      <c r="BS390" s="395">
        <f t="shared" si="911"/>
        <v>-55</v>
      </c>
      <c r="BT390" s="32">
        <f t="shared" ref="BT390:BT404" si="922">BE390</f>
        <v>55</v>
      </c>
      <c r="BU390" s="302">
        <f>BU385*5</f>
        <v>0</v>
      </c>
      <c r="BV390" s="7">
        <f t="shared" si="912"/>
        <v>-55</v>
      </c>
      <c r="BW390" s="258"/>
      <c r="BX390" s="304">
        <f>BX385*5</f>
        <v>0</v>
      </c>
      <c r="BY390" s="234">
        <f t="shared" si="913"/>
        <v>55</v>
      </c>
      <c r="BZ390" s="123"/>
      <c r="CA390" s="8"/>
      <c r="CB390" s="34"/>
      <c r="CC390" s="713"/>
      <c r="CD390" s="123"/>
      <c r="CE390" s="8"/>
      <c r="CF390" s="34"/>
      <c r="CG390" s="713"/>
      <c r="CH390" s="20"/>
      <c r="CI390" s="8"/>
      <c r="CJ390" s="34"/>
      <c r="CK390" s="234"/>
      <c r="CL390" s="234"/>
      <c r="CM390" s="395">
        <f t="shared" si="914"/>
        <v>-55</v>
      </c>
      <c r="CN390" s="32">
        <f t="shared" ref="CN390:CN404" si="923">BY390</f>
        <v>55</v>
      </c>
      <c r="CO390" s="302">
        <f>CO385*5</f>
        <v>0</v>
      </c>
      <c r="CP390" s="7">
        <f t="shared" si="915"/>
        <v>-55</v>
      </c>
      <c r="CQ390" s="242"/>
      <c r="CR390" s="304">
        <f>CR385*5</f>
        <v>0</v>
      </c>
      <c r="CS390" s="234">
        <f t="shared" si="916"/>
        <v>55</v>
      </c>
      <c r="CT390" s="123"/>
      <c r="CU390" s="8"/>
      <c r="CV390" s="34"/>
      <c r="CW390" s="713"/>
      <c r="CX390" s="123"/>
      <c r="CY390" s="8"/>
      <c r="CZ390" s="34"/>
      <c r="DA390" s="713"/>
      <c r="DB390" s="20"/>
      <c r="DC390" s="8"/>
      <c r="DD390" s="34"/>
      <c r="DE390" s="234"/>
      <c r="DF390" s="234"/>
      <c r="DG390" s="395">
        <f t="shared" si="917"/>
        <v>-55</v>
      </c>
      <c r="DH390" s="32">
        <f t="shared" si="918"/>
        <v>55</v>
      </c>
      <c r="DI390" s="302">
        <f>DI385*5</f>
        <v>0</v>
      </c>
      <c r="DJ390" s="7">
        <f t="shared" si="919"/>
        <v>-55</v>
      </c>
      <c r="DK390" s="242"/>
      <c r="DL390" s="304">
        <f>DL385*5</f>
        <v>0</v>
      </c>
      <c r="DM390" s="234">
        <f t="shared" si="920"/>
        <v>55</v>
      </c>
    </row>
    <row r="391" spans="1:117" x14ac:dyDescent="0.25">
      <c r="A391" s="17"/>
      <c r="B391" s="10" t="s">
        <v>301</v>
      </c>
      <c r="C391" s="17">
        <v>1</v>
      </c>
      <c r="D391" s="10" t="s">
        <v>314</v>
      </c>
      <c r="E391" s="10"/>
      <c r="F391" s="337"/>
      <c r="G391" s="109"/>
      <c r="H391" s="24"/>
      <c r="I391" s="24"/>
      <c r="J391" s="530">
        <f t="shared" si="901"/>
        <v>-8</v>
      </c>
      <c r="K391" s="395">
        <f t="shared" si="902"/>
        <v>-8</v>
      </c>
      <c r="L391" s="32">
        <v>8</v>
      </c>
      <c r="M391" s="302">
        <f>M385</f>
        <v>0</v>
      </c>
      <c r="N391" s="7">
        <f t="shared" si="903"/>
        <v>-8</v>
      </c>
      <c r="O391" s="258"/>
      <c r="P391" s="304">
        <f>P385</f>
        <v>0</v>
      </c>
      <c r="Q391" s="234">
        <f t="shared" si="889"/>
        <v>8</v>
      </c>
      <c r="R391" s="123"/>
      <c r="S391" s="8"/>
      <c r="T391" s="34"/>
      <c r="U391" s="713"/>
      <c r="V391" s="123"/>
      <c r="W391" s="8"/>
      <c r="X391" s="34"/>
      <c r="Y391" s="713"/>
      <c r="Z391" s="20"/>
      <c r="AA391" s="8"/>
      <c r="AB391" s="34"/>
      <c r="AC391" s="234"/>
      <c r="AD391" s="234"/>
      <c r="AE391" s="398">
        <f t="shared" si="904"/>
        <v>-8</v>
      </c>
      <c r="AF391" s="32">
        <f t="shared" si="905"/>
        <v>8</v>
      </c>
      <c r="AG391" s="302">
        <f>AG385</f>
        <v>0</v>
      </c>
      <c r="AH391" s="7">
        <f t="shared" si="906"/>
        <v>-8</v>
      </c>
      <c r="AI391" s="258"/>
      <c r="AJ391" s="304">
        <f>AJ385</f>
        <v>0</v>
      </c>
      <c r="AK391" s="234">
        <f t="shared" si="907"/>
        <v>8</v>
      </c>
      <c r="AL391" s="123"/>
      <c r="AM391" s="8"/>
      <c r="AN391" s="34"/>
      <c r="AO391" s="713"/>
      <c r="AP391" s="123"/>
      <c r="AQ391" s="8"/>
      <c r="AR391" s="34"/>
      <c r="AS391" s="713"/>
      <c r="AT391" s="20"/>
      <c r="AU391" s="8"/>
      <c r="AV391" s="34"/>
      <c r="AW391" s="234"/>
      <c r="AX391" s="234"/>
      <c r="AY391" s="395">
        <f t="shared" si="908"/>
        <v>-8</v>
      </c>
      <c r="AZ391" s="32">
        <f t="shared" si="921"/>
        <v>8</v>
      </c>
      <c r="BA391" s="302">
        <f>BA385</f>
        <v>0</v>
      </c>
      <c r="BB391" s="7">
        <f t="shared" si="909"/>
        <v>-8</v>
      </c>
      <c r="BC391" s="258"/>
      <c r="BD391" s="304">
        <f>BD385</f>
        <v>0</v>
      </c>
      <c r="BE391" s="234">
        <f t="shared" si="910"/>
        <v>8</v>
      </c>
      <c r="BF391" s="123"/>
      <c r="BG391" s="8"/>
      <c r="BH391" s="34"/>
      <c r="BI391" s="713"/>
      <c r="BJ391" s="123"/>
      <c r="BK391" s="8"/>
      <c r="BL391" s="34"/>
      <c r="BM391" s="713"/>
      <c r="BN391" s="20"/>
      <c r="BO391" s="8"/>
      <c r="BP391" s="34"/>
      <c r="BQ391" s="234"/>
      <c r="BR391" s="234"/>
      <c r="BS391" s="395">
        <f t="shared" si="911"/>
        <v>-8</v>
      </c>
      <c r="BT391" s="32">
        <f t="shared" si="922"/>
        <v>8</v>
      </c>
      <c r="BU391" s="302">
        <f>BU385</f>
        <v>0</v>
      </c>
      <c r="BV391" s="7">
        <f t="shared" si="912"/>
        <v>-8</v>
      </c>
      <c r="BW391" s="258"/>
      <c r="BX391" s="304">
        <f>BX385</f>
        <v>0</v>
      </c>
      <c r="BY391" s="234">
        <f t="shared" si="913"/>
        <v>8</v>
      </c>
      <c r="BZ391" s="123"/>
      <c r="CA391" s="8"/>
      <c r="CB391" s="34"/>
      <c r="CC391" s="713"/>
      <c r="CD391" s="123"/>
      <c r="CE391" s="8"/>
      <c r="CF391" s="34"/>
      <c r="CG391" s="713"/>
      <c r="CH391" s="20"/>
      <c r="CI391" s="8"/>
      <c r="CJ391" s="34"/>
      <c r="CK391" s="234"/>
      <c r="CL391" s="234"/>
      <c r="CM391" s="395">
        <f t="shared" si="914"/>
        <v>-8</v>
      </c>
      <c r="CN391" s="32">
        <f t="shared" si="923"/>
        <v>8</v>
      </c>
      <c r="CO391" s="302">
        <f>CO385</f>
        <v>0</v>
      </c>
      <c r="CP391" s="7">
        <f t="shared" si="915"/>
        <v>-8</v>
      </c>
      <c r="CQ391" s="242"/>
      <c r="CR391" s="304">
        <f>CR385</f>
        <v>0</v>
      </c>
      <c r="CS391" s="234">
        <f t="shared" si="916"/>
        <v>8</v>
      </c>
      <c r="CT391" s="123"/>
      <c r="CU391" s="8"/>
      <c r="CV391" s="34"/>
      <c r="CW391" s="713"/>
      <c r="CX391" s="123"/>
      <c r="CY391" s="8"/>
      <c r="CZ391" s="34"/>
      <c r="DA391" s="713"/>
      <c r="DB391" s="20"/>
      <c r="DC391" s="8"/>
      <c r="DD391" s="34"/>
      <c r="DE391" s="234"/>
      <c r="DF391" s="234"/>
      <c r="DG391" s="395">
        <f t="shared" si="917"/>
        <v>-8</v>
      </c>
      <c r="DH391" s="32">
        <f t="shared" si="918"/>
        <v>8</v>
      </c>
      <c r="DI391" s="302">
        <f>DI385</f>
        <v>0</v>
      </c>
      <c r="DJ391" s="7">
        <f t="shared" si="919"/>
        <v>-8</v>
      </c>
      <c r="DK391" s="242"/>
      <c r="DL391" s="304">
        <f>DL385</f>
        <v>0</v>
      </c>
      <c r="DM391" s="234">
        <f t="shared" si="920"/>
        <v>8</v>
      </c>
    </row>
    <row r="392" spans="1:117" x14ac:dyDescent="0.25">
      <c r="A392" s="17"/>
      <c r="B392" s="10" t="s">
        <v>302</v>
      </c>
      <c r="C392" s="17">
        <v>4</v>
      </c>
      <c r="D392" s="10" t="s">
        <v>314</v>
      </c>
      <c r="E392" s="10"/>
      <c r="F392" s="337"/>
      <c r="G392" s="109"/>
      <c r="H392" s="24"/>
      <c r="I392" s="24"/>
      <c r="J392" s="530">
        <f t="shared" si="901"/>
        <v>-18</v>
      </c>
      <c r="K392" s="395">
        <f t="shared" si="902"/>
        <v>-18</v>
      </c>
      <c r="L392" s="32">
        <v>18</v>
      </c>
      <c r="M392" s="302">
        <f>M385*4</f>
        <v>0</v>
      </c>
      <c r="N392" s="7">
        <f t="shared" si="903"/>
        <v>-18</v>
      </c>
      <c r="O392" s="258"/>
      <c r="P392" s="304">
        <f>P385*4</f>
        <v>0</v>
      </c>
      <c r="Q392" s="234">
        <f t="shared" si="889"/>
        <v>18</v>
      </c>
      <c r="R392" s="123"/>
      <c r="S392" s="8"/>
      <c r="T392" s="34"/>
      <c r="U392" s="713"/>
      <c r="V392" s="123"/>
      <c r="W392" s="8"/>
      <c r="X392" s="34"/>
      <c r="Y392" s="713"/>
      <c r="Z392" s="20"/>
      <c r="AA392" s="8"/>
      <c r="AB392" s="34"/>
      <c r="AC392" s="234"/>
      <c r="AD392" s="234"/>
      <c r="AE392" s="398">
        <f t="shared" si="904"/>
        <v>-18</v>
      </c>
      <c r="AF392" s="32">
        <f t="shared" si="905"/>
        <v>18</v>
      </c>
      <c r="AG392" s="302">
        <f>AG385*4</f>
        <v>0</v>
      </c>
      <c r="AH392" s="7">
        <f t="shared" si="906"/>
        <v>-18</v>
      </c>
      <c r="AI392" s="258"/>
      <c r="AJ392" s="304">
        <f>AJ385*4</f>
        <v>0</v>
      </c>
      <c r="AK392" s="234">
        <f t="shared" si="907"/>
        <v>18</v>
      </c>
      <c r="AL392" s="123"/>
      <c r="AM392" s="8"/>
      <c r="AN392" s="34"/>
      <c r="AO392" s="713"/>
      <c r="AP392" s="123"/>
      <c r="AQ392" s="8"/>
      <c r="AR392" s="34"/>
      <c r="AS392" s="713"/>
      <c r="AT392" s="20"/>
      <c r="AU392" s="8"/>
      <c r="AV392" s="34"/>
      <c r="AW392" s="234"/>
      <c r="AX392" s="234"/>
      <c r="AY392" s="395">
        <f t="shared" si="908"/>
        <v>-18</v>
      </c>
      <c r="AZ392" s="32">
        <f t="shared" si="921"/>
        <v>18</v>
      </c>
      <c r="BA392" s="302">
        <f>BA385*4</f>
        <v>0</v>
      </c>
      <c r="BB392" s="7">
        <f t="shared" si="909"/>
        <v>-18</v>
      </c>
      <c r="BC392" s="258"/>
      <c r="BD392" s="304">
        <f>BD385*4</f>
        <v>0</v>
      </c>
      <c r="BE392" s="234">
        <f t="shared" si="910"/>
        <v>18</v>
      </c>
      <c r="BF392" s="123"/>
      <c r="BG392" s="8"/>
      <c r="BH392" s="34"/>
      <c r="BI392" s="713"/>
      <c r="BJ392" s="123"/>
      <c r="BK392" s="8"/>
      <c r="BL392" s="34"/>
      <c r="BM392" s="713"/>
      <c r="BN392" s="20"/>
      <c r="BO392" s="8"/>
      <c r="BP392" s="34"/>
      <c r="BQ392" s="234"/>
      <c r="BR392" s="234"/>
      <c r="BS392" s="395">
        <f t="shared" si="911"/>
        <v>-18</v>
      </c>
      <c r="BT392" s="32">
        <f t="shared" si="922"/>
        <v>18</v>
      </c>
      <c r="BU392" s="302">
        <f>BU385*4</f>
        <v>0</v>
      </c>
      <c r="BV392" s="7">
        <f t="shared" si="912"/>
        <v>-18</v>
      </c>
      <c r="BW392" s="258"/>
      <c r="BX392" s="304">
        <f>BX385*4</f>
        <v>0</v>
      </c>
      <c r="BY392" s="234">
        <f t="shared" si="913"/>
        <v>18</v>
      </c>
      <c r="BZ392" s="123"/>
      <c r="CA392" s="8"/>
      <c r="CB392" s="34"/>
      <c r="CC392" s="713"/>
      <c r="CD392" s="123"/>
      <c r="CE392" s="8"/>
      <c r="CF392" s="34"/>
      <c r="CG392" s="713"/>
      <c r="CH392" s="20"/>
      <c r="CI392" s="8"/>
      <c r="CJ392" s="34"/>
      <c r="CK392" s="234"/>
      <c r="CL392" s="234"/>
      <c r="CM392" s="395">
        <f t="shared" si="914"/>
        <v>-18</v>
      </c>
      <c r="CN392" s="32">
        <f t="shared" si="923"/>
        <v>18</v>
      </c>
      <c r="CO392" s="302">
        <f>CO385*4</f>
        <v>0</v>
      </c>
      <c r="CP392" s="7">
        <f t="shared" si="915"/>
        <v>-18</v>
      </c>
      <c r="CQ392" s="242"/>
      <c r="CR392" s="304">
        <f>CR385*4</f>
        <v>0</v>
      </c>
      <c r="CS392" s="234">
        <f t="shared" si="916"/>
        <v>18</v>
      </c>
      <c r="CT392" s="123"/>
      <c r="CU392" s="8"/>
      <c r="CV392" s="34"/>
      <c r="CW392" s="713"/>
      <c r="CX392" s="123"/>
      <c r="CY392" s="8"/>
      <c r="CZ392" s="34"/>
      <c r="DA392" s="713"/>
      <c r="DB392" s="20"/>
      <c r="DC392" s="8"/>
      <c r="DD392" s="34"/>
      <c r="DE392" s="234"/>
      <c r="DF392" s="234"/>
      <c r="DG392" s="395">
        <f t="shared" si="917"/>
        <v>-18</v>
      </c>
      <c r="DH392" s="32">
        <f t="shared" si="918"/>
        <v>18</v>
      </c>
      <c r="DI392" s="302">
        <f>DI385*4</f>
        <v>0</v>
      </c>
      <c r="DJ392" s="7">
        <f t="shared" si="919"/>
        <v>-18</v>
      </c>
      <c r="DK392" s="242"/>
      <c r="DL392" s="304">
        <f>DL385*4</f>
        <v>0</v>
      </c>
      <c r="DM392" s="234">
        <f t="shared" si="920"/>
        <v>18</v>
      </c>
    </row>
    <row r="393" spans="1:117" x14ac:dyDescent="0.25">
      <c r="A393" s="17"/>
      <c r="B393" s="10" t="s">
        <v>303</v>
      </c>
      <c r="C393" s="17">
        <v>4</v>
      </c>
      <c r="D393" s="10" t="s">
        <v>314</v>
      </c>
      <c r="E393" s="10"/>
      <c r="F393" s="337"/>
      <c r="G393" s="109"/>
      <c r="H393" s="24"/>
      <c r="I393" s="24"/>
      <c r="J393" s="530">
        <f t="shared" si="901"/>
        <v>-17</v>
      </c>
      <c r="K393" s="395">
        <f t="shared" si="902"/>
        <v>-17</v>
      </c>
      <c r="L393" s="32">
        <v>17</v>
      </c>
      <c r="M393" s="302">
        <f>M385*4</f>
        <v>0</v>
      </c>
      <c r="N393" s="7">
        <f t="shared" si="903"/>
        <v>-17</v>
      </c>
      <c r="O393" s="258"/>
      <c r="P393" s="304">
        <f>P385*4</f>
        <v>0</v>
      </c>
      <c r="Q393" s="234">
        <f t="shared" si="889"/>
        <v>17</v>
      </c>
      <c r="R393" s="123"/>
      <c r="S393" s="8"/>
      <c r="T393" s="34"/>
      <c r="U393" s="713"/>
      <c r="V393" s="123"/>
      <c r="W393" s="8"/>
      <c r="X393" s="34"/>
      <c r="Y393" s="713"/>
      <c r="Z393" s="20"/>
      <c r="AA393" s="8"/>
      <c r="AB393" s="34"/>
      <c r="AC393" s="234"/>
      <c r="AD393" s="234"/>
      <c r="AE393" s="398">
        <f t="shared" si="904"/>
        <v>-17</v>
      </c>
      <c r="AF393" s="32">
        <f t="shared" si="905"/>
        <v>17</v>
      </c>
      <c r="AG393" s="302">
        <f>AG385*4</f>
        <v>0</v>
      </c>
      <c r="AH393" s="7">
        <f t="shared" si="906"/>
        <v>-17</v>
      </c>
      <c r="AI393" s="258"/>
      <c r="AJ393" s="304">
        <f>AJ385*4</f>
        <v>0</v>
      </c>
      <c r="AK393" s="234">
        <f t="shared" si="907"/>
        <v>17</v>
      </c>
      <c r="AL393" s="123"/>
      <c r="AM393" s="8"/>
      <c r="AN393" s="34"/>
      <c r="AO393" s="713"/>
      <c r="AP393" s="123"/>
      <c r="AQ393" s="8"/>
      <c r="AR393" s="34"/>
      <c r="AS393" s="713"/>
      <c r="AT393" s="20"/>
      <c r="AU393" s="8"/>
      <c r="AV393" s="34"/>
      <c r="AW393" s="234"/>
      <c r="AX393" s="234"/>
      <c r="AY393" s="395">
        <f t="shared" si="908"/>
        <v>-17</v>
      </c>
      <c r="AZ393" s="32">
        <f t="shared" si="921"/>
        <v>17</v>
      </c>
      <c r="BA393" s="302">
        <f>BA385*4</f>
        <v>0</v>
      </c>
      <c r="BB393" s="7">
        <f t="shared" si="909"/>
        <v>-17</v>
      </c>
      <c r="BC393" s="258"/>
      <c r="BD393" s="304">
        <f>BD385*4</f>
        <v>0</v>
      </c>
      <c r="BE393" s="234">
        <f t="shared" si="910"/>
        <v>17</v>
      </c>
      <c r="BF393" s="123"/>
      <c r="BG393" s="8"/>
      <c r="BH393" s="34"/>
      <c r="BI393" s="713"/>
      <c r="BJ393" s="123"/>
      <c r="BK393" s="8"/>
      <c r="BL393" s="34"/>
      <c r="BM393" s="713"/>
      <c r="BN393" s="20"/>
      <c r="BO393" s="8"/>
      <c r="BP393" s="34"/>
      <c r="BQ393" s="234"/>
      <c r="BR393" s="234"/>
      <c r="BS393" s="395">
        <f t="shared" si="911"/>
        <v>-17</v>
      </c>
      <c r="BT393" s="32">
        <f t="shared" si="922"/>
        <v>17</v>
      </c>
      <c r="BU393" s="302">
        <f>BU385*4</f>
        <v>0</v>
      </c>
      <c r="BV393" s="7">
        <f t="shared" si="912"/>
        <v>-17</v>
      </c>
      <c r="BW393" s="258"/>
      <c r="BX393" s="304">
        <f>BX385*4</f>
        <v>0</v>
      </c>
      <c r="BY393" s="234">
        <f t="shared" si="913"/>
        <v>17</v>
      </c>
      <c r="BZ393" s="123"/>
      <c r="CA393" s="8"/>
      <c r="CB393" s="34"/>
      <c r="CC393" s="713"/>
      <c r="CD393" s="123"/>
      <c r="CE393" s="8"/>
      <c r="CF393" s="34"/>
      <c r="CG393" s="713"/>
      <c r="CH393" s="20"/>
      <c r="CI393" s="8"/>
      <c r="CJ393" s="34"/>
      <c r="CK393" s="234"/>
      <c r="CL393" s="234"/>
      <c r="CM393" s="395">
        <f t="shared" si="914"/>
        <v>-17</v>
      </c>
      <c r="CN393" s="32">
        <f t="shared" si="923"/>
        <v>17</v>
      </c>
      <c r="CO393" s="302">
        <f>CO385*4</f>
        <v>0</v>
      </c>
      <c r="CP393" s="7">
        <f t="shared" si="915"/>
        <v>-17</v>
      </c>
      <c r="CQ393" s="242"/>
      <c r="CR393" s="304">
        <f>CR385*4</f>
        <v>0</v>
      </c>
      <c r="CS393" s="234">
        <f t="shared" si="916"/>
        <v>17</v>
      </c>
      <c r="CT393" s="123"/>
      <c r="CU393" s="8"/>
      <c r="CV393" s="34"/>
      <c r="CW393" s="713"/>
      <c r="CX393" s="123"/>
      <c r="CY393" s="8"/>
      <c r="CZ393" s="34"/>
      <c r="DA393" s="713"/>
      <c r="DB393" s="20"/>
      <c r="DC393" s="8"/>
      <c r="DD393" s="34"/>
      <c r="DE393" s="234"/>
      <c r="DF393" s="234"/>
      <c r="DG393" s="395">
        <f t="shared" si="917"/>
        <v>-17</v>
      </c>
      <c r="DH393" s="32">
        <f t="shared" si="918"/>
        <v>17</v>
      </c>
      <c r="DI393" s="302">
        <f>DI385*4</f>
        <v>0</v>
      </c>
      <c r="DJ393" s="7">
        <f t="shared" si="919"/>
        <v>-17</v>
      </c>
      <c r="DK393" s="242"/>
      <c r="DL393" s="304">
        <f>DL385*4</f>
        <v>0</v>
      </c>
      <c r="DM393" s="234">
        <f t="shared" si="920"/>
        <v>17</v>
      </c>
    </row>
    <row r="394" spans="1:117" x14ac:dyDescent="0.25">
      <c r="A394" s="17"/>
      <c r="B394" s="475" t="s">
        <v>304</v>
      </c>
      <c r="C394" s="17">
        <v>1</v>
      </c>
      <c r="D394" s="10" t="s">
        <v>314</v>
      </c>
      <c r="E394" s="10"/>
      <c r="F394" s="337"/>
      <c r="G394" s="109"/>
      <c r="H394" s="24"/>
      <c r="I394" s="24"/>
      <c r="J394" s="530">
        <f t="shared" si="901"/>
        <v>-1</v>
      </c>
      <c r="K394" s="395">
        <f t="shared" si="902"/>
        <v>-1</v>
      </c>
      <c r="L394" s="32">
        <v>1</v>
      </c>
      <c r="M394" s="302">
        <f>M385</f>
        <v>0</v>
      </c>
      <c r="N394" s="7">
        <f t="shared" si="903"/>
        <v>-1</v>
      </c>
      <c r="O394" s="258"/>
      <c r="P394" s="304">
        <f>P385</f>
        <v>0</v>
      </c>
      <c r="Q394" s="234">
        <f t="shared" si="889"/>
        <v>1</v>
      </c>
      <c r="R394" s="123"/>
      <c r="S394" s="8"/>
      <c r="T394" s="34"/>
      <c r="U394" s="713"/>
      <c r="V394" s="123"/>
      <c r="W394" s="8"/>
      <c r="X394" s="34"/>
      <c r="Y394" s="713"/>
      <c r="Z394" s="20"/>
      <c r="AA394" s="8"/>
      <c r="AB394" s="34"/>
      <c r="AC394" s="234"/>
      <c r="AD394" s="234"/>
      <c r="AE394" s="398">
        <f t="shared" si="904"/>
        <v>-1</v>
      </c>
      <c r="AF394" s="32">
        <f t="shared" si="905"/>
        <v>1</v>
      </c>
      <c r="AG394" s="302">
        <f>AG385</f>
        <v>0</v>
      </c>
      <c r="AH394" s="7">
        <f t="shared" si="906"/>
        <v>-1</v>
      </c>
      <c r="AI394" s="258"/>
      <c r="AJ394" s="304">
        <f>AJ385</f>
        <v>0</v>
      </c>
      <c r="AK394" s="234">
        <f t="shared" si="907"/>
        <v>1</v>
      </c>
      <c r="AL394" s="123"/>
      <c r="AM394" s="8"/>
      <c r="AN394" s="34"/>
      <c r="AO394" s="713"/>
      <c r="AP394" s="123"/>
      <c r="AQ394" s="8"/>
      <c r="AR394" s="34"/>
      <c r="AS394" s="713"/>
      <c r="AT394" s="20"/>
      <c r="AU394" s="8"/>
      <c r="AV394" s="34"/>
      <c r="AW394" s="234"/>
      <c r="AX394" s="234"/>
      <c r="AY394" s="395">
        <f t="shared" si="908"/>
        <v>-1</v>
      </c>
      <c r="AZ394" s="32">
        <f t="shared" si="921"/>
        <v>1</v>
      </c>
      <c r="BA394" s="302">
        <f>BA385</f>
        <v>0</v>
      </c>
      <c r="BB394" s="7">
        <f t="shared" si="909"/>
        <v>-1</v>
      </c>
      <c r="BC394" s="258"/>
      <c r="BD394" s="304">
        <f>BD385</f>
        <v>0</v>
      </c>
      <c r="BE394" s="234">
        <f t="shared" si="910"/>
        <v>1</v>
      </c>
      <c r="BF394" s="123"/>
      <c r="BG394" s="8"/>
      <c r="BH394" s="34"/>
      <c r="BI394" s="713"/>
      <c r="BJ394" s="123"/>
      <c r="BK394" s="8"/>
      <c r="BL394" s="34"/>
      <c r="BM394" s="713"/>
      <c r="BN394" s="20"/>
      <c r="BO394" s="8"/>
      <c r="BP394" s="34"/>
      <c r="BQ394" s="234"/>
      <c r="BR394" s="234"/>
      <c r="BS394" s="395">
        <f t="shared" si="911"/>
        <v>-1</v>
      </c>
      <c r="BT394" s="32">
        <f t="shared" si="922"/>
        <v>1</v>
      </c>
      <c r="BU394" s="302">
        <f>BU385</f>
        <v>0</v>
      </c>
      <c r="BV394" s="7">
        <f t="shared" si="912"/>
        <v>-1</v>
      </c>
      <c r="BW394" s="258"/>
      <c r="BX394" s="304">
        <f>BX385</f>
        <v>0</v>
      </c>
      <c r="BY394" s="234">
        <f t="shared" si="913"/>
        <v>1</v>
      </c>
      <c r="BZ394" s="123"/>
      <c r="CA394" s="8"/>
      <c r="CB394" s="34"/>
      <c r="CC394" s="713"/>
      <c r="CD394" s="123"/>
      <c r="CE394" s="8"/>
      <c r="CF394" s="34"/>
      <c r="CG394" s="713"/>
      <c r="CH394" s="20"/>
      <c r="CI394" s="8"/>
      <c r="CJ394" s="34"/>
      <c r="CK394" s="234"/>
      <c r="CL394" s="234"/>
      <c r="CM394" s="395">
        <f t="shared" si="914"/>
        <v>-1</v>
      </c>
      <c r="CN394" s="32">
        <f t="shared" si="923"/>
        <v>1</v>
      </c>
      <c r="CO394" s="302">
        <f>CO385</f>
        <v>0</v>
      </c>
      <c r="CP394" s="7">
        <f t="shared" si="915"/>
        <v>-1</v>
      </c>
      <c r="CQ394" s="242"/>
      <c r="CR394" s="304">
        <f>CR385</f>
        <v>0</v>
      </c>
      <c r="CS394" s="234">
        <f t="shared" si="916"/>
        <v>1</v>
      </c>
      <c r="CT394" s="123"/>
      <c r="CU394" s="8"/>
      <c r="CV394" s="34"/>
      <c r="CW394" s="713"/>
      <c r="CX394" s="123"/>
      <c r="CY394" s="8"/>
      <c r="CZ394" s="34"/>
      <c r="DA394" s="713"/>
      <c r="DB394" s="20"/>
      <c r="DC394" s="8"/>
      <c r="DD394" s="34"/>
      <c r="DE394" s="234"/>
      <c r="DF394" s="234"/>
      <c r="DG394" s="395">
        <f t="shared" si="917"/>
        <v>-1</v>
      </c>
      <c r="DH394" s="32">
        <f t="shared" si="918"/>
        <v>1</v>
      </c>
      <c r="DI394" s="302">
        <f>DI385</f>
        <v>0</v>
      </c>
      <c r="DJ394" s="7">
        <f t="shared" si="919"/>
        <v>-1</v>
      </c>
      <c r="DK394" s="242"/>
      <c r="DL394" s="304">
        <f>DL385</f>
        <v>0</v>
      </c>
      <c r="DM394" s="234">
        <f t="shared" si="920"/>
        <v>1</v>
      </c>
    </row>
    <row r="395" spans="1:117" x14ac:dyDescent="0.25">
      <c r="A395" s="17"/>
      <c r="B395" s="10" t="s">
        <v>305</v>
      </c>
      <c r="C395" s="17">
        <v>4</v>
      </c>
      <c r="D395" s="10" t="s">
        <v>314</v>
      </c>
      <c r="E395" s="10"/>
      <c r="F395" s="337"/>
      <c r="G395" s="109"/>
      <c r="H395" s="24"/>
      <c r="I395" s="24"/>
      <c r="J395" s="530">
        <f t="shared" si="901"/>
        <v>-12</v>
      </c>
      <c r="K395" s="395">
        <f t="shared" si="902"/>
        <v>-12</v>
      </c>
      <c r="L395" s="32">
        <v>12</v>
      </c>
      <c r="M395" s="302">
        <f>M385*4</f>
        <v>0</v>
      </c>
      <c r="N395" s="7">
        <f t="shared" si="903"/>
        <v>-12</v>
      </c>
      <c r="O395" s="258"/>
      <c r="P395" s="304">
        <f>P385*4</f>
        <v>0</v>
      </c>
      <c r="Q395" s="234">
        <f t="shared" si="889"/>
        <v>12</v>
      </c>
      <c r="R395" s="123"/>
      <c r="S395" s="8"/>
      <c r="T395" s="34"/>
      <c r="U395" s="713"/>
      <c r="V395" s="123"/>
      <c r="W395" s="8"/>
      <c r="X395" s="34"/>
      <c r="Y395" s="713"/>
      <c r="Z395" s="20"/>
      <c r="AA395" s="8"/>
      <c r="AB395" s="34"/>
      <c r="AC395" s="234"/>
      <c r="AD395" s="234"/>
      <c r="AE395" s="398">
        <f t="shared" si="904"/>
        <v>-12</v>
      </c>
      <c r="AF395" s="32">
        <f t="shared" si="905"/>
        <v>12</v>
      </c>
      <c r="AG395" s="302">
        <f>AG385*4</f>
        <v>0</v>
      </c>
      <c r="AH395" s="7">
        <f t="shared" si="906"/>
        <v>-12</v>
      </c>
      <c r="AI395" s="258"/>
      <c r="AJ395" s="304">
        <f>AJ385*4</f>
        <v>0</v>
      </c>
      <c r="AK395" s="234">
        <f t="shared" si="907"/>
        <v>12</v>
      </c>
      <c r="AL395" s="123"/>
      <c r="AM395" s="8"/>
      <c r="AN395" s="34"/>
      <c r="AO395" s="713"/>
      <c r="AP395" s="123"/>
      <c r="AQ395" s="8"/>
      <c r="AR395" s="34"/>
      <c r="AS395" s="713"/>
      <c r="AT395" s="20"/>
      <c r="AU395" s="8"/>
      <c r="AV395" s="34"/>
      <c r="AW395" s="234"/>
      <c r="AX395" s="234"/>
      <c r="AY395" s="395">
        <f t="shared" si="908"/>
        <v>-12</v>
      </c>
      <c r="AZ395" s="32">
        <f t="shared" si="921"/>
        <v>12</v>
      </c>
      <c r="BA395" s="302">
        <f>BA385*4</f>
        <v>0</v>
      </c>
      <c r="BB395" s="7">
        <f t="shared" si="909"/>
        <v>-12</v>
      </c>
      <c r="BC395" s="258"/>
      <c r="BD395" s="304">
        <f>BD385*4</f>
        <v>0</v>
      </c>
      <c r="BE395" s="234">
        <f t="shared" si="910"/>
        <v>12</v>
      </c>
      <c r="BF395" s="123"/>
      <c r="BG395" s="8"/>
      <c r="BH395" s="34"/>
      <c r="BI395" s="713"/>
      <c r="BJ395" s="123"/>
      <c r="BK395" s="8"/>
      <c r="BL395" s="34"/>
      <c r="BM395" s="713"/>
      <c r="BN395" s="20"/>
      <c r="BO395" s="8"/>
      <c r="BP395" s="34"/>
      <c r="BQ395" s="234"/>
      <c r="BR395" s="234"/>
      <c r="BS395" s="395">
        <f t="shared" si="911"/>
        <v>-12</v>
      </c>
      <c r="BT395" s="32">
        <f t="shared" si="922"/>
        <v>12</v>
      </c>
      <c r="BU395" s="302">
        <f>BU385*4</f>
        <v>0</v>
      </c>
      <c r="BV395" s="7">
        <f t="shared" si="912"/>
        <v>-12</v>
      </c>
      <c r="BW395" s="258"/>
      <c r="BX395" s="304">
        <f>BX385*4</f>
        <v>0</v>
      </c>
      <c r="BY395" s="234">
        <f t="shared" si="913"/>
        <v>12</v>
      </c>
      <c r="BZ395" s="123"/>
      <c r="CA395" s="8"/>
      <c r="CB395" s="34"/>
      <c r="CC395" s="713"/>
      <c r="CD395" s="123"/>
      <c r="CE395" s="8"/>
      <c r="CF395" s="34"/>
      <c r="CG395" s="713"/>
      <c r="CH395" s="20"/>
      <c r="CI395" s="8"/>
      <c r="CJ395" s="34"/>
      <c r="CK395" s="234"/>
      <c r="CL395" s="234"/>
      <c r="CM395" s="395">
        <f t="shared" si="914"/>
        <v>-12</v>
      </c>
      <c r="CN395" s="32">
        <f t="shared" si="923"/>
        <v>12</v>
      </c>
      <c r="CO395" s="302">
        <f>CO385*4</f>
        <v>0</v>
      </c>
      <c r="CP395" s="7">
        <f t="shared" si="915"/>
        <v>-12</v>
      </c>
      <c r="CQ395" s="242"/>
      <c r="CR395" s="304">
        <f>CR385*4</f>
        <v>0</v>
      </c>
      <c r="CS395" s="234">
        <f t="shared" si="916"/>
        <v>12</v>
      </c>
      <c r="CT395" s="123"/>
      <c r="CU395" s="8"/>
      <c r="CV395" s="34"/>
      <c r="CW395" s="713"/>
      <c r="CX395" s="123"/>
      <c r="CY395" s="8"/>
      <c r="CZ395" s="34"/>
      <c r="DA395" s="713"/>
      <c r="DB395" s="20"/>
      <c r="DC395" s="8"/>
      <c r="DD395" s="34"/>
      <c r="DE395" s="234"/>
      <c r="DF395" s="234"/>
      <c r="DG395" s="395">
        <f t="shared" si="917"/>
        <v>-12</v>
      </c>
      <c r="DH395" s="32">
        <f t="shared" si="918"/>
        <v>12</v>
      </c>
      <c r="DI395" s="302">
        <f>DI385*4</f>
        <v>0</v>
      </c>
      <c r="DJ395" s="7">
        <f t="shared" si="919"/>
        <v>-12</v>
      </c>
      <c r="DK395" s="242"/>
      <c r="DL395" s="304">
        <f>DL385*4</f>
        <v>0</v>
      </c>
      <c r="DM395" s="234">
        <f t="shared" si="920"/>
        <v>12</v>
      </c>
    </row>
    <row r="396" spans="1:117" x14ac:dyDescent="0.25">
      <c r="A396" s="17"/>
      <c r="B396" s="10" t="s">
        <v>306</v>
      </c>
      <c r="C396" s="17">
        <v>1</v>
      </c>
      <c r="D396" s="10" t="s">
        <v>314</v>
      </c>
      <c r="E396" s="10"/>
      <c r="F396" s="337"/>
      <c r="G396" s="109"/>
      <c r="H396" s="24"/>
      <c r="I396" s="24"/>
      <c r="J396" s="530">
        <f t="shared" si="901"/>
        <v>-1</v>
      </c>
      <c r="K396" s="395">
        <f t="shared" si="902"/>
        <v>-1</v>
      </c>
      <c r="L396" s="32">
        <v>1</v>
      </c>
      <c r="M396" s="302">
        <f>M385</f>
        <v>0</v>
      </c>
      <c r="N396" s="7">
        <f t="shared" si="903"/>
        <v>-1</v>
      </c>
      <c r="O396" s="258"/>
      <c r="P396" s="304">
        <f>P385</f>
        <v>0</v>
      </c>
      <c r="Q396" s="234">
        <f t="shared" si="889"/>
        <v>1</v>
      </c>
      <c r="R396" s="123"/>
      <c r="S396" s="8"/>
      <c r="T396" s="34"/>
      <c r="U396" s="713"/>
      <c r="V396" s="123"/>
      <c r="W396" s="8"/>
      <c r="X396" s="34"/>
      <c r="Y396" s="713"/>
      <c r="Z396" s="20"/>
      <c r="AA396" s="8"/>
      <c r="AB396" s="34"/>
      <c r="AC396" s="234"/>
      <c r="AD396" s="234"/>
      <c r="AE396" s="398">
        <f t="shared" si="904"/>
        <v>-1</v>
      </c>
      <c r="AF396" s="32">
        <f t="shared" si="905"/>
        <v>1</v>
      </c>
      <c r="AG396" s="302">
        <f>AG385</f>
        <v>0</v>
      </c>
      <c r="AH396" s="7">
        <f t="shared" si="906"/>
        <v>-1</v>
      </c>
      <c r="AI396" s="258"/>
      <c r="AJ396" s="304">
        <f>AJ385</f>
        <v>0</v>
      </c>
      <c r="AK396" s="234">
        <f t="shared" si="907"/>
        <v>1</v>
      </c>
      <c r="AL396" s="123"/>
      <c r="AM396" s="8"/>
      <c r="AN396" s="34"/>
      <c r="AO396" s="713"/>
      <c r="AP396" s="123"/>
      <c r="AQ396" s="8"/>
      <c r="AR396" s="34"/>
      <c r="AS396" s="713"/>
      <c r="AT396" s="20"/>
      <c r="AU396" s="8"/>
      <c r="AV396" s="34"/>
      <c r="AW396" s="234"/>
      <c r="AX396" s="234"/>
      <c r="AY396" s="395">
        <f t="shared" si="908"/>
        <v>-1</v>
      </c>
      <c r="AZ396" s="32">
        <f t="shared" si="921"/>
        <v>1</v>
      </c>
      <c r="BA396" s="302">
        <f>BA385</f>
        <v>0</v>
      </c>
      <c r="BB396" s="7">
        <f t="shared" si="909"/>
        <v>-1</v>
      </c>
      <c r="BC396" s="258"/>
      <c r="BD396" s="304">
        <f>BD385</f>
        <v>0</v>
      </c>
      <c r="BE396" s="234">
        <f t="shared" si="910"/>
        <v>1</v>
      </c>
      <c r="BF396" s="123"/>
      <c r="BG396" s="8"/>
      <c r="BH396" s="34"/>
      <c r="BI396" s="713"/>
      <c r="BJ396" s="123"/>
      <c r="BK396" s="8"/>
      <c r="BL396" s="34"/>
      <c r="BM396" s="713"/>
      <c r="BN396" s="20"/>
      <c r="BO396" s="8"/>
      <c r="BP396" s="34"/>
      <c r="BQ396" s="234"/>
      <c r="BR396" s="234"/>
      <c r="BS396" s="395">
        <f t="shared" si="911"/>
        <v>-1</v>
      </c>
      <c r="BT396" s="32">
        <f t="shared" si="922"/>
        <v>1</v>
      </c>
      <c r="BU396" s="302">
        <f>BU385</f>
        <v>0</v>
      </c>
      <c r="BV396" s="7">
        <f t="shared" si="912"/>
        <v>-1</v>
      </c>
      <c r="BW396" s="258"/>
      <c r="BX396" s="304">
        <f>BX385</f>
        <v>0</v>
      </c>
      <c r="BY396" s="234">
        <f t="shared" si="913"/>
        <v>1</v>
      </c>
      <c r="BZ396" s="123"/>
      <c r="CA396" s="8"/>
      <c r="CB396" s="34"/>
      <c r="CC396" s="713"/>
      <c r="CD396" s="123"/>
      <c r="CE396" s="8"/>
      <c r="CF396" s="34"/>
      <c r="CG396" s="713"/>
      <c r="CH396" s="20"/>
      <c r="CI396" s="8"/>
      <c r="CJ396" s="34"/>
      <c r="CK396" s="234"/>
      <c r="CL396" s="234"/>
      <c r="CM396" s="395">
        <f t="shared" si="914"/>
        <v>-1</v>
      </c>
      <c r="CN396" s="32">
        <f t="shared" si="923"/>
        <v>1</v>
      </c>
      <c r="CO396" s="302">
        <f>CO385</f>
        <v>0</v>
      </c>
      <c r="CP396" s="7">
        <f t="shared" si="915"/>
        <v>-1</v>
      </c>
      <c r="CQ396" s="242"/>
      <c r="CR396" s="304">
        <f>CR385</f>
        <v>0</v>
      </c>
      <c r="CS396" s="234">
        <f t="shared" si="916"/>
        <v>1</v>
      </c>
      <c r="CT396" s="123"/>
      <c r="CU396" s="8"/>
      <c r="CV396" s="34"/>
      <c r="CW396" s="713"/>
      <c r="CX396" s="123"/>
      <c r="CY396" s="8"/>
      <c r="CZ396" s="34"/>
      <c r="DA396" s="713"/>
      <c r="DB396" s="20"/>
      <c r="DC396" s="8"/>
      <c r="DD396" s="34"/>
      <c r="DE396" s="234"/>
      <c r="DF396" s="234"/>
      <c r="DG396" s="395">
        <f t="shared" si="917"/>
        <v>-1</v>
      </c>
      <c r="DH396" s="32">
        <f t="shared" si="918"/>
        <v>1</v>
      </c>
      <c r="DI396" s="302">
        <f>DI385</f>
        <v>0</v>
      </c>
      <c r="DJ396" s="7">
        <f t="shared" si="919"/>
        <v>-1</v>
      </c>
      <c r="DK396" s="242"/>
      <c r="DL396" s="304">
        <f>DL385</f>
        <v>0</v>
      </c>
      <c r="DM396" s="234">
        <f t="shared" si="920"/>
        <v>1</v>
      </c>
    </row>
    <row r="397" spans="1:117" x14ac:dyDescent="0.25">
      <c r="A397" s="17"/>
      <c r="B397" s="10" t="s">
        <v>307</v>
      </c>
      <c r="C397" s="17">
        <v>1</v>
      </c>
      <c r="D397" s="10" t="s">
        <v>314</v>
      </c>
      <c r="E397" s="10"/>
      <c r="F397" s="337"/>
      <c r="G397" s="109"/>
      <c r="H397" s="24"/>
      <c r="I397" s="24"/>
      <c r="J397" s="530">
        <f t="shared" si="901"/>
        <v>-3</v>
      </c>
      <c r="K397" s="395">
        <f t="shared" si="902"/>
        <v>-3</v>
      </c>
      <c r="L397" s="32">
        <v>3</v>
      </c>
      <c r="M397" s="302">
        <f>M385</f>
        <v>0</v>
      </c>
      <c r="N397" s="7">
        <f t="shared" si="903"/>
        <v>-3</v>
      </c>
      <c r="O397" s="258"/>
      <c r="P397" s="304">
        <f>P385</f>
        <v>0</v>
      </c>
      <c r="Q397" s="234">
        <f t="shared" si="889"/>
        <v>3</v>
      </c>
      <c r="R397" s="123"/>
      <c r="S397" s="8"/>
      <c r="T397" s="34"/>
      <c r="U397" s="713"/>
      <c r="V397" s="123"/>
      <c r="W397" s="8"/>
      <c r="X397" s="34"/>
      <c r="Y397" s="713"/>
      <c r="Z397" s="20"/>
      <c r="AA397" s="8"/>
      <c r="AB397" s="34"/>
      <c r="AC397" s="234"/>
      <c r="AD397" s="234"/>
      <c r="AE397" s="398">
        <f t="shared" si="904"/>
        <v>-3</v>
      </c>
      <c r="AF397" s="32">
        <f t="shared" si="905"/>
        <v>3</v>
      </c>
      <c r="AG397" s="302">
        <f>AG385</f>
        <v>0</v>
      </c>
      <c r="AH397" s="7">
        <f t="shared" si="906"/>
        <v>-3</v>
      </c>
      <c r="AI397" s="258"/>
      <c r="AJ397" s="304">
        <f>AJ385</f>
        <v>0</v>
      </c>
      <c r="AK397" s="234">
        <f t="shared" si="907"/>
        <v>3</v>
      </c>
      <c r="AL397" s="123"/>
      <c r="AM397" s="8"/>
      <c r="AN397" s="34"/>
      <c r="AO397" s="713"/>
      <c r="AP397" s="123"/>
      <c r="AQ397" s="8"/>
      <c r="AR397" s="34"/>
      <c r="AS397" s="713"/>
      <c r="AT397" s="20"/>
      <c r="AU397" s="8"/>
      <c r="AV397" s="34"/>
      <c r="AW397" s="234"/>
      <c r="AX397" s="234"/>
      <c r="AY397" s="395">
        <f t="shared" si="908"/>
        <v>-3</v>
      </c>
      <c r="AZ397" s="32">
        <f t="shared" si="921"/>
        <v>3</v>
      </c>
      <c r="BA397" s="302">
        <f>BA385</f>
        <v>0</v>
      </c>
      <c r="BB397" s="7">
        <f t="shared" si="909"/>
        <v>-3</v>
      </c>
      <c r="BC397" s="258"/>
      <c r="BD397" s="304">
        <f>BD385</f>
        <v>0</v>
      </c>
      <c r="BE397" s="234">
        <f t="shared" si="910"/>
        <v>3</v>
      </c>
      <c r="BF397" s="123"/>
      <c r="BG397" s="8"/>
      <c r="BH397" s="34"/>
      <c r="BI397" s="713"/>
      <c r="BJ397" s="123"/>
      <c r="BK397" s="8"/>
      <c r="BL397" s="34"/>
      <c r="BM397" s="713"/>
      <c r="BN397" s="20"/>
      <c r="BO397" s="8"/>
      <c r="BP397" s="34"/>
      <c r="BQ397" s="234"/>
      <c r="BR397" s="234"/>
      <c r="BS397" s="395">
        <f t="shared" si="911"/>
        <v>-3</v>
      </c>
      <c r="BT397" s="32">
        <f t="shared" si="922"/>
        <v>3</v>
      </c>
      <c r="BU397" s="302">
        <f>BU385</f>
        <v>0</v>
      </c>
      <c r="BV397" s="7">
        <f t="shared" si="912"/>
        <v>-3</v>
      </c>
      <c r="BW397" s="258"/>
      <c r="BX397" s="304">
        <f>BX385</f>
        <v>0</v>
      </c>
      <c r="BY397" s="234">
        <f t="shared" si="913"/>
        <v>3</v>
      </c>
      <c r="BZ397" s="123"/>
      <c r="CA397" s="8"/>
      <c r="CB397" s="34"/>
      <c r="CC397" s="713"/>
      <c r="CD397" s="123"/>
      <c r="CE397" s="8"/>
      <c r="CF397" s="34"/>
      <c r="CG397" s="713"/>
      <c r="CH397" s="20"/>
      <c r="CI397" s="8"/>
      <c r="CJ397" s="34"/>
      <c r="CK397" s="234"/>
      <c r="CL397" s="234"/>
      <c r="CM397" s="395">
        <f t="shared" si="914"/>
        <v>-3</v>
      </c>
      <c r="CN397" s="32">
        <f t="shared" si="923"/>
        <v>3</v>
      </c>
      <c r="CO397" s="302">
        <f>CO385</f>
        <v>0</v>
      </c>
      <c r="CP397" s="7">
        <f t="shared" si="915"/>
        <v>-3</v>
      </c>
      <c r="CQ397" s="242"/>
      <c r="CR397" s="304">
        <f>CR385</f>
        <v>0</v>
      </c>
      <c r="CS397" s="234">
        <f t="shared" si="916"/>
        <v>3</v>
      </c>
      <c r="CT397" s="123"/>
      <c r="CU397" s="8"/>
      <c r="CV397" s="34"/>
      <c r="CW397" s="713"/>
      <c r="CX397" s="123"/>
      <c r="CY397" s="8"/>
      <c r="CZ397" s="34"/>
      <c r="DA397" s="713"/>
      <c r="DB397" s="20"/>
      <c r="DC397" s="8"/>
      <c r="DD397" s="34"/>
      <c r="DE397" s="234"/>
      <c r="DF397" s="234"/>
      <c r="DG397" s="395">
        <f t="shared" si="917"/>
        <v>-3</v>
      </c>
      <c r="DH397" s="32">
        <f t="shared" si="918"/>
        <v>3</v>
      </c>
      <c r="DI397" s="302">
        <f>DI385</f>
        <v>0</v>
      </c>
      <c r="DJ397" s="7">
        <f t="shared" si="919"/>
        <v>-3</v>
      </c>
      <c r="DK397" s="242"/>
      <c r="DL397" s="304">
        <f>DL385</f>
        <v>0</v>
      </c>
      <c r="DM397" s="234">
        <f t="shared" si="920"/>
        <v>3</v>
      </c>
    </row>
    <row r="398" spans="1:117" ht="30" x14ac:dyDescent="0.25">
      <c r="A398" s="17"/>
      <c r="B398" s="10" t="s">
        <v>308</v>
      </c>
      <c r="C398" s="17">
        <v>1</v>
      </c>
      <c r="D398" s="371" t="s">
        <v>315</v>
      </c>
      <c r="E398" s="371"/>
      <c r="F398" s="337">
        <v>3900</v>
      </c>
      <c r="G398" s="109"/>
      <c r="H398" s="24"/>
      <c r="I398" s="24"/>
      <c r="J398" s="530">
        <f t="shared" si="901"/>
        <v>-1</v>
      </c>
      <c r="K398" s="395">
        <f t="shared" si="902"/>
        <v>-1</v>
      </c>
      <c r="L398" s="548">
        <v>3</v>
      </c>
      <c r="M398" s="302">
        <f>SUM(M432,M385)</f>
        <v>2</v>
      </c>
      <c r="N398" s="7">
        <f t="shared" si="903"/>
        <v>-1</v>
      </c>
      <c r="O398" s="258"/>
      <c r="P398" s="304">
        <f>SUM(P432,P385)</f>
        <v>2</v>
      </c>
      <c r="Q398" s="234">
        <f t="shared" si="889"/>
        <v>1</v>
      </c>
      <c r="R398" s="123"/>
      <c r="S398" s="8"/>
      <c r="T398" s="34"/>
      <c r="U398" s="713"/>
      <c r="V398" s="123"/>
      <c r="W398" s="8"/>
      <c r="X398" s="34"/>
      <c r="Y398" s="713"/>
      <c r="Z398" s="20"/>
      <c r="AA398" s="8"/>
      <c r="AB398" s="34"/>
      <c r="AC398" s="234"/>
      <c r="AD398" s="234"/>
      <c r="AE398" s="398">
        <f t="shared" si="904"/>
        <v>-1</v>
      </c>
      <c r="AF398" s="32">
        <f t="shared" si="905"/>
        <v>1</v>
      </c>
      <c r="AG398" s="302">
        <f>SUM(AG432,AG385)</f>
        <v>0</v>
      </c>
      <c r="AH398" s="7">
        <f t="shared" si="906"/>
        <v>-1</v>
      </c>
      <c r="AI398" s="242"/>
      <c r="AJ398" s="304">
        <f>SUM(AJ432,AJ385)</f>
        <v>0</v>
      </c>
      <c r="AK398" s="234">
        <f t="shared" si="907"/>
        <v>1</v>
      </c>
      <c r="AL398" s="123"/>
      <c r="AM398" s="8"/>
      <c r="AN398" s="34"/>
      <c r="AO398" s="713"/>
      <c r="AP398" s="123"/>
      <c r="AQ398" s="8"/>
      <c r="AR398" s="34"/>
      <c r="AS398" s="713"/>
      <c r="AT398" s="20"/>
      <c r="AU398" s="8"/>
      <c r="AV398" s="34"/>
      <c r="AW398" s="234"/>
      <c r="AX398" s="234"/>
      <c r="AY398" s="395">
        <f t="shared" si="908"/>
        <v>-1</v>
      </c>
      <c r="AZ398" s="32">
        <f t="shared" si="921"/>
        <v>1</v>
      </c>
      <c r="BA398" s="302">
        <f>SUM(BA432,BA385)</f>
        <v>0</v>
      </c>
      <c r="BB398" s="7">
        <f t="shared" si="909"/>
        <v>-1</v>
      </c>
      <c r="BC398" s="258"/>
      <c r="BD398" s="304">
        <f>SUM(BD432,BD385)</f>
        <v>0</v>
      </c>
      <c r="BE398" s="234">
        <f t="shared" si="910"/>
        <v>1</v>
      </c>
      <c r="BF398" s="123"/>
      <c r="BG398" s="8"/>
      <c r="BH398" s="34"/>
      <c r="BI398" s="713"/>
      <c r="BJ398" s="123"/>
      <c r="BK398" s="8"/>
      <c r="BL398" s="34"/>
      <c r="BM398" s="713"/>
      <c r="BN398" s="20"/>
      <c r="BO398" s="8"/>
      <c r="BP398" s="34"/>
      <c r="BQ398" s="234"/>
      <c r="BR398" s="234"/>
      <c r="BS398" s="395">
        <f t="shared" si="911"/>
        <v>-1</v>
      </c>
      <c r="BT398" s="32">
        <f t="shared" si="922"/>
        <v>1</v>
      </c>
      <c r="BU398" s="302">
        <f>SUM(BU432,BU385)</f>
        <v>0</v>
      </c>
      <c r="BV398" s="7">
        <f t="shared" si="912"/>
        <v>-1</v>
      </c>
      <c r="BW398" s="258"/>
      <c r="BX398" s="304">
        <f>SUM(BX432,BX385)</f>
        <v>0</v>
      </c>
      <c r="BY398" s="234">
        <f t="shared" si="913"/>
        <v>1</v>
      </c>
      <c r="BZ398" s="123"/>
      <c r="CA398" s="8"/>
      <c r="CB398" s="34"/>
      <c r="CC398" s="713"/>
      <c r="CD398" s="123"/>
      <c r="CE398" s="8"/>
      <c r="CF398" s="34"/>
      <c r="CG398" s="713"/>
      <c r="CH398" s="20"/>
      <c r="CI398" s="8"/>
      <c r="CJ398" s="34"/>
      <c r="CK398" s="234"/>
      <c r="CL398" s="234"/>
      <c r="CM398" s="395">
        <f t="shared" si="914"/>
        <v>-1</v>
      </c>
      <c r="CN398" s="32">
        <f t="shared" si="923"/>
        <v>1</v>
      </c>
      <c r="CO398" s="302">
        <f>SUM(CO432,CO385)</f>
        <v>0</v>
      </c>
      <c r="CP398" s="7">
        <f t="shared" si="915"/>
        <v>-1</v>
      </c>
      <c r="CQ398" s="242"/>
      <c r="CR398" s="304">
        <f>SUM(CR432,CR385)</f>
        <v>0</v>
      </c>
      <c r="CS398" s="234">
        <f t="shared" si="916"/>
        <v>1</v>
      </c>
      <c r="CT398" s="123"/>
      <c r="CU398" s="8"/>
      <c r="CV398" s="34"/>
      <c r="CW398" s="713"/>
      <c r="CX398" s="123"/>
      <c r="CY398" s="8"/>
      <c r="CZ398" s="34"/>
      <c r="DA398" s="713"/>
      <c r="DB398" s="20"/>
      <c r="DC398" s="8"/>
      <c r="DD398" s="34"/>
      <c r="DE398" s="234"/>
      <c r="DF398" s="234"/>
      <c r="DG398" s="395">
        <f t="shared" si="917"/>
        <v>-1</v>
      </c>
      <c r="DH398" s="32">
        <f t="shared" si="918"/>
        <v>1</v>
      </c>
      <c r="DI398" s="302">
        <f>SUM(DI432,DI385)</f>
        <v>0</v>
      </c>
      <c r="DJ398" s="7">
        <f t="shared" si="919"/>
        <v>-1</v>
      </c>
      <c r="DK398" s="242"/>
      <c r="DL398" s="304">
        <f>SUM(DL432,DL385)</f>
        <v>0</v>
      </c>
      <c r="DM398" s="234">
        <f t="shared" si="920"/>
        <v>1</v>
      </c>
    </row>
    <row r="399" spans="1:117" x14ac:dyDescent="0.25">
      <c r="A399" s="17"/>
      <c r="B399" s="10" t="s">
        <v>309</v>
      </c>
      <c r="C399" s="17">
        <v>2</v>
      </c>
      <c r="D399" s="10" t="s">
        <v>314</v>
      </c>
      <c r="E399" s="10"/>
      <c r="F399" s="337"/>
      <c r="G399" s="109"/>
      <c r="H399" s="24"/>
      <c r="I399" s="24"/>
      <c r="J399" s="530">
        <f t="shared" si="901"/>
        <v>-3</v>
      </c>
      <c r="K399" s="395">
        <f t="shared" si="902"/>
        <v>-3</v>
      </c>
      <c r="L399" s="542">
        <v>3</v>
      </c>
      <c r="M399" s="302">
        <f>M385*2</f>
        <v>0</v>
      </c>
      <c r="N399" s="7">
        <f t="shared" si="903"/>
        <v>-3</v>
      </c>
      <c r="O399" s="258"/>
      <c r="P399" s="304">
        <f>P385*2</f>
        <v>0</v>
      </c>
      <c r="Q399" s="234">
        <f t="shared" si="889"/>
        <v>3</v>
      </c>
      <c r="R399" s="123"/>
      <c r="S399" s="8"/>
      <c r="T399" s="34"/>
      <c r="U399" s="713"/>
      <c r="V399" s="123"/>
      <c r="W399" s="8"/>
      <c r="X399" s="34"/>
      <c r="Y399" s="713"/>
      <c r="Z399" s="20"/>
      <c r="AA399" s="8"/>
      <c r="AB399" s="34"/>
      <c r="AC399" s="234"/>
      <c r="AD399" s="234"/>
      <c r="AE399" s="398">
        <f t="shared" si="904"/>
        <v>-3</v>
      </c>
      <c r="AF399" s="32">
        <f t="shared" si="905"/>
        <v>3</v>
      </c>
      <c r="AG399" s="302">
        <f>AG385*2</f>
        <v>0</v>
      </c>
      <c r="AH399" s="7">
        <f t="shared" si="906"/>
        <v>-3</v>
      </c>
      <c r="AI399" s="258"/>
      <c r="AJ399" s="304">
        <f>AJ385*2</f>
        <v>0</v>
      </c>
      <c r="AK399" s="234">
        <f t="shared" si="907"/>
        <v>3</v>
      </c>
      <c r="AL399" s="123"/>
      <c r="AM399" s="8"/>
      <c r="AN399" s="34"/>
      <c r="AO399" s="713"/>
      <c r="AP399" s="123"/>
      <c r="AQ399" s="8"/>
      <c r="AR399" s="34"/>
      <c r="AS399" s="713"/>
      <c r="AT399" s="20"/>
      <c r="AU399" s="8"/>
      <c r="AV399" s="34"/>
      <c r="AW399" s="234"/>
      <c r="AX399" s="234"/>
      <c r="AY399" s="395">
        <f t="shared" si="908"/>
        <v>-3</v>
      </c>
      <c r="AZ399" s="32">
        <f t="shared" si="921"/>
        <v>3</v>
      </c>
      <c r="BA399" s="302">
        <f>BA385*2</f>
        <v>0</v>
      </c>
      <c r="BB399" s="7">
        <f t="shared" si="909"/>
        <v>-3</v>
      </c>
      <c r="BC399" s="258"/>
      <c r="BD399" s="304">
        <f>BD385*2</f>
        <v>0</v>
      </c>
      <c r="BE399" s="234">
        <f t="shared" si="910"/>
        <v>3</v>
      </c>
      <c r="BF399" s="123"/>
      <c r="BG399" s="8"/>
      <c r="BH399" s="34"/>
      <c r="BI399" s="713"/>
      <c r="BJ399" s="123"/>
      <c r="BK399" s="8"/>
      <c r="BL399" s="34"/>
      <c r="BM399" s="713"/>
      <c r="BN399" s="20"/>
      <c r="BO399" s="8"/>
      <c r="BP399" s="34"/>
      <c r="BQ399" s="234"/>
      <c r="BR399" s="234"/>
      <c r="BS399" s="395">
        <f t="shared" si="911"/>
        <v>-3</v>
      </c>
      <c r="BT399" s="32">
        <f t="shared" si="922"/>
        <v>3</v>
      </c>
      <c r="BU399" s="302">
        <f>BU385*2</f>
        <v>0</v>
      </c>
      <c r="BV399" s="7">
        <f t="shared" si="912"/>
        <v>-3</v>
      </c>
      <c r="BW399" s="258"/>
      <c r="BX399" s="304">
        <f>BX385*2</f>
        <v>0</v>
      </c>
      <c r="BY399" s="234">
        <f t="shared" si="913"/>
        <v>3</v>
      </c>
      <c r="BZ399" s="123"/>
      <c r="CA399" s="8"/>
      <c r="CB399" s="34"/>
      <c r="CC399" s="713"/>
      <c r="CD399" s="123"/>
      <c r="CE399" s="8"/>
      <c r="CF399" s="34"/>
      <c r="CG399" s="713"/>
      <c r="CH399" s="20"/>
      <c r="CI399" s="8"/>
      <c r="CJ399" s="34"/>
      <c r="CK399" s="234"/>
      <c r="CL399" s="234"/>
      <c r="CM399" s="395">
        <f t="shared" si="914"/>
        <v>-3</v>
      </c>
      <c r="CN399" s="32">
        <f t="shared" si="923"/>
        <v>3</v>
      </c>
      <c r="CO399" s="302">
        <f>CO385*2</f>
        <v>0</v>
      </c>
      <c r="CP399" s="7">
        <f t="shared" si="915"/>
        <v>-3</v>
      </c>
      <c r="CQ399" s="242"/>
      <c r="CR399" s="304">
        <f>CR385*2</f>
        <v>0</v>
      </c>
      <c r="CS399" s="234">
        <f t="shared" si="916"/>
        <v>3</v>
      </c>
      <c r="CT399" s="123"/>
      <c r="CU399" s="8"/>
      <c r="CV399" s="34"/>
      <c r="CW399" s="713"/>
      <c r="CX399" s="123"/>
      <c r="CY399" s="8"/>
      <c r="CZ399" s="34"/>
      <c r="DA399" s="713"/>
      <c r="DB399" s="20"/>
      <c r="DC399" s="8"/>
      <c r="DD399" s="34"/>
      <c r="DE399" s="234"/>
      <c r="DF399" s="234"/>
      <c r="DG399" s="395">
        <f t="shared" si="917"/>
        <v>-3</v>
      </c>
      <c r="DH399" s="32">
        <f t="shared" si="918"/>
        <v>3</v>
      </c>
      <c r="DI399" s="302">
        <f>DI385*2</f>
        <v>0</v>
      </c>
      <c r="DJ399" s="7">
        <f t="shared" si="919"/>
        <v>-3</v>
      </c>
      <c r="DK399" s="242"/>
      <c r="DL399" s="304">
        <f>DL385*2</f>
        <v>0</v>
      </c>
      <c r="DM399" s="234">
        <f t="shared" si="920"/>
        <v>3</v>
      </c>
    </row>
    <row r="400" spans="1:117" ht="30" x14ac:dyDescent="0.25">
      <c r="A400" s="17"/>
      <c r="B400" s="10" t="s">
        <v>310</v>
      </c>
      <c r="C400" s="17">
        <v>1</v>
      </c>
      <c r="D400" s="371" t="s">
        <v>315</v>
      </c>
      <c r="E400" s="371"/>
      <c r="F400" s="337">
        <v>500</v>
      </c>
      <c r="G400" s="109"/>
      <c r="H400" s="24"/>
      <c r="I400" s="24"/>
      <c r="J400" s="530">
        <f t="shared" si="901"/>
        <v>-1</v>
      </c>
      <c r="K400" s="395">
        <f t="shared" si="902"/>
        <v>-1</v>
      </c>
      <c r="L400" s="548">
        <v>3</v>
      </c>
      <c r="M400" s="302">
        <f>SUM(M432,M385)</f>
        <v>2</v>
      </c>
      <c r="N400" s="7">
        <f t="shared" si="903"/>
        <v>-1</v>
      </c>
      <c r="O400" s="258"/>
      <c r="P400" s="304">
        <f>SUM(P432,P385)</f>
        <v>2</v>
      </c>
      <c r="Q400" s="234">
        <f t="shared" si="889"/>
        <v>1</v>
      </c>
      <c r="R400" s="123"/>
      <c r="S400" s="8"/>
      <c r="T400" s="34"/>
      <c r="U400" s="713"/>
      <c r="V400" s="123"/>
      <c r="W400" s="8"/>
      <c r="X400" s="34"/>
      <c r="Y400" s="713"/>
      <c r="Z400" s="20"/>
      <c r="AA400" s="8"/>
      <c r="AB400" s="34"/>
      <c r="AC400" s="234"/>
      <c r="AD400" s="234"/>
      <c r="AE400" s="398">
        <f t="shared" si="904"/>
        <v>-1</v>
      </c>
      <c r="AF400" s="32">
        <f t="shared" si="905"/>
        <v>1</v>
      </c>
      <c r="AG400" s="302">
        <f>SUM(AG432,AG385)</f>
        <v>0</v>
      </c>
      <c r="AH400" s="7">
        <f t="shared" si="906"/>
        <v>-1</v>
      </c>
      <c r="AI400" s="242"/>
      <c r="AJ400" s="304">
        <f>SUM(AJ432,AJ385)</f>
        <v>0</v>
      </c>
      <c r="AK400" s="234">
        <f t="shared" si="907"/>
        <v>1</v>
      </c>
      <c r="AL400" s="123"/>
      <c r="AM400" s="8"/>
      <c r="AN400" s="34"/>
      <c r="AO400" s="713"/>
      <c r="AP400" s="123"/>
      <c r="AQ400" s="8"/>
      <c r="AR400" s="34"/>
      <c r="AS400" s="713"/>
      <c r="AT400" s="20"/>
      <c r="AU400" s="8"/>
      <c r="AV400" s="34"/>
      <c r="AW400" s="234"/>
      <c r="AX400" s="234"/>
      <c r="AY400" s="395">
        <f t="shared" si="908"/>
        <v>-1</v>
      </c>
      <c r="AZ400" s="32">
        <f t="shared" si="921"/>
        <v>1</v>
      </c>
      <c r="BA400" s="302">
        <f>SUM(BA432,BA385)</f>
        <v>0</v>
      </c>
      <c r="BB400" s="7">
        <f t="shared" si="909"/>
        <v>-1</v>
      </c>
      <c r="BC400" s="258"/>
      <c r="BD400" s="304">
        <f>SUM(BD432,BD385)</f>
        <v>0</v>
      </c>
      <c r="BE400" s="234">
        <f t="shared" si="910"/>
        <v>1</v>
      </c>
      <c r="BF400" s="123"/>
      <c r="BG400" s="8"/>
      <c r="BH400" s="34"/>
      <c r="BI400" s="713"/>
      <c r="BJ400" s="123"/>
      <c r="BK400" s="8"/>
      <c r="BL400" s="34"/>
      <c r="BM400" s="713"/>
      <c r="BN400" s="20"/>
      <c r="BO400" s="8"/>
      <c r="BP400" s="34"/>
      <c r="BQ400" s="234"/>
      <c r="BR400" s="234"/>
      <c r="BS400" s="395">
        <f t="shared" si="911"/>
        <v>-1</v>
      </c>
      <c r="BT400" s="32">
        <f t="shared" si="922"/>
        <v>1</v>
      </c>
      <c r="BU400" s="302">
        <f>SUM(BU432,BU385)</f>
        <v>0</v>
      </c>
      <c r="BV400" s="7">
        <f t="shared" si="912"/>
        <v>-1</v>
      </c>
      <c r="BW400" s="258"/>
      <c r="BX400" s="304">
        <f>SUM(BX432,BX385)</f>
        <v>0</v>
      </c>
      <c r="BY400" s="234">
        <f t="shared" si="913"/>
        <v>1</v>
      </c>
      <c r="BZ400" s="123"/>
      <c r="CA400" s="8"/>
      <c r="CB400" s="34"/>
      <c r="CC400" s="713"/>
      <c r="CD400" s="123"/>
      <c r="CE400" s="8"/>
      <c r="CF400" s="34"/>
      <c r="CG400" s="713"/>
      <c r="CH400" s="20"/>
      <c r="CI400" s="8"/>
      <c r="CJ400" s="34"/>
      <c r="CK400" s="234"/>
      <c r="CL400" s="234"/>
      <c r="CM400" s="395">
        <f t="shared" si="914"/>
        <v>-1</v>
      </c>
      <c r="CN400" s="32">
        <f t="shared" si="923"/>
        <v>1</v>
      </c>
      <c r="CO400" s="302">
        <f>SUM(CO432,CO385)</f>
        <v>0</v>
      </c>
      <c r="CP400" s="7">
        <f t="shared" si="915"/>
        <v>-1</v>
      </c>
      <c r="CQ400" s="242"/>
      <c r="CR400" s="304">
        <f>SUM(CR432,CR385)</f>
        <v>0</v>
      </c>
      <c r="CS400" s="234">
        <f t="shared" si="916"/>
        <v>1</v>
      </c>
      <c r="CT400" s="123"/>
      <c r="CU400" s="8"/>
      <c r="CV400" s="34"/>
      <c r="CW400" s="713"/>
      <c r="CX400" s="123"/>
      <c r="CY400" s="8"/>
      <c r="CZ400" s="34"/>
      <c r="DA400" s="713"/>
      <c r="DB400" s="20"/>
      <c r="DC400" s="8"/>
      <c r="DD400" s="34"/>
      <c r="DE400" s="234"/>
      <c r="DF400" s="234"/>
      <c r="DG400" s="395">
        <f t="shared" si="917"/>
        <v>-1</v>
      </c>
      <c r="DH400" s="32">
        <f t="shared" si="918"/>
        <v>1</v>
      </c>
      <c r="DI400" s="302">
        <f>SUM(DI432,DI385)</f>
        <v>0</v>
      </c>
      <c r="DJ400" s="7">
        <f t="shared" si="919"/>
        <v>-1</v>
      </c>
      <c r="DK400" s="242"/>
      <c r="DL400" s="304">
        <f>SUM(DL432,DL385)</f>
        <v>0</v>
      </c>
      <c r="DM400" s="234">
        <f t="shared" si="920"/>
        <v>1</v>
      </c>
    </row>
    <row r="401" spans="1:117" x14ac:dyDescent="0.25">
      <c r="A401" s="17"/>
      <c r="B401" s="10" t="s">
        <v>311</v>
      </c>
      <c r="C401" s="17">
        <v>1</v>
      </c>
      <c r="D401" s="10" t="s">
        <v>314</v>
      </c>
      <c r="E401" s="10"/>
      <c r="F401" s="337"/>
      <c r="G401" s="109"/>
      <c r="H401" s="24"/>
      <c r="I401" s="24"/>
      <c r="J401" s="530">
        <f t="shared" si="901"/>
        <v>-1</v>
      </c>
      <c r="K401" s="395">
        <f t="shared" si="902"/>
        <v>-1</v>
      </c>
      <c r="L401" s="32">
        <v>1</v>
      </c>
      <c r="M401" s="302">
        <f>M385</f>
        <v>0</v>
      </c>
      <c r="N401" s="7">
        <f t="shared" si="903"/>
        <v>-1</v>
      </c>
      <c r="O401" s="258"/>
      <c r="P401" s="304">
        <f>P385</f>
        <v>0</v>
      </c>
      <c r="Q401" s="234">
        <f t="shared" si="889"/>
        <v>1</v>
      </c>
      <c r="R401" s="123"/>
      <c r="S401" s="8"/>
      <c r="T401" s="34"/>
      <c r="U401" s="713"/>
      <c r="V401" s="123"/>
      <c r="W401" s="8"/>
      <c r="X401" s="34"/>
      <c r="Y401" s="713"/>
      <c r="Z401" s="20"/>
      <c r="AA401" s="8"/>
      <c r="AB401" s="34"/>
      <c r="AC401" s="234"/>
      <c r="AD401" s="234"/>
      <c r="AE401" s="398">
        <f t="shared" si="904"/>
        <v>-1</v>
      </c>
      <c r="AF401" s="32">
        <f t="shared" si="905"/>
        <v>1</v>
      </c>
      <c r="AG401" s="302">
        <f>AG385</f>
        <v>0</v>
      </c>
      <c r="AH401" s="7">
        <f t="shared" si="906"/>
        <v>-1</v>
      </c>
      <c r="AI401" s="258"/>
      <c r="AJ401" s="304">
        <f>AJ385</f>
        <v>0</v>
      </c>
      <c r="AK401" s="234">
        <f t="shared" si="907"/>
        <v>1</v>
      </c>
      <c r="AL401" s="123"/>
      <c r="AM401" s="8"/>
      <c r="AN401" s="34"/>
      <c r="AO401" s="713"/>
      <c r="AP401" s="123"/>
      <c r="AQ401" s="8"/>
      <c r="AR401" s="34"/>
      <c r="AS401" s="713"/>
      <c r="AT401" s="20"/>
      <c r="AU401" s="8"/>
      <c r="AV401" s="34"/>
      <c r="AW401" s="234"/>
      <c r="AX401" s="234"/>
      <c r="AY401" s="395">
        <f t="shared" si="908"/>
        <v>-1</v>
      </c>
      <c r="AZ401" s="32">
        <f t="shared" si="921"/>
        <v>1</v>
      </c>
      <c r="BA401" s="302">
        <f>BA385</f>
        <v>0</v>
      </c>
      <c r="BB401" s="7">
        <f t="shared" si="909"/>
        <v>-1</v>
      </c>
      <c r="BC401" s="258"/>
      <c r="BD401" s="304">
        <f>BD385</f>
        <v>0</v>
      </c>
      <c r="BE401" s="234">
        <f t="shared" si="910"/>
        <v>1</v>
      </c>
      <c r="BF401" s="123"/>
      <c r="BG401" s="8"/>
      <c r="BH401" s="34"/>
      <c r="BI401" s="713"/>
      <c r="BJ401" s="123"/>
      <c r="BK401" s="8"/>
      <c r="BL401" s="34"/>
      <c r="BM401" s="713"/>
      <c r="BN401" s="20"/>
      <c r="BO401" s="8"/>
      <c r="BP401" s="34"/>
      <c r="BQ401" s="234"/>
      <c r="BR401" s="234"/>
      <c r="BS401" s="395">
        <f t="shared" si="911"/>
        <v>-1</v>
      </c>
      <c r="BT401" s="32">
        <f t="shared" si="922"/>
        <v>1</v>
      </c>
      <c r="BU401" s="302">
        <f>BU385</f>
        <v>0</v>
      </c>
      <c r="BV401" s="7">
        <f t="shared" si="912"/>
        <v>-1</v>
      </c>
      <c r="BW401" s="258"/>
      <c r="BX401" s="304">
        <f>BX385</f>
        <v>0</v>
      </c>
      <c r="BY401" s="234">
        <f t="shared" si="913"/>
        <v>1</v>
      </c>
      <c r="BZ401" s="123"/>
      <c r="CA401" s="8"/>
      <c r="CB401" s="34"/>
      <c r="CC401" s="713"/>
      <c r="CD401" s="123"/>
      <c r="CE401" s="8"/>
      <c r="CF401" s="34"/>
      <c r="CG401" s="713"/>
      <c r="CH401" s="20"/>
      <c r="CI401" s="8"/>
      <c r="CJ401" s="34"/>
      <c r="CK401" s="234"/>
      <c r="CL401" s="234"/>
      <c r="CM401" s="395">
        <f t="shared" si="914"/>
        <v>-1</v>
      </c>
      <c r="CN401" s="32">
        <f t="shared" si="923"/>
        <v>1</v>
      </c>
      <c r="CO401" s="302">
        <f>CO385</f>
        <v>0</v>
      </c>
      <c r="CP401" s="7">
        <f t="shared" si="915"/>
        <v>-1</v>
      </c>
      <c r="CQ401" s="242"/>
      <c r="CR401" s="304">
        <f>CR385</f>
        <v>0</v>
      </c>
      <c r="CS401" s="234">
        <f t="shared" si="916"/>
        <v>1</v>
      </c>
      <c r="CT401" s="123"/>
      <c r="CU401" s="8"/>
      <c r="CV401" s="34"/>
      <c r="CW401" s="713"/>
      <c r="CX401" s="123"/>
      <c r="CY401" s="8"/>
      <c r="CZ401" s="34"/>
      <c r="DA401" s="713"/>
      <c r="DB401" s="20"/>
      <c r="DC401" s="8"/>
      <c r="DD401" s="34"/>
      <c r="DE401" s="234"/>
      <c r="DF401" s="234"/>
      <c r="DG401" s="395">
        <f t="shared" si="917"/>
        <v>-1</v>
      </c>
      <c r="DH401" s="32">
        <f t="shared" si="918"/>
        <v>1</v>
      </c>
      <c r="DI401" s="302">
        <f>DI385</f>
        <v>0</v>
      </c>
      <c r="DJ401" s="7">
        <f t="shared" si="919"/>
        <v>-1</v>
      </c>
      <c r="DK401" s="242"/>
      <c r="DL401" s="304">
        <f>DL385</f>
        <v>0</v>
      </c>
      <c r="DM401" s="234">
        <f t="shared" si="920"/>
        <v>1</v>
      </c>
    </row>
    <row r="402" spans="1:117" x14ac:dyDescent="0.25">
      <c r="A402" s="17"/>
      <c r="B402" s="10" t="s">
        <v>312</v>
      </c>
      <c r="C402" s="17">
        <v>26</v>
      </c>
      <c r="D402" s="10" t="s">
        <v>314</v>
      </c>
      <c r="E402" s="10"/>
      <c r="F402" s="337"/>
      <c r="G402" s="109"/>
      <c r="H402" s="24"/>
      <c r="I402" s="24"/>
      <c r="J402" s="530">
        <f t="shared" si="901"/>
        <v>-39</v>
      </c>
      <c r="K402" s="395">
        <f t="shared" si="902"/>
        <v>-39</v>
      </c>
      <c r="L402" s="32">
        <v>39</v>
      </c>
      <c r="M402" s="302">
        <f>M385*26</f>
        <v>0</v>
      </c>
      <c r="N402" s="7">
        <f t="shared" si="903"/>
        <v>-39</v>
      </c>
      <c r="O402" s="258"/>
      <c r="P402" s="304">
        <f>P385*26</f>
        <v>0</v>
      </c>
      <c r="Q402" s="234">
        <f t="shared" si="889"/>
        <v>39</v>
      </c>
      <c r="R402" s="123"/>
      <c r="S402" s="8"/>
      <c r="T402" s="34"/>
      <c r="U402" s="713"/>
      <c r="V402" s="123"/>
      <c r="W402" s="8"/>
      <c r="X402" s="34"/>
      <c r="Y402" s="713"/>
      <c r="Z402" s="20"/>
      <c r="AA402" s="8"/>
      <c r="AB402" s="34"/>
      <c r="AC402" s="234"/>
      <c r="AD402" s="234"/>
      <c r="AE402" s="398">
        <f t="shared" si="904"/>
        <v>-39</v>
      </c>
      <c r="AF402" s="32">
        <f t="shared" si="905"/>
        <v>39</v>
      </c>
      <c r="AG402" s="302">
        <f>AG385*26</f>
        <v>0</v>
      </c>
      <c r="AH402" s="7">
        <f t="shared" si="906"/>
        <v>-39</v>
      </c>
      <c r="AI402" s="258"/>
      <c r="AJ402" s="304">
        <f>AJ385*26</f>
        <v>0</v>
      </c>
      <c r="AK402" s="234">
        <f t="shared" si="907"/>
        <v>39</v>
      </c>
      <c r="AL402" s="123"/>
      <c r="AM402" s="8"/>
      <c r="AN402" s="34"/>
      <c r="AO402" s="713"/>
      <c r="AP402" s="123"/>
      <c r="AQ402" s="8"/>
      <c r="AR402" s="34"/>
      <c r="AS402" s="713"/>
      <c r="AT402" s="20"/>
      <c r="AU402" s="8"/>
      <c r="AV402" s="34"/>
      <c r="AW402" s="234"/>
      <c r="AX402" s="234"/>
      <c r="AY402" s="395">
        <f t="shared" si="908"/>
        <v>-39</v>
      </c>
      <c r="AZ402" s="32">
        <f t="shared" si="921"/>
        <v>39</v>
      </c>
      <c r="BA402" s="302">
        <f>BA385*26</f>
        <v>0</v>
      </c>
      <c r="BB402" s="7">
        <f t="shared" si="909"/>
        <v>-39</v>
      </c>
      <c r="BC402" s="258"/>
      <c r="BD402" s="304">
        <f>BD385*26</f>
        <v>0</v>
      </c>
      <c r="BE402" s="234">
        <f t="shared" si="910"/>
        <v>39</v>
      </c>
      <c r="BF402" s="123"/>
      <c r="BG402" s="8"/>
      <c r="BH402" s="34"/>
      <c r="BI402" s="713"/>
      <c r="BJ402" s="123"/>
      <c r="BK402" s="8"/>
      <c r="BL402" s="34"/>
      <c r="BM402" s="713"/>
      <c r="BN402" s="20"/>
      <c r="BO402" s="8"/>
      <c r="BP402" s="34"/>
      <c r="BQ402" s="234"/>
      <c r="BR402" s="234"/>
      <c r="BS402" s="395">
        <f t="shared" si="911"/>
        <v>-39</v>
      </c>
      <c r="BT402" s="32">
        <f t="shared" si="922"/>
        <v>39</v>
      </c>
      <c r="BU402" s="302">
        <f>BU385*26</f>
        <v>0</v>
      </c>
      <c r="BV402" s="7">
        <f t="shared" si="912"/>
        <v>-39</v>
      </c>
      <c r="BW402" s="258"/>
      <c r="BX402" s="304">
        <f>BX385*26</f>
        <v>0</v>
      </c>
      <c r="BY402" s="234">
        <f t="shared" si="913"/>
        <v>39</v>
      </c>
      <c r="BZ402" s="123"/>
      <c r="CA402" s="8"/>
      <c r="CB402" s="34"/>
      <c r="CC402" s="713"/>
      <c r="CD402" s="123"/>
      <c r="CE402" s="8"/>
      <c r="CF402" s="34"/>
      <c r="CG402" s="713"/>
      <c r="CH402" s="20"/>
      <c r="CI402" s="8"/>
      <c r="CJ402" s="34"/>
      <c r="CK402" s="234"/>
      <c r="CL402" s="234"/>
      <c r="CM402" s="395">
        <f t="shared" si="914"/>
        <v>-39</v>
      </c>
      <c r="CN402" s="32">
        <f t="shared" si="923"/>
        <v>39</v>
      </c>
      <c r="CO402" s="302">
        <f>CO385*26</f>
        <v>0</v>
      </c>
      <c r="CP402" s="7">
        <f t="shared" si="915"/>
        <v>-39</v>
      </c>
      <c r="CQ402" s="242"/>
      <c r="CR402" s="304">
        <f>CR385*26</f>
        <v>0</v>
      </c>
      <c r="CS402" s="234">
        <f t="shared" si="916"/>
        <v>39</v>
      </c>
      <c r="CT402" s="123"/>
      <c r="CU402" s="8"/>
      <c r="CV402" s="34"/>
      <c r="CW402" s="713"/>
      <c r="CX402" s="123"/>
      <c r="CY402" s="8"/>
      <c r="CZ402" s="34"/>
      <c r="DA402" s="713"/>
      <c r="DB402" s="20"/>
      <c r="DC402" s="8"/>
      <c r="DD402" s="34"/>
      <c r="DE402" s="234"/>
      <c r="DF402" s="234"/>
      <c r="DG402" s="395">
        <f t="shared" si="917"/>
        <v>-39</v>
      </c>
      <c r="DH402" s="32">
        <f t="shared" si="918"/>
        <v>39</v>
      </c>
      <c r="DI402" s="302">
        <f>DI385*26</f>
        <v>0</v>
      </c>
      <c r="DJ402" s="7">
        <f t="shared" si="919"/>
        <v>-39</v>
      </c>
      <c r="DK402" s="242"/>
      <c r="DL402" s="304">
        <f>DL385*26</f>
        <v>0</v>
      </c>
      <c r="DM402" s="234">
        <f t="shared" si="920"/>
        <v>39</v>
      </c>
    </row>
    <row r="403" spans="1:117" ht="30" x14ac:dyDescent="0.25">
      <c r="A403" s="17"/>
      <c r="B403" s="80" t="s">
        <v>460</v>
      </c>
      <c r="C403" s="17">
        <v>1</v>
      </c>
      <c r="D403" s="10" t="s">
        <v>314</v>
      </c>
      <c r="E403" s="10"/>
      <c r="F403" s="337"/>
      <c r="G403" s="109"/>
      <c r="H403" s="24"/>
      <c r="I403" s="24"/>
      <c r="J403" s="530">
        <f t="shared" si="901"/>
        <v>-4</v>
      </c>
      <c r="K403" s="395">
        <f t="shared" si="902"/>
        <v>-4</v>
      </c>
      <c r="L403" s="32">
        <v>4</v>
      </c>
      <c r="M403" s="302">
        <f>M385</f>
        <v>0</v>
      </c>
      <c r="N403" s="7">
        <f t="shared" si="903"/>
        <v>-4</v>
      </c>
      <c r="O403" s="258"/>
      <c r="P403" s="304">
        <f>P385</f>
        <v>0</v>
      </c>
      <c r="Q403" s="234">
        <f t="shared" si="889"/>
        <v>4</v>
      </c>
      <c r="R403" s="123"/>
      <c r="S403" s="8"/>
      <c r="T403" s="34"/>
      <c r="U403" s="713"/>
      <c r="V403" s="123"/>
      <c r="W403" s="8"/>
      <c r="X403" s="34"/>
      <c r="Y403" s="713"/>
      <c r="Z403" s="20"/>
      <c r="AA403" s="8"/>
      <c r="AB403" s="34"/>
      <c r="AC403" s="234"/>
      <c r="AD403" s="234"/>
      <c r="AE403" s="398">
        <f t="shared" si="904"/>
        <v>-4</v>
      </c>
      <c r="AF403" s="32">
        <f t="shared" si="905"/>
        <v>4</v>
      </c>
      <c r="AG403" s="302">
        <f>AG385</f>
        <v>0</v>
      </c>
      <c r="AH403" s="7">
        <f t="shared" si="906"/>
        <v>-4</v>
      </c>
      <c r="AI403" s="258"/>
      <c r="AJ403" s="304">
        <f>AJ385</f>
        <v>0</v>
      </c>
      <c r="AK403" s="234">
        <f t="shared" si="907"/>
        <v>4</v>
      </c>
      <c r="AL403" s="123"/>
      <c r="AM403" s="8"/>
      <c r="AN403" s="34"/>
      <c r="AO403" s="713"/>
      <c r="AP403" s="123"/>
      <c r="AQ403" s="8"/>
      <c r="AR403" s="34"/>
      <c r="AS403" s="713"/>
      <c r="AT403" s="20"/>
      <c r="AU403" s="8"/>
      <c r="AV403" s="34"/>
      <c r="AW403" s="234"/>
      <c r="AX403" s="234"/>
      <c r="AY403" s="395">
        <f t="shared" si="908"/>
        <v>-4</v>
      </c>
      <c r="AZ403" s="32">
        <f t="shared" si="921"/>
        <v>4</v>
      </c>
      <c r="BA403" s="302">
        <f>BA385</f>
        <v>0</v>
      </c>
      <c r="BB403" s="7">
        <f t="shared" si="909"/>
        <v>-4</v>
      </c>
      <c r="BC403" s="258"/>
      <c r="BD403" s="304">
        <f>BD385</f>
        <v>0</v>
      </c>
      <c r="BE403" s="234">
        <f t="shared" si="910"/>
        <v>4</v>
      </c>
      <c r="BF403" s="123"/>
      <c r="BG403" s="8"/>
      <c r="BH403" s="34"/>
      <c r="BI403" s="713"/>
      <c r="BJ403" s="123"/>
      <c r="BK403" s="8"/>
      <c r="BL403" s="34"/>
      <c r="BM403" s="713"/>
      <c r="BN403" s="20"/>
      <c r="BO403" s="8"/>
      <c r="BP403" s="34"/>
      <c r="BQ403" s="234"/>
      <c r="BR403" s="234"/>
      <c r="BS403" s="395">
        <f t="shared" si="911"/>
        <v>-4</v>
      </c>
      <c r="BT403" s="32">
        <f t="shared" si="922"/>
        <v>4</v>
      </c>
      <c r="BU403" s="302">
        <f>BU385</f>
        <v>0</v>
      </c>
      <c r="BV403" s="7">
        <f t="shared" si="912"/>
        <v>-4</v>
      </c>
      <c r="BW403" s="258"/>
      <c r="BX403" s="304">
        <f>BX385</f>
        <v>0</v>
      </c>
      <c r="BY403" s="234">
        <f t="shared" si="913"/>
        <v>4</v>
      </c>
      <c r="BZ403" s="123"/>
      <c r="CA403" s="8"/>
      <c r="CB403" s="34"/>
      <c r="CC403" s="713"/>
      <c r="CD403" s="123"/>
      <c r="CE403" s="8"/>
      <c r="CF403" s="34"/>
      <c r="CG403" s="713"/>
      <c r="CH403" s="20"/>
      <c r="CI403" s="8"/>
      <c r="CJ403" s="34"/>
      <c r="CK403" s="234"/>
      <c r="CL403" s="234"/>
      <c r="CM403" s="395">
        <f t="shared" si="914"/>
        <v>-4</v>
      </c>
      <c r="CN403" s="32">
        <f t="shared" si="923"/>
        <v>4</v>
      </c>
      <c r="CO403" s="302">
        <f>CO385</f>
        <v>0</v>
      </c>
      <c r="CP403" s="7">
        <f t="shared" si="915"/>
        <v>-4</v>
      </c>
      <c r="CQ403" s="242"/>
      <c r="CR403" s="304">
        <f>CR385</f>
        <v>0</v>
      </c>
      <c r="CS403" s="234">
        <f t="shared" si="916"/>
        <v>4</v>
      </c>
      <c r="CT403" s="123"/>
      <c r="CU403" s="8"/>
      <c r="CV403" s="34"/>
      <c r="CW403" s="713"/>
      <c r="CX403" s="123"/>
      <c r="CY403" s="8"/>
      <c r="CZ403" s="34"/>
      <c r="DA403" s="713"/>
      <c r="DB403" s="20"/>
      <c r="DC403" s="8"/>
      <c r="DD403" s="34"/>
      <c r="DE403" s="234"/>
      <c r="DF403" s="234"/>
      <c r="DG403" s="395">
        <f t="shared" si="917"/>
        <v>-4</v>
      </c>
      <c r="DH403" s="32">
        <f t="shared" si="918"/>
        <v>4</v>
      </c>
      <c r="DI403" s="302">
        <f>DI385</f>
        <v>0</v>
      </c>
      <c r="DJ403" s="7">
        <f t="shared" si="919"/>
        <v>-4</v>
      </c>
      <c r="DK403" s="242"/>
      <c r="DL403" s="304">
        <f>DL385</f>
        <v>0</v>
      </c>
      <c r="DM403" s="234">
        <f t="shared" si="920"/>
        <v>4</v>
      </c>
    </row>
    <row r="404" spans="1:117" ht="30" x14ac:dyDescent="0.25">
      <c r="A404" s="17"/>
      <c r="B404" s="80" t="s">
        <v>459</v>
      </c>
      <c r="C404" s="17">
        <v>1</v>
      </c>
      <c r="D404" s="10" t="s">
        <v>314</v>
      </c>
      <c r="E404" s="10"/>
      <c r="F404" s="337">
        <v>750</v>
      </c>
      <c r="G404" s="109"/>
      <c r="H404" s="24"/>
      <c r="I404" s="24"/>
      <c r="J404" s="530">
        <f t="shared" si="901"/>
        <v>-1</v>
      </c>
      <c r="K404" s="395">
        <f t="shared" si="902"/>
        <v>-1</v>
      </c>
      <c r="L404" s="32">
        <v>1</v>
      </c>
      <c r="M404" s="302">
        <f>M385</f>
        <v>0</v>
      </c>
      <c r="N404" s="7">
        <f t="shared" si="903"/>
        <v>-1</v>
      </c>
      <c r="O404" s="258"/>
      <c r="P404" s="304">
        <f>P385</f>
        <v>0</v>
      </c>
      <c r="Q404" s="234">
        <f t="shared" si="889"/>
        <v>1</v>
      </c>
      <c r="R404" s="123"/>
      <c r="S404" s="8"/>
      <c r="T404" s="34"/>
      <c r="U404" s="713"/>
      <c r="V404" s="123"/>
      <c r="W404" s="8"/>
      <c r="X404" s="34"/>
      <c r="Y404" s="713"/>
      <c r="Z404" s="20"/>
      <c r="AA404" s="8"/>
      <c r="AB404" s="34"/>
      <c r="AC404" s="234"/>
      <c r="AD404" s="234"/>
      <c r="AE404" s="398">
        <f t="shared" si="904"/>
        <v>-1</v>
      </c>
      <c r="AF404" s="32">
        <f t="shared" si="905"/>
        <v>1</v>
      </c>
      <c r="AG404" s="302">
        <f>AG385</f>
        <v>0</v>
      </c>
      <c r="AH404" s="7">
        <f t="shared" si="906"/>
        <v>-1</v>
      </c>
      <c r="AI404" s="258"/>
      <c r="AJ404" s="304">
        <f>AJ385</f>
        <v>0</v>
      </c>
      <c r="AK404" s="234">
        <f t="shared" si="907"/>
        <v>1</v>
      </c>
      <c r="AL404" s="123"/>
      <c r="AM404" s="8"/>
      <c r="AN404" s="34"/>
      <c r="AO404" s="713"/>
      <c r="AP404" s="123"/>
      <c r="AQ404" s="8"/>
      <c r="AR404" s="34"/>
      <c r="AS404" s="713"/>
      <c r="AT404" s="20"/>
      <c r="AU404" s="8"/>
      <c r="AV404" s="34"/>
      <c r="AW404" s="234"/>
      <c r="AX404" s="234"/>
      <c r="AY404" s="395">
        <f t="shared" si="908"/>
        <v>-1</v>
      </c>
      <c r="AZ404" s="32">
        <f t="shared" si="921"/>
        <v>1</v>
      </c>
      <c r="BA404" s="302">
        <f>BA385</f>
        <v>0</v>
      </c>
      <c r="BB404" s="7">
        <f t="shared" si="909"/>
        <v>-1</v>
      </c>
      <c r="BC404" s="256"/>
      <c r="BD404" s="304">
        <f>BD385</f>
        <v>0</v>
      </c>
      <c r="BE404" s="234">
        <f t="shared" si="910"/>
        <v>1</v>
      </c>
      <c r="BF404" s="123"/>
      <c r="BG404" s="8"/>
      <c r="BH404" s="34"/>
      <c r="BI404" s="713"/>
      <c r="BJ404" s="123"/>
      <c r="BK404" s="8"/>
      <c r="BL404" s="34"/>
      <c r="BM404" s="713"/>
      <c r="BN404" s="20"/>
      <c r="BO404" s="8"/>
      <c r="BP404" s="34"/>
      <c r="BQ404" s="234"/>
      <c r="BR404" s="234"/>
      <c r="BS404" s="395">
        <f t="shared" si="911"/>
        <v>-1</v>
      </c>
      <c r="BT404" s="32">
        <f t="shared" si="922"/>
        <v>1</v>
      </c>
      <c r="BU404" s="302">
        <f>BU385</f>
        <v>0</v>
      </c>
      <c r="BV404" s="7">
        <f t="shared" si="912"/>
        <v>-1</v>
      </c>
      <c r="BW404" s="258"/>
      <c r="BX404" s="304">
        <f>BX385</f>
        <v>0</v>
      </c>
      <c r="BY404" s="234">
        <f t="shared" si="913"/>
        <v>1</v>
      </c>
      <c r="BZ404" s="123"/>
      <c r="CA404" s="8"/>
      <c r="CB404" s="34"/>
      <c r="CC404" s="713"/>
      <c r="CD404" s="123"/>
      <c r="CE404" s="8"/>
      <c r="CF404" s="34"/>
      <c r="CG404" s="713"/>
      <c r="CH404" s="20"/>
      <c r="CI404" s="8"/>
      <c r="CJ404" s="34"/>
      <c r="CK404" s="234"/>
      <c r="CL404" s="234"/>
      <c r="CM404" s="395">
        <f t="shared" si="914"/>
        <v>-1</v>
      </c>
      <c r="CN404" s="32">
        <f t="shared" si="923"/>
        <v>1</v>
      </c>
      <c r="CO404" s="302">
        <f>CO385</f>
        <v>0</v>
      </c>
      <c r="CP404" s="7">
        <f t="shared" si="915"/>
        <v>-1</v>
      </c>
      <c r="CQ404" s="242"/>
      <c r="CR404" s="304">
        <f>CR385</f>
        <v>0</v>
      </c>
      <c r="CS404" s="234">
        <f t="shared" si="916"/>
        <v>1</v>
      </c>
      <c r="CT404" s="123"/>
      <c r="CU404" s="8"/>
      <c r="CV404" s="34"/>
      <c r="CW404" s="713"/>
      <c r="CX404" s="123"/>
      <c r="CY404" s="8"/>
      <c r="CZ404" s="34"/>
      <c r="DA404" s="713"/>
      <c r="DB404" s="20"/>
      <c r="DC404" s="8"/>
      <c r="DD404" s="34"/>
      <c r="DE404" s="234"/>
      <c r="DF404" s="234"/>
      <c r="DG404" s="395">
        <f t="shared" si="917"/>
        <v>-1</v>
      </c>
      <c r="DH404" s="32">
        <f t="shared" si="918"/>
        <v>1</v>
      </c>
      <c r="DI404" s="302">
        <f>DI385</f>
        <v>0</v>
      </c>
      <c r="DJ404" s="7">
        <f t="shared" si="919"/>
        <v>-1</v>
      </c>
      <c r="DK404" s="242"/>
      <c r="DL404" s="304">
        <f>DL385</f>
        <v>0</v>
      </c>
      <c r="DM404" s="234">
        <f t="shared" si="920"/>
        <v>1</v>
      </c>
    </row>
    <row r="405" spans="1:117" x14ac:dyDescent="0.25">
      <c r="A405" s="346"/>
      <c r="B405" s="347" t="s">
        <v>118</v>
      </c>
      <c r="C405" s="346"/>
      <c r="D405" s="348"/>
      <c r="E405" s="348"/>
      <c r="F405" s="349">
        <v>17308</v>
      </c>
      <c r="G405" s="350" t="s">
        <v>650</v>
      </c>
      <c r="H405" s="351" t="s">
        <v>175</v>
      </c>
      <c r="I405" s="351"/>
      <c r="J405" s="346"/>
      <c r="K405" s="346"/>
      <c r="L405" s="352"/>
      <c r="M405" s="353"/>
      <c r="N405" s="353"/>
      <c r="O405" s="354"/>
      <c r="P405" s="354"/>
      <c r="Q405" s="355"/>
      <c r="R405" s="356"/>
      <c r="S405" s="357"/>
      <c r="T405" s="358"/>
      <c r="U405" s="726"/>
      <c r="V405" s="356"/>
      <c r="W405" s="357"/>
      <c r="X405" s="358"/>
      <c r="Y405" s="726"/>
      <c r="Z405" s="359"/>
      <c r="AA405" s="357"/>
      <c r="AB405" s="358"/>
      <c r="AC405" s="355"/>
      <c r="AD405" s="355"/>
      <c r="AE405" s="346"/>
      <c r="AF405" s="352"/>
      <c r="AG405" s="353"/>
      <c r="AH405" s="353"/>
      <c r="AI405" s="354"/>
      <c r="AJ405" s="354"/>
      <c r="AK405" s="355"/>
      <c r="AL405" s="356"/>
      <c r="AM405" s="357"/>
      <c r="AN405" s="358"/>
      <c r="AO405" s="726"/>
      <c r="AP405" s="356"/>
      <c r="AQ405" s="357"/>
      <c r="AR405" s="358"/>
      <c r="AS405" s="726"/>
      <c r="AT405" s="359"/>
      <c r="AU405" s="357"/>
      <c r="AV405" s="358"/>
      <c r="AW405" s="355"/>
      <c r="AX405" s="355"/>
      <c r="AY405" s="346"/>
      <c r="AZ405" s="352"/>
      <c r="BA405" s="353"/>
      <c r="BB405" s="353"/>
      <c r="BC405" s="354"/>
      <c r="BD405" s="354"/>
      <c r="BE405" s="355"/>
      <c r="BF405" s="356"/>
      <c r="BG405" s="357"/>
      <c r="BH405" s="358"/>
      <c r="BI405" s="726"/>
      <c r="BJ405" s="356"/>
      <c r="BK405" s="357"/>
      <c r="BL405" s="358"/>
      <c r="BM405" s="726"/>
      <c r="BN405" s="359"/>
      <c r="BO405" s="357"/>
      <c r="BP405" s="358"/>
      <c r="BQ405" s="355"/>
      <c r="BR405" s="355"/>
      <c r="BS405" s="346"/>
      <c r="BT405" s="352"/>
      <c r="BU405" s="353"/>
      <c r="BV405" s="353"/>
      <c r="BW405" s="354"/>
      <c r="BX405" s="354"/>
      <c r="BY405" s="355"/>
      <c r="BZ405" s="356"/>
      <c r="CA405" s="357"/>
      <c r="CB405" s="358"/>
      <c r="CC405" s="726"/>
      <c r="CD405" s="356"/>
      <c r="CE405" s="357"/>
      <c r="CF405" s="358"/>
      <c r="CG405" s="726"/>
      <c r="CH405" s="359"/>
      <c r="CI405" s="357"/>
      <c r="CJ405" s="358"/>
      <c r="CK405" s="355"/>
      <c r="CL405" s="355"/>
      <c r="CM405" s="346"/>
      <c r="CN405" s="352"/>
      <c r="CO405" s="353"/>
      <c r="CP405" s="353"/>
      <c r="CQ405" s="354"/>
      <c r="CR405" s="354"/>
      <c r="CS405" s="355"/>
      <c r="CT405" s="356"/>
      <c r="CU405" s="357"/>
      <c r="CV405" s="358"/>
      <c r="CW405" s="726"/>
      <c r="CX405" s="356"/>
      <c r="CY405" s="357"/>
      <c r="CZ405" s="358"/>
      <c r="DA405" s="726"/>
      <c r="DB405" s="359"/>
      <c r="DC405" s="357"/>
      <c r="DD405" s="358"/>
      <c r="DE405" s="355"/>
      <c r="DF405" s="355"/>
      <c r="DG405" s="346"/>
      <c r="DH405" s="352"/>
      <c r="DI405" s="353"/>
      <c r="DJ405" s="353"/>
      <c r="DK405" s="354"/>
      <c r="DL405" s="354"/>
      <c r="DM405" s="355"/>
    </row>
    <row r="406" spans="1:117" x14ac:dyDescent="0.25">
      <c r="A406" s="17"/>
      <c r="B406" s="10" t="s">
        <v>292</v>
      </c>
      <c r="C406" s="17">
        <v>1</v>
      </c>
      <c r="D406" s="10" t="s">
        <v>314</v>
      </c>
      <c r="E406" s="10"/>
      <c r="F406" s="337"/>
      <c r="G406" s="109"/>
      <c r="H406" s="24"/>
      <c r="I406" s="24"/>
      <c r="J406" s="530">
        <f t="shared" ref="J406:J412" si="924">SUM(M406,AG406,BA406,BU406)-L406</f>
        <v>-1</v>
      </c>
      <c r="K406" s="395">
        <f t="shared" si="902"/>
        <v>-1</v>
      </c>
      <c r="L406" s="32">
        <v>1</v>
      </c>
      <c r="M406" s="302">
        <f>M385</f>
        <v>0</v>
      </c>
      <c r="N406" s="7">
        <f t="shared" ref="N406:N420" si="925">M406-L406</f>
        <v>-1</v>
      </c>
      <c r="O406" s="258"/>
      <c r="P406" s="304">
        <f>P385</f>
        <v>0</v>
      </c>
      <c r="Q406" s="234">
        <f t="shared" ref="Q406:Q420" si="926">L406+O406-P406</f>
        <v>1</v>
      </c>
      <c r="R406" s="123"/>
      <c r="S406" s="8"/>
      <c r="T406" s="34"/>
      <c r="U406" s="713"/>
      <c r="V406" s="123"/>
      <c r="W406" s="8"/>
      <c r="X406" s="34"/>
      <c r="Y406" s="713"/>
      <c r="Z406" s="20"/>
      <c r="AA406" s="8"/>
      <c r="AB406" s="34"/>
      <c r="AC406" s="234"/>
      <c r="AD406" s="234"/>
      <c r="AE406" s="398">
        <f t="shared" ref="AE406:AE412" si="927">SUM(M406,AG406)-SUM(O406,AI406)-L406</f>
        <v>-1</v>
      </c>
      <c r="AF406" s="32">
        <f t="shared" ref="AF406:AF412" si="928">Q406</f>
        <v>1</v>
      </c>
      <c r="AG406" s="302">
        <f>AG385</f>
        <v>0</v>
      </c>
      <c r="AH406" s="7">
        <f t="shared" ref="AH406:AH420" si="929">AG406-AF406</f>
        <v>-1</v>
      </c>
      <c r="AI406" s="258"/>
      <c r="AJ406" s="304">
        <f>AJ385</f>
        <v>0</v>
      </c>
      <c r="AK406" s="234">
        <f t="shared" ref="AK406:AK420" si="930">AF406+AI406-AJ406</f>
        <v>1</v>
      </c>
      <c r="AL406" s="123"/>
      <c r="AM406" s="8"/>
      <c r="AN406" s="34"/>
      <c r="AO406" s="713"/>
      <c r="AP406" s="123"/>
      <c r="AQ406" s="8"/>
      <c r="AR406" s="34"/>
      <c r="AS406" s="713"/>
      <c r="AT406" s="20"/>
      <c r="AU406" s="8"/>
      <c r="AV406" s="34"/>
      <c r="AW406" s="234"/>
      <c r="AX406" s="234"/>
      <c r="AY406" s="395">
        <f t="shared" ref="AY406:AY412" si="931">SUM(M406,AG406,BA406)-SUM(O406,AI406,BC406)-L406</f>
        <v>-1</v>
      </c>
      <c r="AZ406" s="32">
        <f>AK406</f>
        <v>1</v>
      </c>
      <c r="BA406" s="302">
        <f>BA385</f>
        <v>0</v>
      </c>
      <c r="BB406" s="7">
        <f t="shared" ref="BB406:BB420" si="932">BA406-AZ406</f>
        <v>-1</v>
      </c>
      <c r="BC406" s="258"/>
      <c r="BD406" s="304">
        <f>BD385</f>
        <v>0</v>
      </c>
      <c r="BE406" s="234">
        <f t="shared" ref="BE406:BE420" si="933">AZ406+BC406-BD406</f>
        <v>1</v>
      </c>
      <c r="BF406" s="123"/>
      <c r="BG406" s="8"/>
      <c r="BH406" s="34"/>
      <c r="BI406" s="713"/>
      <c r="BJ406" s="123"/>
      <c r="BK406" s="8"/>
      <c r="BL406" s="34"/>
      <c r="BM406" s="713"/>
      <c r="BN406" s="20"/>
      <c r="BO406" s="8"/>
      <c r="BP406" s="34"/>
      <c r="BQ406" s="234"/>
      <c r="BR406" s="234"/>
      <c r="BS406" s="395">
        <f t="shared" ref="BS406:BS412" si="934">SUM(M406,AG406,BA406,BU406)-SUM(O406,AI406,BC406,BW406)-L406</f>
        <v>-1</v>
      </c>
      <c r="BT406" s="32">
        <f>BE406</f>
        <v>1</v>
      </c>
      <c r="BU406" s="302">
        <f>BU385</f>
        <v>0</v>
      </c>
      <c r="BV406" s="7">
        <f t="shared" ref="BV406:BV420" si="935">BU406-BT406</f>
        <v>-1</v>
      </c>
      <c r="BW406" s="258"/>
      <c r="BX406" s="304">
        <f>BX385</f>
        <v>0</v>
      </c>
      <c r="BY406" s="234">
        <f t="shared" ref="BY406:BY420" si="936">BT406+BW406-BX406</f>
        <v>1</v>
      </c>
      <c r="BZ406" s="123"/>
      <c r="CA406" s="8"/>
      <c r="CB406" s="34"/>
      <c r="CC406" s="713"/>
      <c r="CD406" s="123"/>
      <c r="CE406" s="8"/>
      <c r="CF406" s="34"/>
      <c r="CG406" s="713"/>
      <c r="CH406" s="20"/>
      <c r="CI406" s="8"/>
      <c r="CJ406" s="34"/>
      <c r="CK406" s="234"/>
      <c r="CL406" s="234"/>
      <c r="CM406" s="395">
        <f t="shared" ref="CM406:CM412" si="937">SUM(M406,AG406,BA406,BU406,CO406)-SUM(O406,AI406,BC406,BW406,CQ406)-L406</f>
        <v>-1</v>
      </c>
      <c r="CN406" s="32">
        <f>BY406</f>
        <v>1</v>
      </c>
      <c r="CO406" s="302">
        <f>CO385</f>
        <v>0</v>
      </c>
      <c r="CP406" s="7">
        <f t="shared" ref="CP406:CP420" si="938">CO406-CN406</f>
        <v>-1</v>
      </c>
      <c r="CQ406" s="242"/>
      <c r="CR406" s="304">
        <f>CR385</f>
        <v>0</v>
      </c>
      <c r="CS406" s="234">
        <f t="shared" ref="CS406:CS420" si="939">CN406+CQ406-CR406</f>
        <v>1</v>
      </c>
      <c r="CT406" s="123"/>
      <c r="CU406" s="8"/>
      <c r="CV406" s="34"/>
      <c r="CW406" s="713"/>
      <c r="CX406" s="123"/>
      <c r="CY406" s="8"/>
      <c r="CZ406" s="34"/>
      <c r="DA406" s="713"/>
      <c r="DB406" s="20"/>
      <c r="DC406" s="8"/>
      <c r="DD406" s="34"/>
      <c r="DE406" s="234"/>
      <c r="DF406" s="234"/>
      <c r="DG406" s="395">
        <f t="shared" ref="DG406:DG412" si="940">SUM(M406,AG406,BA406,BU406,DI406)-SUM(O406,AI406,BC406,BW406,CQ406)-L406</f>
        <v>-1</v>
      </c>
      <c r="DH406" s="32">
        <f t="shared" si="918"/>
        <v>1</v>
      </c>
      <c r="DI406" s="302">
        <f>DI385</f>
        <v>0</v>
      </c>
      <c r="DJ406" s="7">
        <f t="shared" ref="DJ406:DJ412" si="941">DI406-DH406</f>
        <v>-1</v>
      </c>
      <c r="DK406" s="242"/>
      <c r="DL406" s="304">
        <f>DL385</f>
        <v>0</v>
      </c>
      <c r="DM406" s="234">
        <f t="shared" ref="DM406:DM412" si="942">DH406+DK406-DL406</f>
        <v>1</v>
      </c>
    </row>
    <row r="407" spans="1:117" x14ac:dyDescent="0.25">
      <c r="A407" s="17"/>
      <c r="B407" s="10" t="s">
        <v>293</v>
      </c>
      <c r="C407" s="17">
        <v>1</v>
      </c>
      <c r="D407" s="10" t="s">
        <v>314</v>
      </c>
      <c r="E407" s="10"/>
      <c r="F407" s="337"/>
      <c r="G407" s="109"/>
      <c r="H407" s="24"/>
      <c r="I407" s="24"/>
      <c r="J407" s="530">
        <f t="shared" si="924"/>
        <v>-1</v>
      </c>
      <c r="K407" s="395">
        <f t="shared" si="902"/>
        <v>-1</v>
      </c>
      <c r="L407" s="32">
        <v>1</v>
      </c>
      <c r="M407" s="302">
        <f>M385</f>
        <v>0</v>
      </c>
      <c r="N407" s="7">
        <f t="shared" si="925"/>
        <v>-1</v>
      </c>
      <c r="O407" s="258"/>
      <c r="P407" s="304">
        <f>P385</f>
        <v>0</v>
      </c>
      <c r="Q407" s="234">
        <f t="shared" si="926"/>
        <v>1</v>
      </c>
      <c r="R407" s="123"/>
      <c r="S407" s="8"/>
      <c r="T407" s="34"/>
      <c r="U407" s="713"/>
      <c r="V407" s="123"/>
      <c r="W407" s="8"/>
      <c r="X407" s="34"/>
      <c r="Y407" s="713"/>
      <c r="Z407" s="20"/>
      <c r="AA407" s="8"/>
      <c r="AB407" s="34"/>
      <c r="AC407" s="234"/>
      <c r="AD407" s="234"/>
      <c r="AE407" s="398">
        <f t="shared" si="927"/>
        <v>-1</v>
      </c>
      <c r="AF407" s="32">
        <f t="shared" si="928"/>
        <v>1</v>
      </c>
      <c r="AG407" s="302">
        <f>AG385</f>
        <v>0</v>
      </c>
      <c r="AH407" s="7">
        <f t="shared" si="929"/>
        <v>-1</v>
      </c>
      <c r="AI407" s="258"/>
      <c r="AJ407" s="304">
        <f>AJ385</f>
        <v>0</v>
      </c>
      <c r="AK407" s="234">
        <f t="shared" si="930"/>
        <v>1</v>
      </c>
      <c r="AL407" s="123"/>
      <c r="AM407" s="8"/>
      <c r="AN407" s="34"/>
      <c r="AO407" s="713"/>
      <c r="AP407" s="123"/>
      <c r="AQ407" s="8"/>
      <c r="AR407" s="34"/>
      <c r="AS407" s="713"/>
      <c r="AT407" s="20"/>
      <c r="AU407" s="8"/>
      <c r="AV407" s="34"/>
      <c r="AW407" s="234"/>
      <c r="AX407" s="234"/>
      <c r="AY407" s="395">
        <f t="shared" si="931"/>
        <v>-1</v>
      </c>
      <c r="AZ407" s="32">
        <f t="shared" ref="AZ407:AZ412" si="943">AK407</f>
        <v>1</v>
      </c>
      <c r="BA407" s="302">
        <f>BA385</f>
        <v>0</v>
      </c>
      <c r="BB407" s="7">
        <f t="shared" si="932"/>
        <v>-1</v>
      </c>
      <c r="BC407" s="258"/>
      <c r="BD407" s="304">
        <f>BD385</f>
        <v>0</v>
      </c>
      <c r="BE407" s="234">
        <f t="shared" si="933"/>
        <v>1</v>
      </c>
      <c r="BF407" s="123"/>
      <c r="BG407" s="8"/>
      <c r="BH407" s="34"/>
      <c r="BI407" s="713"/>
      <c r="BJ407" s="123"/>
      <c r="BK407" s="8"/>
      <c r="BL407" s="34"/>
      <c r="BM407" s="713"/>
      <c r="BN407" s="20"/>
      <c r="BO407" s="8"/>
      <c r="BP407" s="34"/>
      <c r="BQ407" s="234"/>
      <c r="BR407" s="234"/>
      <c r="BS407" s="395">
        <f t="shared" si="934"/>
        <v>-1</v>
      </c>
      <c r="BT407" s="32">
        <f t="shared" ref="BT407:BT412" si="944">BE407</f>
        <v>1</v>
      </c>
      <c r="BU407" s="302">
        <f>BU385</f>
        <v>0</v>
      </c>
      <c r="BV407" s="7">
        <f t="shared" si="935"/>
        <v>-1</v>
      </c>
      <c r="BW407" s="258"/>
      <c r="BX407" s="304">
        <f>BX385</f>
        <v>0</v>
      </c>
      <c r="BY407" s="234">
        <f t="shared" si="936"/>
        <v>1</v>
      </c>
      <c r="BZ407" s="123"/>
      <c r="CA407" s="8"/>
      <c r="CB407" s="34"/>
      <c r="CC407" s="713"/>
      <c r="CD407" s="123"/>
      <c r="CE407" s="8"/>
      <c r="CF407" s="34"/>
      <c r="CG407" s="713"/>
      <c r="CH407" s="20"/>
      <c r="CI407" s="8"/>
      <c r="CJ407" s="34"/>
      <c r="CK407" s="234"/>
      <c r="CL407" s="234"/>
      <c r="CM407" s="395">
        <f t="shared" si="937"/>
        <v>-1</v>
      </c>
      <c r="CN407" s="32">
        <f t="shared" ref="CN407:CN412" si="945">BY407</f>
        <v>1</v>
      </c>
      <c r="CO407" s="302">
        <f>CO385</f>
        <v>0</v>
      </c>
      <c r="CP407" s="7">
        <f t="shared" si="938"/>
        <v>-1</v>
      </c>
      <c r="CQ407" s="242"/>
      <c r="CR407" s="304">
        <f>CR385</f>
        <v>0</v>
      </c>
      <c r="CS407" s="234">
        <f t="shared" si="939"/>
        <v>1</v>
      </c>
      <c r="CT407" s="123"/>
      <c r="CU407" s="8"/>
      <c r="CV407" s="34"/>
      <c r="CW407" s="713"/>
      <c r="CX407" s="123"/>
      <c r="CY407" s="8"/>
      <c r="CZ407" s="34"/>
      <c r="DA407" s="713"/>
      <c r="DB407" s="20"/>
      <c r="DC407" s="8"/>
      <c r="DD407" s="34"/>
      <c r="DE407" s="234"/>
      <c r="DF407" s="234"/>
      <c r="DG407" s="395">
        <f t="shared" si="940"/>
        <v>-1</v>
      </c>
      <c r="DH407" s="32">
        <f t="shared" si="918"/>
        <v>1</v>
      </c>
      <c r="DI407" s="302">
        <f>DI385</f>
        <v>0</v>
      </c>
      <c r="DJ407" s="7">
        <f t="shared" si="941"/>
        <v>-1</v>
      </c>
      <c r="DK407" s="242"/>
      <c r="DL407" s="304">
        <f>DL385</f>
        <v>0</v>
      </c>
      <c r="DM407" s="234">
        <f t="shared" si="942"/>
        <v>1</v>
      </c>
    </row>
    <row r="408" spans="1:117" x14ac:dyDescent="0.25">
      <c r="A408" s="17"/>
      <c r="B408" s="10" t="s">
        <v>294</v>
      </c>
      <c r="C408" s="17">
        <v>1</v>
      </c>
      <c r="D408" s="10" t="s">
        <v>314</v>
      </c>
      <c r="E408" s="10"/>
      <c r="F408" s="337"/>
      <c r="G408" s="109"/>
      <c r="H408" s="24"/>
      <c r="I408" s="24"/>
      <c r="J408" s="530">
        <f t="shared" si="924"/>
        <v>-5</v>
      </c>
      <c r="K408" s="395">
        <f t="shared" si="902"/>
        <v>-5</v>
      </c>
      <c r="L408" s="32">
        <v>5</v>
      </c>
      <c r="M408" s="302">
        <f>M385</f>
        <v>0</v>
      </c>
      <c r="N408" s="7">
        <f t="shared" si="925"/>
        <v>-5</v>
      </c>
      <c r="O408" s="258"/>
      <c r="P408" s="304">
        <f>P385</f>
        <v>0</v>
      </c>
      <c r="Q408" s="234">
        <f t="shared" si="926"/>
        <v>5</v>
      </c>
      <c r="R408" s="123"/>
      <c r="S408" s="8"/>
      <c r="T408" s="34"/>
      <c r="U408" s="713"/>
      <c r="V408" s="123"/>
      <c r="W408" s="8"/>
      <c r="X408" s="34"/>
      <c r="Y408" s="713"/>
      <c r="Z408" s="20"/>
      <c r="AA408" s="8"/>
      <c r="AB408" s="34"/>
      <c r="AC408" s="234"/>
      <c r="AD408" s="234"/>
      <c r="AE408" s="398">
        <f t="shared" si="927"/>
        <v>-5</v>
      </c>
      <c r="AF408" s="32">
        <f t="shared" si="928"/>
        <v>5</v>
      </c>
      <c r="AG408" s="302">
        <f>AG385</f>
        <v>0</v>
      </c>
      <c r="AH408" s="7">
        <f t="shared" si="929"/>
        <v>-5</v>
      </c>
      <c r="AI408" s="258"/>
      <c r="AJ408" s="304">
        <f>AJ385</f>
        <v>0</v>
      </c>
      <c r="AK408" s="234">
        <f t="shared" si="930"/>
        <v>5</v>
      </c>
      <c r="AL408" s="123"/>
      <c r="AM408" s="8"/>
      <c r="AN408" s="34"/>
      <c r="AO408" s="713"/>
      <c r="AP408" s="123"/>
      <c r="AQ408" s="8"/>
      <c r="AR408" s="34"/>
      <c r="AS408" s="713"/>
      <c r="AT408" s="20"/>
      <c r="AU408" s="8"/>
      <c r="AV408" s="34"/>
      <c r="AW408" s="234"/>
      <c r="AX408" s="234"/>
      <c r="AY408" s="395">
        <f t="shared" si="931"/>
        <v>-5</v>
      </c>
      <c r="AZ408" s="32">
        <f t="shared" si="943"/>
        <v>5</v>
      </c>
      <c r="BA408" s="302">
        <f>BA385</f>
        <v>0</v>
      </c>
      <c r="BB408" s="7">
        <f t="shared" si="932"/>
        <v>-5</v>
      </c>
      <c r="BC408" s="258"/>
      <c r="BD408" s="304">
        <f>BD385</f>
        <v>0</v>
      </c>
      <c r="BE408" s="234">
        <f t="shared" si="933"/>
        <v>5</v>
      </c>
      <c r="BF408" s="123"/>
      <c r="BG408" s="8"/>
      <c r="BH408" s="34"/>
      <c r="BI408" s="713"/>
      <c r="BJ408" s="123"/>
      <c r="BK408" s="8"/>
      <c r="BL408" s="34"/>
      <c r="BM408" s="713"/>
      <c r="BN408" s="20"/>
      <c r="BO408" s="8"/>
      <c r="BP408" s="34"/>
      <c r="BQ408" s="234"/>
      <c r="BR408" s="234"/>
      <c r="BS408" s="395">
        <f t="shared" si="934"/>
        <v>-5</v>
      </c>
      <c r="BT408" s="32">
        <f t="shared" si="944"/>
        <v>5</v>
      </c>
      <c r="BU408" s="302">
        <f>BU385</f>
        <v>0</v>
      </c>
      <c r="BV408" s="7">
        <f t="shared" si="935"/>
        <v>-5</v>
      </c>
      <c r="BW408" s="258"/>
      <c r="BX408" s="304">
        <f>BX385</f>
        <v>0</v>
      </c>
      <c r="BY408" s="234">
        <f t="shared" si="936"/>
        <v>5</v>
      </c>
      <c r="BZ408" s="123"/>
      <c r="CA408" s="8"/>
      <c r="CB408" s="34"/>
      <c r="CC408" s="713"/>
      <c r="CD408" s="123"/>
      <c r="CE408" s="8"/>
      <c r="CF408" s="34"/>
      <c r="CG408" s="713"/>
      <c r="CH408" s="20"/>
      <c r="CI408" s="8"/>
      <c r="CJ408" s="34"/>
      <c r="CK408" s="234"/>
      <c r="CL408" s="234"/>
      <c r="CM408" s="395">
        <f t="shared" si="937"/>
        <v>-5</v>
      </c>
      <c r="CN408" s="32">
        <f t="shared" si="945"/>
        <v>5</v>
      </c>
      <c r="CO408" s="302">
        <f>CO385</f>
        <v>0</v>
      </c>
      <c r="CP408" s="7">
        <f t="shared" si="938"/>
        <v>-5</v>
      </c>
      <c r="CQ408" s="242"/>
      <c r="CR408" s="304">
        <f>CR385</f>
        <v>0</v>
      </c>
      <c r="CS408" s="234">
        <f t="shared" si="939"/>
        <v>5</v>
      </c>
      <c r="CT408" s="123"/>
      <c r="CU408" s="8"/>
      <c r="CV408" s="34"/>
      <c r="CW408" s="713"/>
      <c r="CX408" s="123"/>
      <c r="CY408" s="8"/>
      <c r="CZ408" s="34"/>
      <c r="DA408" s="713"/>
      <c r="DB408" s="20"/>
      <c r="DC408" s="8"/>
      <c r="DD408" s="34"/>
      <c r="DE408" s="234"/>
      <c r="DF408" s="234"/>
      <c r="DG408" s="395">
        <f t="shared" si="940"/>
        <v>-5</v>
      </c>
      <c r="DH408" s="32">
        <f t="shared" si="918"/>
        <v>5</v>
      </c>
      <c r="DI408" s="302">
        <f>DI385</f>
        <v>0</v>
      </c>
      <c r="DJ408" s="7">
        <f t="shared" si="941"/>
        <v>-5</v>
      </c>
      <c r="DK408" s="242"/>
      <c r="DL408" s="304">
        <f>DL385</f>
        <v>0</v>
      </c>
      <c r="DM408" s="234">
        <f t="shared" si="942"/>
        <v>5</v>
      </c>
    </row>
    <row r="409" spans="1:117" x14ac:dyDescent="0.25">
      <c r="A409" s="17"/>
      <c r="B409" s="10" t="s">
        <v>295</v>
      </c>
      <c r="C409" s="17">
        <v>1</v>
      </c>
      <c r="D409" s="10" t="s">
        <v>314</v>
      </c>
      <c r="E409" s="10"/>
      <c r="F409" s="337"/>
      <c r="G409" s="109"/>
      <c r="H409" s="24"/>
      <c r="I409" s="24"/>
      <c r="J409" s="530">
        <f t="shared" si="924"/>
        <v>-8</v>
      </c>
      <c r="K409" s="395">
        <f t="shared" si="902"/>
        <v>-8</v>
      </c>
      <c r="L409" s="32">
        <v>8</v>
      </c>
      <c r="M409" s="302">
        <f>M385</f>
        <v>0</v>
      </c>
      <c r="N409" s="7">
        <f t="shared" si="925"/>
        <v>-8</v>
      </c>
      <c r="O409" s="258"/>
      <c r="P409" s="304">
        <f>P385</f>
        <v>0</v>
      </c>
      <c r="Q409" s="234">
        <f t="shared" si="926"/>
        <v>8</v>
      </c>
      <c r="R409" s="123"/>
      <c r="S409" s="8"/>
      <c r="T409" s="34"/>
      <c r="U409" s="713"/>
      <c r="V409" s="123"/>
      <c r="W409" s="8"/>
      <c r="X409" s="34"/>
      <c r="Y409" s="713"/>
      <c r="Z409" s="20"/>
      <c r="AA409" s="8"/>
      <c r="AB409" s="34"/>
      <c r="AC409" s="234"/>
      <c r="AD409" s="234"/>
      <c r="AE409" s="398">
        <f t="shared" si="927"/>
        <v>-8</v>
      </c>
      <c r="AF409" s="32">
        <f t="shared" si="928"/>
        <v>8</v>
      </c>
      <c r="AG409" s="302">
        <f>AG385</f>
        <v>0</v>
      </c>
      <c r="AH409" s="7">
        <f t="shared" si="929"/>
        <v>-8</v>
      </c>
      <c r="AI409" s="258"/>
      <c r="AJ409" s="304">
        <f>AJ385</f>
        <v>0</v>
      </c>
      <c r="AK409" s="234">
        <f t="shared" si="930"/>
        <v>8</v>
      </c>
      <c r="AL409" s="123"/>
      <c r="AM409" s="8"/>
      <c r="AN409" s="34"/>
      <c r="AO409" s="713"/>
      <c r="AP409" s="123"/>
      <c r="AQ409" s="8"/>
      <c r="AR409" s="34"/>
      <c r="AS409" s="713"/>
      <c r="AT409" s="20"/>
      <c r="AU409" s="8"/>
      <c r="AV409" s="34"/>
      <c r="AW409" s="234"/>
      <c r="AX409" s="234"/>
      <c r="AY409" s="395">
        <f t="shared" si="931"/>
        <v>-8</v>
      </c>
      <c r="AZ409" s="32">
        <f t="shared" si="943"/>
        <v>8</v>
      </c>
      <c r="BA409" s="302">
        <f>BA385</f>
        <v>0</v>
      </c>
      <c r="BB409" s="7">
        <f t="shared" si="932"/>
        <v>-8</v>
      </c>
      <c r="BC409" s="258"/>
      <c r="BD409" s="304">
        <f>BD385</f>
        <v>0</v>
      </c>
      <c r="BE409" s="234">
        <f t="shared" si="933"/>
        <v>8</v>
      </c>
      <c r="BF409" s="123"/>
      <c r="BG409" s="8"/>
      <c r="BH409" s="34"/>
      <c r="BI409" s="713"/>
      <c r="BJ409" s="123"/>
      <c r="BK409" s="8"/>
      <c r="BL409" s="34"/>
      <c r="BM409" s="713"/>
      <c r="BN409" s="20"/>
      <c r="BO409" s="8"/>
      <c r="BP409" s="34"/>
      <c r="BQ409" s="234"/>
      <c r="BR409" s="234"/>
      <c r="BS409" s="395">
        <f t="shared" si="934"/>
        <v>-8</v>
      </c>
      <c r="BT409" s="32">
        <f t="shared" si="944"/>
        <v>8</v>
      </c>
      <c r="BU409" s="302">
        <f>BU385</f>
        <v>0</v>
      </c>
      <c r="BV409" s="7">
        <f t="shared" si="935"/>
        <v>-8</v>
      </c>
      <c r="BW409" s="258"/>
      <c r="BX409" s="304">
        <f>BX385</f>
        <v>0</v>
      </c>
      <c r="BY409" s="234">
        <f t="shared" si="936"/>
        <v>8</v>
      </c>
      <c r="BZ409" s="123"/>
      <c r="CA409" s="8"/>
      <c r="CB409" s="34"/>
      <c r="CC409" s="713"/>
      <c r="CD409" s="123"/>
      <c r="CE409" s="8"/>
      <c r="CF409" s="34"/>
      <c r="CG409" s="713"/>
      <c r="CH409" s="20"/>
      <c r="CI409" s="8"/>
      <c r="CJ409" s="34"/>
      <c r="CK409" s="234"/>
      <c r="CL409" s="234"/>
      <c r="CM409" s="395">
        <f t="shared" si="937"/>
        <v>-8</v>
      </c>
      <c r="CN409" s="32">
        <f t="shared" si="945"/>
        <v>8</v>
      </c>
      <c r="CO409" s="302">
        <f>CO385</f>
        <v>0</v>
      </c>
      <c r="CP409" s="7">
        <f t="shared" si="938"/>
        <v>-8</v>
      </c>
      <c r="CQ409" s="242"/>
      <c r="CR409" s="304">
        <f>CR385</f>
        <v>0</v>
      </c>
      <c r="CS409" s="234">
        <f t="shared" si="939"/>
        <v>8</v>
      </c>
      <c r="CT409" s="123"/>
      <c r="CU409" s="8"/>
      <c r="CV409" s="34"/>
      <c r="CW409" s="713"/>
      <c r="CX409" s="123"/>
      <c r="CY409" s="8"/>
      <c r="CZ409" s="34"/>
      <c r="DA409" s="713"/>
      <c r="DB409" s="20"/>
      <c r="DC409" s="8"/>
      <c r="DD409" s="34"/>
      <c r="DE409" s="234"/>
      <c r="DF409" s="234"/>
      <c r="DG409" s="395">
        <f t="shared" si="940"/>
        <v>-8</v>
      </c>
      <c r="DH409" s="32">
        <f t="shared" si="918"/>
        <v>8</v>
      </c>
      <c r="DI409" s="302">
        <f>DI385</f>
        <v>0</v>
      </c>
      <c r="DJ409" s="7">
        <f t="shared" si="941"/>
        <v>-8</v>
      </c>
      <c r="DK409" s="242"/>
      <c r="DL409" s="304">
        <f>DL385</f>
        <v>0</v>
      </c>
      <c r="DM409" s="234">
        <f t="shared" si="942"/>
        <v>8</v>
      </c>
    </row>
    <row r="410" spans="1:117" x14ac:dyDescent="0.25">
      <c r="A410" s="17"/>
      <c r="B410" s="475" t="s">
        <v>296</v>
      </c>
      <c r="C410" s="17">
        <v>1</v>
      </c>
      <c r="D410" s="372" t="s">
        <v>313</v>
      </c>
      <c r="E410" s="372"/>
      <c r="F410" s="337"/>
      <c r="G410" s="109"/>
      <c r="H410" s="24"/>
      <c r="I410" s="24"/>
      <c r="J410" s="530">
        <f t="shared" si="924"/>
        <v>-2</v>
      </c>
      <c r="K410" s="395">
        <f t="shared" si="902"/>
        <v>-2</v>
      </c>
      <c r="L410" s="515">
        <v>4</v>
      </c>
      <c r="M410" s="302">
        <f>SUM(M432,M385)</f>
        <v>2</v>
      </c>
      <c r="N410" s="7">
        <f t="shared" si="925"/>
        <v>-2</v>
      </c>
      <c r="O410" s="258"/>
      <c r="P410" s="304">
        <f>SUM(P432,P385)</f>
        <v>2</v>
      </c>
      <c r="Q410" s="234">
        <f t="shared" si="926"/>
        <v>2</v>
      </c>
      <c r="R410" s="123"/>
      <c r="S410" s="8"/>
      <c r="T410" s="34"/>
      <c r="U410" s="713"/>
      <c r="V410" s="123"/>
      <c r="W410" s="8"/>
      <c r="X410" s="34"/>
      <c r="Y410" s="713"/>
      <c r="Z410" s="20"/>
      <c r="AA410" s="8"/>
      <c r="AB410" s="34"/>
      <c r="AC410" s="234"/>
      <c r="AD410" s="234"/>
      <c r="AE410" s="398">
        <f t="shared" si="927"/>
        <v>-2</v>
      </c>
      <c r="AF410" s="32">
        <f t="shared" si="928"/>
        <v>2</v>
      </c>
      <c r="AG410" s="302">
        <f>SUM(AG432,AG385)</f>
        <v>0</v>
      </c>
      <c r="AH410" s="7">
        <f t="shared" si="929"/>
        <v>-2</v>
      </c>
      <c r="AI410" s="242"/>
      <c r="AJ410" s="304">
        <f>SUM(AJ432,AJ385)</f>
        <v>0</v>
      </c>
      <c r="AK410" s="234">
        <f t="shared" si="930"/>
        <v>2</v>
      </c>
      <c r="AL410" s="123"/>
      <c r="AM410" s="8"/>
      <c r="AN410" s="34"/>
      <c r="AO410" s="713"/>
      <c r="AP410" s="123"/>
      <c r="AQ410" s="8"/>
      <c r="AR410" s="34"/>
      <c r="AS410" s="713"/>
      <c r="AT410" s="20"/>
      <c r="AU410" s="8"/>
      <c r="AV410" s="34"/>
      <c r="AW410" s="234"/>
      <c r="AX410" s="234"/>
      <c r="AY410" s="395">
        <f t="shared" si="931"/>
        <v>-2</v>
      </c>
      <c r="AZ410" s="32">
        <f t="shared" si="943"/>
        <v>2</v>
      </c>
      <c r="BA410" s="302">
        <f>SUM(BA432,BA385)</f>
        <v>0</v>
      </c>
      <c r="BB410" s="7">
        <f t="shared" si="932"/>
        <v>-2</v>
      </c>
      <c r="BC410" s="258"/>
      <c r="BD410" s="304">
        <f>SUM(BD432,BD385)</f>
        <v>0</v>
      </c>
      <c r="BE410" s="234">
        <f t="shared" si="933"/>
        <v>2</v>
      </c>
      <c r="BF410" s="123"/>
      <c r="BG410" s="8"/>
      <c r="BH410" s="34"/>
      <c r="BI410" s="713"/>
      <c r="BJ410" s="123"/>
      <c r="BK410" s="8"/>
      <c r="BL410" s="34"/>
      <c r="BM410" s="713"/>
      <c r="BN410" s="20"/>
      <c r="BO410" s="8"/>
      <c r="BP410" s="34"/>
      <c r="BQ410" s="234"/>
      <c r="BR410" s="234"/>
      <c r="BS410" s="395">
        <f t="shared" si="934"/>
        <v>-2</v>
      </c>
      <c r="BT410" s="32">
        <f t="shared" si="944"/>
        <v>2</v>
      </c>
      <c r="BU410" s="302">
        <f>SUM(BU432,BU385)</f>
        <v>0</v>
      </c>
      <c r="BV410" s="7">
        <f t="shared" si="935"/>
        <v>-2</v>
      </c>
      <c r="BW410" s="258"/>
      <c r="BX410" s="304">
        <f>SUM(BX432,BX385)</f>
        <v>0</v>
      </c>
      <c r="BY410" s="234">
        <f t="shared" si="936"/>
        <v>2</v>
      </c>
      <c r="BZ410" s="123"/>
      <c r="CA410" s="8"/>
      <c r="CB410" s="34"/>
      <c r="CC410" s="713"/>
      <c r="CD410" s="123"/>
      <c r="CE410" s="8"/>
      <c r="CF410" s="34"/>
      <c r="CG410" s="713"/>
      <c r="CH410" s="20"/>
      <c r="CI410" s="8"/>
      <c r="CJ410" s="34"/>
      <c r="CK410" s="234"/>
      <c r="CL410" s="234"/>
      <c r="CM410" s="395">
        <f t="shared" si="937"/>
        <v>-2</v>
      </c>
      <c r="CN410" s="32">
        <f t="shared" si="945"/>
        <v>2</v>
      </c>
      <c r="CO410" s="302">
        <f>SUM(CO432,CO385)</f>
        <v>0</v>
      </c>
      <c r="CP410" s="7">
        <f t="shared" si="938"/>
        <v>-2</v>
      </c>
      <c r="CQ410" s="242"/>
      <c r="CR410" s="304">
        <f>SUM(CR432,CR385)</f>
        <v>0</v>
      </c>
      <c r="CS410" s="234">
        <f t="shared" si="939"/>
        <v>2</v>
      </c>
      <c r="CT410" s="123"/>
      <c r="CU410" s="8"/>
      <c r="CV410" s="34"/>
      <c r="CW410" s="713"/>
      <c r="CX410" s="123"/>
      <c r="CY410" s="8"/>
      <c r="CZ410" s="34"/>
      <c r="DA410" s="713"/>
      <c r="DB410" s="20"/>
      <c r="DC410" s="8"/>
      <c r="DD410" s="34"/>
      <c r="DE410" s="234"/>
      <c r="DF410" s="234"/>
      <c r="DG410" s="395">
        <f t="shared" si="940"/>
        <v>-2</v>
      </c>
      <c r="DH410" s="32">
        <f t="shared" si="918"/>
        <v>2</v>
      </c>
      <c r="DI410" s="302">
        <f>SUM(DI432,DI385)</f>
        <v>0</v>
      </c>
      <c r="DJ410" s="7">
        <f t="shared" si="941"/>
        <v>-2</v>
      </c>
      <c r="DK410" s="242"/>
      <c r="DL410" s="304">
        <f>SUM(DL432,DL385)</f>
        <v>0</v>
      </c>
      <c r="DM410" s="234">
        <f t="shared" si="942"/>
        <v>2</v>
      </c>
    </row>
    <row r="411" spans="1:117" x14ac:dyDescent="0.25">
      <c r="A411" s="17"/>
      <c r="B411" s="10" t="s">
        <v>297</v>
      </c>
      <c r="C411" s="17">
        <v>1</v>
      </c>
      <c r="D411" s="10" t="s">
        <v>314</v>
      </c>
      <c r="E411" s="10"/>
      <c r="F411" s="337"/>
      <c r="G411" s="109"/>
      <c r="H411" s="24"/>
      <c r="I411" s="24"/>
      <c r="J411" s="530">
        <f t="shared" si="924"/>
        <v>-2</v>
      </c>
      <c r="K411" s="395">
        <f t="shared" si="902"/>
        <v>-2</v>
      </c>
      <c r="L411" s="32">
        <v>2</v>
      </c>
      <c r="M411" s="302">
        <f>M385</f>
        <v>0</v>
      </c>
      <c r="N411" s="7">
        <f t="shared" si="925"/>
        <v>-2</v>
      </c>
      <c r="O411" s="258"/>
      <c r="P411" s="304">
        <f>P385</f>
        <v>0</v>
      </c>
      <c r="Q411" s="234">
        <f t="shared" si="926"/>
        <v>2</v>
      </c>
      <c r="R411" s="123"/>
      <c r="S411" s="8"/>
      <c r="T411" s="34"/>
      <c r="U411" s="713"/>
      <c r="V411" s="123"/>
      <c r="W411" s="8"/>
      <c r="X411" s="34"/>
      <c r="Y411" s="713"/>
      <c r="Z411" s="20"/>
      <c r="AA411" s="8"/>
      <c r="AB411" s="34"/>
      <c r="AC411" s="234"/>
      <c r="AD411" s="234"/>
      <c r="AE411" s="398">
        <f t="shared" si="927"/>
        <v>-2</v>
      </c>
      <c r="AF411" s="32">
        <f t="shared" si="928"/>
        <v>2</v>
      </c>
      <c r="AG411" s="302">
        <f>AG385</f>
        <v>0</v>
      </c>
      <c r="AH411" s="7">
        <f t="shared" si="929"/>
        <v>-2</v>
      </c>
      <c r="AI411" s="258"/>
      <c r="AJ411" s="304">
        <f>AJ385</f>
        <v>0</v>
      </c>
      <c r="AK411" s="234">
        <f t="shared" si="930"/>
        <v>2</v>
      </c>
      <c r="AL411" s="123"/>
      <c r="AM411" s="8"/>
      <c r="AN411" s="34"/>
      <c r="AO411" s="713"/>
      <c r="AP411" s="123"/>
      <c r="AQ411" s="8"/>
      <c r="AR411" s="34"/>
      <c r="AS411" s="713"/>
      <c r="AT411" s="20"/>
      <c r="AU411" s="8"/>
      <c r="AV411" s="34"/>
      <c r="AW411" s="234"/>
      <c r="AX411" s="234"/>
      <c r="AY411" s="395">
        <f t="shared" si="931"/>
        <v>-2</v>
      </c>
      <c r="AZ411" s="32">
        <f t="shared" si="943"/>
        <v>2</v>
      </c>
      <c r="BA411" s="302">
        <f>BA385</f>
        <v>0</v>
      </c>
      <c r="BB411" s="7">
        <f t="shared" si="932"/>
        <v>-2</v>
      </c>
      <c r="BC411" s="258"/>
      <c r="BD411" s="304">
        <f>BD385</f>
        <v>0</v>
      </c>
      <c r="BE411" s="234">
        <f t="shared" si="933"/>
        <v>2</v>
      </c>
      <c r="BF411" s="123"/>
      <c r="BG411" s="8"/>
      <c r="BH411" s="34"/>
      <c r="BI411" s="713"/>
      <c r="BJ411" s="123"/>
      <c r="BK411" s="8"/>
      <c r="BL411" s="34"/>
      <c r="BM411" s="713"/>
      <c r="BN411" s="20"/>
      <c r="BO411" s="8"/>
      <c r="BP411" s="34"/>
      <c r="BQ411" s="234"/>
      <c r="BR411" s="234"/>
      <c r="BS411" s="395">
        <f t="shared" si="934"/>
        <v>-2</v>
      </c>
      <c r="BT411" s="32">
        <f t="shared" si="944"/>
        <v>2</v>
      </c>
      <c r="BU411" s="302">
        <f>BU385</f>
        <v>0</v>
      </c>
      <c r="BV411" s="7">
        <f t="shared" si="935"/>
        <v>-2</v>
      </c>
      <c r="BW411" s="258"/>
      <c r="BX411" s="304">
        <f>BX385</f>
        <v>0</v>
      </c>
      <c r="BY411" s="234">
        <f t="shared" si="936"/>
        <v>2</v>
      </c>
      <c r="BZ411" s="123"/>
      <c r="CA411" s="8"/>
      <c r="CB411" s="34"/>
      <c r="CC411" s="713"/>
      <c r="CD411" s="123"/>
      <c r="CE411" s="8"/>
      <c r="CF411" s="34"/>
      <c r="CG411" s="713"/>
      <c r="CH411" s="20"/>
      <c r="CI411" s="8"/>
      <c r="CJ411" s="34"/>
      <c r="CK411" s="234"/>
      <c r="CL411" s="234"/>
      <c r="CM411" s="395">
        <f t="shared" si="937"/>
        <v>-2</v>
      </c>
      <c r="CN411" s="32">
        <f t="shared" si="945"/>
        <v>2</v>
      </c>
      <c r="CO411" s="302">
        <f>CO385</f>
        <v>0</v>
      </c>
      <c r="CP411" s="7">
        <f t="shared" si="938"/>
        <v>-2</v>
      </c>
      <c r="CQ411" s="242"/>
      <c r="CR411" s="304">
        <f>CR385</f>
        <v>0</v>
      </c>
      <c r="CS411" s="234">
        <f t="shared" si="939"/>
        <v>2</v>
      </c>
      <c r="CT411" s="123"/>
      <c r="CU411" s="8"/>
      <c r="CV411" s="34"/>
      <c r="CW411" s="713"/>
      <c r="CX411" s="123"/>
      <c r="CY411" s="8"/>
      <c r="CZ411" s="34"/>
      <c r="DA411" s="713"/>
      <c r="DB411" s="20"/>
      <c r="DC411" s="8"/>
      <c r="DD411" s="34"/>
      <c r="DE411" s="234"/>
      <c r="DF411" s="234"/>
      <c r="DG411" s="395">
        <f t="shared" si="940"/>
        <v>-2</v>
      </c>
      <c r="DH411" s="32">
        <f t="shared" si="918"/>
        <v>2</v>
      </c>
      <c r="DI411" s="302">
        <f>DI385</f>
        <v>0</v>
      </c>
      <c r="DJ411" s="7">
        <f t="shared" si="941"/>
        <v>-2</v>
      </c>
      <c r="DK411" s="242"/>
      <c r="DL411" s="304">
        <f>DL385</f>
        <v>0</v>
      </c>
      <c r="DM411" s="234">
        <f t="shared" si="942"/>
        <v>2</v>
      </c>
    </row>
    <row r="412" spans="1:117" x14ac:dyDescent="0.25">
      <c r="A412" s="17"/>
      <c r="B412" s="10" t="s">
        <v>298</v>
      </c>
      <c r="C412" s="17">
        <v>1</v>
      </c>
      <c r="D412" s="10" t="s">
        <v>314</v>
      </c>
      <c r="E412" s="10"/>
      <c r="F412" s="337"/>
      <c r="G412" s="109"/>
      <c r="H412" s="24"/>
      <c r="I412" s="24"/>
      <c r="J412" s="530">
        <f t="shared" si="924"/>
        <v>-2</v>
      </c>
      <c r="K412" s="395">
        <f t="shared" si="902"/>
        <v>-2</v>
      </c>
      <c r="L412" s="32">
        <v>2</v>
      </c>
      <c r="M412" s="302">
        <f>M385</f>
        <v>0</v>
      </c>
      <c r="N412" s="7">
        <f t="shared" si="925"/>
        <v>-2</v>
      </c>
      <c r="O412" s="258"/>
      <c r="P412" s="304">
        <f>P385</f>
        <v>0</v>
      </c>
      <c r="Q412" s="234">
        <f t="shared" si="926"/>
        <v>2</v>
      </c>
      <c r="R412" s="123"/>
      <c r="S412" s="8"/>
      <c r="T412" s="34"/>
      <c r="U412" s="713"/>
      <c r="V412" s="123"/>
      <c r="W412" s="8"/>
      <c r="X412" s="34"/>
      <c r="Y412" s="713"/>
      <c r="Z412" s="20"/>
      <c r="AA412" s="8"/>
      <c r="AB412" s="34"/>
      <c r="AC412" s="234"/>
      <c r="AD412" s="234"/>
      <c r="AE412" s="398">
        <f t="shared" si="927"/>
        <v>-2</v>
      </c>
      <c r="AF412" s="32">
        <f t="shared" si="928"/>
        <v>2</v>
      </c>
      <c r="AG412" s="302">
        <f>AG385</f>
        <v>0</v>
      </c>
      <c r="AH412" s="7">
        <f t="shared" si="929"/>
        <v>-2</v>
      </c>
      <c r="AI412" s="258"/>
      <c r="AJ412" s="304">
        <f>AJ385</f>
        <v>0</v>
      </c>
      <c r="AK412" s="234">
        <f t="shared" si="930"/>
        <v>2</v>
      </c>
      <c r="AL412" s="123"/>
      <c r="AM412" s="8"/>
      <c r="AN412" s="34"/>
      <c r="AO412" s="713"/>
      <c r="AP412" s="123"/>
      <c r="AQ412" s="8"/>
      <c r="AR412" s="34"/>
      <c r="AS412" s="713"/>
      <c r="AT412" s="20"/>
      <c r="AU412" s="8"/>
      <c r="AV412" s="34"/>
      <c r="AW412" s="234"/>
      <c r="AX412" s="234"/>
      <c r="AY412" s="395">
        <f t="shared" si="931"/>
        <v>-2</v>
      </c>
      <c r="AZ412" s="32">
        <f t="shared" si="943"/>
        <v>2</v>
      </c>
      <c r="BA412" s="302">
        <f>BA385</f>
        <v>0</v>
      </c>
      <c r="BB412" s="7">
        <f t="shared" si="932"/>
        <v>-2</v>
      </c>
      <c r="BC412" s="258"/>
      <c r="BD412" s="304">
        <f>BD385</f>
        <v>0</v>
      </c>
      <c r="BE412" s="234">
        <f t="shared" si="933"/>
        <v>2</v>
      </c>
      <c r="BF412" s="123"/>
      <c r="BG412" s="8"/>
      <c r="BH412" s="34"/>
      <c r="BI412" s="713"/>
      <c r="BJ412" s="123"/>
      <c r="BK412" s="8"/>
      <c r="BL412" s="34"/>
      <c r="BM412" s="713"/>
      <c r="BN412" s="20"/>
      <c r="BO412" s="8"/>
      <c r="BP412" s="34"/>
      <c r="BQ412" s="234"/>
      <c r="BR412" s="234"/>
      <c r="BS412" s="395">
        <f t="shared" si="934"/>
        <v>-2</v>
      </c>
      <c r="BT412" s="32">
        <f t="shared" si="944"/>
        <v>2</v>
      </c>
      <c r="BU412" s="302">
        <f>BU385</f>
        <v>0</v>
      </c>
      <c r="BV412" s="7">
        <f t="shared" si="935"/>
        <v>-2</v>
      </c>
      <c r="BW412" s="258"/>
      <c r="BX412" s="304">
        <f>BX385</f>
        <v>0</v>
      </c>
      <c r="BY412" s="234">
        <f t="shared" si="936"/>
        <v>2</v>
      </c>
      <c r="BZ412" s="123"/>
      <c r="CA412" s="8"/>
      <c r="CB412" s="34"/>
      <c r="CC412" s="713"/>
      <c r="CD412" s="123"/>
      <c r="CE412" s="8"/>
      <c r="CF412" s="34"/>
      <c r="CG412" s="713"/>
      <c r="CH412" s="20"/>
      <c r="CI412" s="8"/>
      <c r="CJ412" s="34"/>
      <c r="CK412" s="234"/>
      <c r="CL412" s="234"/>
      <c r="CM412" s="395">
        <f t="shared" si="937"/>
        <v>-2</v>
      </c>
      <c r="CN412" s="32">
        <f t="shared" si="945"/>
        <v>2</v>
      </c>
      <c r="CO412" s="302">
        <f>CO385</f>
        <v>0</v>
      </c>
      <c r="CP412" s="7">
        <f t="shared" si="938"/>
        <v>-2</v>
      </c>
      <c r="CQ412" s="242"/>
      <c r="CR412" s="304">
        <f>CR385</f>
        <v>0</v>
      </c>
      <c r="CS412" s="234">
        <f t="shared" si="939"/>
        <v>2</v>
      </c>
      <c r="CT412" s="123"/>
      <c r="CU412" s="8"/>
      <c r="CV412" s="34"/>
      <c r="CW412" s="713"/>
      <c r="CX412" s="123"/>
      <c r="CY412" s="8"/>
      <c r="CZ412" s="34"/>
      <c r="DA412" s="713"/>
      <c r="DB412" s="20"/>
      <c r="DC412" s="8"/>
      <c r="DD412" s="34"/>
      <c r="DE412" s="234"/>
      <c r="DF412" s="234"/>
      <c r="DG412" s="395">
        <f t="shared" si="940"/>
        <v>-2</v>
      </c>
      <c r="DH412" s="32">
        <f t="shared" si="918"/>
        <v>2</v>
      </c>
      <c r="DI412" s="302">
        <f>DI385</f>
        <v>0</v>
      </c>
      <c r="DJ412" s="7">
        <f t="shared" si="941"/>
        <v>-2</v>
      </c>
      <c r="DK412" s="242"/>
      <c r="DL412" s="304">
        <f>DL385</f>
        <v>0</v>
      </c>
      <c r="DM412" s="234">
        <f t="shared" si="942"/>
        <v>2</v>
      </c>
    </row>
    <row r="413" spans="1:117" x14ac:dyDescent="0.25">
      <c r="A413" s="360"/>
      <c r="B413" s="347" t="s">
        <v>35</v>
      </c>
      <c r="C413" s="360"/>
      <c r="D413" s="361"/>
      <c r="E413" s="361"/>
      <c r="F413" s="362"/>
      <c r="G413" s="361"/>
      <c r="H413" s="363"/>
      <c r="I413" s="363"/>
      <c r="J413" s="360"/>
      <c r="K413" s="360"/>
      <c r="L413" s="364"/>
      <c r="M413" s="353"/>
      <c r="N413" s="353"/>
      <c r="O413" s="354"/>
      <c r="P413" s="354"/>
      <c r="Q413" s="365"/>
      <c r="R413" s="366"/>
      <c r="S413" s="367"/>
      <c r="T413" s="368"/>
      <c r="U413" s="718"/>
      <c r="V413" s="366"/>
      <c r="W413" s="367"/>
      <c r="X413" s="368"/>
      <c r="Y413" s="718"/>
      <c r="Z413" s="369"/>
      <c r="AA413" s="367"/>
      <c r="AB413" s="368"/>
      <c r="AC413" s="365"/>
      <c r="AD413" s="365"/>
      <c r="AE413" s="360"/>
      <c r="AF413" s="364"/>
      <c r="AG413" s="353"/>
      <c r="AH413" s="353"/>
      <c r="AI413" s="354"/>
      <c r="AJ413" s="354"/>
      <c r="AK413" s="365"/>
      <c r="AL413" s="366"/>
      <c r="AM413" s="367"/>
      <c r="AN413" s="368"/>
      <c r="AO413" s="718"/>
      <c r="AP413" s="366"/>
      <c r="AQ413" s="367"/>
      <c r="AR413" s="368"/>
      <c r="AS413" s="718"/>
      <c r="AT413" s="369"/>
      <c r="AU413" s="367"/>
      <c r="AV413" s="368"/>
      <c r="AW413" s="365"/>
      <c r="AX413" s="365"/>
      <c r="AY413" s="360"/>
      <c r="AZ413" s="364"/>
      <c r="BA413" s="353"/>
      <c r="BB413" s="353"/>
      <c r="BC413" s="442"/>
      <c r="BD413" s="354"/>
      <c r="BE413" s="365"/>
      <c r="BF413" s="366"/>
      <c r="BG413" s="367"/>
      <c r="BH413" s="368"/>
      <c r="BI413" s="718"/>
      <c r="BJ413" s="366"/>
      <c r="BK413" s="367"/>
      <c r="BL413" s="368"/>
      <c r="BM413" s="718"/>
      <c r="BN413" s="369"/>
      <c r="BO413" s="367"/>
      <c r="BP413" s="368"/>
      <c r="BQ413" s="365"/>
      <c r="BR413" s="365"/>
      <c r="BS413" s="360"/>
      <c r="BT413" s="364"/>
      <c r="BU413" s="353"/>
      <c r="BV413" s="353"/>
      <c r="BW413" s="354"/>
      <c r="BX413" s="354"/>
      <c r="BY413" s="365"/>
      <c r="BZ413" s="366"/>
      <c r="CA413" s="367"/>
      <c r="CB413" s="368"/>
      <c r="CC413" s="718"/>
      <c r="CD413" s="366"/>
      <c r="CE413" s="367"/>
      <c r="CF413" s="368"/>
      <c r="CG413" s="718"/>
      <c r="CH413" s="369"/>
      <c r="CI413" s="367"/>
      <c r="CJ413" s="368"/>
      <c r="CK413" s="365"/>
      <c r="CL413" s="365"/>
      <c r="CM413" s="360"/>
      <c r="CN413" s="364"/>
      <c r="CO413" s="353"/>
      <c r="CP413" s="353"/>
      <c r="CQ413" s="354"/>
      <c r="CR413" s="354"/>
      <c r="CS413" s="365"/>
      <c r="CT413" s="366"/>
      <c r="CU413" s="367"/>
      <c r="CV413" s="368"/>
      <c r="CW413" s="718"/>
      <c r="CX413" s="366"/>
      <c r="CY413" s="367"/>
      <c r="CZ413" s="368"/>
      <c r="DA413" s="718"/>
      <c r="DB413" s="369"/>
      <c r="DC413" s="367"/>
      <c r="DD413" s="368"/>
      <c r="DE413" s="365"/>
      <c r="DF413" s="365"/>
      <c r="DG413" s="360"/>
      <c r="DH413" s="364"/>
      <c r="DI413" s="353"/>
      <c r="DJ413" s="353"/>
      <c r="DK413" s="354"/>
      <c r="DL413" s="354"/>
      <c r="DM413" s="365"/>
    </row>
    <row r="414" spans="1:117" x14ac:dyDescent="0.25">
      <c r="A414" s="18"/>
      <c r="B414" s="11" t="s">
        <v>316</v>
      </c>
      <c r="C414" s="18">
        <v>1</v>
      </c>
      <c r="D414" s="80" t="s">
        <v>314</v>
      </c>
      <c r="E414" s="80"/>
      <c r="F414" s="149"/>
      <c r="G414" s="11" t="s">
        <v>317</v>
      </c>
      <c r="H414" s="25"/>
      <c r="I414" s="25"/>
      <c r="J414" s="530">
        <f t="shared" ref="J414:J420" si="946">SUM(M414,AG414,BA414,BU414)-L414</f>
        <v>0</v>
      </c>
      <c r="K414" s="395">
        <f t="shared" si="902"/>
        <v>0</v>
      </c>
      <c r="L414" s="29">
        <v>0</v>
      </c>
      <c r="M414" s="302">
        <f>M385</f>
        <v>0</v>
      </c>
      <c r="N414" s="7">
        <f t="shared" si="925"/>
        <v>0</v>
      </c>
      <c r="O414" s="258"/>
      <c r="P414" s="304">
        <f>P385</f>
        <v>0</v>
      </c>
      <c r="Q414" s="231">
        <f t="shared" si="926"/>
        <v>0</v>
      </c>
      <c r="R414" s="121"/>
      <c r="S414" s="6"/>
      <c r="T414" s="35"/>
      <c r="U414" s="612"/>
      <c r="V414" s="121"/>
      <c r="W414" s="6"/>
      <c r="X414" s="35"/>
      <c r="Y414" s="612"/>
      <c r="Z414" s="21"/>
      <c r="AA414" s="6"/>
      <c r="AB414" s="35"/>
      <c r="AC414" s="231"/>
      <c r="AD414" s="231"/>
      <c r="AE414" s="398">
        <f t="shared" ref="AE414:AE420" si="947">SUM(M414,AG414)-SUM(O414,AI414)-L414</f>
        <v>0</v>
      </c>
      <c r="AF414" s="29">
        <f t="shared" ref="AF414:AF420" si="948">Q414</f>
        <v>0</v>
      </c>
      <c r="AG414" s="302">
        <f>AG385</f>
        <v>0</v>
      </c>
      <c r="AH414" s="7">
        <f t="shared" si="929"/>
        <v>0</v>
      </c>
      <c r="AI414" s="242"/>
      <c r="AJ414" s="304">
        <f>AJ385</f>
        <v>0</v>
      </c>
      <c r="AK414" s="231">
        <f t="shared" si="930"/>
        <v>0</v>
      </c>
      <c r="AL414" s="121"/>
      <c r="AM414" s="6"/>
      <c r="AN414" s="35"/>
      <c r="AO414" s="612"/>
      <c r="AP414" s="121"/>
      <c r="AQ414" s="6"/>
      <c r="AR414" s="35"/>
      <c r="AS414" s="612"/>
      <c r="AT414" s="21"/>
      <c r="AU414" s="6"/>
      <c r="AV414" s="35"/>
      <c r="AW414" s="234"/>
      <c r="AX414" s="234"/>
      <c r="AY414" s="395">
        <f t="shared" ref="AY414:AY420" si="949">SUM(M414,AG414,BA414)-SUM(O414,AI414,BC414)-L414</f>
        <v>0</v>
      </c>
      <c r="AZ414" s="29">
        <f>AK414</f>
        <v>0</v>
      </c>
      <c r="BA414" s="302">
        <f>BA385</f>
        <v>0</v>
      </c>
      <c r="BB414" s="7">
        <f t="shared" ref="BB414" si="950">BA414-AZ414</f>
        <v>0</v>
      </c>
      <c r="BC414" s="242"/>
      <c r="BD414" s="304">
        <f>BD385</f>
        <v>0</v>
      </c>
      <c r="BE414" s="231">
        <f t="shared" ref="BE414" si="951">AZ414+BC414-BD414</f>
        <v>0</v>
      </c>
      <c r="BF414" s="121"/>
      <c r="BG414" s="6"/>
      <c r="BH414" s="35"/>
      <c r="BI414" s="612"/>
      <c r="BJ414" s="121"/>
      <c r="BK414" s="6"/>
      <c r="BL414" s="35"/>
      <c r="BM414" s="612"/>
      <c r="BN414" s="21"/>
      <c r="BO414" s="6"/>
      <c r="BP414" s="35"/>
      <c r="BQ414" s="234"/>
      <c r="BR414" s="234"/>
      <c r="BS414" s="395">
        <f t="shared" ref="BS414:BS420" si="952">SUM(M414,AG414,BA414,BU414)-SUM(O414,AI414,BC414,BW414)-L414</f>
        <v>0</v>
      </c>
      <c r="BT414" s="29">
        <f>BE414</f>
        <v>0</v>
      </c>
      <c r="BU414" s="302">
        <f>BU385</f>
        <v>0</v>
      </c>
      <c r="BV414" s="7">
        <f t="shared" ref="BV414" si="953">BU414-BT414</f>
        <v>0</v>
      </c>
      <c r="BW414" s="242"/>
      <c r="BX414" s="304">
        <f>BX385</f>
        <v>0</v>
      </c>
      <c r="BY414" s="231">
        <f t="shared" ref="BY414" si="954">BT414+BW414-BX414</f>
        <v>0</v>
      </c>
      <c r="BZ414" s="121"/>
      <c r="CA414" s="6"/>
      <c r="CB414" s="35"/>
      <c r="CC414" s="612"/>
      <c r="CD414" s="121"/>
      <c r="CE414" s="6"/>
      <c r="CF414" s="35"/>
      <c r="CG414" s="612"/>
      <c r="CH414" s="21"/>
      <c r="CI414" s="6"/>
      <c r="CJ414" s="35"/>
      <c r="CK414" s="234"/>
      <c r="CL414" s="234"/>
      <c r="CM414" s="395">
        <f t="shared" ref="CM414:CM420" si="955">SUM(M414,AG414,BA414,BU414,CO414)-SUM(O414,AI414,BC414,BW414,CQ414)-L414</f>
        <v>0</v>
      </c>
      <c r="CN414" s="29">
        <f>BY414</f>
        <v>0</v>
      </c>
      <c r="CO414" s="302">
        <f>CO385</f>
        <v>0</v>
      </c>
      <c r="CP414" s="7">
        <f t="shared" ref="CP414" si="956">CO414-CN414</f>
        <v>0</v>
      </c>
      <c r="CQ414" s="242"/>
      <c r="CR414" s="304">
        <f>CR385</f>
        <v>0</v>
      </c>
      <c r="CS414" s="231">
        <f t="shared" ref="CS414" si="957">CN414+CQ414-CR414</f>
        <v>0</v>
      </c>
      <c r="CT414" s="121"/>
      <c r="CU414" s="6"/>
      <c r="CV414" s="35"/>
      <c r="CW414" s="612"/>
      <c r="CX414" s="121"/>
      <c r="CY414" s="6"/>
      <c r="CZ414" s="35"/>
      <c r="DA414" s="612"/>
      <c r="DB414" s="21"/>
      <c r="DC414" s="6"/>
      <c r="DD414" s="35"/>
      <c r="DE414" s="234"/>
      <c r="DF414" s="234"/>
      <c r="DG414" s="395">
        <f t="shared" ref="DG414:DG420" si="958">SUM(M414,AG414,BA414,BU414,DI414)-SUM(O414,AI414,BC414,BW414,CQ414)-L414</f>
        <v>0</v>
      </c>
      <c r="DH414" s="32">
        <f t="shared" si="918"/>
        <v>0</v>
      </c>
      <c r="DI414" s="302">
        <f>DI385</f>
        <v>0</v>
      </c>
      <c r="DJ414" s="7">
        <f t="shared" ref="DJ414:DJ420" si="959">DI414-DH414</f>
        <v>0</v>
      </c>
      <c r="DK414" s="242"/>
      <c r="DL414" s="304">
        <f>DL385</f>
        <v>0</v>
      </c>
      <c r="DM414" s="231">
        <f t="shared" ref="DM414:DM420" si="960">DH414+DK414-DL414</f>
        <v>0</v>
      </c>
    </row>
    <row r="415" spans="1:117" x14ac:dyDescent="0.25">
      <c r="A415" s="18"/>
      <c r="B415" s="11" t="s">
        <v>320</v>
      </c>
      <c r="C415" s="18">
        <v>1</v>
      </c>
      <c r="D415" s="10" t="s">
        <v>314</v>
      </c>
      <c r="E415" s="10"/>
      <c r="F415" s="149">
        <v>785</v>
      </c>
      <c r="G415" s="11" t="s">
        <v>28</v>
      </c>
      <c r="H415" s="25"/>
      <c r="I415" s="25"/>
      <c r="J415" s="530">
        <f t="shared" si="946"/>
        <v>-5</v>
      </c>
      <c r="K415" s="395">
        <f t="shared" si="902"/>
        <v>-5</v>
      </c>
      <c r="L415" s="29">
        <v>5</v>
      </c>
      <c r="M415" s="302">
        <f>M385</f>
        <v>0</v>
      </c>
      <c r="N415" s="7">
        <f t="shared" si="925"/>
        <v>-5</v>
      </c>
      <c r="O415" s="258"/>
      <c r="P415" s="304">
        <f>P385</f>
        <v>0</v>
      </c>
      <c r="Q415" s="231">
        <f t="shared" si="926"/>
        <v>5</v>
      </c>
      <c r="R415" s="121"/>
      <c r="S415" s="6"/>
      <c r="T415" s="35"/>
      <c r="U415" s="612"/>
      <c r="V415" s="121"/>
      <c r="W415" s="6"/>
      <c r="X415" s="35"/>
      <c r="Y415" s="612"/>
      <c r="Z415" s="21"/>
      <c r="AA415" s="6"/>
      <c r="AB415" s="35"/>
      <c r="AC415" s="231"/>
      <c r="AD415" s="231"/>
      <c r="AE415" s="398">
        <f t="shared" si="947"/>
        <v>-5</v>
      </c>
      <c r="AF415" s="29">
        <f t="shared" si="948"/>
        <v>5</v>
      </c>
      <c r="AG415" s="302">
        <f>AG385</f>
        <v>0</v>
      </c>
      <c r="AH415" s="7">
        <f t="shared" si="929"/>
        <v>-5</v>
      </c>
      <c r="AI415" s="258"/>
      <c r="AJ415" s="304">
        <f>AJ385</f>
        <v>0</v>
      </c>
      <c r="AK415" s="231">
        <f t="shared" si="930"/>
        <v>5</v>
      </c>
      <c r="AL415" s="121"/>
      <c r="AM415" s="6"/>
      <c r="AN415" s="35"/>
      <c r="AO415" s="612"/>
      <c r="AP415" s="121"/>
      <c r="AQ415" s="6"/>
      <c r="AR415" s="35"/>
      <c r="AS415" s="612"/>
      <c r="AT415" s="21"/>
      <c r="AU415" s="6"/>
      <c r="AV415" s="35"/>
      <c r="AW415" s="234"/>
      <c r="AX415" s="234"/>
      <c r="AY415" s="395">
        <f t="shared" si="949"/>
        <v>-5</v>
      </c>
      <c r="AZ415" s="29">
        <f t="shared" ref="AZ415:AZ420" si="961">AK415</f>
        <v>5</v>
      </c>
      <c r="BA415" s="302">
        <f>BA385</f>
        <v>0</v>
      </c>
      <c r="BB415" s="7">
        <f t="shared" si="932"/>
        <v>-5</v>
      </c>
      <c r="BC415" s="256"/>
      <c r="BD415" s="304">
        <f>BD385</f>
        <v>0</v>
      </c>
      <c r="BE415" s="231">
        <f t="shared" si="933"/>
        <v>5</v>
      </c>
      <c r="BF415" s="121"/>
      <c r="BG415" s="6"/>
      <c r="BH415" s="35"/>
      <c r="BI415" s="612"/>
      <c r="BJ415" s="121"/>
      <c r="BK415" s="6"/>
      <c r="BL415" s="35"/>
      <c r="BM415" s="612"/>
      <c r="BN415" s="21"/>
      <c r="BO415" s="6"/>
      <c r="BP415" s="35"/>
      <c r="BQ415" s="234"/>
      <c r="BR415" s="234"/>
      <c r="BS415" s="395">
        <f t="shared" si="952"/>
        <v>-5</v>
      </c>
      <c r="BT415" s="29">
        <f t="shared" ref="BT415:BT420" si="962">BE415</f>
        <v>5</v>
      </c>
      <c r="BU415" s="302">
        <f>BU385</f>
        <v>0</v>
      </c>
      <c r="BV415" s="7">
        <f t="shared" si="935"/>
        <v>-5</v>
      </c>
      <c r="BW415" s="258"/>
      <c r="BX415" s="304">
        <f>BX385</f>
        <v>0</v>
      </c>
      <c r="BY415" s="231">
        <f t="shared" si="936"/>
        <v>5</v>
      </c>
      <c r="BZ415" s="121"/>
      <c r="CA415" s="6"/>
      <c r="CB415" s="35"/>
      <c r="CC415" s="612"/>
      <c r="CD415" s="121"/>
      <c r="CE415" s="6"/>
      <c r="CF415" s="35"/>
      <c r="CG415" s="612"/>
      <c r="CH415" s="21"/>
      <c r="CI415" s="6"/>
      <c r="CJ415" s="35"/>
      <c r="CK415" s="234"/>
      <c r="CL415" s="234"/>
      <c r="CM415" s="395">
        <f t="shared" si="955"/>
        <v>-5</v>
      </c>
      <c r="CN415" s="29">
        <f t="shared" ref="CN415:CN420" si="963">BY415</f>
        <v>5</v>
      </c>
      <c r="CO415" s="302">
        <f>CO385</f>
        <v>0</v>
      </c>
      <c r="CP415" s="7">
        <f t="shared" si="938"/>
        <v>-5</v>
      </c>
      <c r="CQ415" s="242"/>
      <c r="CR415" s="304">
        <f>CR385</f>
        <v>0</v>
      </c>
      <c r="CS415" s="231">
        <f t="shared" si="939"/>
        <v>5</v>
      </c>
      <c r="CT415" s="121"/>
      <c r="CU415" s="6"/>
      <c r="CV415" s="35"/>
      <c r="CW415" s="612"/>
      <c r="CX415" s="121"/>
      <c r="CY415" s="6"/>
      <c r="CZ415" s="35"/>
      <c r="DA415" s="612"/>
      <c r="DB415" s="21"/>
      <c r="DC415" s="6"/>
      <c r="DD415" s="35"/>
      <c r="DE415" s="234"/>
      <c r="DF415" s="234"/>
      <c r="DG415" s="395">
        <f t="shared" si="958"/>
        <v>-5</v>
      </c>
      <c r="DH415" s="32">
        <f t="shared" si="918"/>
        <v>5</v>
      </c>
      <c r="DI415" s="302">
        <f>DI385</f>
        <v>0</v>
      </c>
      <c r="DJ415" s="7">
        <f t="shared" si="959"/>
        <v>-5</v>
      </c>
      <c r="DK415" s="242"/>
      <c r="DL415" s="304">
        <f>DL385</f>
        <v>0</v>
      </c>
      <c r="DM415" s="231">
        <f t="shared" si="960"/>
        <v>5</v>
      </c>
    </row>
    <row r="416" spans="1:117" x14ac:dyDescent="0.25">
      <c r="A416" s="18"/>
      <c r="B416" s="11" t="s">
        <v>321</v>
      </c>
      <c r="C416" s="18">
        <v>1</v>
      </c>
      <c r="D416" s="10" t="s">
        <v>314</v>
      </c>
      <c r="E416" s="10"/>
      <c r="F416" s="149">
        <v>243</v>
      </c>
      <c r="G416" s="11" t="s">
        <v>28</v>
      </c>
      <c r="H416" s="25"/>
      <c r="I416" s="25"/>
      <c r="J416" s="530">
        <f t="shared" si="946"/>
        <v>-3</v>
      </c>
      <c r="K416" s="395">
        <f t="shared" si="902"/>
        <v>-3</v>
      </c>
      <c r="L416" s="29">
        <v>3</v>
      </c>
      <c r="M416" s="302">
        <f>M385</f>
        <v>0</v>
      </c>
      <c r="N416" s="7">
        <f t="shared" si="925"/>
        <v>-3</v>
      </c>
      <c r="O416" s="258"/>
      <c r="P416" s="304">
        <f>P385</f>
        <v>0</v>
      </c>
      <c r="Q416" s="231">
        <f t="shared" si="926"/>
        <v>3</v>
      </c>
      <c r="R416" s="121"/>
      <c r="S416" s="6"/>
      <c r="T416" s="35"/>
      <c r="U416" s="612"/>
      <c r="V416" s="121"/>
      <c r="W416" s="6"/>
      <c r="X416" s="35"/>
      <c r="Y416" s="612"/>
      <c r="Z416" s="21"/>
      <c r="AA416" s="6"/>
      <c r="AB416" s="35"/>
      <c r="AC416" s="231"/>
      <c r="AD416" s="231"/>
      <c r="AE416" s="398">
        <f t="shared" si="947"/>
        <v>-3</v>
      </c>
      <c r="AF416" s="29">
        <f t="shared" si="948"/>
        <v>3</v>
      </c>
      <c r="AG416" s="302">
        <f>AG385</f>
        <v>0</v>
      </c>
      <c r="AH416" s="7">
        <f t="shared" si="929"/>
        <v>-3</v>
      </c>
      <c r="AI416" s="258"/>
      <c r="AJ416" s="304">
        <f>AJ385</f>
        <v>0</v>
      </c>
      <c r="AK416" s="231">
        <f t="shared" si="930"/>
        <v>3</v>
      </c>
      <c r="AL416" s="121"/>
      <c r="AM416" s="6"/>
      <c r="AN416" s="35"/>
      <c r="AO416" s="612"/>
      <c r="AP416" s="121"/>
      <c r="AQ416" s="6"/>
      <c r="AR416" s="35"/>
      <c r="AS416" s="612"/>
      <c r="AT416" s="21"/>
      <c r="AU416" s="6"/>
      <c r="AV416" s="35"/>
      <c r="AW416" s="234"/>
      <c r="AX416" s="234"/>
      <c r="AY416" s="395">
        <f t="shared" si="949"/>
        <v>-3</v>
      </c>
      <c r="AZ416" s="29">
        <f t="shared" si="961"/>
        <v>3</v>
      </c>
      <c r="BA416" s="302">
        <f>BA385</f>
        <v>0</v>
      </c>
      <c r="BB416" s="7">
        <f t="shared" si="932"/>
        <v>-3</v>
      </c>
      <c r="BC416" s="258"/>
      <c r="BD416" s="304">
        <f>BD385</f>
        <v>0</v>
      </c>
      <c r="BE416" s="231">
        <f t="shared" si="933"/>
        <v>3</v>
      </c>
      <c r="BF416" s="121"/>
      <c r="BG416" s="6"/>
      <c r="BH416" s="35"/>
      <c r="BI416" s="612"/>
      <c r="BJ416" s="121"/>
      <c r="BK416" s="6"/>
      <c r="BL416" s="35"/>
      <c r="BM416" s="612"/>
      <c r="BN416" s="21"/>
      <c r="BO416" s="6"/>
      <c r="BP416" s="35"/>
      <c r="BQ416" s="234"/>
      <c r="BR416" s="234"/>
      <c r="BS416" s="395">
        <f t="shared" si="952"/>
        <v>-3</v>
      </c>
      <c r="BT416" s="29">
        <f t="shared" si="962"/>
        <v>3</v>
      </c>
      <c r="BU416" s="302">
        <f>BU385</f>
        <v>0</v>
      </c>
      <c r="BV416" s="7">
        <f t="shared" si="935"/>
        <v>-3</v>
      </c>
      <c r="BW416" s="258"/>
      <c r="BX416" s="304">
        <f>BX385</f>
        <v>0</v>
      </c>
      <c r="BY416" s="231">
        <f t="shared" si="936"/>
        <v>3</v>
      </c>
      <c r="BZ416" s="121"/>
      <c r="CA416" s="6"/>
      <c r="CB416" s="35"/>
      <c r="CC416" s="612"/>
      <c r="CD416" s="121"/>
      <c r="CE416" s="6"/>
      <c r="CF416" s="35"/>
      <c r="CG416" s="612"/>
      <c r="CH416" s="21"/>
      <c r="CI416" s="6"/>
      <c r="CJ416" s="35"/>
      <c r="CK416" s="234"/>
      <c r="CL416" s="234"/>
      <c r="CM416" s="395">
        <f t="shared" si="955"/>
        <v>-3</v>
      </c>
      <c r="CN416" s="29">
        <f t="shared" si="963"/>
        <v>3</v>
      </c>
      <c r="CO416" s="302">
        <f>CO385</f>
        <v>0</v>
      </c>
      <c r="CP416" s="7">
        <f t="shared" si="938"/>
        <v>-3</v>
      </c>
      <c r="CQ416" s="242"/>
      <c r="CR416" s="304">
        <f>CR385</f>
        <v>0</v>
      </c>
      <c r="CS416" s="231">
        <f t="shared" si="939"/>
        <v>3</v>
      </c>
      <c r="CT416" s="121"/>
      <c r="CU416" s="6"/>
      <c r="CV416" s="35"/>
      <c r="CW416" s="612"/>
      <c r="CX416" s="121"/>
      <c r="CY416" s="6"/>
      <c r="CZ416" s="35"/>
      <c r="DA416" s="612"/>
      <c r="DB416" s="21"/>
      <c r="DC416" s="6"/>
      <c r="DD416" s="35"/>
      <c r="DE416" s="234"/>
      <c r="DF416" s="234"/>
      <c r="DG416" s="395">
        <f t="shared" si="958"/>
        <v>-3</v>
      </c>
      <c r="DH416" s="32">
        <f t="shared" si="918"/>
        <v>3</v>
      </c>
      <c r="DI416" s="302">
        <f>DI385</f>
        <v>0</v>
      </c>
      <c r="DJ416" s="7">
        <f t="shared" si="959"/>
        <v>-3</v>
      </c>
      <c r="DK416" s="242"/>
      <c r="DL416" s="304">
        <f>DL385</f>
        <v>0</v>
      </c>
      <c r="DM416" s="231">
        <f t="shared" si="960"/>
        <v>3</v>
      </c>
    </row>
    <row r="417" spans="1:117" x14ac:dyDescent="0.25">
      <c r="A417" s="18"/>
      <c r="B417" s="11" t="s">
        <v>322</v>
      </c>
      <c r="C417" s="18">
        <v>1</v>
      </c>
      <c r="D417" s="13" t="s">
        <v>313</v>
      </c>
      <c r="E417" s="13"/>
      <c r="F417" s="149">
        <v>122.56</v>
      </c>
      <c r="G417" s="11" t="s">
        <v>28</v>
      </c>
      <c r="H417" s="25"/>
      <c r="I417" s="25"/>
      <c r="J417" s="530">
        <f t="shared" si="946"/>
        <v>-2</v>
      </c>
      <c r="K417" s="395">
        <f t="shared" si="902"/>
        <v>-2</v>
      </c>
      <c r="L417" s="29">
        <v>4</v>
      </c>
      <c r="M417" s="302">
        <f>SUM(M432,M385)</f>
        <v>2</v>
      </c>
      <c r="N417" s="7">
        <f t="shared" si="925"/>
        <v>-2</v>
      </c>
      <c r="O417" s="258"/>
      <c r="P417" s="304">
        <f>SUM(P432,P385)</f>
        <v>2</v>
      </c>
      <c r="Q417" s="231">
        <f t="shared" si="926"/>
        <v>2</v>
      </c>
      <c r="R417" s="121"/>
      <c r="S417" s="6"/>
      <c r="T417" s="35"/>
      <c r="U417" s="612"/>
      <c r="V417" s="121"/>
      <c r="W417" s="6"/>
      <c r="X417" s="35"/>
      <c r="Y417" s="612"/>
      <c r="Z417" s="21"/>
      <c r="AA417" s="6"/>
      <c r="AB417" s="35"/>
      <c r="AC417" s="231"/>
      <c r="AD417" s="231"/>
      <c r="AE417" s="398">
        <f t="shared" si="947"/>
        <v>-2</v>
      </c>
      <c r="AF417" s="29">
        <f t="shared" si="948"/>
        <v>2</v>
      </c>
      <c r="AG417" s="302">
        <f>SUM(AG432,AG385)</f>
        <v>0</v>
      </c>
      <c r="AH417" s="7">
        <f t="shared" si="929"/>
        <v>-2</v>
      </c>
      <c r="AI417" s="258"/>
      <c r="AJ417" s="304">
        <f>SUM(AJ432,AJ385)</f>
        <v>0</v>
      </c>
      <c r="AK417" s="231">
        <f t="shared" si="930"/>
        <v>2</v>
      </c>
      <c r="AL417" s="121"/>
      <c r="AM417" s="6"/>
      <c r="AN417" s="35"/>
      <c r="AO417" s="612"/>
      <c r="AP417" s="121"/>
      <c r="AQ417" s="6"/>
      <c r="AR417" s="35"/>
      <c r="AS417" s="612"/>
      <c r="AT417" s="21"/>
      <c r="AU417" s="6"/>
      <c r="AV417" s="35"/>
      <c r="AW417" s="234"/>
      <c r="AX417" s="234"/>
      <c r="AY417" s="395">
        <f t="shared" si="949"/>
        <v>-2</v>
      </c>
      <c r="AZ417" s="29">
        <f t="shared" si="961"/>
        <v>2</v>
      </c>
      <c r="BA417" s="302">
        <f>SUM(BA432,BA385)</f>
        <v>0</v>
      </c>
      <c r="BB417" s="7">
        <f t="shared" si="932"/>
        <v>-2</v>
      </c>
      <c r="BC417" s="256"/>
      <c r="BD417" s="304">
        <f>SUM(BD432,BD385)</f>
        <v>0</v>
      </c>
      <c r="BE417" s="231">
        <f t="shared" si="933"/>
        <v>2</v>
      </c>
      <c r="BF417" s="121"/>
      <c r="BG417" s="6"/>
      <c r="BH417" s="35"/>
      <c r="BI417" s="612"/>
      <c r="BJ417" s="121"/>
      <c r="BK417" s="6"/>
      <c r="BL417" s="35"/>
      <c r="BM417" s="612"/>
      <c r="BN417" s="21"/>
      <c r="BO417" s="6"/>
      <c r="BP417" s="35"/>
      <c r="BQ417" s="234"/>
      <c r="BR417" s="234"/>
      <c r="BS417" s="395">
        <f t="shared" si="952"/>
        <v>-2</v>
      </c>
      <c r="BT417" s="29">
        <f t="shared" si="962"/>
        <v>2</v>
      </c>
      <c r="BU417" s="302">
        <f>SUM(BU432,BU385)</f>
        <v>0</v>
      </c>
      <c r="BV417" s="7">
        <f t="shared" si="935"/>
        <v>-2</v>
      </c>
      <c r="BW417" s="258"/>
      <c r="BX417" s="304">
        <f>SUM(BX432,BX385)</f>
        <v>0</v>
      </c>
      <c r="BY417" s="231">
        <f t="shared" si="936"/>
        <v>2</v>
      </c>
      <c r="BZ417" s="121"/>
      <c r="CA417" s="6"/>
      <c r="CB417" s="35"/>
      <c r="CC417" s="612"/>
      <c r="CD417" s="121"/>
      <c r="CE417" s="6"/>
      <c r="CF417" s="35"/>
      <c r="CG417" s="612"/>
      <c r="CH417" s="21"/>
      <c r="CI417" s="6"/>
      <c r="CJ417" s="35"/>
      <c r="CK417" s="234"/>
      <c r="CL417" s="234"/>
      <c r="CM417" s="395">
        <f t="shared" si="955"/>
        <v>-2</v>
      </c>
      <c r="CN417" s="29">
        <f t="shared" si="963"/>
        <v>2</v>
      </c>
      <c r="CO417" s="302">
        <f>SUM(CO432,CO385)</f>
        <v>0</v>
      </c>
      <c r="CP417" s="7">
        <f t="shared" si="938"/>
        <v>-2</v>
      </c>
      <c r="CQ417" s="242"/>
      <c r="CR417" s="304">
        <f>SUM(CR432,CR385)</f>
        <v>0</v>
      </c>
      <c r="CS417" s="231">
        <f t="shared" si="939"/>
        <v>2</v>
      </c>
      <c r="CT417" s="121"/>
      <c r="CU417" s="6"/>
      <c r="CV417" s="35"/>
      <c r="CW417" s="612"/>
      <c r="CX417" s="121"/>
      <c r="CY417" s="6"/>
      <c r="CZ417" s="35"/>
      <c r="DA417" s="612"/>
      <c r="DB417" s="21"/>
      <c r="DC417" s="6"/>
      <c r="DD417" s="35"/>
      <c r="DE417" s="234"/>
      <c r="DF417" s="234"/>
      <c r="DG417" s="395">
        <f t="shared" si="958"/>
        <v>-2</v>
      </c>
      <c r="DH417" s="32">
        <f t="shared" si="918"/>
        <v>2</v>
      </c>
      <c r="DI417" s="302">
        <f>SUM(DI432,DI385)</f>
        <v>0</v>
      </c>
      <c r="DJ417" s="7">
        <f t="shared" si="959"/>
        <v>-2</v>
      </c>
      <c r="DK417" s="242"/>
      <c r="DL417" s="304">
        <f>SUM(DL432,DL385)</f>
        <v>0</v>
      </c>
      <c r="DM417" s="231">
        <f t="shared" si="960"/>
        <v>2</v>
      </c>
    </row>
    <row r="418" spans="1:117" x14ac:dyDescent="0.25">
      <c r="A418" s="18"/>
      <c r="B418" s="11" t="s">
        <v>323</v>
      </c>
      <c r="C418" s="18">
        <v>1</v>
      </c>
      <c r="D418" s="13" t="s">
        <v>483</v>
      </c>
      <c r="E418" s="13"/>
      <c r="F418" s="149"/>
      <c r="G418" s="11" t="s">
        <v>28</v>
      </c>
      <c r="H418" s="25"/>
      <c r="I418" s="25"/>
      <c r="J418" s="530">
        <f t="shared" si="946"/>
        <v>-30</v>
      </c>
      <c r="K418" s="395">
        <f t="shared" si="902"/>
        <v>-30</v>
      </c>
      <c r="L418" s="29">
        <v>32</v>
      </c>
      <c r="M418" s="302">
        <f>SUM(M432,M385)</f>
        <v>2</v>
      </c>
      <c r="N418" s="7">
        <f t="shared" si="925"/>
        <v>-30</v>
      </c>
      <c r="O418" s="258"/>
      <c r="P418" s="304">
        <f>SUM(P432,P385)</f>
        <v>2</v>
      </c>
      <c r="Q418" s="231">
        <f t="shared" si="926"/>
        <v>30</v>
      </c>
      <c r="R418" s="121"/>
      <c r="S418" s="6"/>
      <c r="T418" s="35"/>
      <c r="U418" s="612"/>
      <c r="V418" s="121"/>
      <c r="W418" s="6"/>
      <c r="X418" s="35"/>
      <c r="Y418" s="612"/>
      <c r="Z418" s="21"/>
      <c r="AA418" s="6"/>
      <c r="AB418" s="35"/>
      <c r="AC418" s="231"/>
      <c r="AD418" s="231"/>
      <c r="AE418" s="398">
        <f t="shared" si="947"/>
        <v>-30</v>
      </c>
      <c r="AF418" s="29">
        <f t="shared" si="948"/>
        <v>30</v>
      </c>
      <c r="AG418" s="302">
        <f>SUM(AG432,AG385)</f>
        <v>0</v>
      </c>
      <c r="AH418" s="7">
        <f t="shared" si="929"/>
        <v>-30</v>
      </c>
      <c r="AI418" s="258"/>
      <c r="AJ418" s="304">
        <f>SUM(AJ432,AJ385)</f>
        <v>0</v>
      </c>
      <c r="AK418" s="231">
        <f t="shared" si="930"/>
        <v>30</v>
      </c>
      <c r="AL418" s="121"/>
      <c r="AM418" s="6"/>
      <c r="AN418" s="35"/>
      <c r="AO418" s="612"/>
      <c r="AP418" s="121"/>
      <c r="AQ418" s="6"/>
      <c r="AR418" s="35"/>
      <c r="AS418" s="612"/>
      <c r="AT418" s="21"/>
      <c r="AU418" s="6"/>
      <c r="AV418" s="35"/>
      <c r="AW418" s="234"/>
      <c r="AX418" s="234"/>
      <c r="AY418" s="395">
        <f t="shared" si="949"/>
        <v>-30</v>
      </c>
      <c r="AZ418" s="29">
        <f t="shared" si="961"/>
        <v>30</v>
      </c>
      <c r="BA418" s="302">
        <f>SUM(BA432,BA385)</f>
        <v>0</v>
      </c>
      <c r="BB418" s="7">
        <f t="shared" si="932"/>
        <v>-30</v>
      </c>
      <c r="BC418" s="258"/>
      <c r="BD418" s="304">
        <f>SUM(BD432,BD385)</f>
        <v>0</v>
      </c>
      <c r="BE418" s="231">
        <f t="shared" si="933"/>
        <v>30</v>
      </c>
      <c r="BF418" s="121"/>
      <c r="BG418" s="6"/>
      <c r="BH418" s="35"/>
      <c r="BI418" s="612"/>
      <c r="BJ418" s="121"/>
      <c r="BK418" s="6"/>
      <c r="BL418" s="35"/>
      <c r="BM418" s="612"/>
      <c r="BN418" s="21"/>
      <c r="BO418" s="6"/>
      <c r="BP418" s="35"/>
      <c r="BQ418" s="234"/>
      <c r="BR418" s="234"/>
      <c r="BS418" s="395">
        <f t="shared" si="952"/>
        <v>-30</v>
      </c>
      <c r="BT418" s="29">
        <f t="shared" si="962"/>
        <v>30</v>
      </c>
      <c r="BU418" s="302">
        <f>SUM(BU432,BU385)</f>
        <v>0</v>
      </c>
      <c r="BV418" s="7">
        <f t="shared" si="935"/>
        <v>-30</v>
      </c>
      <c r="BW418" s="258"/>
      <c r="BX418" s="304">
        <f>SUM(BX432,BX385)</f>
        <v>0</v>
      </c>
      <c r="BY418" s="231">
        <f t="shared" si="936"/>
        <v>30</v>
      </c>
      <c r="BZ418" s="121"/>
      <c r="CA418" s="6"/>
      <c r="CB418" s="35"/>
      <c r="CC418" s="612"/>
      <c r="CD418" s="121"/>
      <c r="CE418" s="6"/>
      <c r="CF418" s="35"/>
      <c r="CG418" s="612"/>
      <c r="CH418" s="21"/>
      <c r="CI418" s="6"/>
      <c r="CJ418" s="35"/>
      <c r="CK418" s="234"/>
      <c r="CL418" s="234"/>
      <c r="CM418" s="395">
        <f t="shared" si="955"/>
        <v>-30</v>
      </c>
      <c r="CN418" s="29">
        <f t="shared" si="963"/>
        <v>30</v>
      </c>
      <c r="CO418" s="302">
        <f>SUM(CO432,CO385)</f>
        <v>0</v>
      </c>
      <c r="CP418" s="7">
        <f t="shared" si="938"/>
        <v>-30</v>
      </c>
      <c r="CQ418" s="242"/>
      <c r="CR418" s="304">
        <f>SUM(CR432,CR385)</f>
        <v>0</v>
      </c>
      <c r="CS418" s="231">
        <f t="shared" si="939"/>
        <v>30</v>
      </c>
      <c r="CT418" s="121"/>
      <c r="CU418" s="6"/>
      <c r="CV418" s="35"/>
      <c r="CW418" s="612"/>
      <c r="CX418" s="121"/>
      <c r="CY418" s="6"/>
      <c r="CZ418" s="35"/>
      <c r="DA418" s="612"/>
      <c r="DB418" s="21"/>
      <c r="DC418" s="6"/>
      <c r="DD418" s="35"/>
      <c r="DE418" s="234"/>
      <c r="DF418" s="234"/>
      <c r="DG418" s="395">
        <f t="shared" si="958"/>
        <v>-30</v>
      </c>
      <c r="DH418" s="32">
        <f t="shared" si="918"/>
        <v>30</v>
      </c>
      <c r="DI418" s="302">
        <f>SUM(DI432,DI385)</f>
        <v>0</v>
      </c>
      <c r="DJ418" s="7">
        <f t="shared" si="959"/>
        <v>-30</v>
      </c>
      <c r="DK418" s="242"/>
      <c r="DL418" s="304">
        <f>SUM(DL432,DL385)</f>
        <v>0</v>
      </c>
      <c r="DM418" s="231">
        <f t="shared" si="960"/>
        <v>30</v>
      </c>
    </row>
    <row r="419" spans="1:117" x14ac:dyDescent="0.25">
      <c r="A419" s="18"/>
      <c r="B419" s="11" t="s">
        <v>324</v>
      </c>
      <c r="C419" s="18">
        <v>1</v>
      </c>
      <c r="D419" s="13" t="s">
        <v>318</v>
      </c>
      <c r="E419" s="13"/>
      <c r="F419" s="149">
        <v>563.63</v>
      </c>
      <c r="G419" s="11" t="s">
        <v>28</v>
      </c>
      <c r="H419" s="25"/>
      <c r="I419" s="25"/>
      <c r="J419" s="530">
        <f t="shared" si="946"/>
        <v>-2</v>
      </c>
      <c r="K419" s="395">
        <f t="shared" si="902"/>
        <v>-2</v>
      </c>
      <c r="L419" s="29">
        <v>4</v>
      </c>
      <c r="M419" s="302">
        <f>SUM(M432,M385)</f>
        <v>2</v>
      </c>
      <c r="N419" s="7">
        <f t="shared" si="925"/>
        <v>-2</v>
      </c>
      <c r="O419" s="258"/>
      <c r="P419" s="304">
        <f>SUM(P432,P385)</f>
        <v>2</v>
      </c>
      <c r="Q419" s="231">
        <f t="shared" si="926"/>
        <v>2</v>
      </c>
      <c r="R419" s="121"/>
      <c r="S419" s="6"/>
      <c r="T419" s="35"/>
      <c r="U419" s="612"/>
      <c r="V419" s="121"/>
      <c r="W419" s="6"/>
      <c r="X419" s="35"/>
      <c r="Y419" s="612"/>
      <c r="Z419" s="21"/>
      <c r="AA419" s="6"/>
      <c r="AB419" s="35"/>
      <c r="AC419" s="231"/>
      <c r="AD419" s="231"/>
      <c r="AE419" s="398">
        <f t="shared" si="947"/>
        <v>-2</v>
      </c>
      <c r="AF419" s="29">
        <f t="shared" si="948"/>
        <v>2</v>
      </c>
      <c r="AG419" s="302">
        <f>SUM(AG432,AG385)</f>
        <v>0</v>
      </c>
      <c r="AH419" s="7">
        <f t="shared" si="929"/>
        <v>-2</v>
      </c>
      <c r="AI419" s="258"/>
      <c r="AJ419" s="304">
        <f>SUM(AJ432,AJ385)</f>
        <v>0</v>
      </c>
      <c r="AK419" s="231">
        <f t="shared" si="930"/>
        <v>2</v>
      </c>
      <c r="AL419" s="121"/>
      <c r="AM419" s="6"/>
      <c r="AN419" s="35"/>
      <c r="AO419" s="612"/>
      <c r="AP419" s="121"/>
      <c r="AQ419" s="6"/>
      <c r="AR419" s="35"/>
      <c r="AS419" s="612"/>
      <c r="AT419" s="21"/>
      <c r="AU419" s="6"/>
      <c r="AV419" s="35"/>
      <c r="AW419" s="234"/>
      <c r="AX419" s="234"/>
      <c r="AY419" s="395">
        <f t="shared" si="949"/>
        <v>-2</v>
      </c>
      <c r="AZ419" s="29">
        <f t="shared" si="961"/>
        <v>2</v>
      </c>
      <c r="BA419" s="302">
        <f>SUM(BA432,BA385)</f>
        <v>0</v>
      </c>
      <c r="BB419" s="7">
        <f t="shared" si="932"/>
        <v>-2</v>
      </c>
      <c r="BC419" s="256"/>
      <c r="BD419" s="304">
        <f>SUM(BD432,BD385)</f>
        <v>0</v>
      </c>
      <c r="BE419" s="231">
        <f t="shared" si="933"/>
        <v>2</v>
      </c>
      <c r="BF419" s="121"/>
      <c r="BG419" s="6"/>
      <c r="BH419" s="35"/>
      <c r="BI419" s="612"/>
      <c r="BJ419" s="121"/>
      <c r="BK419" s="6"/>
      <c r="BL419" s="35"/>
      <c r="BM419" s="612"/>
      <c r="BN419" s="21"/>
      <c r="BO419" s="6"/>
      <c r="BP419" s="35"/>
      <c r="BQ419" s="234"/>
      <c r="BR419" s="234"/>
      <c r="BS419" s="395">
        <f t="shared" si="952"/>
        <v>-2</v>
      </c>
      <c r="BT419" s="29">
        <f t="shared" si="962"/>
        <v>2</v>
      </c>
      <c r="BU419" s="302">
        <f>SUM(BU432,BU385)</f>
        <v>0</v>
      </c>
      <c r="BV419" s="7">
        <f t="shared" si="935"/>
        <v>-2</v>
      </c>
      <c r="BW419" s="258"/>
      <c r="BX419" s="304">
        <f>SUM(BX432,BX385)</f>
        <v>0</v>
      </c>
      <c r="BY419" s="231">
        <f t="shared" si="936"/>
        <v>2</v>
      </c>
      <c r="BZ419" s="121"/>
      <c r="CA419" s="6"/>
      <c r="CB419" s="35"/>
      <c r="CC419" s="612"/>
      <c r="CD419" s="121"/>
      <c r="CE419" s="6"/>
      <c r="CF419" s="35"/>
      <c r="CG419" s="612"/>
      <c r="CH419" s="21"/>
      <c r="CI419" s="6"/>
      <c r="CJ419" s="35"/>
      <c r="CK419" s="234"/>
      <c r="CL419" s="234"/>
      <c r="CM419" s="395">
        <f t="shared" si="955"/>
        <v>-2</v>
      </c>
      <c r="CN419" s="29">
        <f t="shared" si="963"/>
        <v>2</v>
      </c>
      <c r="CO419" s="302">
        <f>SUM(CO432,CO385)</f>
        <v>0</v>
      </c>
      <c r="CP419" s="7">
        <f t="shared" si="938"/>
        <v>-2</v>
      </c>
      <c r="CQ419" s="242"/>
      <c r="CR419" s="304">
        <f>SUM(CR432,CR385)</f>
        <v>0</v>
      </c>
      <c r="CS419" s="231">
        <f t="shared" si="939"/>
        <v>2</v>
      </c>
      <c r="CT419" s="121"/>
      <c r="CU419" s="6"/>
      <c r="CV419" s="35"/>
      <c r="CW419" s="612"/>
      <c r="CX419" s="121"/>
      <c r="CY419" s="6"/>
      <c r="CZ419" s="35"/>
      <c r="DA419" s="612"/>
      <c r="DB419" s="21"/>
      <c r="DC419" s="6"/>
      <c r="DD419" s="35"/>
      <c r="DE419" s="234"/>
      <c r="DF419" s="234"/>
      <c r="DG419" s="395">
        <f t="shared" si="958"/>
        <v>-2</v>
      </c>
      <c r="DH419" s="32">
        <f t="shared" si="918"/>
        <v>2</v>
      </c>
      <c r="DI419" s="302">
        <f>SUM(DI432,DI385)</f>
        <v>0</v>
      </c>
      <c r="DJ419" s="7">
        <f t="shared" si="959"/>
        <v>-2</v>
      </c>
      <c r="DK419" s="242"/>
      <c r="DL419" s="304">
        <f>SUM(DL432,DL385)</f>
        <v>0</v>
      </c>
      <c r="DM419" s="231">
        <f t="shared" si="960"/>
        <v>2</v>
      </c>
    </row>
    <row r="420" spans="1:117" x14ac:dyDescent="0.25">
      <c r="A420" s="18"/>
      <c r="B420" s="11" t="s">
        <v>319</v>
      </c>
      <c r="C420" s="18">
        <v>1</v>
      </c>
      <c r="D420" s="13" t="s">
        <v>482</v>
      </c>
      <c r="E420" s="13"/>
      <c r="F420" s="149">
        <v>155.09</v>
      </c>
      <c r="G420" s="11" t="s">
        <v>28</v>
      </c>
      <c r="H420" s="25"/>
      <c r="I420" s="25"/>
      <c r="J420" s="530">
        <f t="shared" si="946"/>
        <v>-2</v>
      </c>
      <c r="K420" s="395">
        <f t="shared" si="902"/>
        <v>-2</v>
      </c>
      <c r="L420" s="29">
        <v>4</v>
      </c>
      <c r="M420" s="302">
        <f>SUM(M432,M385)</f>
        <v>2</v>
      </c>
      <c r="N420" s="7">
        <f t="shared" si="925"/>
        <v>-2</v>
      </c>
      <c r="O420" s="258"/>
      <c r="P420" s="304">
        <f>SUM(P432,P385)</f>
        <v>2</v>
      </c>
      <c r="Q420" s="231">
        <f t="shared" si="926"/>
        <v>2</v>
      </c>
      <c r="R420" s="121"/>
      <c r="S420" s="6"/>
      <c r="T420" s="35"/>
      <c r="U420" s="612"/>
      <c r="V420" s="121"/>
      <c r="W420" s="6"/>
      <c r="X420" s="35"/>
      <c r="Y420" s="612"/>
      <c r="Z420" s="21"/>
      <c r="AA420" s="6"/>
      <c r="AB420" s="35"/>
      <c r="AC420" s="231"/>
      <c r="AD420" s="231"/>
      <c r="AE420" s="398">
        <f t="shared" si="947"/>
        <v>-2</v>
      </c>
      <c r="AF420" s="29">
        <f t="shared" si="948"/>
        <v>2</v>
      </c>
      <c r="AG420" s="302">
        <f>SUM(AG432,AG385)</f>
        <v>0</v>
      </c>
      <c r="AH420" s="7">
        <f t="shared" si="929"/>
        <v>-2</v>
      </c>
      <c r="AI420" s="258"/>
      <c r="AJ420" s="304">
        <f>SUM(AJ432,AJ385)</f>
        <v>0</v>
      </c>
      <c r="AK420" s="231">
        <f t="shared" si="930"/>
        <v>2</v>
      </c>
      <c r="AL420" s="121"/>
      <c r="AM420" s="6"/>
      <c r="AN420" s="35"/>
      <c r="AO420" s="612"/>
      <c r="AP420" s="121"/>
      <c r="AQ420" s="6"/>
      <c r="AR420" s="35"/>
      <c r="AS420" s="612"/>
      <c r="AT420" s="21"/>
      <c r="AU420" s="6"/>
      <c r="AV420" s="35"/>
      <c r="AW420" s="234"/>
      <c r="AX420" s="234"/>
      <c r="AY420" s="395">
        <f t="shared" si="949"/>
        <v>-2</v>
      </c>
      <c r="AZ420" s="29">
        <f t="shared" si="961"/>
        <v>2</v>
      </c>
      <c r="BA420" s="302">
        <f>SUM(BA432,BA385)</f>
        <v>0</v>
      </c>
      <c r="BB420" s="7">
        <f t="shared" si="932"/>
        <v>-2</v>
      </c>
      <c r="BC420" s="256"/>
      <c r="BD420" s="304">
        <f>SUM(BD432,BD385)</f>
        <v>0</v>
      </c>
      <c r="BE420" s="231">
        <f t="shared" si="933"/>
        <v>2</v>
      </c>
      <c r="BF420" s="121"/>
      <c r="BG420" s="6"/>
      <c r="BH420" s="35"/>
      <c r="BI420" s="612"/>
      <c r="BJ420" s="121"/>
      <c r="BK420" s="6"/>
      <c r="BL420" s="35"/>
      <c r="BM420" s="612"/>
      <c r="BN420" s="21"/>
      <c r="BO420" s="6"/>
      <c r="BP420" s="35"/>
      <c r="BQ420" s="234"/>
      <c r="BR420" s="234"/>
      <c r="BS420" s="395">
        <f t="shared" si="952"/>
        <v>-2</v>
      </c>
      <c r="BT420" s="29">
        <f t="shared" si="962"/>
        <v>2</v>
      </c>
      <c r="BU420" s="302">
        <f>SUM(BU432,BU385)</f>
        <v>0</v>
      </c>
      <c r="BV420" s="7">
        <f t="shared" si="935"/>
        <v>-2</v>
      </c>
      <c r="BW420" s="258"/>
      <c r="BX420" s="304">
        <f>SUM(BX432,BX385)</f>
        <v>0</v>
      </c>
      <c r="BY420" s="231">
        <f t="shared" si="936"/>
        <v>2</v>
      </c>
      <c r="BZ420" s="121"/>
      <c r="CA420" s="6"/>
      <c r="CB420" s="35"/>
      <c r="CC420" s="612"/>
      <c r="CD420" s="121"/>
      <c r="CE420" s="6"/>
      <c r="CF420" s="35"/>
      <c r="CG420" s="612"/>
      <c r="CH420" s="21"/>
      <c r="CI420" s="6"/>
      <c r="CJ420" s="35"/>
      <c r="CK420" s="234"/>
      <c r="CL420" s="234"/>
      <c r="CM420" s="395">
        <f t="shared" si="955"/>
        <v>-2</v>
      </c>
      <c r="CN420" s="29">
        <f t="shared" si="963"/>
        <v>2</v>
      </c>
      <c r="CO420" s="302">
        <f>SUM(CO432,CO385)</f>
        <v>0</v>
      </c>
      <c r="CP420" s="7">
        <f t="shared" si="938"/>
        <v>-2</v>
      </c>
      <c r="CQ420" s="242"/>
      <c r="CR420" s="304">
        <f>SUM(CR432,CR385)</f>
        <v>0</v>
      </c>
      <c r="CS420" s="231">
        <f t="shared" si="939"/>
        <v>2</v>
      </c>
      <c r="CT420" s="121"/>
      <c r="CU420" s="6"/>
      <c r="CV420" s="35"/>
      <c r="CW420" s="612"/>
      <c r="CX420" s="121"/>
      <c r="CY420" s="6"/>
      <c r="CZ420" s="35"/>
      <c r="DA420" s="612"/>
      <c r="DB420" s="21"/>
      <c r="DC420" s="6"/>
      <c r="DD420" s="35"/>
      <c r="DE420" s="234"/>
      <c r="DF420" s="234"/>
      <c r="DG420" s="395">
        <f t="shared" si="958"/>
        <v>-2</v>
      </c>
      <c r="DH420" s="32">
        <f t="shared" si="918"/>
        <v>2</v>
      </c>
      <c r="DI420" s="302">
        <f>SUM(DI432,DI385)</f>
        <v>0</v>
      </c>
      <c r="DJ420" s="7">
        <f t="shared" si="959"/>
        <v>-2</v>
      </c>
      <c r="DK420" s="242"/>
      <c r="DL420" s="304">
        <f>SUM(DL432,DL385)</f>
        <v>0</v>
      </c>
      <c r="DM420" s="231">
        <f t="shared" si="960"/>
        <v>2</v>
      </c>
    </row>
    <row r="421" spans="1:117" x14ac:dyDescent="0.25">
      <c r="A421" s="360"/>
      <c r="B421" s="347" t="s">
        <v>480</v>
      </c>
      <c r="C421" s="360"/>
      <c r="D421" s="361"/>
      <c r="E421" s="361"/>
      <c r="F421" s="362"/>
      <c r="G421" s="361"/>
      <c r="H421" s="363"/>
      <c r="I421" s="363"/>
      <c r="J421" s="360"/>
      <c r="K421" s="360"/>
      <c r="L421" s="364"/>
      <c r="M421" s="353"/>
      <c r="N421" s="353"/>
      <c r="O421" s="354"/>
      <c r="P421" s="354"/>
      <c r="Q421" s="365"/>
      <c r="R421" s="366"/>
      <c r="S421" s="367"/>
      <c r="T421" s="368"/>
      <c r="U421" s="718"/>
      <c r="V421" s="366"/>
      <c r="W421" s="367"/>
      <c r="X421" s="368"/>
      <c r="Y421" s="718"/>
      <c r="Z421" s="369"/>
      <c r="AA421" s="367"/>
      <c r="AB421" s="368"/>
      <c r="AC421" s="365"/>
      <c r="AD421" s="365"/>
      <c r="AE421" s="360"/>
      <c r="AF421" s="364"/>
      <c r="AG421" s="353"/>
      <c r="AH421" s="353"/>
      <c r="AI421" s="354"/>
      <c r="AJ421" s="354"/>
      <c r="AK421" s="365"/>
      <c r="AL421" s="366"/>
      <c r="AM421" s="367"/>
      <c r="AN421" s="368"/>
      <c r="AO421" s="718"/>
      <c r="AP421" s="366"/>
      <c r="AQ421" s="367"/>
      <c r="AR421" s="368"/>
      <c r="AS421" s="718"/>
      <c r="AT421" s="369"/>
      <c r="AU421" s="367"/>
      <c r="AV421" s="368"/>
      <c r="AW421" s="365"/>
      <c r="AX421" s="365"/>
      <c r="AY421" s="360"/>
      <c r="AZ421" s="364"/>
      <c r="BA421" s="353"/>
      <c r="BB421" s="353"/>
      <c r="BC421" s="442"/>
      <c r="BD421" s="354"/>
      <c r="BE421" s="365"/>
      <c r="BF421" s="366"/>
      <c r="BG421" s="367"/>
      <c r="BH421" s="368"/>
      <c r="BI421" s="718"/>
      <c r="BJ421" s="366"/>
      <c r="BK421" s="367"/>
      <c r="BL421" s="368"/>
      <c r="BM421" s="718"/>
      <c r="BN421" s="369"/>
      <c r="BO421" s="367"/>
      <c r="BP421" s="368"/>
      <c r="BQ421" s="365"/>
      <c r="BR421" s="365"/>
      <c r="BS421" s="360"/>
      <c r="BT421" s="364"/>
      <c r="BU421" s="353"/>
      <c r="BV421" s="353"/>
      <c r="BW421" s="354"/>
      <c r="BX421" s="354"/>
      <c r="BY421" s="365"/>
      <c r="BZ421" s="366"/>
      <c r="CA421" s="367"/>
      <c r="CB421" s="368"/>
      <c r="CC421" s="718"/>
      <c r="CD421" s="366"/>
      <c r="CE421" s="367"/>
      <c r="CF421" s="368"/>
      <c r="CG421" s="718"/>
      <c r="CH421" s="369"/>
      <c r="CI421" s="367"/>
      <c r="CJ421" s="368"/>
      <c r="CK421" s="365"/>
      <c r="CL421" s="365"/>
      <c r="CM421" s="360"/>
      <c r="CN421" s="364"/>
      <c r="CO421" s="353"/>
      <c r="CP421" s="353"/>
      <c r="CQ421" s="354"/>
      <c r="CR421" s="354"/>
      <c r="CS421" s="365"/>
      <c r="CT421" s="366"/>
      <c r="CU421" s="367"/>
      <c r="CV421" s="368"/>
      <c r="CW421" s="718"/>
      <c r="CX421" s="366"/>
      <c r="CY421" s="367"/>
      <c r="CZ421" s="368"/>
      <c r="DA421" s="718"/>
      <c r="DB421" s="369"/>
      <c r="DC421" s="367"/>
      <c r="DD421" s="368"/>
      <c r="DE421" s="365"/>
      <c r="DF421" s="365"/>
      <c r="DG421" s="360"/>
      <c r="DH421" s="364"/>
      <c r="DI421" s="353"/>
      <c r="DJ421" s="353"/>
      <c r="DK421" s="354"/>
      <c r="DL421" s="354"/>
      <c r="DM421" s="365"/>
    </row>
    <row r="422" spans="1:117" x14ac:dyDescent="0.25">
      <c r="A422" s="18"/>
      <c r="B422" s="11" t="s">
        <v>455</v>
      </c>
      <c r="C422" s="18">
        <v>1</v>
      </c>
      <c r="D422" s="13" t="s">
        <v>313</v>
      </c>
      <c r="E422" s="13"/>
      <c r="F422" s="149">
        <v>773.5</v>
      </c>
      <c r="G422" s="74" t="s">
        <v>10</v>
      </c>
      <c r="H422" s="25"/>
      <c r="I422" s="25"/>
      <c r="J422" s="530">
        <f>SUM(M422,AG422,BA422,BU422)-L422</f>
        <v>-2</v>
      </c>
      <c r="K422" s="395">
        <f t="shared" si="902"/>
        <v>-2</v>
      </c>
      <c r="L422" s="29">
        <v>4</v>
      </c>
      <c r="M422" s="302">
        <f>SUM(M432,M385)</f>
        <v>2</v>
      </c>
      <c r="N422" s="7">
        <f>M422-L422</f>
        <v>-2</v>
      </c>
      <c r="O422" s="242"/>
      <c r="P422" s="304">
        <f>SUM(P432,P385)</f>
        <v>2</v>
      </c>
      <c r="Q422" s="231">
        <f t="shared" ref="Q422:Q430" si="964">L422+O422-P422</f>
        <v>2</v>
      </c>
      <c r="R422" s="121"/>
      <c r="S422" s="6"/>
      <c r="T422" s="35"/>
      <c r="U422" s="612"/>
      <c r="V422" s="121"/>
      <c r="W422" s="6"/>
      <c r="X422" s="35"/>
      <c r="Y422" s="612"/>
      <c r="Z422" s="21"/>
      <c r="AA422" s="6"/>
      <c r="AB422" s="35"/>
      <c r="AC422" s="231"/>
      <c r="AD422" s="231"/>
      <c r="AE422" s="398">
        <f>SUM(M422,AG422)-SUM(O422,AI422)-L422</f>
        <v>-2</v>
      </c>
      <c r="AF422" s="29">
        <f>Q422</f>
        <v>2</v>
      </c>
      <c r="AG422" s="302">
        <f>SUM(AG432,AG385)</f>
        <v>0</v>
      </c>
      <c r="AH422" s="7">
        <f>AG422-AF422</f>
        <v>-2</v>
      </c>
      <c r="AI422" s="258"/>
      <c r="AJ422" s="304">
        <f>SUM(AJ432,AJ385)</f>
        <v>0</v>
      </c>
      <c r="AK422" s="231">
        <f t="shared" ref="AK422:AK430" si="965">AF422+AI422-AJ422</f>
        <v>2</v>
      </c>
      <c r="AL422" s="121"/>
      <c r="AM422" s="6"/>
      <c r="AN422" s="35"/>
      <c r="AO422" s="612"/>
      <c r="AP422" s="121"/>
      <c r="AQ422" s="6"/>
      <c r="AR422" s="35"/>
      <c r="AS422" s="612"/>
      <c r="AT422" s="21"/>
      <c r="AU422" s="6"/>
      <c r="AV422" s="35"/>
      <c r="AW422" s="234"/>
      <c r="AX422" s="234"/>
      <c r="AY422" s="395">
        <f>SUM(M422,AG422,BA422)-SUM(O422,AI422,BC422)-L422</f>
        <v>-2</v>
      </c>
      <c r="AZ422" s="29">
        <f>AK422</f>
        <v>2</v>
      </c>
      <c r="BA422" s="302">
        <f>SUM(BA432,BA385)</f>
        <v>0</v>
      </c>
      <c r="BB422" s="7">
        <f>BA422-AZ422</f>
        <v>-2</v>
      </c>
      <c r="BC422" s="7"/>
      <c r="BD422" s="304">
        <f>SUM(BD432,BD385)</f>
        <v>0</v>
      </c>
      <c r="BE422" s="231">
        <f t="shared" ref="BE422:BE430" si="966">AZ422+BC422-BD422</f>
        <v>2</v>
      </c>
      <c r="BF422" s="121"/>
      <c r="BG422" s="6"/>
      <c r="BH422" s="35"/>
      <c r="BI422" s="612"/>
      <c r="BJ422" s="121"/>
      <c r="BK422" s="6"/>
      <c r="BL422" s="35"/>
      <c r="BM422" s="612"/>
      <c r="BN422" s="21"/>
      <c r="BO422" s="6"/>
      <c r="BP422" s="35"/>
      <c r="BQ422" s="234"/>
      <c r="BR422" s="234"/>
      <c r="BS422" s="395">
        <f>SUM(M422,AG422,BA422,BU422)-SUM(O422,AI422,BC422,BW422)-L422</f>
        <v>-2</v>
      </c>
      <c r="BT422" s="29">
        <f>BE422</f>
        <v>2</v>
      </c>
      <c r="BU422" s="302">
        <f>SUM(BU432,BU385)</f>
        <v>0</v>
      </c>
      <c r="BV422" s="7">
        <f>BU422-BT422</f>
        <v>-2</v>
      </c>
      <c r="BW422" s="7"/>
      <c r="BX422" s="304">
        <f>SUM(BX432,BX385)</f>
        <v>0</v>
      </c>
      <c r="BY422" s="231">
        <f t="shared" ref="BY422:BY430" si="967">BT422+BW422-BX422</f>
        <v>2</v>
      </c>
      <c r="BZ422" s="121"/>
      <c r="CA422" s="6"/>
      <c r="CB422" s="35"/>
      <c r="CC422" s="612"/>
      <c r="CD422" s="121"/>
      <c r="CE422" s="6"/>
      <c r="CF422" s="35"/>
      <c r="CG422" s="612"/>
      <c r="CH422" s="21"/>
      <c r="CI422" s="6"/>
      <c r="CJ422" s="35"/>
      <c r="CK422" s="234"/>
      <c r="CL422" s="234"/>
      <c r="CM422" s="395">
        <f>SUM(M422,AG422,BA422,BU422,CO422)-SUM(O422,AI422,BC422,BW422,CQ422)-L422</f>
        <v>-2</v>
      </c>
      <c r="CN422" s="29">
        <f>BY422</f>
        <v>2</v>
      </c>
      <c r="CO422" s="302">
        <f>SUM(CO432,CO385)</f>
        <v>0</v>
      </c>
      <c r="CP422" s="7">
        <f>CO422-CN422</f>
        <v>-2</v>
      </c>
      <c r="CQ422" s="7"/>
      <c r="CR422" s="304">
        <f>SUM(CR432,CR385)</f>
        <v>0</v>
      </c>
      <c r="CS422" s="231">
        <f t="shared" ref="CS422:CS430" si="968">CN422+CQ422-CR422</f>
        <v>2</v>
      </c>
      <c r="CT422" s="121"/>
      <c r="CU422" s="6"/>
      <c r="CV422" s="35"/>
      <c r="CW422" s="612"/>
      <c r="CX422" s="121"/>
      <c r="CY422" s="6"/>
      <c r="CZ422" s="35"/>
      <c r="DA422" s="612"/>
      <c r="DB422" s="21"/>
      <c r="DC422" s="6"/>
      <c r="DD422" s="35"/>
      <c r="DE422" s="234"/>
      <c r="DF422" s="234"/>
      <c r="DG422" s="395">
        <f>SUM(M422,AG422,BA422,BU422,DI422)-SUM(O422,AI422,BC422,BW422,CQ422)-L422</f>
        <v>-2</v>
      </c>
      <c r="DH422" s="32">
        <f t="shared" si="918"/>
        <v>2</v>
      </c>
      <c r="DI422" s="302">
        <f>SUM(DI432,DI385)</f>
        <v>0</v>
      </c>
      <c r="DJ422" s="7">
        <f>DI422-DH422</f>
        <v>-2</v>
      </c>
      <c r="DK422" s="7"/>
      <c r="DL422" s="304">
        <f>SUM(DL432,DL385)</f>
        <v>0</v>
      </c>
      <c r="DM422" s="231">
        <f t="shared" ref="DM422:DM425" si="969">DH422+DK422-DL422</f>
        <v>2</v>
      </c>
    </row>
    <row r="423" spans="1:117" x14ac:dyDescent="0.25">
      <c r="A423" s="75"/>
      <c r="B423" s="74" t="s">
        <v>457</v>
      </c>
      <c r="C423" s="75"/>
      <c r="D423" s="13" t="s">
        <v>483</v>
      </c>
      <c r="E423" s="750"/>
      <c r="F423" s="275"/>
      <c r="G423" s="74" t="s">
        <v>10</v>
      </c>
      <c r="H423" s="77"/>
      <c r="I423" s="77"/>
      <c r="J423" s="530">
        <f>SUM(M423,AG423,BA423,BU423)-L423</f>
        <v>-2</v>
      </c>
      <c r="K423" s="395">
        <f t="shared" si="902"/>
        <v>-2</v>
      </c>
      <c r="L423" s="276">
        <v>4</v>
      </c>
      <c r="M423" s="298">
        <f>SUM(M385,M432)</f>
        <v>2</v>
      </c>
      <c r="N423" s="7">
        <f t="shared" ref="N423:N429" si="970">M423-L423</f>
        <v>-2</v>
      </c>
      <c r="O423" s="5"/>
      <c r="P423" s="303">
        <f>SUM(P385,P432)</f>
        <v>2</v>
      </c>
      <c r="Q423" s="231">
        <f t="shared" si="964"/>
        <v>2</v>
      </c>
      <c r="R423" s="129"/>
      <c r="S423" s="130"/>
      <c r="T423" s="79"/>
      <c r="U423" s="712"/>
      <c r="V423" s="129"/>
      <c r="W423" s="130"/>
      <c r="X423" s="79"/>
      <c r="Y423" s="712"/>
      <c r="Z423" s="131"/>
      <c r="AA423" s="130"/>
      <c r="AB423" s="79"/>
      <c r="AC423" s="233"/>
      <c r="AD423" s="233"/>
      <c r="AE423" s="398">
        <f>SUM(M423,AG423)-SUM(O423,AI423)-L423</f>
        <v>-2</v>
      </c>
      <c r="AF423" s="29">
        <f>Q423</f>
        <v>2</v>
      </c>
      <c r="AG423" s="298">
        <f>SUM(AG385,AG432)</f>
        <v>0</v>
      </c>
      <c r="AH423" s="7">
        <f t="shared" ref="AH423:AH429" si="971">AG423-AF423</f>
        <v>-2</v>
      </c>
      <c r="AI423" s="5"/>
      <c r="AJ423" s="303">
        <f>SUM(AJ385,AJ432)</f>
        <v>0</v>
      </c>
      <c r="AK423" s="231">
        <f t="shared" si="965"/>
        <v>2</v>
      </c>
      <c r="AL423" s="129"/>
      <c r="AM423" s="130"/>
      <c r="AN423" s="79"/>
      <c r="AO423" s="712"/>
      <c r="AP423" s="129"/>
      <c r="AQ423" s="130"/>
      <c r="AR423" s="79"/>
      <c r="AS423" s="712"/>
      <c r="AT423" s="131"/>
      <c r="AU423" s="130"/>
      <c r="AV423" s="79"/>
      <c r="AW423" s="619"/>
      <c r="AX423" s="619"/>
      <c r="AY423" s="395">
        <f>SUM(M423,AG423,BA423)-SUM(O423,AI423,BC423)-L423</f>
        <v>-2</v>
      </c>
      <c r="AZ423" s="29">
        <f t="shared" ref="AZ423:AZ429" si="972">AK423</f>
        <v>2</v>
      </c>
      <c r="BA423" s="298">
        <f>SUM(BA385,BA432)</f>
        <v>0</v>
      </c>
      <c r="BB423" s="7">
        <f t="shared" ref="BB423:BB429" si="973">BA423-AZ423</f>
        <v>-2</v>
      </c>
      <c r="BC423" s="5"/>
      <c r="BD423" s="303">
        <f>SUM(BD385,BD432)</f>
        <v>0</v>
      </c>
      <c r="BE423" s="231">
        <f t="shared" si="966"/>
        <v>2</v>
      </c>
      <c r="BF423" s="129"/>
      <c r="BG423" s="130"/>
      <c r="BH423" s="79"/>
      <c r="BI423" s="712"/>
      <c r="BJ423" s="129"/>
      <c r="BK423" s="130"/>
      <c r="BL423" s="79"/>
      <c r="BM423" s="712"/>
      <c r="BN423" s="131"/>
      <c r="BO423" s="130"/>
      <c r="BP423" s="79"/>
      <c r="BQ423" s="619"/>
      <c r="BR423" s="619"/>
      <c r="BS423" s="395">
        <f>SUM(M423,AG423,BA423,BU423)-SUM(O423,AI423,BC423,BW423)-L423</f>
        <v>-2</v>
      </c>
      <c r="BT423" s="29">
        <f t="shared" ref="BT423:BT429" si="974">BE423</f>
        <v>2</v>
      </c>
      <c r="BU423" s="298">
        <f>SUM(BU385,BU432)</f>
        <v>0</v>
      </c>
      <c r="BV423" s="7">
        <f t="shared" ref="BV423:BV429" si="975">BU423-BT423</f>
        <v>-2</v>
      </c>
      <c r="BW423" s="5"/>
      <c r="BX423" s="303">
        <f>SUM(BX385,BX432)</f>
        <v>0</v>
      </c>
      <c r="BY423" s="231">
        <f t="shared" si="967"/>
        <v>2</v>
      </c>
      <c r="BZ423" s="129"/>
      <c r="CA423" s="130"/>
      <c r="CB423" s="79"/>
      <c r="CC423" s="712"/>
      <c r="CD423" s="129"/>
      <c r="CE423" s="130"/>
      <c r="CF423" s="79"/>
      <c r="CG423" s="712"/>
      <c r="CH423" s="131"/>
      <c r="CI423" s="130"/>
      <c r="CJ423" s="79"/>
      <c r="CK423" s="619"/>
      <c r="CL423" s="619"/>
      <c r="CM423" s="395">
        <f>SUM(M423,AG423,BA423,BU423,CO423)-SUM(O423,AI423,BC423,BW423,CQ423)-L423</f>
        <v>-2</v>
      </c>
      <c r="CN423" s="29">
        <f t="shared" ref="CN423:CN429" si="976">BY423</f>
        <v>2</v>
      </c>
      <c r="CO423" s="298">
        <f>SUM(CO385,CO432)</f>
        <v>0</v>
      </c>
      <c r="CP423" s="7">
        <f t="shared" ref="CP423:CP429" si="977">CO423-CN423</f>
        <v>-2</v>
      </c>
      <c r="CQ423" s="5"/>
      <c r="CR423" s="303">
        <f>SUM(CR385,CR432)</f>
        <v>0</v>
      </c>
      <c r="CS423" s="231">
        <f t="shared" si="968"/>
        <v>2</v>
      </c>
      <c r="CT423" s="129"/>
      <c r="CU423" s="130"/>
      <c r="CV423" s="79"/>
      <c r="CW423" s="712"/>
      <c r="CX423" s="129"/>
      <c r="CY423" s="130"/>
      <c r="CZ423" s="79"/>
      <c r="DA423" s="712"/>
      <c r="DB423" s="131"/>
      <c r="DC423" s="130"/>
      <c r="DD423" s="79"/>
      <c r="DE423" s="619"/>
      <c r="DF423" s="619"/>
      <c r="DG423" s="395">
        <f>SUM(M423,AG423,BA423,BU423,DI423)-SUM(O423,AI423,BC423,BW423,CQ423)-L423</f>
        <v>-2</v>
      </c>
      <c r="DH423" s="32">
        <f t="shared" si="918"/>
        <v>2</v>
      </c>
      <c r="DI423" s="298">
        <f>SUM(DI385,DI432)</f>
        <v>0</v>
      </c>
      <c r="DJ423" s="7">
        <f t="shared" ref="DJ423:DJ425" si="978">DI423-DH423</f>
        <v>-2</v>
      </c>
      <c r="DK423" s="5"/>
      <c r="DL423" s="303">
        <f>SUM(DL385,DL432)</f>
        <v>0</v>
      </c>
      <c r="DM423" s="231">
        <f t="shared" si="969"/>
        <v>2</v>
      </c>
    </row>
    <row r="424" spans="1:117" x14ac:dyDescent="0.25">
      <c r="A424" s="75"/>
      <c r="B424" s="11" t="s">
        <v>458</v>
      </c>
      <c r="C424" s="75"/>
      <c r="D424" s="13" t="s">
        <v>318</v>
      </c>
      <c r="E424" s="750"/>
      <c r="F424" s="275">
        <v>314.5</v>
      </c>
      <c r="G424" s="74" t="s">
        <v>10</v>
      </c>
      <c r="H424" s="77"/>
      <c r="I424" s="77"/>
      <c r="J424" s="530">
        <f>SUM(M424,AG424,BA424,BU424)-L424</f>
        <v>-2</v>
      </c>
      <c r="K424" s="395">
        <f t="shared" si="902"/>
        <v>-2</v>
      </c>
      <c r="L424" s="276">
        <v>4</v>
      </c>
      <c r="M424" s="298">
        <f>SUM(M385,M432)</f>
        <v>2</v>
      </c>
      <c r="N424" s="7">
        <f t="shared" si="970"/>
        <v>-2</v>
      </c>
      <c r="O424" s="240"/>
      <c r="P424" s="303">
        <f>SUM(P385,P432)</f>
        <v>2</v>
      </c>
      <c r="Q424" s="231">
        <f t="shared" si="964"/>
        <v>2</v>
      </c>
      <c r="R424" s="129"/>
      <c r="S424" s="130"/>
      <c r="T424" s="79"/>
      <c r="U424" s="712"/>
      <c r="V424" s="129"/>
      <c r="W424" s="130"/>
      <c r="X424" s="79"/>
      <c r="Y424" s="712"/>
      <c r="Z424" s="131"/>
      <c r="AA424" s="130"/>
      <c r="AB424" s="79"/>
      <c r="AC424" s="233"/>
      <c r="AD424" s="233"/>
      <c r="AE424" s="398">
        <f>SUM(M424,AG424)-SUM(O424,AI424)-L424</f>
        <v>-2</v>
      </c>
      <c r="AF424" s="29">
        <f>Q424</f>
        <v>2</v>
      </c>
      <c r="AG424" s="298">
        <f>SUM(AG385,AG432)</f>
        <v>0</v>
      </c>
      <c r="AH424" s="7">
        <f t="shared" si="971"/>
        <v>-2</v>
      </c>
      <c r="AI424" s="258"/>
      <c r="AJ424" s="303">
        <f>SUM(AJ385,AJ432)</f>
        <v>0</v>
      </c>
      <c r="AK424" s="231">
        <f t="shared" si="965"/>
        <v>2</v>
      </c>
      <c r="AL424" s="129"/>
      <c r="AM424" s="6"/>
      <c r="AN424" s="35"/>
      <c r="AO424" s="712"/>
      <c r="AP424" s="129"/>
      <c r="AQ424" s="130"/>
      <c r="AR424" s="79"/>
      <c r="AS424" s="712"/>
      <c r="AT424" s="131"/>
      <c r="AU424" s="130"/>
      <c r="AV424" s="79"/>
      <c r="AW424" s="619"/>
      <c r="AX424" s="619"/>
      <c r="AY424" s="395">
        <f>SUM(M424,AG424,BA424)-SUM(O424,AI424,BC424)-L424</f>
        <v>-2</v>
      </c>
      <c r="AZ424" s="29">
        <f t="shared" si="972"/>
        <v>2</v>
      </c>
      <c r="BA424" s="298">
        <f>SUM(BA385,BA432)</f>
        <v>0</v>
      </c>
      <c r="BB424" s="7">
        <f t="shared" si="973"/>
        <v>-2</v>
      </c>
      <c r="BC424" s="5"/>
      <c r="BD424" s="303">
        <f>SUM(BD385,BD432)</f>
        <v>0</v>
      </c>
      <c r="BE424" s="231">
        <f t="shared" si="966"/>
        <v>2</v>
      </c>
      <c r="BF424" s="129"/>
      <c r="BG424" s="130"/>
      <c r="BH424" s="79"/>
      <c r="BI424" s="712"/>
      <c r="BJ424" s="129"/>
      <c r="BK424" s="130"/>
      <c r="BL424" s="79"/>
      <c r="BM424" s="712"/>
      <c r="BN424" s="131"/>
      <c r="BO424" s="130"/>
      <c r="BP424" s="79"/>
      <c r="BQ424" s="619"/>
      <c r="BR424" s="619"/>
      <c r="BS424" s="395">
        <f>SUM(M424,AG424,BA424,BU424)-SUM(O424,AI424,BC424,BW424)-L424</f>
        <v>-2</v>
      </c>
      <c r="BT424" s="29">
        <f t="shared" si="974"/>
        <v>2</v>
      </c>
      <c r="BU424" s="298">
        <f>SUM(BU385,BU432)</f>
        <v>0</v>
      </c>
      <c r="BV424" s="7">
        <f t="shared" si="975"/>
        <v>-2</v>
      </c>
      <c r="BW424" s="5"/>
      <c r="BX424" s="303">
        <f>SUM(BX385,BX432)</f>
        <v>0</v>
      </c>
      <c r="BY424" s="231">
        <f t="shared" si="967"/>
        <v>2</v>
      </c>
      <c r="BZ424" s="129"/>
      <c r="CA424" s="130"/>
      <c r="CB424" s="79"/>
      <c r="CC424" s="712"/>
      <c r="CD424" s="129"/>
      <c r="CE424" s="130"/>
      <c r="CF424" s="79"/>
      <c r="CG424" s="712"/>
      <c r="CH424" s="131"/>
      <c r="CI424" s="130"/>
      <c r="CJ424" s="79"/>
      <c r="CK424" s="619"/>
      <c r="CL424" s="619"/>
      <c r="CM424" s="395">
        <f>SUM(M424,AG424,BA424,BU424,CO424)-SUM(O424,AI424,BC424,BW424,CQ424)-L424</f>
        <v>-2</v>
      </c>
      <c r="CN424" s="29">
        <f t="shared" si="976"/>
        <v>2</v>
      </c>
      <c r="CO424" s="298">
        <f>SUM(CO385,CO432)</f>
        <v>0</v>
      </c>
      <c r="CP424" s="7">
        <f t="shared" si="977"/>
        <v>-2</v>
      </c>
      <c r="CQ424" s="5"/>
      <c r="CR424" s="303">
        <f>SUM(CR385,CR432)</f>
        <v>0</v>
      </c>
      <c r="CS424" s="231">
        <f t="shared" si="968"/>
        <v>2</v>
      </c>
      <c r="CT424" s="129"/>
      <c r="CU424" s="130"/>
      <c r="CV424" s="79"/>
      <c r="CW424" s="712"/>
      <c r="CX424" s="129"/>
      <c r="CY424" s="130"/>
      <c r="CZ424" s="79"/>
      <c r="DA424" s="712"/>
      <c r="DB424" s="131"/>
      <c r="DC424" s="130"/>
      <c r="DD424" s="79"/>
      <c r="DE424" s="619"/>
      <c r="DF424" s="619"/>
      <c r="DG424" s="395">
        <f>SUM(M424,AG424,BA424,BU424,DI424)-SUM(O424,AI424,BC424,BW424,CQ424)-L424</f>
        <v>-2</v>
      </c>
      <c r="DH424" s="32">
        <f t="shared" si="918"/>
        <v>2</v>
      </c>
      <c r="DI424" s="298">
        <f>SUM(DI385,DI432)</f>
        <v>0</v>
      </c>
      <c r="DJ424" s="7">
        <f t="shared" si="978"/>
        <v>-2</v>
      </c>
      <c r="DK424" s="5"/>
      <c r="DL424" s="303">
        <f>SUM(DL385,DL432)</f>
        <v>0</v>
      </c>
      <c r="DM424" s="231">
        <f t="shared" si="969"/>
        <v>2</v>
      </c>
    </row>
    <row r="425" spans="1:117" x14ac:dyDescent="0.25">
      <c r="A425" s="75"/>
      <c r="B425" s="11" t="s">
        <v>456</v>
      </c>
      <c r="C425" s="75"/>
      <c r="D425" s="13" t="s">
        <v>482</v>
      </c>
      <c r="E425" s="750"/>
      <c r="F425" s="275">
        <v>943.5</v>
      </c>
      <c r="G425" s="74" t="s">
        <v>10</v>
      </c>
      <c r="H425" s="77"/>
      <c r="I425" s="77"/>
      <c r="J425" s="530">
        <f>SUM(M425,AG425,BA425,BU425)-L425</f>
        <v>-2</v>
      </c>
      <c r="K425" s="395">
        <f t="shared" si="902"/>
        <v>-2</v>
      </c>
      <c r="L425" s="276">
        <v>4</v>
      </c>
      <c r="M425" s="298">
        <f>SUM(M385,M432)</f>
        <v>2</v>
      </c>
      <c r="N425" s="7">
        <f t="shared" si="970"/>
        <v>-2</v>
      </c>
      <c r="O425" s="240"/>
      <c r="P425" s="303">
        <f>SUM(P385,P432)</f>
        <v>2</v>
      </c>
      <c r="Q425" s="231">
        <f t="shared" si="964"/>
        <v>2</v>
      </c>
      <c r="R425" s="129"/>
      <c r="S425" s="130"/>
      <c r="T425" s="79"/>
      <c r="U425" s="712"/>
      <c r="V425" s="129"/>
      <c r="W425" s="130"/>
      <c r="X425" s="79"/>
      <c r="Y425" s="712"/>
      <c r="Z425" s="131"/>
      <c r="AA425" s="130"/>
      <c r="AB425" s="79"/>
      <c r="AC425" s="233"/>
      <c r="AD425" s="233"/>
      <c r="AE425" s="398">
        <f>SUM(M425,AG425)-SUM(O425,AI425)-L425</f>
        <v>-2</v>
      </c>
      <c r="AF425" s="29">
        <f>Q425</f>
        <v>2</v>
      </c>
      <c r="AG425" s="298">
        <f>SUM(AG385,AG432)</f>
        <v>0</v>
      </c>
      <c r="AH425" s="7">
        <f t="shared" si="971"/>
        <v>-2</v>
      </c>
      <c r="AI425" s="258"/>
      <c r="AJ425" s="303">
        <f>SUM(AJ385,AJ432)</f>
        <v>0</v>
      </c>
      <c r="AK425" s="231">
        <f t="shared" si="965"/>
        <v>2</v>
      </c>
      <c r="AL425" s="129"/>
      <c r="AM425" s="6"/>
      <c r="AN425" s="35"/>
      <c r="AO425" s="712"/>
      <c r="AP425" s="129"/>
      <c r="AQ425" s="130"/>
      <c r="AR425" s="79"/>
      <c r="AS425" s="712"/>
      <c r="AT425" s="131"/>
      <c r="AU425" s="130"/>
      <c r="AV425" s="79"/>
      <c r="AW425" s="619"/>
      <c r="AX425" s="619"/>
      <c r="AY425" s="395">
        <f>SUM(M425,AG425,BA425)-SUM(O425,AI425,BC425)-L425</f>
        <v>-2</v>
      </c>
      <c r="AZ425" s="29">
        <f t="shared" si="972"/>
        <v>2</v>
      </c>
      <c r="BA425" s="298">
        <f>SUM(BA385,BA432)</f>
        <v>0</v>
      </c>
      <c r="BB425" s="7">
        <f t="shared" si="973"/>
        <v>-2</v>
      </c>
      <c r="BC425" s="5"/>
      <c r="BD425" s="303">
        <f>SUM(BD385,BD432)</f>
        <v>0</v>
      </c>
      <c r="BE425" s="231">
        <f t="shared" si="966"/>
        <v>2</v>
      </c>
      <c r="BF425" s="129"/>
      <c r="BG425" s="130"/>
      <c r="BH425" s="79"/>
      <c r="BI425" s="712"/>
      <c r="BJ425" s="129"/>
      <c r="BK425" s="130"/>
      <c r="BL425" s="79"/>
      <c r="BM425" s="712"/>
      <c r="BN425" s="131"/>
      <c r="BO425" s="130"/>
      <c r="BP425" s="79"/>
      <c r="BQ425" s="619"/>
      <c r="BR425" s="619"/>
      <c r="BS425" s="395">
        <f>SUM(M425,AG425,BA425,BU425)-SUM(O425,AI425,BC425,BW425)-L425</f>
        <v>-2</v>
      </c>
      <c r="BT425" s="29">
        <f t="shared" si="974"/>
        <v>2</v>
      </c>
      <c r="BU425" s="298">
        <f>SUM(BU385,BU432)</f>
        <v>0</v>
      </c>
      <c r="BV425" s="7">
        <f t="shared" si="975"/>
        <v>-2</v>
      </c>
      <c r="BW425" s="5"/>
      <c r="BX425" s="303">
        <f>SUM(BX385,BX432)</f>
        <v>0</v>
      </c>
      <c r="BY425" s="231">
        <f t="shared" si="967"/>
        <v>2</v>
      </c>
      <c r="BZ425" s="129"/>
      <c r="CA425" s="130"/>
      <c r="CB425" s="79"/>
      <c r="CC425" s="712"/>
      <c r="CD425" s="129"/>
      <c r="CE425" s="130"/>
      <c r="CF425" s="79"/>
      <c r="CG425" s="712"/>
      <c r="CH425" s="131"/>
      <c r="CI425" s="130"/>
      <c r="CJ425" s="79"/>
      <c r="CK425" s="619"/>
      <c r="CL425" s="619"/>
      <c r="CM425" s="395">
        <f>SUM(M425,AG425,BA425,BU425,CO425)-SUM(O425,AI425,BC425,BW425,CQ425)-L425</f>
        <v>-2</v>
      </c>
      <c r="CN425" s="29">
        <f t="shared" si="976"/>
        <v>2</v>
      </c>
      <c r="CO425" s="298">
        <f>SUM(CO385,CO432)</f>
        <v>0</v>
      </c>
      <c r="CP425" s="7">
        <f t="shared" si="977"/>
        <v>-2</v>
      </c>
      <c r="CQ425" s="5"/>
      <c r="CR425" s="303">
        <f>SUM(CR385,CR432)</f>
        <v>0</v>
      </c>
      <c r="CS425" s="231">
        <f t="shared" si="968"/>
        <v>2</v>
      </c>
      <c r="CT425" s="129"/>
      <c r="CU425" s="130"/>
      <c r="CV425" s="79"/>
      <c r="CW425" s="712"/>
      <c r="CX425" s="129"/>
      <c r="CY425" s="130"/>
      <c r="CZ425" s="79"/>
      <c r="DA425" s="712"/>
      <c r="DB425" s="131"/>
      <c r="DC425" s="130"/>
      <c r="DD425" s="79"/>
      <c r="DE425" s="619"/>
      <c r="DF425" s="619"/>
      <c r="DG425" s="395">
        <f>SUM(M425,AG425,BA425,BU425,DI425)-SUM(O425,AI425,BC425,BW425,CQ425)-L425</f>
        <v>-2</v>
      </c>
      <c r="DH425" s="32">
        <f t="shared" si="918"/>
        <v>2</v>
      </c>
      <c r="DI425" s="298">
        <f>SUM(DI385,DI432)</f>
        <v>0</v>
      </c>
      <c r="DJ425" s="7">
        <f t="shared" si="978"/>
        <v>-2</v>
      </c>
      <c r="DK425" s="5"/>
      <c r="DL425" s="303">
        <f>SUM(DL385,DL432)</f>
        <v>0</v>
      </c>
      <c r="DM425" s="231">
        <f t="shared" si="969"/>
        <v>2</v>
      </c>
    </row>
    <row r="426" spans="1:117" x14ac:dyDescent="0.25">
      <c r="A426" s="360"/>
      <c r="B426" s="347" t="s">
        <v>481</v>
      </c>
      <c r="C426" s="360"/>
      <c r="D426" s="361"/>
      <c r="E426" s="361"/>
      <c r="F426" s="362"/>
      <c r="G426" s="361"/>
      <c r="H426" s="363"/>
      <c r="I426" s="363"/>
      <c r="J426" s="360"/>
      <c r="K426" s="360"/>
      <c r="L426" s="364"/>
      <c r="M426" s="353"/>
      <c r="N426" s="353"/>
      <c r="O426" s="354"/>
      <c r="P426" s="354"/>
      <c r="Q426" s="365"/>
      <c r="R426" s="366"/>
      <c r="S426" s="367"/>
      <c r="T426" s="368"/>
      <c r="U426" s="718"/>
      <c r="V426" s="366"/>
      <c r="W426" s="367"/>
      <c r="X426" s="368"/>
      <c r="Y426" s="718"/>
      <c r="Z426" s="369"/>
      <c r="AA426" s="367"/>
      <c r="AB426" s="368"/>
      <c r="AC426" s="365"/>
      <c r="AD426" s="365"/>
      <c r="AE426" s="360"/>
      <c r="AF426" s="364"/>
      <c r="AG426" s="353"/>
      <c r="AH426" s="353"/>
      <c r="AI426" s="354"/>
      <c r="AJ426" s="354"/>
      <c r="AK426" s="365"/>
      <c r="AL426" s="366"/>
      <c r="AM426" s="367"/>
      <c r="AN426" s="368"/>
      <c r="AO426" s="718"/>
      <c r="AP426" s="366"/>
      <c r="AQ426" s="367"/>
      <c r="AR426" s="368"/>
      <c r="AS426" s="718"/>
      <c r="AT426" s="369"/>
      <c r="AU426" s="367"/>
      <c r="AV426" s="368"/>
      <c r="AW426" s="365"/>
      <c r="AX426" s="365"/>
      <c r="AY426" s="360"/>
      <c r="AZ426" s="364"/>
      <c r="BA426" s="353"/>
      <c r="BB426" s="353"/>
      <c r="BC426" s="442"/>
      <c r="BD426" s="354"/>
      <c r="BE426" s="365"/>
      <c r="BF426" s="366"/>
      <c r="BG426" s="367"/>
      <c r="BH426" s="368"/>
      <c r="BI426" s="718"/>
      <c r="BJ426" s="366"/>
      <c r="BK426" s="367"/>
      <c r="BL426" s="368"/>
      <c r="BM426" s="718"/>
      <c r="BN426" s="369"/>
      <c r="BO426" s="367"/>
      <c r="BP426" s="368"/>
      <c r="BQ426" s="365"/>
      <c r="BR426" s="365"/>
      <c r="BS426" s="360"/>
      <c r="BT426" s="364"/>
      <c r="BU426" s="353"/>
      <c r="BV426" s="353"/>
      <c r="BW426" s="354"/>
      <c r="BX426" s="354"/>
      <c r="BY426" s="365"/>
      <c r="BZ426" s="366"/>
      <c r="CA426" s="367"/>
      <c r="CB426" s="368"/>
      <c r="CC426" s="718"/>
      <c r="CD426" s="366"/>
      <c r="CE426" s="367"/>
      <c r="CF426" s="368"/>
      <c r="CG426" s="718"/>
      <c r="CH426" s="369"/>
      <c r="CI426" s="367"/>
      <c r="CJ426" s="368"/>
      <c r="CK426" s="365"/>
      <c r="CL426" s="365"/>
      <c r="CM426" s="360"/>
      <c r="CN426" s="364"/>
      <c r="CO426" s="353"/>
      <c r="CP426" s="353"/>
      <c r="CQ426" s="354"/>
      <c r="CR426" s="354"/>
      <c r="CS426" s="365"/>
      <c r="CT426" s="366"/>
      <c r="CU426" s="367"/>
      <c r="CV426" s="368"/>
      <c r="CW426" s="718"/>
      <c r="CX426" s="366"/>
      <c r="CY426" s="367"/>
      <c r="CZ426" s="368"/>
      <c r="DA426" s="718"/>
      <c r="DB426" s="369"/>
      <c r="DC426" s="367"/>
      <c r="DD426" s="368"/>
      <c r="DE426" s="365"/>
      <c r="DF426" s="365"/>
      <c r="DG426" s="360"/>
      <c r="DH426" s="364"/>
      <c r="DI426" s="353"/>
      <c r="DJ426" s="353"/>
      <c r="DK426" s="354"/>
      <c r="DL426" s="354"/>
      <c r="DM426" s="365"/>
    </row>
    <row r="427" spans="1:117" x14ac:dyDescent="0.25">
      <c r="A427" s="75"/>
      <c r="B427" s="74" t="s">
        <v>617</v>
      </c>
      <c r="C427" s="75"/>
      <c r="D427" s="13" t="s">
        <v>313</v>
      </c>
      <c r="E427" s="750"/>
      <c r="F427" s="275">
        <v>25</v>
      </c>
      <c r="G427" s="74" t="s">
        <v>757</v>
      </c>
      <c r="H427" s="77"/>
      <c r="I427" s="77"/>
      <c r="J427" s="530">
        <f>SUM(M427,AG427,BA427,BU427)-L427</f>
        <v>-35</v>
      </c>
      <c r="K427" s="395">
        <f t="shared" si="902"/>
        <v>-35</v>
      </c>
      <c r="L427" s="276">
        <v>37</v>
      </c>
      <c r="M427" s="298">
        <f>SUM(M385,M432)</f>
        <v>2</v>
      </c>
      <c r="N427" s="7">
        <f t="shared" ref="N427" si="979">M427-L427</f>
        <v>-35</v>
      </c>
      <c r="O427" s="5"/>
      <c r="P427" s="303">
        <f>SUM(P385,P432)</f>
        <v>2</v>
      </c>
      <c r="Q427" s="231">
        <f t="shared" ref="Q427" si="980">L427+O427-P427</f>
        <v>35</v>
      </c>
      <c r="R427" s="129"/>
      <c r="S427" s="130"/>
      <c r="T427" s="79"/>
      <c r="U427" s="712"/>
      <c r="V427" s="129"/>
      <c r="W427" s="130"/>
      <c r="X427" s="79"/>
      <c r="Y427" s="712"/>
      <c r="Z427" s="131"/>
      <c r="AA427" s="130"/>
      <c r="AB427" s="79"/>
      <c r="AC427" s="233"/>
      <c r="AD427" s="233"/>
      <c r="AE427" s="398">
        <f>SUM(M427,AG427)-SUM(O427,AI427)-L427</f>
        <v>-35</v>
      </c>
      <c r="AF427" s="29">
        <f>Q427</f>
        <v>35</v>
      </c>
      <c r="AG427" s="298">
        <f>SUM(AG385,AG432)</f>
        <v>0</v>
      </c>
      <c r="AH427" s="7">
        <f t="shared" ref="AH427" si="981">AG427-AF427</f>
        <v>-35</v>
      </c>
      <c r="AI427" s="240"/>
      <c r="AJ427" s="303">
        <f>SUM(AJ385,AJ432)</f>
        <v>0</v>
      </c>
      <c r="AK427" s="231">
        <f t="shared" ref="AK427" si="982">AF427+AI427-AJ427</f>
        <v>35</v>
      </c>
      <c r="AL427" s="129"/>
      <c r="AM427" s="130"/>
      <c r="AN427" s="79"/>
      <c r="AO427" s="712"/>
      <c r="AP427" s="129"/>
      <c r="AQ427" s="130"/>
      <c r="AR427" s="79"/>
      <c r="AS427" s="712"/>
      <c r="AT427" s="131"/>
      <c r="AU427" s="130"/>
      <c r="AV427" s="79"/>
      <c r="AW427" s="619"/>
      <c r="AX427" s="619"/>
      <c r="AY427" s="395">
        <f>SUM(M427,AG427,BA427)-SUM(O427,AI427,BC427)-L427</f>
        <v>-35</v>
      </c>
      <c r="AZ427" s="29">
        <f t="shared" ref="AZ427" si="983">AK427</f>
        <v>35</v>
      </c>
      <c r="BA427" s="298">
        <f>SUM(BA385,BA432)</f>
        <v>0</v>
      </c>
      <c r="BB427" s="7">
        <f t="shared" ref="BB427" si="984">BA427-AZ427</f>
        <v>-35</v>
      </c>
      <c r="BC427" s="256"/>
      <c r="BD427" s="303">
        <f>SUM(BD385,BD432)</f>
        <v>0</v>
      </c>
      <c r="BE427" s="231">
        <f t="shared" ref="BE427" si="985">AZ427+BC427-BD427</f>
        <v>35</v>
      </c>
      <c r="BF427" s="129"/>
      <c r="BG427" s="130"/>
      <c r="BH427" s="79"/>
      <c r="BI427" s="712"/>
      <c r="BJ427" s="129"/>
      <c r="BK427" s="130"/>
      <c r="BL427" s="79"/>
      <c r="BM427" s="712"/>
      <c r="BN427" s="131"/>
      <c r="BO427" s="130"/>
      <c r="BP427" s="79"/>
      <c r="BQ427" s="619"/>
      <c r="BR427" s="619"/>
      <c r="BS427" s="395">
        <f>SUM(M427,AG427,BA427,BU427)-SUM(O427,AI427,BC427,BW427)-L427</f>
        <v>-35</v>
      </c>
      <c r="BT427" s="29">
        <f t="shared" ref="BT427" si="986">BE427</f>
        <v>35</v>
      </c>
      <c r="BU427" s="298">
        <f>SUM(BU385,BU432)</f>
        <v>0</v>
      </c>
      <c r="BV427" s="7">
        <f t="shared" ref="BV427" si="987">BU427-BT427</f>
        <v>-35</v>
      </c>
      <c r="BW427" s="5"/>
      <c r="BX427" s="303">
        <f>SUM(BX385,BX432)</f>
        <v>0</v>
      </c>
      <c r="BY427" s="231">
        <f t="shared" ref="BY427" si="988">BT427+BW427-BX427</f>
        <v>35</v>
      </c>
      <c r="BZ427" s="129"/>
      <c r="CA427" s="130"/>
      <c r="CB427" s="79"/>
      <c r="CC427" s="712"/>
      <c r="CD427" s="129"/>
      <c r="CE427" s="130"/>
      <c r="CF427" s="79"/>
      <c r="CG427" s="712"/>
      <c r="CH427" s="131"/>
      <c r="CI427" s="130"/>
      <c r="CJ427" s="79"/>
      <c r="CK427" s="619"/>
      <c r="CL427" s="619"/>
      <c r="CM427" s="395">
        <f>SUM(M427,AG427,BA427,BU427,CO427)-SUM(O427,AI427,BC427,BW427,CQ427)-L427</f>
        <v>-35</v>
      </c>
      <c r="CN427" s="29">
        <f t="shared" ref="CN427" si="989">BY427</f>
        <v>35</v>
      </c>
      <c r="CO427" s="298">
        <f>SUM(CO385,CO432)</f>
        <v>0</v>
      </c>
      <c r="CP427" s="7">
        <f t="shared" ref="CP427" si="990">CO427-CN427</f>
        <v>-35</v>
      </c>
      <c r="CQ427" s="5"/>
      <c r="CR427" s="240"/>
      <c r="CS427" s="231">
        <f t="shared" ref="CS427" si="991">CN427+CQ427-CR427</f>
        <v>35</v>
      </c>
      <c r="CT427" s="129"/>
      <c r="CU427" s="130"/>
      <c r="CV427" s="79"/>
      <c r="CW427" s="712"/>
      <c r="CX427" s="129"/>
      <c r="CY427" s="130"/>
      <c r="CZ427" s="79"/>
      <c r="DA427" s="712"/>
      <c r="DB427" s="131"/>
      <c r="DC427" s="130"/>
      <c r="DD427" s="79"/>
      <c r="DE427" s="619"/>
      <c r="DF427" s="619"/>
      <c r="DG427" s="395">
        <f>SUM(M427,AG427,BA427,BU427,DI427)-SUM(O427,AI427,BC427,BW427,CQ427)-L427</f>
        <v>-35</v>
      </c>
      <c r="DH427" s="32">
        <f t="shared" si="918"/>
        <v>35</v>
      </c>
      <c r="DI427" s="298">
        <f>SUM(DI385,DI432)</f>
        <v>0</v>
      </c>
      <c r="DJ427" s="7">
        <f t="shared" ref="DJ427:DJ429" si="992">DI427-DH427</f>
        <v>-35</v>
      </c>
      <c r="DK427" s="5"/>
      <c r="DL427" s="240"/>
      <c r="DM427" s="231">
        <f t="shared" ref="DM427:DM430" si="993">DH427+DK427-DL427</f>
        <v>35</v>
      </c>
    </row>
    <row r="428" spans="1:117" x14ac:dyDescent="0.25">
      <c r="A428" s="75"/>
      <c r="B428" s="74" t="s">
        <v>618</v>
      </c>
      <c r="C428" s="75"/>
      <c r="D428" s="13" t="s">
        <v>483</v>
      </c>
      <c r="E428" s="750"/>
      <c r="F428" s="275">
        <v>24.9</v>
      </c>
      <c r="G428" s="74" t="s">
        <v>757</v>
      </c>
      <c r="H428" s="77"/>
      <c r="I428" s="77"/>
      <c r="J428" s="530">
        <f>SUM(M428,AG428,BA428,BU428)-L428</f>
        <v>-35</v>
      </c>
      <c r="K428" s="395">
        <f t="shared" si="902"/>
        <v>-35</v>
      </c>
      <c r="L428" s="276">
        <v>37</v>
      </c>
      <c r="M428" s="298">
        <f>SUM(M385,M432)</f>
        <v>2</v>
      </c>
      <c r="N428" s="7">
        <f t="shared" si="970"/>
        <v>-35</v>
      </c>
      <c r="O428" s="5"/>
      <c r="P428" s="303">
        <f>SUM(P385,P432)</f>
        <v>2</v>
      </c>
      <c r="Q428" s="231">
        <f t="shared" si="964"/>
        <v>35</v>
      </c>
      <c r="R428" s="129"/>
      <c r="S428" s="130"/>
      <c r="T428" s="79"/>
      <c r="U428" s="712"/>
      <c r="V428" s="129"/>
      <c r="W428" s="130"/>
      <c r="X428" s="79"/>
      <c r="Y428" s="712"/>
      <c r="Z428" s="131"/>
      <c r="AA428" s="130"/>
      <c r="AB428" s="79"/>
      <c r="AC428" s="233"/>
      <c r="AD428" s="233"/>
      <c r="AE428" s="398">
        <f>SUM(M428,AG428)-SUM(O428,AI428)-L428</f>
        <v>-35</v>
      </c>
      <c r="AF428" s="29">
        <f>Q428</f>
        <v>35</v>
      </c>
      <c r="AG428" s="298">
        <f>SUM(AG385,AG432)</f>
        <v>0</v>
      </c>
      <c r="AH428" s="7">
        <f t="shared" si="971"/>
        <v>-35</v>
      </c>
      <c r="AI428" s="240"/>
      <c r="AJ428" s="303">
        <f>SUM(AJ385,AJ432)</f>
        <v>0</v>
      </c>
      <c r="AK428" s="231">
        <f t="shared" si="965"/>
        <v>35</v>
      </c>
      <c r="AL428" s="129"/>
      <c r="AM428" s="130"/>
      <c r="AN428" s="79"/>
      <c r="AO428" s="712"/>
      <c r="AP428" s="129"/>
      <c r="AQ428" s="130"/>
      <c r="AR428" s="79"/>
      <c r="AS428" s="712"/>
      <c r="AT428" s="131"/>
      <c r="AU428" s="130"/>
      <c r="AV428" s="79"/>
      <c r="AW428" s="619"/>
      <c r="AX428" s="619"/>
      <c r="AY428" s="395">
        <f>SUM(M428,AG428,BA428)-SUM(O428,AI428,BC428)-L428</f>
        <v>-35</v>
      </c>
      <c r="AZ428" s="29">
        <f t="shared" si="972"/>
        <v>35</v>
      </c>
      <c r="BA428" s="298">
        <f>SUM(BA385,BA432)</f>
        <v>0</v>
      </c>
      <c r="BB428" s="7">
        <f t="shared" si="973"/>
        <v>-35</v>
      </c>
      <c r="BC428" s="256"/>
      <c r="BD428" s="303">
        <f>SUM(BD385,BD432)</f>
        <v>0</v>
      </c>
      <c r="BE428" s="231">
        <f t="shared" si="966"/>
        <v>35</v>
      </c>
      <c r="BF428" s="129"/>
      <c r="BG428" s="130"/>
      <c r="BH428" s="79"/>
      <c r="BI428" s="712"/>
      <c r="BJ428" s="129"/>
      <c r="BK428" s="130"/>
      <c r="BL428" s="79"/>
      <c r="BM428" s="712"/>
      <c r="BN428" s="131"/>
      <c r="BO428" s="130"/>
      <c r="BP428" s="79"/>
      <c r="BQ428" s="619"/>
      <c r="BR428" s="619"/>
      <c r="BS428" s="395">
        <f>SUM(M428,AG428,BA428,BU428)-SUM(O428,AI428,BC428,BW428)-L428</f>
        <v>-35</v>
      </c>
      <c r="BT428" s="29">
        <f t="shared" si="974"/>
        <v>35</v>
      </c>
      <c r="BU428" s="298">
        <f>SUM(BU385,BU432)</f>
        <v>0</v>
      </c>
      <c r="BV428" s="7">
        <f t="shared" si="975"/>
        <v>-35</v>
      </c>
      <c r="BW428" s="5"/>
      <c r="BX428" s="303">
        <f>SUM(BX385,BX432)</f>
        <v>0</v>
      </c>
      <c r="BY428" s="231">
        <f t="shared" si="967"/>
        <v>35</v>
      </c>
      <c r="BZ428" s="129"/>
      <c r="CA428" s="130"/>
      <c r="CB428" s="79"/>
      <c r="CC428" s="712"/>
      <c r="CD428" s="129"/>
      <c r="CE428" s="130"/>
      <c r="CF428" s="79"/>
      <c r="CG428" s="712"/>
      <c r="CH428" s="131"/>
      <c r="CI428" s="130"/>
      <c r="CJ428" s="79"/>
      <c r="CK428" s="619"/>
      <c r="CL428" s="619"/>
      <c r="CM428" s="395">
        <f>SUM(M428,AG428,BA428,BU428,CO428)-SUM(O428,AI428,BC428,BW428,CQ428)-L428</f>
        <v>-35</v>
      </c>
      <c r="CN428" s="29">
        <f t="shared" si="976"/>
        <v>35</v>
      </c>
      <c r="CO428" s="298">
        <f>SUM(CO385,CO432)</f>
        <v>0</v>
      </c>
      <c r="CP428" s="7">
        <f t="shared" si="977"/>
        <v>-35</v>
      </c>
      <c r="CQ428" s="5"/>
      <c r="CR428" s="303">
        <f>SUM(CR385,CR432)</f>
        <v>0</v>
      </c>
      <c r="CS428" s="231">
        <f t="shared" si="968"/>
        <v>35</v>
      </c>
      <c r="CT428" s="129"/>
      <c r="CU428" s="130"/>
      <c r="CV428" s="79"/>
      <c r="CW428" s="712"/>
      <c r="CX428" s="129"/>
      <c r="CY428" s="130"/>
      <c r="CZ428" s="79"/>
      <c r="DA428" s="712"/>
      <c r="DB428" s="131"/>
      <c r="DC428" s="130"/>
      <c r="DD428" s="79"/>
      <c r="DE428" s="619"/>
      <c r="DF428" s="619"/>
      <c r="DG428" s="395">
        <f>SUM(M428,AG428,BA428,BU428,DI428)-SUM(O428,AI428,BC428,BW428,CQ428)-L428</f>
        <v>-35</v>
      </c>
      <c r="DH428" s="32">
        <f t="shared" si="918"/>
        <v>35</v>
      </c>
      <c r="DI428" s="298">
        <f>SUM(DI385,DI432)</f>
        <v>0</v>
      </c>
      <c r="DJ428" s="7">
        <f t="shared" si="992"/>
        <v>-35</v>
      </c>
      <c r="DK428" s="5"/>
      <c r="DL428" s="303">
        <f>SUM(DL385,DL432)</f>
        <v>0</v>
      </c>
      <c r="DM428" s="231">
        <f t="shared" si="993"/>
        <v>35</v>
      </c>
    </row>
    <row r="429" spans="1:117" x14ac:dyDescent="0.25">
      <c r="A429" s="75"/>
      <c r="B429" s="11" t="s">
        <v>619</v>
      </c>
      <c r="C429" s="75"/>
      <c r="D429" s="13" t="s">
        <v>318</v>
      </c>
      <c r="E429" s="750"/>
      <c r="F429" s="275">
        <v>87.9</v>
      </c>
      <c r="G429" s="74" t="s">
        <v>757</v>
      </c>
      <c r="H429" s="77"/>
      <c r="I429" s="77"/>
      <c r="J429" s="530">
        <f>SUM(M429,AG429,BA429,BU429)-L429</f>
        <v>-15</v>
      </c>
      <c r="K429" s="395">
        <f t="shared" si="902"/>
        <v>-15</v>
      </c>
      <c r="L429" s="276">
        <v>17</v>
      </c>
      <c r="M429" s="298">
        <f>SUM(M385,M432)</f>
        <v>2</v>
      </c>
      <c r="N429" s="7">
        <f t="shared" si="970"/>
        <v>-15</v>
      </c>
      <c r="O429" s="240"/>
      <c r="P429" s="303">
        <f>SUM(P385,P432)</f>
        <v>2</v>
      </c>
      <c r="Q429" s="231">
        <f t="shared" si="964"/>
        <v>15</v>
      </c>
      <c r="R429" s="129"/>
      <c r="S429" s="130"/>
      <c r="T429" s="79"/>
      <c r="U429" s="712"/>
      <c r="V429" s="129"/>
      <c r="W429" s="130"/>
      <c r="X429" s="79"/>
      <c r="Y429" s="712"/>
      <c r="Z429" s="131"/>
      <c r="AA429" s="130"/>
      <c r="AB429" s="79"/>
      <c r="AC429" s="233"/>
      <c r="AD429" s="233"/>
      <c r="AE429" s="398">
        <f>SUM(M429,AG429)-SUM(O429,AI429)-L429</f>
        <v>-15</v>
      </c>
      <c r="AF429" s="29">
        <f>Q429</f>
        <v>15</v>
      </c>
      <c r="AG429" s="298">
        <f>SUM(AG385,AG432)</f>
        <v>0</v>
      </c>
      <c r="AH429" s="7">
        <f t="shared" si="971"/>
        <v>-15</v>
      </c>
      <c r="AI429" s="240"/>
      <c r="AJ429" s="303">
        <f>SUM(AJ385,AJ432)</f>
        <v>0</v>
      </c>
      <c r="AK429" s="231">
        <f t="shared" si="965"/>
        <v>15</v>
      </c>
      <c r="AL429" s="129"/>
      <c r="AM429" s="130"/>
      <c r="AN429" s="79"/>
      <c r="AO429" s="712"/>
      <c r="AP429" s="129"/>
      <c r="AQ429" s="130"/>
      <c r="AR429" s="79"/>
      <c r="AS429" s="712"/>
      <c r="AT429" s="131"/>
      <c r="AU429" s="130"/>
      <c r="AV429" s="79"/>
      <c r="AW429" s="619"/>
      <c r="AX429" s="619"/>
      <c r="AY429" s="395">
        <f>SUM(M429,AG429,BA429)-SUM(O429,AI429,BC429)-L429</f>
        <v>-15</v>
      </c>
      <c r="AZ429" s="29">
        <f t="shared" si="972"/>
        <v>15</v>
      </c>
      <c r="BA429" s="298">
        <f>SUM(BA385,BA432)</f>
        <v>0</v>
      </c>
      <c r="BB429" s="7">
        <f t="shared" si="973"/>
        <v>-15</v>
      </c>
      <c r="BC429" s="256"/>
      <c r="BD429" s="303">
        <f>SUM(BD385,BD432)</f>
        <v>0</v>
      </c>
      <c r="BE429" s="231">
        <f t="shared" si="966"/>
        <v>15</v>
      </c>
      <c r="BF429" s="129"/>
      <c r="BG429" s="130"/>
      <c r="BH429" s="79"/>
      <c r="BI429" s="712"/>
      <c r="BJ429" s="129"/>
      <c r="BK429" s="130"/>
      <c r="BL429" s="79"/>
      <c r="BM429" s="712"/>
      <c r="BN429" s="131"/>
      <c r="BO429" s="130"/>
      <c r="BP429" s="79"/>
      <c r="BQ429" s="619"/>
      <c r="BR429" s="619"/>
      <c r="BS429" s="395">
        <f>SUM(M429,AG429,BA429,BU429)-SUM(O429,AI429,BC429,BW429)-L429</f>
        <v>-15</v>
      </c>
      <c r="BT429" s="29">
        <f t="shared" si="974"/>
        <v>15</v>
      </c>
      <c r="BU429" s="298">
        <f>SUM(BU385,BU432)</f>
        <v>0</v>
      </c>
      <c r="BV429" s="7">
        <f t="shared" si="975"/>
        <v>-15</v>
      </c>
      <c r="BW429" s="5"/>
      <c r="BX429" s="303">
        <f>SUM(BX385,BX432)</f>
        <v>0</v>
      </c>
      <c r="BY429" s="231">
        <f t="shared" si="967"/>
        <v>15</v>
      </c>
      <c r="BZ429" s="129"/>
      <c r="CA429" s="130"/>
      <c r="CB429" s="79"/>
      <c r="CC429" s="712"/>
      <c r="CD429" s="129"/>
      <c r="CE429" s="130"/>
      <c r="CF429" s="79"/>
      <c r="CG429" s="712"/>
      <c r="CH429" s="131"/>
      <c r="CI429" s="130"/>
      <c r="CJ429" s="79"/>
      <c r="CK429" s="619"/>
      <c r="CL429" s="619"/>
      <c r="CM429" s="395">
        <f>SUM(M429,AG429,BA429,BU429,CO429)-SUM(O429,AI429,BC429,BW429,CQ429)-L429</f>
        <v>-15</v>
      </c>
      <c r="CN429" s="29">
        <f t="shared" si="976"/>
        <v>15</v>
      </c>
      <c r="CO429" s="298">
        <f>SUM(CO385,CO432)</f>
        <v>0</v>
      </c>
      <c r="CP429" s="7">
        <f t="shared" si="977"/>
        <v>-15</v>
      </c>
      <c r="CQ429" s="5"/>
      <c r="CR429" s="303">
        <f>SUM(CR385,CR432)</f>
        <v>0</v>
      </c>
      <c r="CS429" s="231">
        <f t="shared" si="968"/>
        <v>15</v>
      </c>
      <c r="CT429" s="129"/>
      <c r="CU429" s="130"/>
      <c r="CV429" s="79"/>
      <c r="CW429" s="712"/>
      <c r="CX429" s="129"/>
      <c r="CY429" s="130"/>
      <c r="CZ429" s="79"/>
      <c r="DA429" s="712"/>
      <c r="DB429" s="131"/>
      <c r="DC429" s="130"/>
      <c r="DD429" s="79"/>
      <c r="DE429" s="619"/>
      <c r="DF429" s="619"/>
      <c r="DG429" s="395">
        <f>SUM(M429,AG429,BA429,BU429,DI429)-SUM(O429,AI429,BC429,BW429,CQ429)-L429</f>
        <v>-15</v>
      </c>
      <c r="DH429" s="32">
        <f t="shared" si="918"/>
        <v>15</v>
      </c>
      <c r="DI429" s="298">
        <f>SUM(DI385,DI432)</f>
        <v>0</v>
      </c>
      <c r="DJ429" s="7">
        <f t="shared" si="992"/>
        <v>-15</v>
      </c>
      <c r="DK429" s="5"/>
      <c r="DL429" s="303">
        <f>SUM(DL385,DL432)</f>
        <v>0</v>
      </c>
      <c r="DM429" s="231">
        <f t="shared" si="993"/>
        <v>15</v>
      </c>
    </row>
    <row r="430" spans="1:117" ht="15.75" thickBot="1" x14ac:dyDescent="0.3">
      <c r="A430" s="19"/>
      <c r="B430" s="12" t="s">
        <v>620</v>
      </c>
      <c r="C430" s="19"/>
      <c r="D430" s="13" t="s">
        <v>482</v>
      </c>
      <c r="E430" s="750"/>
      <c r="F430" s="146">
        <v>50</v>
      </c>
      <c r="G430" s="67" t="s">
        <v>757</v>
      </c>
      <c r="H430" s="28"/>
      <c r="I430" s="28"/>
      <c r="J430" s="531">
        <f>SUM(M430,AG430,BA430,BU430)-L430</f>
        <v>-15</v>
      </c>
      <c r="K430" s="396">
        <f t="shared" si="902"/>
        <v>-15</v>
      </c>
      <c r="L430" s="30">
        <v>17</v>
      </c>
      <c r="M430" s="301">
        <f>SUM(M432,M385)</f>
        <v>2</v>
      </c>
      <c r="N430" s="31">
        <f>M430-L430</f>
        <v>-15</v>
      </c>
      <c r="O430" s="241"/>
      <c r="P430" s="305">
        <f>SUM(P385,P432)</f>
        <v>2</v>
      </c>
      <c r="Q430" s="232">
        <f t="shared" si="964"/>
        <v>15</v>
      </c>
      <c r="R430" s="200"/>
      <c r="S430" s="201"/>
      <c r="T430" s="36"/>
      <c r="U430" s="220"/>
      <c r="V430" s="200"/>
      <c r="W430" s="201"/>
      <c r="X430" s="36"/>
      <c r="Y430" s="220"/>
      <c r="Z430" s="122"/>
      <c r="AA430" s="201"/>
      <c r="AB430" s="36"/>
      <c r="AC430" s="232"/>
      <c r="AD430" s="232"/>
      <c r="AE430" s="399">
        <f>SUM(M430,AG430)-SUM(O430,AI430)-L430</f>
        <v>-15</v>
      </c>
      <c r="AF430" s="30">
        <f>Q430</f>
        <v>15</v>
      </c>
      <c r="AG430" s="301">
        <f>SUM(AG432,AG385)</f>
        <v>0</v>
      </c>
      <c r="AH430" s="31">
        <f>AG430-AF430</f>
        <v>-15</v>
      </c>
      <c r="AI430" s="241"/>
      <c r="AJ430" s="305">
        <f>SUM(AJ385,AJ432)</f>
        <v>0</v>
      </c>
      <c r="AK430" s="232">
        <f t="shared" si="965"/>
        <v>15</v>
      </c>
      <c r="AL430" s="200"/>
      <c r="AM430" s="201"/>
      <c r="AN430" s="36"/>
      <c r="AO430" s="220"/>
      <c r="AP430" s="200"/>
      <c r="AQ430" s="201"/>
      <c r="AR430" s="36"/>
      <c r="AS430" s="220"/>
      <c r="AT430" s="122"/>
      <c r="AU430" s="201"/>
      <c r="AV430" s="36"/>
      <c r="AW430" s="297"/>
      <c r="AX430" s="297"/>
      <c r="AY430" s="396">
        <f>SUM(M430,AG430,BA430)-SUM(O430,AI430,BC430)-L430</f>
        <v>-15</v>
      </c>
      <c r="AZ430" s="30">
        <f>AK430</f>
        <v>15</v>
      </c>
      <c r="BA430" s="301">
        <f>SUM(BA432,BA385)</f>
        <v>0</v>
      </c>
      <c r="BB430" s="31">
        <f>BA430-AZ430</f>
        <v>-15</v>
      </c>
      <c r="BC430" s="284"/>
      <c r="BD430" s="305">
        <f>SUM(BD385,BD432)</f>
        <v>0</v>
      </c>
      <c r="BE430" s="232">
        <f t="shared" si="966"/>
        <v>15</v>
      </c>
      <c r="BF430" s="200"/>
      <c r="BG430" s="201"/>
      <c r="BH430" s="36"/>
      <c r="BI430" s="220"/>
      <c r="BJ430" s="200"/>
      <c r="BK430" s="201"/>
      <c r="BL430" s="36"/>
      <c r="BM430" s="220"/>
      <c r="BN430" s="122"/>
      <c r="BO430" s="201"/>
      <c r="BP430" s="36"/>
      <c r="BQ430" s="297"/>
      <c r="BR430" s="297"/>
      <c r="BS430" s="396">
        <f>SUM(M430,AG430,BA430,BU430)-SUM(O430,AI430,BC430,BW430)-L430</f>
        <v>-15</v>
      </c>
      <c r="BT430" s="30">
        <f>BE430</f>
        <v>15</v>
      </c>
      <c r="BU430" s="301">
        <f>SUM(BU432,BU385)</f>
        <v>0</v>
      </c>
      <c r="BV430" s="31">
        <f>BU430-BT430</f>
        <v>-15</v>
      </c>
      <c r="BW430" s="284"/>
      <c r="BX430" s="305">
        <f>SUM(BX385,BX432)</f>
        <v>0</v>
      </c>
      <c r="BY430" s="232">
        <f t="shared" si="967"/>
        <v>15</v>
      </c>
      <c r="BZ430" s="200"/>
      <c r="CA430" s="201"/>
      <c r="CB430" s="36"/>
      <c r="CC430" s="220"/>
      <c r="CD430" s="200"/>
      <c r="CE430" s="201"/>
      <c r="CF430" s="36"/>
      <c r="CG430" s="220"/>
      <c r="CH430" s="122"/>
      <c r="CI430" s="201"/>
      <c r="CJ430" s="36"/>
      <c r="CK430" s="297"/>
      <c r="CL430" s="297"/>
      <c r="CM430" s="396">
        <f>SUM(M430,AG430,BA430,BU430,CO430)-SUM(O430,AI430,BC430,BW430,CQ430)-L430</f>
        <v>-15</v>
      </c>
      <c r="CN430" s="30">
        <f>BY430</f>
        <v>15</v>
      </c>
      <c r="CO430" s="301">
        <f>SUM(CO432,CO385)</f>
        <v>0</v>
      </c>
      <c r="CP430" s="31">
        <f>CO430-CN430</f>
        <v>-15</v>
      </c>
      <c r="CQ430" s="241"/>
      <c r="CR430" s="305">
        <f>SUM(CR385,CR432)</f>
        <v>0</v>
      </c>
      <c r="CS430" s="232">
        <f t="shared" si="968"/>
        <v>15</v>
      </c>
      <c r="CT430" s="200"/>
      <c r="CU430" s="201"/>
      <c r="CV430" s="36"/>
      <c r="CW430" s="220"/>
      <c r="CX430" s="200"/>
      <c r="CY430" s="201"/>
      <c r="CZ430" s="36"/>
      <c r="DA430" s="220"/>
      <c r="DB430" s="122"/>
      <c r="DC430" s="201"/>
      <c r="DD430" s="36"/>
      <c r="DE430" s="297"/>
      <c r="DF430" s="297"/>
      <c r="DG430" s="396">
        <f>SUM(M430,AG430,BA430,BU430,DI430)-SUM(O430,AI430,BC430,BW430,CQ430)-L430</f>
        <v>-15</v>
      </c>
      <c r="DH430" s="296">
        <f t="shared" si="918"/>
        <v>15</v>
      </c>
      <c r="DI430" s="301">
        <f>SUM(DI432,DI385)</f>
        <v>0</v>
      </c>
      <c r="DJ430" s="31">
        <f>DI430-DH430</f>
        <v>-15</v>
      </c>
      <c r="DK430" s="241"/>
      <c r="DL430" s="305">
        <f>SUM(DL385,DL432)</f>
        <v>0</v>
      </c>
      <c r="DM430" s="232">
        <f t="shared" si="993"/>
        <v>15</v>
      </c>
    </row>
    <row r="431" spans="1:117" ht="15.75" thickBot="1" x14ac:dyDescent="0.3">
      <c r="G431" s="3"/>
      <c r="P431" s="248"/>
      <c r="AJ431" s="248"/>
      <c r="BD431" s="248"/>
      <c r="BX431" s="248"/>
      <c r="CR431" s="248"/>
      <c r="DL431" s="248"/>
    </row>
    <row r="432" spans="1:117" ht="15.75" thickBot="1" x14ac:dyDescent="0.3">
      <c r="A432" s="95"/>
      <c r="B432" s="94" t="s">
        <v>267</v>
      </c>
      <c r="C432" s="95"/>
      <c r="D432" s="93"/>
      <c r="E432" s="93"/>
      <c r="F432" s="340"/>
      <c r="G432" s="93"/>
      <c r="H432" s="96"/>
      <c r="I432" s="96"/>
      <c r="J432" s="96">
        <f>SUM(M432,AG432,BA432,BU432)</f>
        <v>2</v>
      </c>
      <c r="K432" s="69"/>
      <c r="L432" s="97"/>
      <c r="M432" s="98">
        <v>2</v>
      </c>
      <c r="N432" s="98"/>
      <c r="O432" s="98"/>
      <c r="P432" s="435">
        <f>1+1</f>
        <v>2</v>
      </c>
      <c r="Q432" s="221"/>
      <c r="R432" s="124">
        <f>SUM(R433:R439)</f>
        <v>0</v>
      </c>
      <c r="S432" s="125">
        <f>SUM(S433:S439)</f>
        <v>0</v>
      </c>
      <c r="T432" s="99"/>
      <c r="U432" s="221"/>
      <c r="V432" s="124">
        <f>SUM(V433:V439)</f>
        <v>0</v>
      </c>
      <c r="W432" s="125">
        <f>SUM(W433:W439)</f>
        <v>0</v>
      </c>
      <c r="X432" s="99"/>
      <c r="Y432" s="221"/>
      <c r="Z432" s="124">
        <f>SUM(Z433:Z439)</f>
        <v>0</v>
      </c>
      <c r="AA432" s="125">
        <f>SUM(AA433:AA439)</f>
        <v>0</v>
      </c>
      <c r="AB432" s="99"/>
      <c r="AC432" s="736"/>
      <c r="AD432" s="736"/>
      <c r="AE432" s="69">
        <f>SUM(AG432,BA432,BU432)</f>
        <v>0</v>
      </c>
      <c r="AF432" s="97"/>
      <c r="AG432" s="98">
        <f>1+0-1+1-1</f>
        <v>0</v>
      </c>
      <c r="AH432" s="98"/>
      <c r="AI432" s="98"/>
      <c r="AJ432" s="249"/>
      <c r="AK432" s="221"/>
      <c r="AL432" s="124">
        <f>SUM(AL433:AL439)</f>
        <v>0</v>
      </c>
      <c r="AM432" s="125">
        <f>SUM(AM433:AM439)</f>
        <v>0</v>
      </c>
      <c r="AN432" s="99"/>
      <c r="AO432" s="221"/>
      <c r="AP432" s="124">
        <f>SUM(AP433:AP439)</f>
        <v>0</v>
      </c>
      <c r="AQ432" s="125">
        <f>SUM(AQ433:AQ439)</f>
        <v>0</v>
      </c>
      <c r="AR432" s="99"/>
      <c r="AS432" s="221"/>
      <c r="AT432" s="124">
        <f>SUM(AT433:AT439)</f>
        <v>0</v>
      </c>
      <c r="AU432" s="125">
        <f>SUM(AU433:AU439)</f>
        <v>0</v>
      </c>
      <c r="AV432" s="99"/>
      <c r="AW432" s="736"/>
      <c r="AX432" s="736"/>
      <c r="AY432" s="69">
        <f>SUM(BA432,BU432)</f>
        <v>0</v>
      </c>
      <c r="AZ432" s="97"/>
      <c r="BA432" s="98">
        <f>1-1+0</f>
        <v>0</v>
      </c>
      <c r="BB432" s="98"/>
      <c r="BC432" s="98"/>
      <c r="BD432" s="249"/>
      <c r="BE432" s="221"/>
      <c r="BF432" s="124">
        <f>SUM(BF433:BF439)</f>
        <v>0</v>
      </c>
      <c r="BG432" s="125">
        <f>SUM(BG433:BG439)</f>
        <v>0</v>
      </c>
      <c r="BH432" s="99"/>
      <c r="BI432" s="221"/>
      <c r="BJ432" s="124">
        <f>SUM(BJ433:BJ439)</f>
        <v>0</v>
      </c>
      <c r="BK432" s="125">
        <f>SUM(BK433:BK439)</f>
        <v>0</v>
      </c>
      <c r="BL432" s="99"/>
      <c r="BM432" s="221"/>
      <c r="BN432" s="124">
        <f>SUM(BN433:BN439)</f>
        <v>0</v>
      </c>
      <c r="BO432" s="125">
        <f>SUM(BO433:BO439)</f>
        <v>0</v>
      </c>
      <c r="BP432" s="99"/>
      <c r="BQ432" s="736"/>
      <c r="BR432" s="736"/>
      <c r="BS432" s="69">
        <f>BU432</f>
        <v>0</v>
      </c>
      <c r="BT432" s="97"/>
      <c r="BU432" s="98">
        <v>0</v>
      </c>
      <c r="BV432" s="98"/>
      <c r="BW432" s="98"/>
      <c r="BX432" s="249"/>
      <c r="BY432" s="221"/>
      <c r="BZ432" s="124">
        <f>SUM(BZ433:BZ439)</f>
        <v>0</v>
      </c>
      <c r="CA432" s="125">
        <f>SUM(CA433:CA439)</f>
        <v>0</v>
      </c>
      <c r="CB432" s="99"/>
      <c r="CC432" s="221"/>
      <c r="CD432" s="124">
        <f>SUM(CD433:CD439)</f>
        <v>0</v>
      </c>
      <c r="CE432" s="125">
        <f>SUM(CE433:CE439)</f>
        <v>0</v>
      </c>
      <c r="CF432" s="99"/>
      <c r="CG432" s="221"/>
      <c r="CH432" s="124">
        <f>SUM(CH433:CH439)</f>
        <v>0</v>
      </c>
      <c r="CI432" s="125">
        <f>SUM(CI433:CI439)</f>
        <v>0</v>
      </c>
      <c r="CJ432" s="99"/>
      <c r="CK432" s="736"/>
      <c r="CL432" s="736"/>
      <c r="CM432" s="69">
        <f>CO432</f>
        <v>0</v>
      </c>
      <c r="CN432" s="97"/>
      <c r="CO432" s="249">
        <v>0</v>
      </c>
      <c r="CP432" s="98"/>
      <c r="CQ432" s="98"/>
      <c r="CR432" s="249"/>
      <c r="CS432" s="237"/>
      <c r="CT432" s="124">
        <f>SUM(CT433:CT439)</f>
        <v>0</v>
      </c>
      <c r="CU432" s="125">
        <f>SUM(CU433:CU439)</f>
        <v>0</v>
      </c>
      <c r="CV432" s="99"/>
      <c r="CW432" s="221"/>
      <c r="CX432" s="124">
        <f>SUM(CX433:CX439)</f>
        <v>0</v>
      </c>
      <c r="CY432" s="125">
        <f>SUM(CY433:CY439)</f>
        <v>0</v>
      </c>
      <c r="CZ432" s="99"/>
      <c r="DA432" s="221"/>
      <c r="DB432" s="124">
        <f>SUM(DB433:DB439)</f>
        <v>0</v>
      </c>
      <c r="DC432" s="125">
        <f>SUM(DC433:DC439)</f>
        <v>0</v>
      </c>
      <c r="DD432" s="99"/>
      <c r="DE432" s="736"/>
      <c r="DF432" s="736"/>
      <c r="DG432" s="69">
        <f>DI432</f>
        <v>0</v>
      </c>
      <c r="DH432" s="97"/>
      <c r="DI432" s="249">
        <v>0</v>
      </c>
      <c r="DJ432" s="98"/>
      <c r="DK432" s="98"/>
      <c r="DL432" s="249"/>
      <c r="DM432" s="237"/>
    </row>
    <row r="433" spans="1:117" x14ac:dyDescent="0.25">
      <c r="A433" s="45"/>
      <c r="B433" s="10" t="s">
        <v>215</v>
      </c>
      <c r="C433" s="45"/>
      <c r="D433" s="44"/>
      <c r="E433" s="44"/>
      <c r="F433" s="342"/>
      <c r="G433" s="44"/>
      <c r="H433" s="46"/>
      <c r="I433" s="46"/>
      <c r="J433" s="535"/>
      <c r="K433" s="436"/>
      <c r="L433" s="279"/>
      <c r="M433" s="47"/>
      <c r="N433" s="47"/>
      <c r="O433" s="47"/>
      <c r="P433" s="253"/>
      <c r="Q433" s="287"/>
      <c r="R433" s="288"/>
      <c r="S433" s="289"/>
      <c r="T433" s="48"/>
      <c r="U433" s="287"/>
      <c r="V433" s="288"/>
      <c r="W433" s="289"/>
      <c r="X433" s="48"/>
      <c r="Y433" s="287"/>
      <c r="Z433" s="132"/>
      <c r="AA433" s="289"/>
      <c r="AB433" s="48"/>
      <c r="AC433" s="287"/>
      <c r="AD433" s="287"/>
      <c r="AE433" s="436"/>
      <c r="AF433" s="279"/>
      <c r="AG433" s="47"/>
      <c r="AH433" s="47"/>
      <c r="AI433" s="47"/>
      <c r="AJ433" s="253"/>
      <c r="AK433" s="287"/>
      <c r="AL433" s="288"/>
      <c r="AM433" s="289"/>
      <c r="AN433" s="48"/>
      <c r="AO433" s="287"/>
      <c r="AP433" s="288"/>
      <c r="AQ433" s="289"/>
      <c r="AR433" s="48"/>
      <c r="AS433" s="287"/>
      <c r="AT433" s="132"/>
      <c r="AU433" s="289"/>
      <c r="AV433" s="48"/>
      <c r="AW433" s="287"/>
      <c r="AX433" s="287"/>
      <c r="AY433" s="436"/>
      <c r="AZ433" s="279"/>
      <c r="BA433" s="47"/>
      <c r="BB433" s="47"/>
      <c r="BC433" s="47"/>
      <c r="BD433" s="253"/>
      <c r="BE433" s="287"/>
      <c r="BF433" s="288"/>
      <c r="BG433" s="289"/>
      <c r="BH433" s="48"/>
      <c r="BI433" s="287"/>
      <c r="BJ433" s="288"/>
      <c r="BK433" s="289"/>
      <c r="BL433" s="48"/>
      <c r="BM433" s="287"/>
      <c r="BN433" s="132"/>
      <c r="BO433" s="289"/>
      <c r="BP433" s="48"/>
      <c r="BQ433" s="287"/>
      <c r="BR433" s="287"/>
      <c r="BS433" s="436"/>
      <c r="BT433" s="279"/>
      <c r="BU433" s="47"/>
      <c r="BV433" s="47"/>
      <c r="BW433" s="47"/>
      <c r="BX433" s="253"/>
      <c r="BY433" s="287"/>
      <c r="BZ433" s="288"/>
      <c r="CA433" s="289"/>
      <c r="CB433" s="48"/>
      <c r="CC433" s="287"/>
      <c r="CD433" s="288"/>
      <c r="CE433" s="289"/>
      <c r="CF433" s="48"/>
      <c r="CG433" s="287"/>
      <c r="CH433" s="132"/>
      <c r="CI433" s="289"/>
      <c r="CJ433" s="48"/>
      <c r="CK433" s="287"/>
      <c r="CL433" s="287"/>
      <c r="CM433" s="436"/>
      <c r="CN433" s="279"/>
      <c r="CO433" s="47"/>
      <c r="CP433" s="47"/>
      <c r="CQ433" s="47"/>
      <c r="CR433" s="253"/>
      <c r="CS433" s="290"/>
      <c r="CT433" s="288"/>
      <c r="CU433" s="289"/>
      <c r="CV433" s="48"/>
      <c r="CW433" s="287"/>
      <c r="CX433" s="288"/>
      <c r="CY433" s="289"/>
      <c r="CZ433" s="48"/>
      <c r="DA433" s="287"/>
      <c r="DB433" s="132"/>
      <c r="DC433" s="289"/>
      <c r="DD433" s="48"/>
      <c r="DE433" s="287"/>
      <c r="DF433" s="287"/>
      <c r="DG433" s="436"/>
      <c r="DH433" s="279"/>
      <c r="DI433" s="47"/>
      <c r="DJ433" s="47"/>
      <c r="DK433" s="47"/>
      <c r="DL433" s="253"/>
      <c r="DM433" s="290"/>
    </row>
    <row r="434" spans="1:117" x14ac:dyDescent="0.25">
      <c r="A434" s="17"/>
      <c r="B434" s="10" t="s">
        <v>338</v>
      </c>
      <c r="C434" s="17" t="s">
        <v>51</v>
      </c>
      <c r="D434" s="10"/>
      <c r="E434" s="10"/>
      <c r="F434" s="337"/>
      <c r="G434" s="109" t="s">
        <v>317</v>
      </c>
      <c r="H434" s="24"/>
      <c r="I434" s="24"/>
      <c r="J434" s="530">
        <f>SUM(M434,AG434,BA434,BU434)-L434</f>
        <v>0</v>
      </c>
      <c r="K434" s="395">
        <f t="shared" ref="K434" si="994">M434-O434-L434</f>
        <v>0</v>
      </c>
      <c r="L434" s="515">
        <v>2</v>
      </c>
      <c r="M434" s="302">
        <f>M432</f>
        <v>2</v>
      </c>
      <c r="N434" s="7">
        <f>M434-L434</f>
        <v>0</v>
      </c>
      <c r="O434" s="258"/>
      <c r="P434" s="304">
        <f>P432</f>
        <v>2</v>
      </c>
      <c r="Q434" s="234">
        <f t="shared" ref="Q434:Q439" si="995">L434+O434-P434</f>
        <v>0</v>
      </c>
      <c r="R434" s="123"/>
      <c r="S434" s="8"/>
      <c r="T434" s="34"/>
      <c r="U434" s="713"/>
      <c r="V434" s="123"/>
      <c r="W434" s="8"/>
      <c r="X434" s="34"/>
      <c r="Y434" s="713"/>
      <c r="Z434" s="20"/>
      <c r="AA434" s="8"/>
      <c r="AB434" s="34"/>
      <c r="AC434" s="234"/>
      <c r="AD434" s="234"/>
      <c r="AE434" s="398">
        <f>SUM(M434,AG434)-SUM(O434,AI434)-L434</f>
        <v>0</v>
      </c>
      <c r="AF434" s="32">
        <f>Q434</f>
        <v>0</v>
      </c>
      <c r="AG434" s="302">
        <f>AG432</f>
        <v>0</v>
      </c>
      <c r="AH434" s="7">
        <f>AG434-AF434</f>
        <v>0</v>
      </c>
      <c r="AI434" s="242"/>
      <c r="AJ434" s="304">
        <f>AJ432</f>
        <v>0</v>
      </c>
      <c r="AK434" s="234">
        <f t="shared" ref="AK434:AK439" si="996">AF434+AI434-AJ434</f>
        <v>0</v>
      </c>
      <c r="AL434" s="123"/>
      <c r="AM434" s="8"/>
      <c r="AN434" s="34"/>
      <c r="AO434" s="713"/>
      <c r="AP434" s="123"/>
      <c r="AQ434" s="8"/>
      <c r="AR434" s="34"/>
      <c r="AS434" s="713"/>
      <c r="AT434" s="20"/>
      <c r="AU434" s="8"/>
      <c r="AV434" s="34"/>
      <c r="AW434" s="234"/>
      <c r="AX434" s="234"/>
      <c r="AY434" s="395">
        <f>SUM(M434,AG434,BA434)-SUM(O434,AI434,BC434)-L434</f>
        <v>0</v>
      </c>
      <c r="AZ434" s="32">
        <f>AK434</f>
        <v>0</v>
      </c>
      <c r="BA434" s="302">
        <f>BA432</f>
        <v>0</v>
      </c>
      <c r="BB434" s="7">
        <f>BA434-AZ434</f>
        <v>0</v>
      </c>
      <c r="BC434" s="7"/>
      <c r="BD434" s="304">
        <f>BD432</f>
        <v>0</v>
      </c>
      <c r="BE434" s="234">
        <f t="shared" ref="BE434:BE439" si="997">AZ434+BC434-BD434</f>
        <v>0</v>
      </c>
      <c r="BF434" s="123"/>
      <c r="BG434" s="8"/>
      <c r="BH434" s="34"/>
      <c r="BI434" s="713"/>
      <c r="BJ434" s="123"/>
      <c r="BK434" s="8"/>
      <c r="BL434" s="34"/>
      <c r="BM434" s="713"/>
      <c r="BN434" s="20"/>
      <c r="BO434" s="8"/>
      <c r="BP434" s="34"/>
      <c r="BQ434" s="234"/>
      <c r="BR434" s="234"/>
      <c r="BS434" s="395">
        <f>SUM(M434,AG434,BA434,BU434)-SUM(O434,AI434,BC434,BW434)-L434</f>
        <v>0</v>
      </c>
      <c r="BT434" s="32">
        <f>BE434</f>
        <v>0</v>
      </c>
      <c r="BU434" s="302">
        <f>BU432</f>
        <v>0</v>
      </c>
      <c r="BV434" s="7">
        <f>BU434-BT434</f>
        <v>0</v>
      </c>
      <c r="BW434" s="258"/>
      <c r="BX434" s="304">
        <f>BX432</f>
        <v>0</v>
      </c>
      <c r="BY434" s="234">
        <f t="shared" ref="BY434:BY439" si="998">BT434+BW434-BX434</f>
        <v>0</v>
      </c>
      <c r="BZ434" s="123"/>
      <c r="CA434" s="8"/>
      <c r="CB434" s="34"/>
      <c r="CC434" s="713"/>
      <c r="CD434" s="123"/>
      <c r="CE434" s="8"/>
      <c r="CF434" s="34"/>
      <c r="CG434" s="713"/>
      <c r="CH434" s="20"/>
      <c r="CI434" s="8"/>
      <c r="CJ434" s="34"/>
      <c r="CK434" s="234"/>
      <c r="CL434" s="234"/>
      <c r="CM434" s="395">
        <f>SUM(M434,AG434,BA434,BU434,CO434)-SUM(O434,AI434,BC434,BW434,CQ434)-L434</f>
        <v>0</v>
      </c>
      <c r="CN434" s="32">
        <f>BY434</f>
        <v>0</v>
      </c>
      <c r="CO434" s="302">
        <f>CO432</f>
        <v>0</v>
      </c>
      <c r="CP434" s="7">
        <f>CO434-CN434</f>
        <v>0</v>
      </c>
      <c r="CQ434" s="242"/>
      <c r="CR434" s="304">
        <f>CR432</f>
        <v>0</v>
      </c>
      <c r="CS434" s="234">
        <f t="shared" ref="CS434:CS439" si="999">CN434+CQ434-CR434</f>
        <v>0</v>
      </c>
      <c r="CT434" s="123"/>
      <c r="CU434" s="8"/>
      <c r="CV434" s="34"/>
      <c r="CW434" s="713"/>
      <c r="CX434" s="123"/>
      <c r="CY434" s="8"/>
      <c r="CZ434" s="34"/>
      <c r="DA434" s="713"/>
      <c r="DB434" s="20"/>
      <c r="DC434" s="8"/>
      <c r="DD434" s="34"/>
      <c r="DE434" s="234"/>
      <c r="DF434" s="234"/>
      <c r="DG434" s="395">
        <f>SUM(M434,AG434,BA434,BU434,DI434)-SUM(O434,AI434,BC434,BW434,CQ434)-L434</f>
        <v>0</v>
      </c>
      <c r="DH434" s="32">
        <f t="shared" ref="DH434:DH438" si="1000">BY434</f>
        <v>0</v>
      </c>
      <c r="DI434" s="302">
        <f>DI432</f>
        <v>0</v>
      </c>
      <c r="DJ434" s="7">
        <f>DI434-DH434</f>
        <v>0</v>
      </c>
      <c r="DK434" s="242"/>
      <c r="DL434" s="304">
        <f>DL432</f>
        <v>0</v>
      </c>
      <c r="DM434" s="234">
        <f t="shared" ref="DM434:DM439" si="1001">DH434+DK434-DL434</f>
        <v>0</v>
      </c>
    </row>
    <row r="435" spans="1:117" x14ac:dyDescent="0.25">
      <c r="A435" s="18"/>
      <c r="B435" s="11"/>
      <c r="C435" s="18"/>
      <c r="D435" s="11"/>
      <c r="E435" s="11"/>
      <c r="F435" s="149"/>
      <c r="G435" s="11"/>
      <c r="H435" s="25"/>
      <c r="I435" s="24"/>
      <c r="J435" s="536"/>
      <c r="K435" s="394"/>
      <c r="L435" s="32">
        <v>0</v>
      </c>
      <c r="M435" s="302">
        <f>M432+0-M432</f>
        <v>0</v>
      </c>
      <c r="N435" s="7">
        <f>M435-L435</f>
        <v>0</v>
      </c>
      <c r="O435" s="258"/>
      <c r="P435" s="242"/>
      <c r="Q435" s="231">
        <f t="shared" si="995"/>
        <v>0</v>
      </c>
      <c r="R435" s="121"/>
      <c r="S435" s="6"/>
      <c r="T435" s="35"/>
      <c r="U435" s="612"/>
      <c r="V435" s="121"/>
      <c r="W435" s="6"/>
      <c r="X435" s="35"/>
      <c r="Y435" s="612"/>
      <c r="Z435" s="21"/>
      <c r="AA435" s="6"/>
      <c r="AB435" s="35"/>
      <c r="AC435" s="713"/>
      <c r="AD435" s="713"/>
      <c r="AE435" s="394"/>
      <c r="AF435" s="32">
        <f>Q435</f>
        <v>0</v>
      </c>
      <c r="AG435" s="302">
        <f>AG432</f>
        <v>0</v>
      </c>
      <c r="AH435" s="7">
        <f>AG435-AF435</f>
        <v>0</v>
      </c>
      <c r="AI435" s="242"/>
      <c r="AJ435" s="242"/>
      <c r="AK435" s="231">
        <f t="shared" si="996"/>
        <v>0</v>
      </c>
      <c r="AL435" s="121"/>
      <c r="AM435" s="6"/>
      <c r="AN435" s="35"/>
      <c r="AO435" s="612"/>
      <c r="AP435" s="121"/>
      <c r="AQ435" s="6"/>
      <c r="AR435" s="35"/>
      <c r="AS435" s="612"/>
      <c r="AT435" s="21"/>
      <c r="AU435" s="6"/>
      <c r="AV435" s="35"/>
      <c r="AW435" s="713"/>
      <c r="AX435" s="713"/>
      <c r="AY435" s="394"/>
      <c r="AZ435" s="32">
        <f t="shared" ref="AZ435:AZ438" si="1002">AK435</f>
        <v>0</v>
      </c>
      <c r="BA435" s="302">
        <f>BA432</f>
        <v>0</v>
      </c>
      <c r="BB435" s="7">
        <f>BA435-AZ435</f>
        <v>0</v>
      </c>
      <c r="BC435" s="242"/>
      <c r="BD435" s="242"/>
      <c r="BE435" s="231">
        <f t="shared" si="997"/>
        <v>0</v>
      </c>
      <c r="BF435" s="121"/>
      <c r="BG435" s="6"/>
      <c r="BH435" s="35"/>
      <c r="BI435" s="612"/>
      <c r="BJ435" s="121"/>
      <c r="BK435" s="6"/>
      <c r="BL435" s="35"/>
      <c r="BM435" s="612"/>
      <c r="BN435" s="21"/>
      <c r="BO435" s="6"/>
      <c r="BP435" s="35"/>
      <c r="BQ435" s="713"/>
      <c r="BR435" s="713"/>
      <c r="BS435" s="394"/>
      <c r="BT435" s="32">
        <f t="shared" ref="BT435:BT438" si="1003">BE435</f>
        <v>0</v>
      </c>
      <c r="BU435" s="302">
        <f>BU432</f>
        <v>0</v>
      </c>
      <c r="BV435" s="7">
        <f>BU435-BT435</f>
        <v>0</v>
      </c>
      <c r="BW435" s="242"/>
      <c r="BX435" s="242"/>
      <c r="BY435" s="231">
        <f t="shared" si="998"/>
        <v>0</v>
      </c>
      <c r="BZ435" s="121"/>
      <c r="CA435" s="6"/>
      <c r="CB435" s="35"/>
      <c r="CC435" s="612"/>
      <c r="CD435" s="121"/>
      <c r="CE435" s="6"/>
      <c r="CF435" s="35"/>
      <c r="CG435" s="612"/>
      <c r="CH435" s="21"/>
      <c r="CI435" s="6"/>
      <c r="CJ435" s="35"/>
      <c r="CK435" s="713"/>
      <c r="CL435" s="713"/>
      <c r="CM435" s="394"/>
      <c r="CN435" s="32">
        <f t="shared" ref="CN435:CN438" si="1004">BY435</f>
        <v>0</v>
      </c>
      <c r="CO435" s="302">
        <f>CO432</f>
        <v>0</v>
      </c>
      <c r="CP435" s="7">
        <f>CO435-CN435</f>
        <v>0</v>
      </c>
      <c r="CQ435" s="242"/>
      <c r="CR435" s="242"/>
      <c r="CS435" s="231">
        <f t="shared" si="999"/>
        <v>0</v>
      </c>
      <c r="CT435" s="121"/>
      <c r="CU435" s="6"/>
      <c r="CV435" s="35"/>
      <c r="CW435" s="612"/>
      <c r="CX435" s="121"/>
      <c r="CY435" s="6"/>
      <c r="CZ435" s="35"/>
      <c r="DA435" s="612"/>
      <c r="DB435" s="21"/>
      <c r="DC435" s="6"/>
      <c r="DD435" s="35"/>
      <c r="DE435" s="713"/>
      <c r="DF435" s="713"/>
      <c r="DG435" s="394"/>
      <c r="DH435" s="32">
        <f t="shared" si="1000"/>
        <v>0</v>
      </c>
      <c r="DI435" s="302">
        <f>DI432</f>
        <v>0</v>
      </c>
      <c r="DJ435" s="7">
        <f>DI435-DH435</f>
        <v>0</v>
      </c>
      <c r="DK435" s="242"/>
      <c r="DL435" s="242"/>
      <c r="DM435" s="231">
        <f t="shared" si="1001"/>
        <v>0</v>
      </c>
    </row>
    <row r="436" spans="1:117" x14ac:dyDescent="0.25">
      <c r="A436" s="18"/>
      <c r="B436" s="11"/>
      <c r="C436" s="18"/>
      <c r="D436" s="11"/>
      <c r="E436" s="11"/>
      <c r="F436" s="149"/>
      <c r="G436" s="11"/>
      <c r="H436" s="25"/>
      <c r="I436" s="24"/>
      <c r="J436" s="536"/>
      <c r="K436" s="394"/>
      <c r="L436" s="32">
        <v>0</v>
      </c>
      <c r="M436" s="302">
        <f>M433+0-M433</f>
        <v>0</v>
      </c>
      <c r="N436" s="7">
        <f>M436-L436</f>
        <v>0</v>
      </c>
      <c r="O436" s="258"/>
      <c r="P436" s="242"/>
      <c r="Q436" s="231">
        <f t="shared" si="995"/>
        <v>0</v>
      </c>
      <c r="R436" s="121"/>
      <c r="S436" s="6"/>
      <c r="T436" s="35"/>
      <c r="U436" s="612"/>
      <c r="V436" s="121"/>
      <c r="W436" s="6"/>
      <c r="X436" s="35"/>
      <c r="Y436" s="612"/>
      <c r="Z436" s="21"/>
      <c r="AA436" s="6"/>
      <c r="AB436" s="35"/>
      <c r="AC436" s="713"/>
      <c r="AD436" s="713"/>
      <c r="AE436" s="394"/>
      <c r="AF436" s="32">
        <f>Q436</f>
        <v>0</v>
      </c>
      <c r="AG436" s="302">
        <f>AG432</f>
        <v>0</v>
      </c>
      <c r="AH436" s="7">
        <f>AG436-AF436</f>
        <v>0</v>
      </c>
      <c r="AI436" s="242"/>
      <c r="AJ436" s="242"/>
      <c r="AK436" s="231">
        <f t="shared" si="996"/>
        <v>0</v>
      </c>
      <c r="AL436" s="121"/>
      <c r="AM436" s="6"/>
      <c r="AN436" s="35"/>
      <c r="AO436" s="612"/>
      <c r="AP436" s="121"/>
      <c r="AQ436" s="6"/>
      <c r="AR436" s="35"/>
      <c r="AS436" s="612"/>
      <c r="AT436" s="21"/>
      <c r="AU436" s="6"/>
      <c r="AV436" s="35"/>
      <c r="AW436" s="713"/>
      <c r="AX436" s="713"/>
      <c r="AY436" s="394"/>
      <c r="AZ436" s="32">
        <f t="shared" si="1002"/>
        <v>0</v>
      </c>
      <c r="BA436" s="302">
        <f>BA432</f>
        <v>0</v>
      </c>
      <c r="BB436" s="7"/>
      <c r="BC436" s="242"/>
      <c r="BD436" s="242"/>
      <c r="BE436" s="231">
        <f t="shared" si="997"/>
        <v>0</v>
      </c>
      <c r="BF436" s="121"/>
      <c r="BG436" s="6"/>
      <c r="BH436" s="35"/>
      <c r="BI436" s="612"/>
      <c r="BJ436" s="121"/>
      <c r="BK436" s="6"/>
      <c r="BL436" s="35"/>
      <c r="BM436" s="612"/>
      <c r="BN436" s="21"/>
      <c r="BO436" s="6"/>
      <c r="BP436" s="35"/>
      <c r="BQ436" s="713"/>
      <c r="BR436" s="713"/>
      <c r="BS436" s="394"/>
      <c r="BT436" s="32">
        <f t="shared" si="1003"/>
        <v>0</v>
      </c>
      <c r="BU436" s="302">
        <f>BU432</f>
        <v>0</v>
      </c>
      <c r="BV436" s="7"/>
      <c r="BW436" s="242"/>
      <c r="BX436" s="242"/>
      <c r="BY436" s="231">
        <f t="shared" si="998"/>
        <v>0</v>
      </c>
      <c r="BZ436" s="121"/>
      <c r="CA436" s="6"/>
      <c r="CB436" s="35"/>
      <c r="CC436" s="612"/>
      <c r="CD436" s="121"/>
      <c r="CE436" s="6"/>
      <c r="CF436" s="35"/>
      <c r="CG436" s="612"/>
      <c r="CH436" s="21"/>
      <c r="CI436" s="6"/>
      <c r="CJ436" s="35"/>
      <c r="CK436" s="713"/>
      <c r="CL436" s="713"/>
      <c r="CM436" s="394"/>
      <c r="CN436" s="32">
        <f t="shared" si="1004"/>
        <v>0</v>
      </c>
      <c r="CO436" s="7"/>
      <c r="CP436" s="7"/>
      <c r="CQ436" s="242"/>
      <c r="CR436" s="242"/>
      <c r="CS436" s="231">
        <f t="shared" si="999"/>
        <v>0</v>
      </c>
      <c r="CT436" s="121"/>
      <c r="CU436" s="6"/>
      <c r="CV436" s="35"/>
      <c r="CW436" s="612"/>
      <c r="CX436" s="121"/>
      <c r="CY436" s="6"/>
      <c r="CZ436" s="35"/>
      <c r="DA436" s="612"/>
      <c r="DB436" s="21"/>
      <c r="DC436" s="6"/>
      <c r="DD436" s="35"/>
      <c r="DE436" s="713"/>
      <c r="DF436" s="713"/>
      <c r="DG436" s="394"/>
      <c r="DH436" s="32">
        <f t="shared" si="1000"/>
        <v>0</v>
      </c>
      <c r="DI436" s="7"/>
      <c r="DJ436" s="7"/>
      <c r="DK436" s="242"/>
      <c r="DL436" s="242"/>
      <c r="DM436" s="231">
        <f t="shared" si="1001"/>
        <v>0</v>
      </c>
    </row>
    <row r="437" spans="1:117" x14ac:dyDescent="0.25">
      <c r="A437" s="18"/>
      <c r="B437" s="11"/>
      <c r="C437" s="18"/>
      <c r="D437" s="11"/>
      <c r="E437" s="11"/>
      <c r="F437" s="149"/>
      <c r="G437" s="11"/>
      <c r="H437" s="25"/>
      <c r="I437" s="24"/>
      <c r="J437" s="536"/>
      <c r="K437" s="394"/>
      <c r="L437" s="32">
        <v>0</v>
      </c>
      <c r="M437" s="302">
        <f>M434+0-M434</f>
        <v>0</v>
      </c>
      <c r="N437" s="7">
        <f>M437-L437</f>
        <v>0</v>
      </c>
      <c r="O437" s="258"/>
      <c r="P437" s="242"/>
      <c r="Q437" s="231">
        <f t="shared" si="995"/>
        <v>0</v>
      </c>
      <c r="R437" s="121"/>
      <c r="S437" s="6"/>
      <c r="T437" s="35"/>
      <c r="U437" s="612"/>
      <c r="V437" s="121"/>
      <c r="W437" s="6"/>
      <c r="X437" s="35"/>
      <c r="Y437" s="612"/>
      <c r="Z437" s="21"/>
      <c r="AA437" s="6"/>
      <c r="AB437" s="35"/>
      <c r="AC437" s="713"/>
      <c r="AD437" s="713"/>
      <c r="AE437" s="394"/>
      <c r="AF437" s="32">
        <f>Q437</f>
        <v>0</v>
      </c>
      <c r="AG437" s="302">
        <f>AG432</f>
        <v>0</v>
      </c>
      <c r="AH437" s="7">
        <f>AG437-AF437</f>
        <v>0</v>
      </c>
      <c r="AI437" s="242"/>
      <c r="AJ437" s="242"/>
      <c r="AK437" s="231">
        <f t="shared" si="996"/>
        <v>0</v>
      </c>
      <c r="AL437" s="121"/>
      <c r="AM437" s="6"/>
      <c r="AN437" s="35"/>
      <c r="AO437" s="612"/>
      <c r="AP437" s="121"/>
      <c r="AQ437" s="6"/>
      <c r="AR437" s="35"/>
      <c r="AS437" s="612"/>
      <c r="AT437" s="21"/>
      <c r="AU437" s="6"/>
      <c r="AV437" s="35"/>
      <c r="AW437" s="713"/>
      <c r="AX437" s="713"/>
      <c r="AY437" s="394"/>
      <c r="AZ437" s="32">
        <f t="shared" si="1002"/>
        <v>0</v>
      </c>
      <c r="BA437" s="302">
        <f>BA432</f>
        <v>0</v>
      </c>
      <c r="BB437" s="7">
        <f>BA437-AZ437</f>
        <v>0</v>
      </c>
      <c r="BC437" s="242"/>
      <c r="BD437" s="242"/>
      <c r="BE437" s="231">
        <f t="shared" si="997"/>
        <v>0</v>
      </c>
      <c r="BF437" s="121"/>
      <c r="BG437" s="6"/>
      <c r="BH437" s="35"/>
      <c r="BI437" s="612"/>
      <c r="BJ437" s="121"/>
      <c r="BK437" s="6"/>
      <c r="BL437" s="35"/>
      <c r="BM437" s="612"/>
      <c r="BN437" s="21"/>
      <c r="BO437" s="6"/>
      <c r="BP437" s="35"/>
      <c r="BQ437" s="713"/>
      <c r="BR437" s="713"/>
      <c r="BS437" s="394"/>
      <c r="BT437" s="32">
        <f t="shared" si="1003"/>
        <v>0</v>
      </c>
      <c r="BU437" s="302">
        <f>BU432</f>
        <v>0</v>
      </c>
      <c r="BV437" s="7">
        <f>BU437-BT437</f>
        <v>0</v>
      </c>
      <c r="BW437" s="242"/>
      <c r="BX437" s="242"/>
      <c r="BY437" s="231">
        <f t="shared" si="998"/>
        <v>0</v>
      </c>
      <c r="BZ437" s="121"/>
      <c r="CA437" s="6"/>
      <c r="CB437" s="35"/>
      <c r="CC437" s="612"/>
      <c r="CD437" s="121"/>
      <c r="CE437" s="6"/>
      <c r="CF437" s="35"/>
      <c r="CG437" s="612"/>
      <c r="CH437" s="21"/>
      <c r="CI437" s="6"/>
      <c r="CJ437" s="35"/>
      <c r="CK437" s="713"/>
      <c r="CL437" s="713"/>
      <c r="CM437" s="394"/>
      <c r="CN437" s="32">
        <f t="shared" si="1004"/>
        <v>0</v>
      </c>
      <c r="CO437" s="302">
        <f>CO432</f>
        <v>0</v>
      </c>
      <c r="CP437" s="7">
        <f>CO437-CN437</f>
        <v>0</v>
      </c>
      <c r="CQ437" s="242"/>
      <c r="CR437" s="242"/>
      <c r="CS437" s="231">
        <f t="shared" si="999"/>
        <v>0</v>
      </c>
      <c r="CT437" s="121"/>
      <c r="CU437" s="6"/>
      <c r="CV437" s="35"/>
      <c r="CW437" s="612"/>
      <c r="CX437" s="121"/>
      <c r="CY437" s="6"/>
      <c r="CZ437" s="35"/>
      <c r="DA437" s="612"/>
      <c r="DB437" s="21"/>
      <c r="DC437" s="6"/>
      <c r="DD437" s="35"/>
      <c r="DE437" s="713"/>
      <c r="DF437" s="713"/>
      <c r="DG437" s="394"/>
      <c r="DH437" s="32">
        <f t="shared" si="1000"/>
        <v>0</v>
      </c>
      <c r="DI437" s="302">
        <f>DI432</f>
        <v>0</v>
      </c>
      <c r="DJ437" s="7">
        <f>DI437-DH437</f>
        <v>0</v>
      </c>
      <c r="DK437" s="242"/>
      <c r="DL437" s="242"/>
      <c r="DM437" s="231">
        <f t="shared" si="1001"/>
        <v>0</v>
      </c>
    </row>
    <row r="438" spans="1:117" x14ac:dyDescent="0.25">
      <c r="A438" s="18"/>
      <c r="B438" s="11"/>
      <c r="C438" s="18"/>
      <c r="D438" s="15"/>
      <c r="E438" s="15"/>
      <c r="F438" s="149"/>
      <c r="G438" s="11"/>
      <c r="H438" s="25"/>
      <c r="I438" s="24"/>
      <c r="J438" s="536"/>
      <c r="K438" s="394"/>
      <c r="L438" s="32">
        <v>0</v>
      </c>
      <c r="M438" s="302">
        <f>M435+0-M435</f>
        <v>0</v>
      </c>
      <c r="N438" s="7">
        <f>M438-L438</f>
        <v>0</v>
      </c>
      <c r="O438" s="258"/>
      <c r="P438" s="242"/>
      <c r="Q438" s="231">
        <f t="shared" si="995"/>
        <v>0</v>
      </c>
      <c r="R438" s="121"/>
      <c r="S438" s="6"/>
      <c r="T438" s="35"/>
      <c r="U438" s="612"/>
      <c r="V438" s="121"/>
      <c r="W438" s="6"/>
      <c r="X438" s="35"/>
      <c r="Y438" s="612"/>
      <c r="Z438" s="21"/>
      <c r="AA438" s="6"/>
      <c r="AB438" s="35"/>
      <c r="AC438" s="713"/>
      <c r="AD438" s="713"/>
      <c r="AE438" s="394"/>
      <c r="AF438" s="32">
        <f>Q438</f>
        <v>0</v>
      </c>
      <c r="AG438" s="302">
        <f>AG432</f>
        <v>0</v>
      </c>
      <c r="AH438" s="7">
        <f>AG438-AF438</f>
        <v>0</v>
      </c>
      <c r="AI438" s="242"/>
      <c r="AJ438" s="242"/>
      <c r="AK438" s="231">
        <f t="shared" si="996"/>
        <v>0</v>
      </c>
      <c r="AL438" s="121"/>
      <c r="AM438" s="6"/>
      <c r="AN438" s="35"/>
      <c r="AO438" s="612"/>
      <c r="AP438" s="121"/>
      <c r="AQ438" s="6"/>
      <c r="AR438" s="35"/>
      <c r="AS438" s="612"/>
      <c r="AT438" s="21"/>
      <c r="AU438" s="6"/>
      <c r="AV438" s="35"/>
      <c r="AW438" s="713"/>
      <c r="AX438" s="713"/>
      <c r="AY438" s="394"/>
      <c r="AZ438" s="32">
        <f t="shared" si="1002"/>
        <v>0</v>
      </c>
      <c r="BA438" s="302">
        <f>BA432</f>
        <v>0</v>
      </c>
      <c r="BB438" s="7">
        <f>BA438-AZ438</f>
        <v>0</v>
      </c>
      <c r="BC438" s="242"/>
      <c r="BD438" s="242"/>
      <c r="BE438" s="231">
        <f t="shared" si="997"/>
        <v>0</v>
      </c>
      <c r="BF438" s="121"/>
      <c r="BG438" s="6"/>
      <c r="BH438" s="35"/>
      <c r="BI438" s="612"/>
      <c r="BJ438" s="121"/>
      <c r="BK438" s="6"/>
      <c r="BL438" s="35"/>
      <c r="BM438" s="612"/>
      <c r="BN438" s="21"/>
      <c r="BO438" s="6"/>
      <c r="BP438" s="35"/>
      <c r="BQ438" s="713"/>
      <c r="BR438" s="713"/>
      <c r="BS438" s="394"/>
      <c r="BT438" s="32">
        <f t="shared" si="1003"/>
        <v>0</v>
      </c>
      <c r="BU438" s="302">
        <f>BU432</f>
        <v>0</v>
      </c>
      <c r="BV438" s="7">
        <f>BU438-BT438</f>
        <v>0</v>
      </c>
      <c r="BW438" s="242"/>
      <c r="BX438" s="242"/>
      <c r="BY438" s="231">
        <f t="shared" si="998"/>
        <v>0</v>
      </c>
      <c r="BZ438" s="121"/>
      <c r="CA438" s="6"/>
      <c r="CB438" s="35"/>
      <c r="CC438" s="612"/>
      <c r="CD438" s="121"/>
      <c r="CE438" s="6"/>
      <c r="CF438" s="35"/>
      <c r="CG438" s="612"/>
      <c r="CH438" s="21"/>
      <c r="CI438" s="6"/>
      <c r="CJ438" s="35"/>
      <c r="CK438" s="713"/>
      <c r="CL438" s="713"/>
      <c r="CM438" s="394"/>
      <c r="CN438" s="32">
        <f t="shared" si="1004"/>
        <v>0</v>
      </c>
      <c r="CO438" s="302">
        <f>CO432</f>
        <v>0</v>
      </c>
      <c r="CP438" s="7">
        <f>CO438-CN438</f>
        <v>0</v>
      </c>
      <c r="CQ438" s="242"/>
      <c r="CR438" s="242"/>
      <c r="CS438" s="231">
        <f t="shared" si="999"/>
        <v>0</v>
      </c>
      <c r="CT438" s="121"/>
      <c r="CU438" s="6"/>
      <c r="CV438" s="35"/>
      <c r="CW438" s="612"/>
      <c r="CX438" s="121"/>
      <c r="CY438" s="6"/>
      <c r="CZ438" s="35"/>
      <c r="DA438" s="612"/>
      <c r="DB438" s="21"/>
      <c r="DC438" s="6"/>
      <c r="DD438" s="35"/>
      <c r="DE438" s="713"/>
      <c r="DF438" s="713"/>
      <c r="DG438" s="394"/>
      <c r="DH438" s="32">
        <f t="shared" si="1000"/>
        <v>0</v>
      </c>
      <c r="DI438" s="302">
        <f>DI432</f>
        <v>0</v>
      </c>
      <c r="DJ438" s="7">
        <f>DI438-DH438</f>
        <v>0</v>
      </c>
      <c r="DK438" s="242"/>
      <c r="DL438" s="242"/>
      <c r="DM438" s="231">
        <f t="shared" si="1001"/>
        <v>0</v>
      </c>
    </row>
    <row r="439" spans="1:117" ht="15.75" thickBot="1" x14ac:dyDescent="0.3">
      <c r="A439" s="19"/>
      <c r="B439" s="12"/>
      <c r="C439" s="19"/>
      <c r="D439" s="12"/>
      <c r="E439" s="12"/>
      <c r="F439" s="146"/>
      <c r="G439" s="67"/>
      <c r="H439" s="28"/>
      <c r="I439" s="28"/>
      <c r="J439" s="537"/>
      <c r="K439" s="437"/>
      <c r="L439" s="30"/>
      <c r="M439" s="31"/>
      <c r="N439" s="31"/>
      <c r="O439" s="31"/>
      <c r="P439" s="241"/>
      <c r="Q439" s="232">
        <f t="shared" si="995"/>
        <v>0</v>
      </c>
      <c r="R439" s="200"/>
      <c r="S439" s="201"/>
      <c r="T439" s="36"/>
      <c r="U439" s="220"/>
      <c r="V439" s="200"/>
      <c r="W439" s="201"/>
      <c r="X439" s="36"/>
      <c r="Y439" s="220"/>
      <c r="Z439" s="122"/>
      <c r="AA439" s="201"/>
      <c r="AB439" s="36"/>
      <c r="AC439" s="220"/>
      <c r="AD439" s="220"/>
      <c r="AE439" s="437"/>
      <c r="AF439" s="30"/>
      <c r="AG439" s="31"/>
      <c r="AH439" s="31"/>
      <c r="AI439" s="31"/>
      <c r="AJ439" s="241"/>
      <c r="AK439" s="232">
        <f t="shared" si="996"/>
        <v>0</v>
      </c>
      <c r="AL439" s="200"/>
      <c r="AM439" s="201"/>
      <c r="AN439" s="36"/>
      <c r="AO439" s="220"/>
      <c r="AP439" s="200"/>
      <c r="AQ439" s="201"/>
      <c r="AR439" s="36"/>
      <c r="AS439" s="220"/>
      <c r="AT439" s="122"/>
      <c r="AU439" s="201"/>
      <c r="AV439" s="36"/>
      <c r="AW439" s="220"/>
      <c r="AX439" s="220"/>
      <c r="AY439" s="437"/>
      <c r="AZ439" s="30"/>
      <c r="BA439" s="31"/>
      <c r="BB439" s="31"/>
      <c r="BC439" s="31"/>
      <c r="BD439" s="241"/>
      <c r="BE439" s="232">
        <f t="shared" si="997"/>
        <v>0</v>
      </c>
      <c r="BF439" s="200"/>
      <c r="BG439" s="201"/>
      <c r="BH439" s="36"/>
      <c r="BI439" s="220"/>
      <c r="BJ439" s="200"/>
      <c r="BK439" s="201"/>
      <c r="BL439" s="36"/>
      <c r="BM439" s="220"/>
      <c r="BN439" s="122"/>
      <c r="BO439" s="201"/>
      <c r="BP439" s="36"/>
      <c r="BQ439" s="220"/>
      <c r="BR439" s="220"/>
      <c r="BS439" s="437"/>
      <c r="BT439" s="30"/>
      <c r="BU439" s="31"/>
      <c r="BV439" s="31"/>
      <c r="BW439" s="31"/>
      <c r="BX439" s="241"/>
      <c r="BY439" s="232">
        <f t="shared" si="998"/>
        <v>0</v>
      </c>
      <c r="BZ439" s="200"/>
      <c r="CA439" s="201"/>
      <c r="CB439" s="36"/>
      <c r="CC439" s="220"/>
      <c r="CD439" s="200"/>
      <c r="CE439" s="201"/>
      <c r="CF439" s="36"/>
      <c r="CG439" s="220"/>
      <c r="CH439" s="122"/>
      <c r="CI439" s="201"/>
      <c r="CJ439" s="36"/>
      <c r="CK439" s="220"/>
      <c r="CL439" s="220"/>
      <c r="CM439" s="437"/>
      <c r="CN439" s="30"/>
      <c r="CO439" s="31"/>
      <c r="CP439" s="31"/>
      <c r="CQ439" s="31"/>
      <c r="CR439" s="241"/>
      <c r="CS439" s="232">
        <f t="shared" si="999"/>
        <v>0</v>
      </c>
      <c r="CT439" s="200"/>
      <c r="CU439" s="201"/>
      <c r="CV439" s="36"/>
      <c r="CW439" s="220"/>
      <c r="CX439" s="200"/>
      <c r="CY439" s="201"/>
      <c r="CZ439" s="36"/>
      <c r="DA439" s="220"/>
      <c r="DB439" s="122"/>
      <c r="DC439" s="201"/>
      <c r="DD439" s="36"/>
      <c r="DE439" s="220"/>
      <c r="DF439" s="220"/>
      <c r="DG439" s="437"/>
      <c r="DH439" s="30"/>
      <c r="DI439" s="31"/>
      <c r="DJ439" s="31"/>
      <c r="DK439" s="31"/>
      <c r="DL439" s="241"/>
      <c r="DM439" s="232">
        <f t="shared" si="1001"/>
        <v>0</v>
      </c>
    </row>
    <row r="440" spans="1:117" ht="15.75" thickBot="1" x14ac:dyDescent="0.3">
      <c r="G440" s="3"/>
      <c r="P440" s="248"/>
      <c r="AJ440" s="248"/>
      <c r="BD440" s="248"/>
      <c r="BX440" s="248"/>
      <c r="CR440" s="248"/>
      <c r="DL440" s="248"/>
    </row>
    <row r="441" spans="1:117" ht="15.75" thickBot="1" x14ac:dyDescent="0.3">
      <c r="A441" s="95"/>
      <c r="B441" s="94" t="s">
        <v>401</v>
      </c>
      <c r="C441" s="95"/>
      <c r="D441" s="93"/>
      <c r="E441" s="93"/>
      <c r="F441" s="340"/>
      <c r="G441" s="93"/>
      <c r="H441" s="96"/>
      <c r="I441" s="96"/>
      <c r="J441" s="96">
        <f>SUM(M441,AG441,BA441,BU441)</f>
        <v>5</v>
      </c>
      <c r="K441" s="69"/>
      <c r="L441" s="97"/>
      <c r="M441" s="98">
        <f>1+0-1</f>
        <v>0</v>
      </c>
      <c r="N441" s="98"/>
      <c r="O441" s="98"/>
      <c r="P441" s="435"/>
      <c r="Q441" s="221"/>
      <c r="R441" s="124">
        <f>SUM(R442:R451)</f>
        <v>0</v>
      </c>
      <c r="S441" s="125">
        <f>SUM(S442:S451)</f>
        <v>0</v>
      </c>
      <c r="T441" s="99"/>
      <c r="U441" s="221"/>
      <c r="V441" s="124">
        <f>SUM(V442:V451)</f>
        <v>0</v>
      </c>
      <c r="W441" s="125">
        <f>SUM(W442:W451)</f>
        <v>0</v>
      </c>
      <c r="X441" s="99"/>
      <c r="Y441" s="221"/>
      <c r="Z441" s="124">
        <f>SUM(Z442:Z451)</f>
        <v>0</v>
      </c>
      <c r="AA441" s="125">
        <f>SUM(AA442:AA451)</f>
        <v>0</v>
      </c>
      <c r="AB441" s="99"/>
      <c r="AC441" s="736"/>
      <c r="AD441" s="736"/>
      <c r="AE441" s="69">
        <f>SUM(AG441,BA441,BU441)</f>
        <v>5</v>
      </c>
      <c r="AF441" s="97"/>
      <c r="AG441" s="98">
        <f>1-1+0</f>
        <v>0</v>
      </c>
      <c r="AH441" s="98"/>
      <c r="AI441" s="98"/>
      <c r="AJ441" s="249"/>
      <c r="AK441" s="237"/>
      <c r="AL441" s="124">
        <f>SUM(AL442:AL451)</f>
        <v>0</v>
      </c>
      <c r="AM441" s="125">
        <f>SUM(AM442:AM451)</f>
        <v>0</v>
      </c>
      <c r="AN441" s="99"/>
      <c r="AO441" s="221"/>
      <c r="AP441" s="124">
        <f>SUM(AP442:AP451)</f>
        <v>0</v>
      </c>
      <c r="AQ441" s="125">
        <f>SUM(AQ442:AQ451)</f>
        <v>0</v>
      </c>
      <c r="AR441" s="99"/>
      <c r="AS441" s="221"/>
      <c r="AT441" s="124">
        <f>SUM(AT442:AT451)</f>
        <v>0</v>
      </c>
      <c r="AU441" s="125">
        <f>SUM(AU442:AU451)</f>
        <v>0</v>
      </c>
      <c r="AV441" s="99"/>
      <c r="AW441" s="736"/>
      <c r="AX441" s="736"/>
      <c r="AY441" s="69">
        <f>SUM(BA441,BU441)</f>
        <v>5</v>
      </c>
      <c r="AZ441" s="97"/>
      <c r="BA441" s="98">
        <f>1</f>
        <v>1</v>
      </c>
      <c r="BB441" s="98"/>
      <c r="BC441" s="98"/>
      <c r="BD441" s="249"/>
      <c r="BE441" s="221"/>
      <c r="BF441" s="124">
        <f>SUM(BF442:BF451)</f>
        <v>0</v>
      </c>
      <c r="BG441" s="125">
        <f>SUM(BG442:BG451)</f>
        <v>0</v>
      </c>
      <c r="BH441" s="99"/>
      <c r="BI441" s="221"/>
      <c r="BJ441" s="124">
        <f>SUM(BJ442:BJ451)</f>
        <v>0</v>
      </c>
      <c r="BK441" s="125">
        <f>SUM(BK442:BK451)</f>
        <v>0</v>
      </c>
      <c r="BL441" s="99"/>
      <c r="BM441" s="221"/>
      <c r="BN441" s="124">
        <f>SUM(BN442:BN451)</f>
        <v>0</v>
      </c>
      <c r="BO441" s="125">
        <f>SUM(BO442:BO451)</f>
        <v>0</v>
      </c>
      <c r="BP441" s="99"/>
      <c r="BQ441" s="736"/>
      <c r="BR441" s="736"/>
      <c r="BS441" s="69">
        <f>BU441</f>
        <v>4</v>
      </c>
      <c r="BT441" s="97"/>
      <c r="BU441" s="435">
        <f>2-2+4</f>
        <v>4</v>
      </c>
      <c r="BV441" s="98"/>
      <c r="BW441" s="98"/>
      <c r="BX441" s="249"/>
      <c r="BY441" s="221"/>
      <c r="BZ441" s="124">
        <f>SUM(BZ442:BZ451)</f>
        <v>0</v>
      </c>
      <c r="CA441" s="125">
        <f>SUM(CA442:CA451)</f>
        <v>0</v>
      </c>
      <c r="CB441" s="99"/>
      <c r="CC441" s="221"/>
      <c r="CD441" s="124">
        <f>SUM(CD442:CD451)</f>
        <v>0</v>
      </c>
      <c r="CE441" s="125">
        <f>SUM(CE442:CE451)</f>
        <v>0</v>
      </c>
      <c r="CF441" s="99"/>
      <c r="CG441" s="221"/>
      <c r="CH441" s="124">
        <f>SUM(CH442:CH451)</f>
        <v>0</v>
      </c>
      <c r="CI441" s="125">
        <f>SUM(CI442:CI451)</f>
        <v>0</v>
      </c>
      <c r="CJ441" s="99"/>
      <c r="CK441" s="736"/>
      <c r="CL441" s="736"/>
      <c r="CM441" s="69">
        <f>CO441</f>
        <v>0</v>
      </c>
      <c r="CN441" s="97"/>
      <c r="CO441" s="249"/>
      <c r="CP441" s="98"/>
      <c r="CQ441" s="98"/>
      <c r="CR441" s="249"/>
      <c r="CS441" s="237"/>
      <c r="CT441" s="124">
        <f>SUM(CT442:CT451)</f>
        <v>0</v>
      </c>
      <c r="CU441" s="125">
        <f>SUM(CU442:CU451)</f>
        <v>0</v>
      </c>
      <c r="CV441" s="99"/>
      <c r="CW441" s="221"/>
      <c r="CX441" s="124">
        <f>SUM(CX442:CX451)</f>
        <v>0</v>
      </c>
      <c r="CY441" s="125">
        <f>SUM(CY442:CY451)</f>
        <v>0</v>
      </c>
      <c r="CZ441" s="99"/>
      <c r="DA441" s="221"/>
      <c r="DB441" s="124">
        <f>SUM(DB442:DB451)</f>
        <v>0</v>
      </c>
      <c r="DC441" s="125">
        <f>SUM(DC442:DC451)</f>
        <v>0</v>
      </c>
      <c r="DD441" s="99"/>
      <c r="DE441" s="736"/>
      <c r="DF441" s="736"/>
      <c r="DG441" s="69">
        <f>DI441</f>
        <v>0</v>
      </c>
      <c r="DH441" s="97"/>
      <c r="DI441" s="249"/>
      <c r="DJ441" s="98"/>
      <c r="DK441" s="98"/>
      <c r="DL441" s="249"/>
      <c r="DM441" s="237"/>
    </row>
    <row r="442" spans="1:117" x14ac:dyDescent="0.25">
      <c r="A442" s="45"/>
      <c r="B442" s="10"/>
      <c r="C442" s="45"/>
      <c r="D442" s="44"/>
      <c r="E442" s="44"/>
      <c r="F442" s="342"/>
      <c r="G442" s="44"/>
      <c r="H442" s="46"/>
      <c r="I442" s="46"/>
      <c r="J442" s="535"/>
      <c r="K442" s="397"/>
      <c r="L442" s="279">
        <v>0</v>
      </c>
      <c r="M442" s="47"/>
      <c r="N442" s="7">
        <f t="shared" ref="N442:N451" si="1005">M442-L442</f>
        <v>0</v>
      </c>
      <c r="O442" s="47"/>
      <c r="P442" s="253"/>
      <c r="Q442" s="234">
        <f t="shared" ref="Q442:Q451" si="1006">L442+O442-P442</f>
        <v>0</v>
      </c>
      <c r="R442" s="288"/>
      <c r="S442" s="289"/>
      <c r="T442" s="48"/>
      <c r="U442" s="287"/>
      <c r="V442" s="288"/>
      <c r="W442" s="289"/>
      <c r="X442" s="48"/>
      <c r="Y442" s="287"/>
      <c r="Z442" s="132"/>
      <c r="AA442" s="289"/>
      <c r="AB442" s="48"/>
      <c r="AC442" s="290"/>
      <c r="AD442" s="290"/>
      <c r="AE442" s="397"/>
      <c r="AF442" s="32">
        <f t="shared" ref="AF442:AF451" si="1007">Q442</f>
        <v>0</v>
      </c>
      <c r="AG442" s="47"/>
      <c r="AH442" s="7">
        <f t="shared" ref="AH442:AH451" si="1008">AG442-AF442</f>
        <v>0</v>
      </c>
      <c r="AI442" s="47"/>
      <c r="AJ442" s="253"/>
      <c r="AK442" s="234">
        <f t="shared" ref="AK442:AK451" si="1009">AF442+AI442-AJ442</f>
        <v>0</v>
      </c>
      <c r="AL442" s="288"/>
      <c r="AM442" s="289"/>
      <c r="AN442" s="48"/>
      <c r="AO442" s="287"/>
      <c r="AP442" s="288"/>
      <c r="AQ442" s="289"/>
      <c r="AR442" s="48"/>
      <c r="AS442" s="287"/>
      <c r="AT442" s="132"/>
      <c r="AU442" s="289"/>
      <c r="AV442" s="48"/>
      <c r="AW442" s="287"/>
      <c r="AX442" s="287"/>
      <c r="AY442" s="436"/>
      <c r="AZ442" s="32">
        <f>AK442</f>
        <v>0</v>
      </c>
      <c r="BA442" s="47"/>
      <c r="BB442" s="7">
        <f t="shared" ref="BB442:BB451" si="1010">BA442-AZ442</f>
        <v>0</v>
      </c>
      <c r="BC442" s="47"/>
      <c r="BD442" s="253"/>
      <c r="BE442" s="234">
        <f t="shared" ref="BE442:BE451" si="1011">AZ442+BC442-BD442</f>
        <v>0</v>
      </c>
      <c r="BF442" s="288"/>
      <c r="BG442" s="289"/>
      <c r="BH442" s="48"/>
      <c r="BI442" s="287"/>
      <c r="BJ442" s="288"/>
      <c r="BK442" s="289"/>
      <c r="BL442" s="48"/>
      <c r="BM442" s="287"/>
      <c r="BN442" s="132"/>
      <c r="BO442" s="289"/>
      <c r="BP442" s="48"/>
      <c r="BQ442" s="287"/>
      <c r="BR442" s="287"/>
      <c r="BS442" s="436"/>
      <c r="BT442" s="32">
        <f>BE442</f>
        <v>0</v>
      </c>
      <c r="BU442" s="47"/>
      <c r="BV442" s="7">
        <f t="shared" ref="BV442:BV451" si="1012">BU442-BT442</f>
        <v>0</v>
      </c>
      <c r="BW442" s="47"/>
      <c r="BX442" s="253"/>
      <c r="BY442" s="234">
        <f t="shared" ref="BY442:BY451" si="1013">BT442+BW442-BX442</f>
        <v>0</v>
      </c>
      <c r="BZ442" s="288"/>
      <c r="CA442" s="289"/>
      <c r="CB442" s="48"/>
      <c r="CC442" s="287"/>
      <c r="CD442" s="288"/>
      <c r="CE442" s="289"/>
      <c r="CF442" s="48"/>
      <c r="CG442" s="287"/>
      <c r="CH442" s="132"/>
      <c r="CI442" s="289"/>
      <c r="CJ442" s="48"/>
      <c r="CK442" s="287"/>
      <c r="CL442" s="287"/>
      <c r="CM442" s="436"/>
      <c r="CN442" s="32">
        <f>BX442</f>
        <v>0</v>
      </c>
      <c r="CO442" s="47"/>
      <c r="CP442" s="7">
        <f t="shared" ref="CP442:CP451" si="1014">CO442-CN442</f>
        <v>0</v>
      </c>
      <c r="CQ442" s="47"/>
      <c r="CR442" s="253"/>
      <c r="CS442" s="234">
        <f t="shared" ref="CS442:CS451" si="1015">CN442+CQ442-CR442</f>
        <v>0</v>
      </c>
      <c r="CT442" s="288"/>
      <c r="CU442" s="289"/>
      <c r="CV442" s="48"/>
      <c r="CW442" s="287"/>
      <c r="CX442" s="288"/>
      <c r="CY442" s="289"/>
      <c r="CZ442" s="48"/>
      <c r="DA442" s="287"/>
      <c r="DB442" s="132"/>
      <c r="DC442" s="289"/>
      <c r="DD442" s="48"/>
      <c r="DE442" s="287"/>
      <c r="DF442" s="287"/>
      <c r="DG442" s="436"/>
      <c r="DH442" s="32">
        <f t="shared" ref="DH442:DH451" si="1016">BY442</f>
        <v>0</v>
      </c>
      <c r="DI442" s="47"/>
      <c r="DJ442" s="7">
        <f t="shared" ref="DJ442:DJ443" si="1017">DI442-DH442</f>
        <v>0</v>
      </c>
      <c r="DK442" s="47"/>
      <c r="DL442" s="253"/>
      <c r="DM442" s="234">
        <f t="shared" ref="DM442:DM443" si="1018">DH442+DK442-DL442</f>
        <v>0</v>
      </c>
    </row>
    <row r="443" spans="1:117" x14ac:dyDescent="0.25">
      <c r="A443" s="17"/>
      <c r="B443" s="10" t="s">
        <v>410</v>
      </c>
      <c r="C443" s="17"/>
      <c r="D443" s="10"/>
      <c r="E443" s="10"/>
      <c r="F443" s="337"/>
      <c r="G443" s="109"/>
      <c r="H443" s="24"/>
      <c r="I443" s="24"/>
      <c r="J443" s="530"/>
      <c r="K443" s="398"/>
      <c r="L443" s="32">
        <v>0</v>
      </c>
      <c r="M443" s="7"/>
      <c r="N443" s="7">
        <f t="shared" si="1005"/>
        <v>0</v>
      </c>
      <c r="O443" s="242"/>
      <c r="P443" s="242"/>
      <c r="Q443" s="234">
        <f t="shared" si="1006"/>
        <v>0</v>
      </c>
      <c r="R443" s="123"/>
      <c r="S443" s="8"/>
      <c r="T443" s="34"/>
      <c r="U443" s="713"/>
      <c r="V443" s="123"/>
      <c r="W443" s="8"/>
      <c r="X443" s="34"/>
      <c r="Y443" s="713"/>
      <c r="Z443" s="20"/>
      <c r="AA443" s="8"/>
      <c r="AB443" s="34"/>
      <c r="AC443" s="234"/>
      <c r="AD443" s="234"/>
      <c r="AE443" s="398"/>
      <c r="AF443" s="32">
        <f t="shared" si="1007"/>
        <v>0</v>
      </c>
      <c r="AG443" s="7"/>
      <c r="AH443" s="7">
        <f t="shared" si="1008"/>
        <v>0</v>
      </c>
      <c r="AI443" s="242"/>
      <c r="AJ443" s="242"/>
      <c r="AK443" s="234">
        <f t="shared" si="1009"/>
        <v>0</v>
      </c>
      <c r="AL443" s="123"/>
      <c r="AM443" s="8"/>
      <c r="AN443" s="34"/>
      <c r="AO443" s="713"/>
      <c r="AP443" s="123"/>
      <c r="AQ443" s="8"/>
      <c r="AR443" s="34"/>
      <c r="AS443" s="713"/>
      <c r="AT443" s="20"/>
      <c r="AU443" s="8"/>
      <c r="AV443" s="34"/>
      <c r="AW443" s="234"/>
      <c r="AX443" s="234"/>
      <c r="AY443" s="395"/>
      <c r="AZ443" s="32">
        <f>AK443</f>
        <v>0</v>
      </c>
      <c r="BA443" s="7"/>
      <c r="BB443" s="7">
        <f t="shared" si="1010"/>
        <v>0</v>
      </c>
      <c r="BC443" s="242"/>
      <c r="BD443" s="242"/>
      <c r="BE443" s="234">
        <f t="shared" si="1011"/>
        <v>0</v>
      </c>
      <c r="BF443" s="123"/>
      <c r="BG443" s="8"/>
      <c r="BH443" s="34"/>
      <c r="BI443" s="713"/>
      <c r="BJ443" s="123"/>
      <c r="BK443" s="8"/>
      <c r="BL443" s="34"/>
      <c r="BM443" s="713"/>
      <c r="BN443" s="20"/>
      <c r="BO443" s="8"/>
      <c r="BP443" s="34"/>
      <c r="BQ443" s="234"/>
      <c r="BR443" s="234"/>
      <c r="BS443" s="395"/>
      <c r="BT443" s="32">
        <f>BE443</f>
        <v>0</v>
      </c>
      <c r="BU443" s="7"/>
      <c r="BV443" s="7">
        <f t="shared" si="1012"/>
        <v>0</v>
      </c>
      <c r="BW443" s="258"/>
      <c r="BX443" s="242"/>
      <c r="BY443" s="234">
        <f t="shared" si="1013"/>
        <v>0</v>
      </c>
      <c r="BZ443" s="123"/>
      <c r="CA443" s="8"/>
      <c r="CB443" s="34"/>
      <c r="CC443" s="713"/>
      <c r="CD443" s="123"/>
      <c r="CE443" s="8"/>
      <c r="CF443" s="34"/>
      <c r="CG443" s="713"/>
      <c r="CH443" s="20"/>
      <c r="CI443" s="8"/>
      <c r="CJ443" s="34"/>
      <c r="CK443" s="234"/>
      <c r="CL443" s="234"/>
      <c r="CM443" s="395"/>
      <c r="CN443" s="32">
        <f>BX443</f>
        <v>0</v>
      </c>
      <c r="CO443" s="7"/>
      <c r="CP443" s="7">
        <f t="shared" si="1014"/>
        <v>0</v>
      </c>
      <c r="CQ443" s="242"/>
      <c r="CR443" s="242"/>
      <c r="CS443" s="234">
        <f t="shared" si="1015"/>
        <v>0</v>
      </c>
      <c r="CT443" s="123"/>
      <c r="CU443" s="8"/>
      <c r="CV443" s="34"/>
      <c r="CW443" s="713"/>
      <c r="CX443" s="123"/>
      <c r="CY443" s="8"/>
      <c r="CZ443" s="34"/>
      <c r="DA443" s="713"/>
      <c r="DB443" s="20"/>
      <c r="DC443" s="8"/>
      <c r="DD443" s="34"/>
      <c r="DE443" s="234"/>
      <c r="DF443" s="234"/>
      <c r="DG443" s="395"/>
      <c r="DH443" s="32">
        <f t="shared" si="1016"/>
        <v>0</v>
      </c>
      <c r="DI443" s="7"/>
      <c r="DJ443" s="7">
        <f t="shared" si="1017"/>
        <v>0</v>
      </c>
      <c r="DK443" s="242"/>
      <c r="DL443" s="242"/>
      <c r="DM443" s="234">
        <f t="shared" si="1018"/>
        <v>0</v>
      </c>
    </row>
    <row r="444" spans="1:117" x14ac:dyDescent="0.25">
      <c r="A444" s="17"/>
      <c r="B444" s="10" t="s">
        <v>439</v>
      </c>
      <c r="C444" s="17"/>
      <c r="D444" s="10"/>
      <c r="E444" s="10"/>
      <c r="F444" s="337">
        <v>440.64</v>
      </c>
      <c r="G444" s="74" t="s">
        <v>10</v>
      </c>
      <c r="H444" s="24"/>
      <c r="I444" s="24"/>
      <c r="J444" s="536"/>
      <c r="K444" s="395"/>
      <c r="L444" s="32">
        <v>0</v>
      </c>
      <c r="M444" s="7"/>
      <c r="N444" s="7">
        <f>M444-L444</f>
        <v>0</v>
      </c>
      <c r="O444" s="242"/>
      <c r="P444" s="242"/>
      <c r="Q444" s="234">
        <f>L444+O444-P444</f>
        <v>0</v>
      </c>
      <c r="R444" s="123"/>
      <c r="S444" s="8"/>
      <c r="T444" s="34"/>
      <c r="U444" s="713"/>
      <c r="V444" s="123"/>
      <c r="W444" s="8"/>
      <c r="X444" s="34"/>
      <c r="Y444" s="713"/>
      <c r="Z444" s="20"/>
      <c r="AA444" s="8"/>
      <c r="AB444" s="34"/>
      <c r="AC444" s="234"/>
      <c r="AD444" s="234"/>
      <c r="AE444" s="395"/>
      <c r="AF444" s="32">
        <f t="shared" si="1007"/>
        <v>0</v>
      </c>
      <c r="AG444" s="7"/>
      <c r="AH444" s="7">
        <f>AG444-AF444</f>
        <v>0</v>
      </c>
      <c r="AI444" s="242"/>
      <c r="AJ444" s="242"/>
      <c r="AK444" s="234">
        <f>AF444+AI444-AJ444</f>
        <v>0</v>
      </c>
      <c r="AL444" s="123"/>
      <c r="AM444" s="8"/>
      <c r="AN444" s="34"/>
      <c r="AO444" s="713"/>
      <c r="AP444" s="123"/>
      <c r="AQ444" s="8"/>
      <c r="AR444" s="34"/>
      <c r="AS444" s="713"/>
      <c r="AT444" s="20"/>
      <c r="AU444" s="8"/>
      <c r="AV444" s="34"/>
      <c r="AW444" s="713"/>
      <c r="AX444" s="713"/>
      <c r="AY444" s="394"/>
      <c r="AZ444" s="32">
        <f>AK444</f>
        <v>0</v>
      </c>
      <c r="BA444" s="7"/>
      <c r="BB444" s="7">
        <f>BA444-AZ444</f>
        <v>0</v>
      </c>
      <c r="BC444" s="258"/>
      <c r="BD444" s="242"/>
      <c r="BE444" s="234">
        <f>AZ444+BC444-BD444</f>
        <v>0</v>
      </c>
      <c r="BF444" s="123"/>
      <c r="BG444" s="8"/>
      <c r="BH444" s="34"/>
      <c r="BI444" s="713"/>
      <c r="BJ444" s="123"/>
      <c r="BK444" s="8"/>
      <c r="BL444" s="34"/>
      <c r="BM444" s="713"/>
      <c r="BN444" s="20"/>
      <c r="BO444" s="8"/>
      <c r="BP444" s="34"/>
      <c r="BQ444" s="713"/>
      <c r="BR444" s="713"/>
      <c r="BS444" s="394"/>
      <c r="BT444" s="32">
        <f>BE444</f>
        <v>0</v>
      </c>
      <c r="BU444" s="7"/>
      <c r="BV444" s="7">
        <f>BU444-BT444</f>
        <v>0</v>
      </c>
      <c r="BW444" s="258"/>
      <c r="BX444" s="242"/>
      <c r="BY444" s="234">
        <f>BT444+BW444-BX444</f>
        <v>0</v>
      </c>
      <c r="BZ444" s="123"/>
      <c r="CA444" s="8"/>
      <c r="CB444" s="34"/>
      <c r="CC444" s="713"/>
      <c r="CD444" s="123"/>
      <c r="CE444" s="8"/>
      <c r="CF444" s="34"/>
      <c r="CG444" s="713"/>
      <c r="CH444" s="20"/>
      <c r="CI444" s="8"/>
      <c r="CJ444" s="34"/>
      <c r="CK444" s="713"/>
      <c r="CL444" s="713"/>
      <c r="CM444" s="394"/>
      <c r="CN444" s="32">
        <f>BX444</f>
        <v>0</v>
      </c>
      <c r="CO444" s="7"/>
      <c r="CP444" s="7">
        <f>CO444-CN444</f>
        <v>0</v>
      </c>
      <c r="CQ444" s="242"/>
      <c r="CR444" s="242"/>
      <c r="CS444" s="234">
        <f>CN444+CQ444-CR444</f>
        <v>0</v>
      </c>
      <c r="CT444" s="123"/>
      <c r="CU444" s="8"/>
      <c r="CV444" s="34"/>
      <c r="CW444" s="713"/>
      <c r="CX444" s="123"/>
      <c r="CY444" s="8"/>
      <c r="CZ444" s="34"/>
      <c r="DA444" s="713"/>
      <c r="DB444" s="20"/>
      <c r="DC444" s="8"/>
      <c r="DD444" s="34"/>
      <c r="DE444" s="713"/>
      <c r="DF444" s="713"/>
      <c r="DG444" s="394"/>
      <c r="DH444" s="32">
        <f t="shared" si="1016"/>
        <v>0</v>
      </c>
      <c r="DI444" s="7"/>
      <c r="DJ444" s="7">
        <f>DI444-DH444</f>
        <v>0</v>
      </c>
      <c r="DK444" s="242"/>
      <c r="DL444" s="242"/>
      <c r="DM444" s="234">
        <f>DH444+DK444-DL444</f>
        <v>0</v>
      </c>
    </row>
    <row r="445" spans="1:117" x14ac:dyDescent="0.25">
      <c r="A445" s="17"/>
      <c r="B445" s="10" t="s">
        <v>440</v>
      </c>
      <c r="C445" s="17"/>
      <c r="D445" s="10"/>
      <c r="E445" s="10"/>
      <c r="F445" s="337">
        <v>3269.3</v>
      </c>
      <c r="G445" s="74" t="s">
        <v>10</v>
      </c>
      <c r="H445" s="24"/>
      <c r="I445" s="24"/>
      <c r="J445" s="536"/>
      <c r="K445" s="395"/>
      <c r="L445" s="32">
        <v>0</v>
      </c>
      <c r="M445" s="7"/>
      <c r="N445" s="7">
        <f t="shared" si="1005"/>
        <v>0</v>
      </c>
      <c r="O445" s="242"/>
      <c r="P445" s="242"/>
      <c r="Q445" s="234">
        <f t="shared" si="1006"/>
        <v>0</v>
      </c>
      <c r="R445" s="123"/>
      <c r="S445" s="8"/>
      <c r="T445" s="34"/>
      <c r="U445" s="713"/>
      <c r="V445" s="123"/>
      <c r="W445" s="8"/>
      <c r="X445" s="34"/>
      <c r="Y445" s="713"/>
      <c r="Z445" s="20"/>
      <c r="AA445" s="8"/>
      <c r="AB445" s="34"/>
      <c r="AC445" s="234"/>
      <c r="AD445" s="234"/>
      <c r="AE445" s="395"/>
      <c r="AF445" s="32">
        <f t="shared" si="1007"/>
        <v>0</v>
      </c>
      <c r="AG445" s="7"/>
      <c r="AH445" s="7">
        <f t="shared" si="1008"/>
        <v>0</v>
      </c>
      <c r="AI445" s="242"/>
      <c r="AJ445" s="242"/>
      <c r="AK445" s="234">
        <f t="shared" si="1009"/>
        <v>0</v>
      </c>
      <c r="AL445" s="123"/>
      <c r="AM445" s="8"/>
      <c r="AN445" s="34"/>
      <c r="AO445" s="713"/>
      <c r="AP445" s="123"/>
      <c r="AQ445" s="8"/>
      <c r="AR445" s="34"/>
      <c r="AS445" s="713"/>
      <c r="AT445" s="20"/>
      <c r="AU445" s="8"/>
      <c r="AV445" s="34"/>
      <c r="AW445" s="713"/>
      <c r="AX445" s="713"/>
      <c r="AY445" s="394"/>
      <c r="AZ445" s="32">
        <f t="shared" ref="AZ445:AZ446" si="1019">AK445</f>
        <v>0</v>
      </c>
      <c r="BA445" s="7"/>
      <c r="BB445" s="7">
        <f t="shared" si="1010"/>
        <v>0</v>
      </c>
      <c r="BC445" s="258"/>
      <c r="BD445" s="242"/>
      <c r="BE445" s="234">
        <f t="shared" si="1011"/>
        <v>0</v>
      </c>
      <c r="BF445" s="123"/>
      <c r="BG445" s="8"/>
      <c r="BH445" s="34"/>
      <c r="BI445" s="713"/>
      <c r="BJ445" s="123"/>
      <c r="BK445" s="8"/>
      <c r="BL445" s="34"/>
      <c r="BM445" s="713"/>
      <c r="BN445" s="20"/>
      <c r="BO445" s="8"/>
      <c r="BP445" s="34"/>
      <c r="BQ445" s="713"/>
      <c r="BR445" s="713"/>
      <c r="BS445" s="394"/>
      <c r="BT445" s="32">
        <f t="shared" ref="BT445:BT446" si="1020">BE445</f>
        <v>0</v>
      </c>
      <c r="BU445" s="7"/>
      <c r="BV445" s="7">
        <f t="shared" si="1012"/>
        <v>0</v>
      </c>
      <c r="BW445" s="258"/>
      <c r="BX445" s="242"/>
      <c r="BY445" s="234">
        <f t="shared" si="1013"/>
        <v>0</v>
      </c>
      <c r="BZ445" s="123"/>
      <c r="CA445" s="8"/>
      <c r="CB445" s="34"/>
      <c r="CC445" s="713"/>
      <c r="CD445" s="123"/>
      <c r="CE445" s="8"/>
      <c r="CF445" s="34"/>
      <c r="CG445" s="713"/>
      <c r="CH445" s="20"/>
      <c r="CI445" s="8"/>
      <c r="CJ445" s="34"/>
      <c r="CK445" s="713"/>
      <c r="CL445" s="713"/>
      <c r="CM445" s="394"/>
      <c r="CN445" s="32">
        <f t="shared" ref="CN445:CN446" si="1021">BX445</f>
        <v>0</v>
      </c>
      <c r="CO445" s="7"/>
      <c r="CP445" s="7">
        <f t="shared" si="1014"/>
        <v>0</v>
      </c>
      <c r="CQ445" s="242"/>
      <c r="CR445" s="242"/>
      <c r="CS445" s="234">
        <f t="shared" si="1015"/>
        <v>0</v>
      </c>
      <c r="CT445" s="123"/>
      <c r="CU445" s="8"/>
      <c r="CV445" s="34"/>
      <c r="CW445" s="713"/>
      <c r="CX445" s="123"/>
      <c r="CY445" s="8"/>
      <c r="CZ445" s="34"/>
      <c r="DA445" s="713"/>
      <c r="DB445" s="20"/>
      <c r="DC445" s="8"/>
      <c r="DD445" s="34"/>
      <c r="DE445" s="713"/>
      <c r="DF445" s="713"/>
      <c r="DG445" s="394"/>
      <c r="DH445" s="32">
        <f t="shared" si="1016"/>
        <v>0</v>
      </c>
      <c r="DI445" s="7"/>
      <c r="DJ445" s="7">
        <f t="shared" ref="DJ445:DJ451" si="1022">DI445-DH445</f>
        <v>0</v>
      </c>
      <c r="DK445" s="242"/>
      <c r="DL445" s="242"/>
      <c r="DM445" s="234">
        <f t="shared" ref="DM445:DM451" si="1023">DH445+DK445-DL445</f>
        <v>0</v>
      </c>
    </row>
    <row r="446" spans="1:117" x14ac:dyDescent="0.25">
      <c r="A446" s="17"/>
      <c r="B446" s="10" t="s">
        <v>443</v>
      </c>
      <c r="C446" s="17"/>
      <c r="D446" s="10"/>
      <c r="E446" s="10"/>
      <c r="F446" s="337">
        <v>1974.14</v>
      </c>
      <c r="G446" s="74" t="s">
        <v>10</v>
      </c>
      <c r="H446" s="24"/>
      <c r="I446" s="24"/>
      <c r="J446" s="536"/>
      <c r="K446" s="395"/>
      <c r="L446" s="32">
        <v>0</v>
      </c>
      <c r="M446" s="7"/>
      <c r="N446" s="7">
        <f t="shared" si="1005"/>
        <v>0</v>
      </c>
      <c r="O446" s="242"/>
      <c r="P446" s="242"/>
      <c r="Q446" s="234">
        <f t="shared" si="1006"/>
        <v>0</v>
      </c>
      <c r="R446" s="123"/>
      <c r="S446" s="8"/>
      <c r="T446" s="34"/>
      <c r="U446" s="713"/>
      <c r="V446" s="123"/>
      <c r="W446" s="8"/>
      <c r="X446" s="34"/>
      <c r="Y446" s="713"/>
      <c r="Z446" s="20"/>
      <c r="AA446" s="8"/>
      <c r="AB446" s="34"/>
      <c r="AC446" s="234"/>
      <c r="AD446" s="234"/>
      <c r="AE446" s="395"/>
      <c r="AF446" s="32">
        <f t="shared" si="1007"/>
        <v>0</v>
      </c>
      <c r="AG446" s="7"/>
      <c r="AH446" s="7">
        <f t="shared" si="1008"/>
        <v>0</v>
      </c>
      <c r="AI446" s="242"/>
      <c r="AJ446" s="242"/>
      <c r="AK446" s="234">
        <f t="shared" si="1009"/>
        <v>0</v>
      </c>
      <c r="AL446" s="123"/>
      <c r="AM446" s="8"/>
      <c r="AN446" s="34"/>
      <c r="AO446" s="713"/>
      <c r="AP446" s="123"/>
      <c r="AQ446" s="8"/>
      <c r="AR446" s="34"/>
      <c r="AS446" s="713"/>
      <c r="AT446" s="20"/>
      <c r="AU446" s="8"/>
      <c r="AV446" s="34"/>
      <c r="AW446" s="713"/>
      <c r="AX446" s="713"/>
      <c r="AY446" s="394"/>
      <c r="AZ446" s="32">
        <f t="shared" si="1019"/>
        <v>0</v>
      </c>
      <c r="BA446" s="7"/>
      <c r="BB446" s="7">
        <f t="shared" si="1010"/>
        <v>0</v>
      </c>
      <c r="BC446" s="258"/>
      <c r="BD446" s="242"/>
      <c r="BE446" s="234">
        <f t="shared" si="1011"/>
        <v>0</v>
      </c>
      <c r="BF446" s="123"/>
      <c r="BG446" s="8"/>
      <c r="BH446" s="34"/>
      <c r="BI446" s="713"/>
      <c r="BJ446" s="123"/>
      <c r="BK446" s="8"/>
      <c r="BL446" s="34"/>
      <c r="BM446" s="713"/>
      <c r="BN446" s="20"/>
      <c r="BO446" s="8"/>
      <c r="BP446" s="34"/>
      <c r="BQ446" s="713"/>
      <c r="BR446" s="713"/>
      <c r="BS446" s="394"/>
      <c r="BT446" s="32">
        <f t="shared" si="1020"/>
        <v>0</v>
      </c>
      <c r="BU446" s="7"/>
      <c r="BV446" s="7">
        <f t="shared" si="1012"/>
        <v>0</v>
      </c>
      <c r="BW446" s="258"/>
      <c r="BX446" s="242"/>
      <c r="BY446" s="234">
        <f t="shared" si="1013"/>
        <v>0</v>
      </c>
      <c r="BZ446" s="123"/>
      <c r="CA446" s="8"/>
      <c r="CB446" s="34"/>
      <c r="CC446" s="713"/>
      <c r="CD446" s="123"/>
      <c r="CE446" s="8"/>
      <c r="CF446" s="34"/>
      <c r="CG446" s="713"/>
      <c r="CH446" s="20"/>
      <c r="CI446" s="8"/>
      <c r="CJ446" s="34"/>
      <c r="CK446" s="713"/>
      <c r="CL446" s="713"/>
      <c r="CM446" s="394"/>
      <c r="CN446" s="32">
        <f t="shared" si="1021"/>
        <v>0</v>
      </c>
      <c r="CO446" s="7"/>
      <c r="CP446" s="7">
        <f t="shared" si="1014"/>
        <v>0</v>
      </c>
      <c r="CQ446" s="242"/>
      <c r="CR446" s="242"/>
      <c r="CS446" s="234">
        <f t="shared" si="1015"/>
        <v>0</v>
      </c>
      <c r="CT446" s="123"/>
      <c r="CU446" s="8"/>
      <c r="CV446" s="34"/>
      <c r="CW446" s="713"/>
      <c r="CX446" s="123"/>
      <c r="CY446" s="8"/>
      <c r="CZ446" s="34"/>
      <c r="DA446" s="713"/>
      <c r="DB446" s="20"/>
      <c r="DC446" s="8"/>
      <c r="DD446" s="34"/>
      <c r="DE446" s="713"/>
      <c r="DF446" s="713"/>
      <c r="DG446" s="394"/>
      <c r="DH446" s="32">
        <f t="shared" si="1016"/>
        <v>0</v>
      </c>
      <c r="DI446" s="7"/>
      <c r="DJ446" s="7">
        <f t="shared" si="1022"/>
        <v>0</v>
      </c>
      <c r="DK446" s="242"/>
      <c r="DL446" s="242"/>
      <c r="DM446" s="234">
        <f t="shared" si="1023"/>
        <v>0</v>
      </c>
    </row>
    <row r="447" spans="1:117" x14ac:dyDescent="0.25">
      <c r="A447" s="18"/>
      <c r="B447" s="11" t="s">
        <v>431</v>
      </c>
      <c r="C447" s="18"/>
      <c r="D447" s="11"/>
      <c r="E447" s="11"/>
      <c r="F447" s="149">
        <v>2547.0700000000002</v>
      </c>
      <c r="G447" s="11" t="s">
        <v>211</v>
      </c>
      <c r="H447" s="25"/>
      <c r="I447" s="24"/>
      <c r="J447" s="536"/>
      <c r="K447" s="395"/>
      <c r="L447" s="32">
        <v>0</v>
      </c>
      <c r="M447" s="7"/>
      <c r="N447" s="7">
        <f t="shared" si="1005"/>
        <v>0</v>
      </c>
      <c r="O447" s="242"/>
      <c r="P447" s="242"/>
      <c r="Q447" s="231">
        <f t="shared" si="1006"/>
        <v>0</v>
      </c>
      <c r="R447" s="121"/>
      <c r="S447" s="6"/>
      <c r="T447" s="35"/>
      <c r="U447" s="612"/>
      <c r="V447" s="121"/>
      <c r="W447" s="6"/>
      <c r="X447" s="35"/>
      <c r="Y447" s="612"/>
      <c r="Z447" s="21"/>
      <c r="AA447" s="6"/>
      <c r="AB447" s="35"/>
      <c r="AC447" s="234"/>
      <c r="AD447" s="234"/>
      <c r="AE447" s="395"/>
      <c r="AF447" s="32">
        <f t="shared" si="1007"/>
        <v>0</v>
      </c>
      <c r="AG447" s="7"/>
      <c r="AH447" s="7">
        <f t="shared" si="1008"/>
        <v>0</v>
      </c>
      <c r="AI447" s="258"/>
      <c r="AJ447" s="242"/>
      <c r="AK447" s="231">
        <f t="shared" si="1009"/>
        <v>0</v>
      </c>
      <c r="AL447" s="121"/>
      <c r="AM447" s="6"/>
      <c r="AN447" s="35"/>
      <c r="AO447" s="612"/>
      <c r="AP447" s="121"/>
      <c r="AQ447" s="6"/>
      <c r="AR447" s="35"/>
      <c r="AS447" s="612"/>
      <c r="AT447" s="21"/>
      <c r="AU447" s="6"/>
      <c r="AV447" s="35"/>
      <c r="AW447" s="713"/>
      <c r="AX447" s="713"/>
      <c r="AY447" s="394"/>
      <c r="AZ447" s="32">
        <f t="shared" ref="AZ447:AZ451" si="1024">AK447</f>
        <v>0</v>
      </c>
      <c r="BA447" s="7"/>
      <c r="BB447" s="7">
        <f t="shared" si="1010"/>
        <v>0</v>
      </c>
      <c r="BC447" s="242"/>
      <c r="BD447" s="242"/>
      <c r="BE447" s="231">
        <f t="shared" si="1011"/>
        <v>0</v>
      </c>
      <c r="BF447" s="121"/>
      <c r="BG447" s="6"/>
      <c r="BH447" s="35"/>
      <c r="BI447" s="612"/>
      <c r="BJ447" s="121"/>
      <c r="BK447" s="6"/>
      <c r="BL447" s="35"/>
      <c r="BM447" s="612"/>
      <c r="BN447" s="21"/>
      <c r="BO447" s="6"/>
      <c r="BP447" s="35"/>
      <c r="BQ447" s="713"/>
      <c r="BR447" s="713"/>
      <c r="BS447" s="394"/>
      <c r="BT447" s="32">
        <f t="shared" ref="BT447:BT451" si="1025">BE447</f>
        <v>0</v>
      </c>
      <c r="BU447" s="7"/>
      <c r="BV447" s="7">
        <f t="shared" si="1012"/>
        <v>0</v>
      </c>
      <c r="BW447" s="242"/>
      <c r="BX447" s="242"/>
      <c r="BY447" s="231">
        <f t="shared" si="1013"/>
        <v>0</v>
      </c>
      <c r="BZ447" s="121"/>
      <c r="CA447" s="6"/>
      <c r="CB447" s="35"/>
      <c r="CC447" s="612"/>
      <c r="CD447" s="121"/>
      <c r="CE447" s="6"/>
      <c r="CF447" s="35"/>
      <c r="CG447" s="612"/>
      <c r="CH447" s="21"/>
      <c r="CI447" s="6"/>
      <c r="CJ447" s="35"/>
      <c r="CK447" s="713"/>
      <c r="CL447" s="713"/>
      <c r="CM447" s="394"/>
      <c r="CN447" s="32">
        <f t="shared" ref="CN447:CN451" si="1026">BX447</f>
        <v>0</v>
      </c>
      <c r="CO447" s="7"/>
      <c r="CP447" s="7">
        <f t="shared" si="1014"/>
        <v>0</v>
      </c>
      <c r="CQ447" s="242"/>
      <c r="CR447" s="242"/>
      <c r="CS447" s="231">
        <f t="shared" si="1015"/>
        <v>0</v>
      </c>
      <c r="CT447" s="121"/>
      <c r="CU447" s="6"/>
      <c r="CV447" s="35"/>
      <c r="CW447" s="612"/>
      <c r="CX447" s="121"/>
      <c r="CY447" s="6"/>
      <c r="CZ447" s="35"/>
      <c r="DA447" s="612"/>
      <c r="DB447" s="21"/>
      <c r="DC447" s="6"/>
      <c r="DD447" s="35"/>
      <c r="DE447" s="713"/>
      <c r="DF447" s="713"/>
      <c r="DG447" s="394"/>
      <c r="DH447" s="32">
        <f t="shared" si="1016"/>
        <v>0</v>
      </c>
      <c r="DI447" s="7"/>
      <c r="DJ447" s="7">
        <f t="shared" si="1022"/>
        <v>0</v>
      </c>
      <c r="DK447" s="242"/>
      <c r="DL447" s="242"/>
      <c r="DM447" s="231">
        <f t="shared" si="1023"/>
        <v>0</v>
      </c>
    </row>
    <row r="448" spans="1:117" x14ac:dyDescent="0.25">
      <c r="A448" s="18"/>
      <c r="B448" s="11" t="s">
        <v>432</v>
      </c>
      <c r="C448" s="18"/>
      <c r="D448" s="11"/>
      <c r="E448" s="11"/>
      <c r="F448" s="149">
        <v>1974.35</v>
      </c>
      <c r="G448" s="11" t="s">
        <v>211</v>
      </c>
      <c r="H448" s="25"/>
      <c r="I448" s="24"/>
      <c r="J448" s="536"/>
      <c r="K448" s="395"/>
      <c r="L448" s="32">
        <v>0</v>
      </c>
      <c r="M448" s="7"/>
      <c r="N448" s="7">
        <f t="shared" si="1005"/>
        <v>0</v>
      </c>
      <c r="O448" s="242"/>
      <c r="P448" s="242"/>
      <c r="Q448" s="231">
        <f t="shared" si="1006"/>
        <v>0</v>
      </c>
      <c r="R448" s="121"/>
      <c r="S448" s="6"/>
      <c r="T448" s="35"/>
      <c r="U448" s="612"/>
      <c r="V448" s="121"/>
      <c r="W448" s="6"/>
      <c r="X448" s="35"/>
      <c r="Y448" s="612"/>
      <c r="Z448" s="21"/>
      <c r="AA448" s="6"/>
      <c r="AB448" s="35"/>
      <c r="AC448" s="234"/>
      <c r="AD448" s="234"/>
      <c r="AE448" s="395"/>
      <c r="AF448" s="32">
        <f t="shared" si="1007"/>
        <v>0</v>
      </c>
      <c r="AG448" s="7"/>
      <c r="AH448" s="7">
        <f t="shared" si="1008"/>
        <v>0</v>
      </c>
      <c r="AI448" s="242"/>
      <c r="AJ448" s="242"/>
      <c r="AK448" s="231">
        <f t="shared" si="1009"/>
        <v>0</v>
      </c>
      <c r="AL448" s="121"/>
      <c r="AM448" s="6"/>
      <c r="AN448" s="35"/>
      <c r="AO448" s="612"/>
      <c r="AP448" s="121"/>
      <c r="AQ448" s="6"/>
      <c r="AR448" s="35"/>
      <c r="AS448" s="612"/>
      <c r="AT448" s="21"/>
      <c r="AU448" s="6"/>
      <c r="AV448" s="35"/>
      <c r="AW448" s="713"/>
      <c r="AX448" s="713"/>
      <c r="AY448" s="394"/>
      <c r="AZ448" s="32">
        <f t="shared" si="1024"/>
        <v>0</v>
      </c>
      <c r="BA448" s="7"/>
      <c r="BB448" s="7">
        <f t="shared" si="1010"/>
        <v>0</v>
      </c>
      <c r="BC448" s="258"/>
      <c r="BD448" s="242"/>
      <c r="BE448" s="231">
        <f t="shared" si="1011"/>
        <v>0</v>
      </c>
      <c r="BF448" s="121"/>
      <c r="BG448" s="6"/>
      <c r="BH448" s="35"/>
      <c r="BI448" s="612"/>
      <c r="BJ448" s="121"/>
      <c r="BK448" s="6"/>
      <c r="BL448" s="35"/>
      <c r="BM448" s="612"/>
      <c r="BN448" s="21"/>
      <c r="BO448" s="6"/>
      <c r="BP448" s="35"/>
      <c r="BQ448" s="713"/>
      <c r="BR448" s="713"/>
      <c r="BS448" s="394"/>
      <c r="BT448" s="32">
        <f t="shared" si="1025"/>
        <v>0</v>
      </c>
      <c r="BU448" s="7"/>
      <c r="BV448" s="7">
        <f t="shared" si="1012"/>
        <v>0</v>
      </c>
      <c r="BW448" s="242"/>
      <c r="BX448" s="242"/>
      <c r="BY448" s="231">
        <f t="shared" si="1013"/>
        <v>0</v>
      </c>
      <c r="BZ448" s="121"/>
      <c r="CA448" s="6"/>
      <c r="CB448" s="35"/>
      <c r="CC448" s="612"/>
      <c r="CD448" s="121"/>
      <c r="CE448" s="6"/>
      <c r="CF448" s="35"/>
      <c r="CG448" s="612"/>
      <c r="CH448" s="21"/>
      <c r="CI448" s="6"/>
      <c r="CJ448" s="35"/>
      <c r="CK448" s="713"/>
      <c r="CL448" s="713"/>
      <c r="CM448" s="394"/>
      <c r="CN448" s="32">
        <f t="shared" si="1026"/>
        <v>0</v>
      </c>
      <c r="CO448" s="7"/>
      <c r="CP448" s="7">
        <f t="shared" si="1014"/>
        <v>0</v>
      </c>
      <c r="CQ448" s="242"/>
      <c r="CR448" s="242"/>
      <c r="CS448" s="231">
        <f t="shared" si="1015"/>
        <v>0</v>
      </c>
      <c r="CT448" s="121"/>
      <c r="CU448" s="6"/>
      <c r="CV448" s="35"/>
      <c r="CW448" s="612"/>
      <c r="CX448" s="121"/>
      <c r="CY448" s="6"/>
      <c r="CZ448" s="35"/>
      <c r="DA448" s="612"/>
      <c r="DB448" s="21"/>
      <c r="DC448" s="6"/>
      <c r="DD448" s="35"/>
      <c r="DE448" s="713"/>
      <c r="DF448" s="713"/>
      <c r="DG448" s="394"/>
      <c r="DH448" s="32">
        <f t="shared" si="1016"/>
        <v>0</v>
      </c>
      <c r="DI448" s="7"/>
      <c r="DJ448" s="7">
        <f t="shared" si="1022"/>
        <v>0</v>
      </c>
      <c r="DK448" s="242"/>
      <c r="DL448" s="242"/>
      <c r="DM448" s="231">
        <f t="shared" si="1023"/>
        <v>0</v>
      </c>
    </row>
    <row r="449" spans="1:117" x14ac:dyDescent="0.25">
      <c r="A449" s="18"/>
      <c r="B449" s="11" t="s">
        <v>434</v>
      </c>
      <c r="C449" s="18"/>
      <c r="D449" s="11"/>
      <c r="E449" s="11"/>
      <c r="F449" s="149">
        <v>12017.54</v>
      </c>
      <c r="G449" s="11" t="s">
        <v>211</v>
      </c>
      <c r="H449" s="25"/>
      <c r="I449" s="24"/>
      <c r="J449" s="536"/>
      <c r="K449" s="395"/>
      <c r="L449" s="32">
        <v>0</v>
      </c>
      <c r="M449" s="7"/>
      <c r="N449" s="7">
        <f t="shared" si="1005"/>
        <v>0</v>
      </c>
      <c r="O449" s="242"/>
      <c r="P449" s="242"/>
      <c r="Q449" s="231">
        <f t="shared" si="1006"/>
        <v>0</v>
      </c>
      <c r="R449" s="121"/>
      <c r="S449" s="6"/>
      <c r="T449" s="35"/>
      <c r="U449" s="612"/>
      <c r="V449" s="121"/>
      <c r="W449" s="6"/>
      <c r="X449" s="35"/>
      <c r="Y449" s="612"/>
      <c r="Z449" s="21"/>
      <c r="AA449" s="6"/>
      <c r="AB449" s="35"/>
      <c r="AC449" s="234"/>
      <c r="AD449" s="234"/>
      <c r="AE449" s="395"/>
      <c r="AF449" s="32">
        <f t="shared" si="1007"/>
        <v>0</v>
      </c>
      <c r="AG449" s="7"/>
      <c r="AH449" s="7">
        <f t="shared" si="1008"/>
        <v>0</v>
      </c>
      <c r="AI449" s="242"/>
      <c r="AJ449" s="242"/>
      <c r="AK449" s="231">
        <f t="shared" si="1009"/>
        <v>0</v>
      </c>
      <c r="AL449" s="121"/>
      <c r="AM449" s="6"/>
      <c r="AN449" s="35"/>
      <c r="AO449" s="612"/>
      <c r="AP449" s="121"/>
      <c r="AQ449" s="6"/>
      <c r="AR449" s="35"/>
      <c r="AS449" s="612"/>
      <c r="AT449" s="21"/>
      <c r="AU449" s="6"/>
      <c r="AV449" s="35"/>
      <c r="AW449" s="713"/>
      <c r="AX449" s="713"/>
      <c r="AY449" s="394"/>
      <c r="AZ449" s="32">
        <f t="shared" si="1024"/>
        <v>0</v>
      </c>
      <c r="BA449" s="7"/>
      <c r="BB449" s="7">
        <f t="shared" si="1010"/>
        <v>0</v>
      </c>
      <c r="BC449" s="258"/>
      <c r="BD449" s="242"/>
      <c r="BE449" s="231">
        <f t="shared" si="1011"/>
        <v>0</v>
      </c>
      <c r="BF449" s="121"/>
      <c r="BG449" s="6"/>
      <c r="BH449" s="35"/>
      <c r="BI449" s="612"/>
      <c r="BJ449" s="121"/>
      <c r="BK449" s="6"/>
      <c r="BL449" s="35"/>
      <c r="BM449" s="612"/>
      <c r="BN449" s="21"/>
      <c r="BO449" s="6"/>
      <c r="BP449" s="35"/>
      <c r="BQ449" s="713"/>
      <c r="BR449" s="713"/>
      <c r="BS449" s="394"/>
      <c r="BT449" s="32">
        <f t="shared" si="1025"/>
        <v>0</v>
      </c>
      <c r="BU449" s="7"/>
      <c r="BV449" s="7">
        <f t="shared" si="1012"/>
        <v>0</v>
      </c>
      <c r="BW449" s="242"/>
      <c r="BX449" s="242"/>
      <c r="BY449" s="231">
        <f t="shared" si="1013"/>
        <v>0</v>
      </c>
      <c r="BZ449" s="121"/>
      <c r="CA449" s="6"/>
      <c r="CB449" s="35"/>
      <c r="CC449" s="612"/>
      <c r="CD449" s="121"/>
      <c r="CE449" s="6"/>
      <c r="CF449" s="35"/>
      <c r="CG449" s="612"/>
      <c r="CH449" s="21"/>
      <c r="CI449" s="6"/>
      <c r="CJ449" s="35"/>
      <c r="CK449" s="713"/>
      <c r="CL449" s="713"/>
      <c r="CM449" s="394"/>
      <c r="CN449" s="32">
        <f t="shared" si="1026"/>
        <v>0</v>
      </c>
      <c r="CO449" s="7"/>
      <c r="CP449" s="7">
        <f t="shared" si="1014"/>
        <v>0</v>
      </c>
      <c r="CQ449" s="242"/>
      <c r="CR449" s="242"/>
      <c r="CS449" s="231">
        <f t="shared" si="1015"/>
        <v>0</v>
      </c>
      <c r="CT449" s="121"/>
      <c r="CU449" s="6"/>
      <c r="CV449" s="35"/>
      <c r="CW449" s="612"/>
      <c r="CX449" s="121"/>
      <c r="CY449" s="6"/>
      <c r="CZ449" s="35"/>
      <c r="DA449" s="612"/>
      <c r="DB449" s="21"/>
      <c r="DC449" s="6"/>
      <c r="DD449" s="35"/>
      <c r="DE449" s="713"/>
      <c r="DF449" s="713"/>
      <c r="DG449" s="394"/>
      <c r="DH449" s="32">
        <f t="shared" si="1016"/>
        <v>0</v>
      </c>
      <c r="DI449" s="7"/>
      <c r="DJ449" s="7">
        <f t="shared" si="1022"/>
        <v>0</v>
      </c>
      <c r="DK449" s="242"/>
      <c r="DL449" s="242"/>
      <c r="DM449" s="231">
        <f t="shared" si="1023"/>
        <v>0</v>
      </c>
    </row>
    <row r="450" spans="1:117" x14ac:dyDescent="0.25">
      <c r="A450" s="18"/>
      <c r="B450" s="11"/>
      <c r="C450" s="18"/>
      <c r="D450" s="15"/>
      <c r="E450" s="15"/>
      <c r="F450" s="149"/>
      <c r="G450" s="11"/>
      <c r="H450" s="25"/>
      <c r="I450" s="24"/>
      <c r="J450" s="536"/>
      <c r="K450" s="395"/>
      <c r="L450" s="32">
        <v>0</v>
      </c>
      <c r="M450" s="7"/>
      <c r="N450" s="7">
        <f t="shared" si="1005"/>
        <v>0</v>
      </c>
      <c r="O450" s="242"/>
      <c r="P450" s="242"/>
      <c r="Q450" s="231">
        <f t="shared" si="1006"/>
        <v>0</v>
      </c>
      <c r="R450" s="121"/>
      <c r="S450" s="6"/>
      <c r="T450" s="35"/>
      <c r="U450" s="612"/>
      <c r="V450" s="121"/>
      <c r="W450" s="6"/>
      <c r="X450" s="35"/>
      <c r="Y450" s="612"/>
      <c r="Z450" s="21"/>
      <c r="AA450" s="6"/>
      <c r="AB450" s="35"/>
      <c r="AC450" s="234"/>
      <c r="AD450" s="234"/>
      <c r="AE450" s="395"/>
      <c r="AF450" s="32">
        <f t="shared" si="1007"/>
        <v>0</v>
      </c>
      <c r="AG450" s="7"/>
      <c r="AH450" s="7">
        <f t="shared" si="1008"/>
        <v>0</v>
      </c>
      <c r="AI450" s="242"/>
      <c r="AJ450" s="242"/>
      <c r="AK450" s="231">
        <f t="shared" si="1009"/>
        <v>0</v>
      </c>
      <c r="AL450" s="121"/>
      <c r="AM450" s="6"/>
      <c r="AN450" s="35"/>
      <c r="AO450" s="612"/>
      <c r="AP450" s="121"/>
      <c r="AQ450" s="6"/>
      <c r="AR450" s="35"/>
      <c r="AS450" s="612"/>
      <c r="AT450" s="21"/>
      <c r="AU450" s="6"/>
      <c r="AV450" s="35"/>
      <c r="AW450" s="713"/>
      <c r="AX450" s="713"/>
      <c r="AY450" s="394"/>
      <c r="AZ450" s="32">
        <f t="shared" si="1024"/>
        <v>0</v>
      </c>
      <c r="BA450" s="7"/>
      <c r="BB450" s="7">
        <f t="shared" si="1010"/>
        <v>0</v>
      </c>
      <c r="BC450" s="242"/>
      <c r="BD450" s="242"/>
      <c r="BE450" s="231">
        <f t="shared" si="1011"/>
        <v>0</v>
      </c>
      <c r="BF450" s="121"/>
      <c r="BG450" s="6"/>
      <c r="BH450" s="35"/>
      <c r="BI450" s="612"/>
      <c r="BJ450" s="121"/>
      <c r="BK450" s="6"/>
      <c r="BL450" s="35"/>
      <c r="BM450" s="612"/>
      <c r="BN450" s="21"/>
      <c r="BO450" s="6"/>
      <c r="BP450" s="35"/>
      <c r="BQ450" s="713"/>
      <c r="BR450" s="713"/>
      <c r="BS450" s="394"/>
      <c r="BT450" s="32">
        <f t="shared" si="1025"/>
        <v>0</v>
      </c>
      <c r="BU450" s="7"/>
      <c r="BV450" s="7">
        <f t="shared" si="1012"/>
        <v>0</v>
      </c>
      <c r="BW450" s="242"/>
      <c r="BX450" s="242"/>
      <c r="BY450" s="231">
        <f t="shared" si="1013"/>
        <v>0</v>
      </c>
      <c r="BZ450" s="121"/>
      <c r="CA450" s="6"/>
      <c r="CB450" s="35"/>
      <c r="CC450" s="612"/>
      <c r="CD450" s="121"/>
      <c r="CE450" s="6"/>
      <c r="CF450" s="35"/>
      <c r="CG450" s="612"/>
      <c r="CH450" s="21"/>
      <c r="CI450" s="6"/>
      <c r="CJ450" s="35"/>
      <c r="CK450" s="713"/>
      <c r="CL450" s="713"/>
      <c r="CM450" s="394"/>
      <c r="CN450" s="32">
        <f t="shared" si="1026"/>
        <v>0</v>
      </c>
      <c r="CO450" s="7"/>
      <c r="CP450" s="7">
        <f t="shared" si="1014"/>
        <v>0</v>
      </c>
      <c r="CQ450" s="242"/>
      <c r="CR450" s="242"/>
      <c r="CS450" s="231">
        <f t="shared" si="1015"/>
        <v>0</v>
      </c>
      <c r="CT450" s="121"/>
      <c r="CU450" s="6"/>
      <c r="CV450" s="35"/>
      <c r="CW450" s="612"/>
      <c r="CX450" s="121"/>
      <c r="CY450" s="6"/>
      <c r="CZ450" s="35"/>
      <c r="DA450" s="612"/>
      <c r="DB450" s="21"/>
      <c r="DC450" s="6"/>
      <c r="DD450" s="35"/>
      <c r="DE450" s="713"/>
      <c r="DF450" s="713"/>
      <c r="DG450" s="394"/>
      <c r="DH450" s="32">
        <f t="shared" si="1016"/>
        <v>0</v>
      </c>
      <c r="DI450" s="7"/>
      <c r="DJ450" s="7">
        <f t="shared" si="1022"/>
        <v>0</v>
      </c>
      <c r="DK450" s="242"/>
      <c r="DL450" s="242"/>
      <c r="DM450" s="231">
        <f t="shared" si="1023"/>
        <v>0</v>
      </c>
    </row>
    <row r="451" spans="1:117" ht="15.75" thickBot="1" x14ac:dyDescent="0.3">
      <c r="A451" s="19"/>
      <c r="B451" s="12"/>
      <c r="C451" s="19"/>
      <c r="D451" s="12"/>
      <c r="E451" s="12"/>
      <c r="F451" s="146"/>
      <c r="G451" s="67"/>
      <c r="H451" s="28"/>
      <c r="I451" s="28"/>
      <c r="J451" s="537"/>
      <c r="K451" s="399"/>
      <c r="L451" s="30">
        <v>0</v>
      </c>
      <c r="M451" s="31"/>
      <c r="N451" s="65">
        <f t="shared" si="1005"/>
        <v>0</v>
      </c>
      <c r="O451" s="31"/>
      <c r="P451" s="241"/>
      <c r="Q451" s="232">
        <f t="shared" si="1006"/>
        <v>0</v>
      </c>
      <c r="R451" s="200"/>
      <c r="S451" s="201"/>
      <c r="T451" s="36"/>
      <c r="U451" s="220"/>
      <c r="V451" s="200"/>
      <c r="W451" s="201"/>
      <c r="X451" s="36"/>
      <c r="Y451" s="220"/>
      <c r="Z451" s="122"/>
      <c r="AA451" s="201"/>
      <c r="AB451" s="36"/>
      <c r="AC451" s="232"/>
      <c r="AD451" s="232"/>
      <c r="AE451" s="399"/>
      <c r="AF451" s="296">
        <f t="shared" si="1007"/>
        <v>0</v>
      </c>
      <c r="AG451" s="31"/>
      <c r="AH451" s="65">
        <f t="shared" si="1008"/>
        <v>0</v>
      </c>
      <c r="AI451" s="31"/>
      <c r="AJ451" s="241"/>
      <c r="AK451" s="232">
        <f t="shared" si="1009"/>
        <v>0</v>
      </c>
      <c r="AL451" s="200"/>
      <c r="AM451" s="201"/>
      <c r="AN451" s="36"/>
      <c r="AO451" s="220"/>
      <c r="AP451" s="200"/>
      <c r="AQ451" s="201"/>
      <c r="AR451" s="36"/>
      <c r="AS451" s="220"/>
      <c r="AT451" s="122"/>
      <c r="AU451" s="201"/>
      <c r="AV451" s="36"/>
      <c r="AW451" s="220"/>
      <c r="AX451" s="220"/>
      <c r="AY451" s="437"/>
      <c r="AZ451" s="296">
        <f t="shared" si="1024"/>
        <v>0</v>
      </c>
      <c r="BA451" s="31"/>
      <c r="BB451" s="65">
        <f t="shared" si="1010"/>
        <v>0</v>
      </c>
      <c r="BC451" s="31"/>
      <c r="BD451" s="241"/>
      <c r="BE451" s="232">
        <f t="shared" si="1011"/>
        <v>0</v>
      </c>
      <c r="BF451" s="200"/>
      <c r="BG451" s="201"/>
      <c r="BH451" s="36"/>
      <c r="BI451" s="220"/>
      <c r="BJ451" s="200"/>
      <c r="BK451" s="201"/>
      <c r="BL451" s="36"/>
      <c r="BM451" s="220"/>
      <c r="BN451" s="122"/>
      <c r="BO451" s="201"/>
      <c r="BP451" s="36"/>
      <c r="BQ451" s="220"/>
      <c r="BR451" s="220"/>
      <c r="BS451" s="437"/>
      <c r="BT451" s="296">
        <f t="shared" si="1025"/>
        <v>0</v>
      </c>
      <c r="BU451" s="31"/>
      <c r="BV451" s="65">
        <f t="shared" si="1012"/>
        <v>0</v>
      </c>
      <c r="BW451" s="31"/>
      <c r="BX451" s="241"/>
      <c r="BY451" s="232">
        <f t="shared" si="1013"/>
        <v>0</v>
      </c>
      <c r="BZ451" s="200"/>
      <c r="CA451" s="201"/>
      <c r="CB451" s="36"/>
      <c r="CC451" s="220"/>
      <c r="CD451" s="200"/>
      <c r="CE451" s="201"/>
      <c r="CF451" s="36"/>
      <c r="CG451" s="220"/>
      <c r="CH451" s="122"/>
      <c r="CI451" s="201"/>
      <c r="CJ451" s="36"/>
      <c r="CK451" s="220"/>
      <c r="CL451" s="220"/>
      <c r="CM451" s="437"/>
      <c r="CN451" s="296">
        <f t="shared" si="1026"/>
        <v>0</v>
      </c>
      <c r="CO451" s="31"/>
      <c r="CP451" s="65">
        <f t="shared" si="1014"/>
        <v>0</v>
      </c>
      <c r="CQ451" s="31"/>
      <c r="CR451" s="241"/>
      <c r="CS451" s="232">
        <f t="shared" si="1015"/>
        <v>0</v>
      </c>
      <c r="CT451" s="200"/>
      <c r="CU451" s="201"/>
      <c r="CV451" s="36"/>
      <c r="CW451" s="220"/>
      <c r="CX451" s="200"/>
      <c r="CY451" s="201"/>
      <c r="CZ451" s="36"/>
      <c r="DA451" s="220"/>
      <c r="DB451" s="122"/>
      <c r="DC451" s="201"/>
      <c r="DD451" s="36"/>
      <c r="DE451" s="220"/>
      <c r="DF451" s="220"/>
      <c r="DG451" s="437"/>
      <c r="DH451" s="296">
        <f t="shared" si="1016"/>
        <v>0</v>
      </c>
      <c r="DI451" s="31"/>
      <c r="DJ451" s="65">
        <f t="shared" si="1022"/>
        <v>0</v>
      </c>
      <c r="DK451" s="31"/>
      <c r="DL451" s="241"/>
      <c r="DM451" s="232">
        <f t="shared" si="1023"/>
        <v>0</v>
      </c>
    </row>
    <row r="452" spans="1:117" ht="15.75" thickBot="1" x14ac:dyDescent="0.3">
      <c r="G452" s="3"/>
      <c r="P452" s="248"/>
      <c r="AJ452" s="248"/>
      <c r="BD452" s="248"/>
      <c r="BX452" s="248"/>
      <c r="CR452" s="248"/>
      <c r="DL452" s="248"/>
    </row>
    <row r="453" spans="1:117" ht="15.75" thickBot="1" x14ac:dyDescent="0.3">
      <c r="A453" s="95"/>
      <c r="B453" s="94" t="s">
        <v>471</v>
      </c>
      <c r="C453" s="95"/>
      <c r="D453" s="93"/>
      <c r="E453" s="93"/>
      <c r="F453" s="340"/>
      <c r="G453" s="93"/>
      <c r="H453" s="96"/>
      <c r="I453" s="96"/>
      <c r="J453" s="96">
        <f>SUM(M453,AG453,BA453,BU453)</f>
        <v>4</v>
      </c>
      <c r="K453" s="95"/>
      <c r="L453" s="97"/>
      <c r="M453" s="249">
        <v>0</v>
      </c>
      <c r="N453" s="98"/>
      <c r="O453" s="98"/>
      <c r="P453" s="249"/>
      <c r="Q453" s="237"/>
      <c r="R453" s="124">
        <f>SUM(R454:R462)</f>
        <v>0</v>
      </c>
      <c r="S453" s="125">
        <f>SUM(S454:S462)</f>
        <v>0</v>
      </c>
      <c r="T453" s="99"/>
      <c r="U453" s="221"/>
      <c r="V453" s="124">
        <f>SUM(V454:V462)</f>
        <v>0</v>
      </c>
      <c r="W453" s="125">
        <f>SUM(W454:W462)</f>
        <v>0</v>
      </c>
      <c r="X453" s="99"/>
      <c r="Y453" s="221"/>
      <c r="Z453" s="124">
        <f>SUM(Z454:Z462)</f>
        <v>0</v>
      </c>
      <c r="AA453" s="125">
        <f>SUM(AA454:AA462)</f>
        <v>0</v>
      </c>
      <c r="AB453" s="99"/>
      <c r="AC453" s="237"/>
      <c r="AD453" s="237"/>
      <c r="AE453" s="95">
        <f>SUM(AG453,BA453,BU453)</f>
        <v>4</v>
      </c>
      <c r="AF453" s="97"/>
      <c r="AG453" s="98">
        <f>1-1+0</f>
        <v>0</v>
      </c>
      <c r="AH453" s="98"/>
      <c r="AI453" s="98"/>
      <c r="AJ453" s="435"/>
      <c r="AK453" s="237"/>
      <c r="AL453" s="124">
        <f>SUM(AL454:AL462)</f>
        <v>0</v>
      </c>
      <c r="AM453" s="125">
        <f>SUM(AM454:AM462)</f>
        <v>0</v>
      </c>
      <c r="AN453" s="99"/>
      <c r="AO453" s="221"/>
      <c r="AP453" s="124">
        <f>SUM(AP454:AP462)</f>
        <v>0</v>
      </c>
      <c r="AQ453" s="125">
        <f>SUM(AQ454:AQ462)</f>
        <v>0</v>
      </c>
      <c r="AR453" s="99"/>
      <c r="AS453" s="221"/>
      <c r="AT453" s="511">
        <f>SUM(AT454:AT462)</f>
        <v>0</v>
      </c>
      <c r="AU453" s="125">
        <f>SUM(AU454:AU462)</f>
        <v>0</v>
      </c>
      <c r="AV453" s="99"/>
      <c r="AW453" s="237"/>
      <c r="AX453" s="237"/>
      <c r="AY453" s="95">
        <f>SUM(BA453,BU453)</f>
        <v>4</v>
      </c>
      <c r="AZ453" s="97"/>
      <c r="BA453" s="98">
        <f>1-1+2-2+1</f>
        <v>1</v>
      </c>
      <c r="BB453" s="98"/>
      <c r="BC453" s="98"/>
      <c r="BD453" s="249"/>
      <c r="BE453" s="237"/>
      <c r="BF453" s="124">
        <f>SUM(BF454:BF462)</f>
        <v>0</v>
      </c>
      <c r="BG453" s="125">
        <f>SUM(BG454:BG462)</f>
        <v>0</v>
      </c>
      <c r="BH453" s="99"/>
      <c r="BI453" s="221"/>
      <c r="BJ453" s="124">
        <f>SUM(BJ454:BJ462)</f>
        <v>0</v>
      </c>
      <c r="BK453" s="125">
        <f>SUM(BK454:BK462)</f>
        <v>0</v>
      </c>
      <c r="BL453" s="99"/>
      <c r="BM453" s="221"/>
      <c r="BN453" s="124">
        <f>SUM(BN454:BN462)</f>
        <v>0</v>
      </c>
      <c r="BO453" s="125">
        <f>SUM(BO454:BO462)</f>
        <v>0</v>
      </c>
      <c r="BP453" s="99"/>
      <c r="BQ453" s="237"/>
      <c r="BR453" s="237"/>
      <c r="BS453" s="95">
        <f>BU453</f>
        <v>3</v>
      </c>
      <c r="BT453" s="97"/>
      <c r="BU453" s="98">
        <f>3</f>
        <v>3</v>
      </c>
      <c r="BV453" s="98"/>
      <c r="BW453" s="98"/>
      <c r="BX453" s="249"/>
      <c r="BY453" s="237"/>
      <c r="BZ453" s="124">
        <f>SUM(BZ454:BZ462)</f>
        <v>0</v>
      </c>
      <c r="CA453" s="125">
        <f>SUM(CA454:CA462)</f>
        <v>0</v>
      </c>
      <c r="CB453" s="99"/>
      <c r="CC453" s="221"/>
      <c r="CD453" s="124">
        <f>SUM(CD454:CD462)</f>
        <v>0</v>
      </c>
      <c r="CE453" s="125">
        <f>SUM(CE454:CE462)</f>
        <v>0</v>
      </c>
      <c r="CF453" s="99"/>
      <c r="CG453" s="221"/>
      <c r="CH453" s="124">
        <f>SUM(CH454:CH462)</f>
        <v>0</v>
      </c>
      <c r="CI453" s="125">
        <f>SUM(CI454:CI462)</f>
        <v>0</v>
      </c>
      <c r="CJ453" s="99"/>
      <c r="CK453" s="237"/>
      <c r="CL453" s="237"/>
      <c r="CM453" s="95">
        <f>CO453</f>
        <v>0</v>
      </c>
      <c r="CN453" s="97"/>
      <c r="CO453" s="249"/>
      <c r="CP453" s="98"/>
      <c r="CQ453" s="98"/>
      <c r="CR453" s="249"/>
      <c r="CS453" s="237"/>
      <c r="CT453" s="124">
        <f>SUM(CT454:CT462)</f>
        <v>0</v>
      </c>
      <c r="CU453" s="125">
        <f>SUM(CU454:CU462)</f>
        <v>0</v>
      </c>
      <c r="CV453" s="99"/>
      <c r="CW453" s="221"/>
      <c r="CX453" s="124">
        <f>SUM(CX454:CX462)</f>
        <v>0</v>
      </c>
      <c r="CY453" s="125">
        <f>SUM(CY454:CY462)</f>
        <v>0</v>
      </c>
      <c r="CZ453" s="99"/>
      <c r="DA453" s="221"/>
      <c r="DB453" s="124">
        <f>SUM(DB454:DB462)</f>
        <v>0</v>
      </c>
      <c r="DC453" s="125">
        <f>SUM(DC454:DC462)</f>
        <v>0</v>
      </c>
      <c r="DD453" s="99"/>
      <c r="DE453" s="237"/>
      <c r="DF453" s="237"/>
      <c r="DG453" s="95">
        <f>DI453</f>
        <v>0</v>
      </c>
      <c r="DH453" s="97"/>
      <c r="DI453" s="249"/>
      <c r="DJ453" s="98"/>
      <c r="DK453" s="98"/>
      <c r="DL453" s="249"/>
      <c r="DM453" s="237"/>
    </row>
    <row r="454" spans="1:117" x14ac:dyDescent="0.25">
      <c r="A454" s="17"/>
      <c r="B454" s="10"/>
      <c r="C454" s="17"/>
      <c r="D454" s="10"/>
      <c r="E454" s="10"/>
      <c r="F454" s="337"/>
      <c r="G454" s="10"/>
      <c r="H454" s="24"/>
      <c r="I454" s="24"/>
      <c r="J454" s="532"/>
      <c r="K454" s="394"/>
      <c r="L454" s="29">
        <v>0</v>
      </c>
      <c r="M454" s="7"/>
      <c r="N454" s="7">
        <f>M454-L454</f>
        <v>0</v>
      </c>
      <c r="O454" s="242"/>
      <c r="P454" s="242"/>
      <c r="Q454" s="35">
        <f>L454+O454-P454</f>
        <v>0</v>
      </c>
      <c r="R454" s="123"/>
      <c r="S454" s="8"/>
      <c r="T454" s="34"/>
      <c r="U454" s="713"/>
      <c r="V454" s="123"/>
      <c r="W454" s="8"/>
      <c r="X454" s="34"/>
      <c r="Y454" s="713"/>
      <c r="Z454" s="20"/>
      <c r="AA454" s="8"/>
      <c r="AB454" s="34"/>
      <c r="AC454" s="713"/>
      <c r="AD454" s="713"/>
      <c r="AE454" s="394"/>
      <c r="AF454" s="29">
        <f t="shared" ref="AF454:AF462" si="1027">Q454</f>
        <v>0</v>
      </c>
      <c r="AG454" s="7"/>
      <c r="AH454" s="7">
        <f>AG454-AF454</f>
        <v>0</v>
      </c>
      <c r="AI454" s="242"/>
      <c r="AJ454" s="242"/>
      <c r="AK454" s="35">
        <f>AF454+AI454-AJ454</f>
        <v>0</v>
      </c>
      <c r="AL454" s="123"/>
      <c r="AM454" s="8"/>
      <c r="AN454" s="34"/>
      <c r="AO454" s="713"/>
      <c r="AP454" s="123"/>
      <c r="AQ454" s="8"/>
      <c r="AR454" s="34"/>
      <c r="AS454" s="713"/>
      <c r="AT454" s="20"/>
      <c r="AU454" s="8"/>
      <c r="AV454" s="34"/>
      <c r="AW454" s="713"/>
      <c r="AX454" s="713"/>
      <c r="AY454" s="394"/>
      <c r="AZ454" s="29">
        <f>AK454</f>
        <v>0</v>
      </c>
      <c r="BA454" s="7"/>
      <c r="BB454" s="7">
        <f>BA454-AZ454</f>
        <v>0</v>
      </c>
      <c r="BC454" s="242"/>
      <c r="BD454" s="242"/>
      <c r="BE454" s="35">
        <f>AZ454+BC454-BD454</f>
        <v>0</v>
      </c>
      <c r="BF454" s="123"/>
      <c r="BG454" s="8"/>
      <c r="BH454" s="34"/>
      <c r="BI454" s="713"/>
      <c r="BJ454" s="123"/>
      <c r="BK454" s="8"/>
      <c r="BL454" s="34"/>
      <c r="BM454" s="713"/>
      <c r="BN454" s="20"/>
      <c r="BO454" s="8"/>
      <c r="BP454" s="34"/>
      <c r="BQ454" s="713"/>
      <c r="BR454" s="713"/>
      <c r="BS454" s="394"/>
      <c r="BT454" s="29">
        <f>BE454</f>
        <v>0</v>
      </c>
      <c r="BU454" s="7"/>
      <c r="BV454" s="7">
        <f>BU454-BT454</f>
        <v>0</v>
      </c>
      <c r="BW454" s="242"/>
      <c r="BX454" s="242"/>
      <c r="BY454" s="35">
        <f>BT454+BW454-BX454</f>
        <v>0</v>
      </c>
      <c r="BZ454" s="123"/>
      <c r="CA454" s="8"/>
      <c r="CB454" s="34"/>
      <c r="CC454" s="713"/>
      <c r="CD454" s="123"/>
      <c r="CE454" s="8"/>
      <c r="CF454" s="34"/>
      <c r="CG454" s="713"/>
      <c r="CH454" s="20"/>
      <c r="CI454" s="8"/>
      <c r="CJ454" s="34"/>
      <c r="CK454" s="713"/>
      <c r="CL454" s="713"/>
      <c r="CM454" s="394"/>
      <c r="CN454" s="29">
        <f>BY454</f>
        <v>0</v>
      </c>
      <c r="CO454" s="7"/>
      <c r="CP454" s="7">
        <f>CO454-CN454</f>
        <v>0</v>
      </c>
      <c r="CQ454" s="242"/>
      <c r="CR454" s="242"/>
      <c r="CS454" s="35">
        <f>CN454+CQ454-CR454</f>
        <v>0</v>
      </c>
      <c r="CT454" s="123"/>
      <c r="CU454" s="8"/>
      <c r="CV454" s="34"/>
      <c r="CW454" s="713"/>
      <c r="CX454" s="123"/>
      <c r="CY454" s="8"/>
      <c r="CZ454" s="34"/>
      <c r="DA454" s="713"/>
      <c r="DB454" s="20"/>
      <c r="DC454" s="8"/>
      <c r="DD454" s="34"/>
      <c r="DE454" s="713"/>
      <c r="DF454" s="713"/>
      <c r="DG454" s="394"/>
      <c r="DH454" s="32">
        <f t="shared" ref="DH454:DH462" si="1028">BY454</f>
        <v>0</v>
      </c>
      <c r="DI454" s="7"/>
      <c r="DJ454" s="7">
        <f>DI454-DH454</f>
        <v>0</v>
      </c>
      <c r="DK454" s="242"/>
      <c r="DL454" s="242"/>
      <c r="DM454" s="35">
        <f>DH454+DK454-DL454</f>
        <v>0</v>
      </c>
    </row>
    <row r="455" spans="1:117" ht="30" x14ac:dyDescent="0.25">
      <c r="A455" s="17"/>
      <c r="B455" s="80" t="s">
        <v>536</v>
      </c>
      <c r="C455" s="17"/>
      <c r="D455" s="10"/>
      <c r="E455" s="10"/>
      <c r="F455" s="337">
        <v>502.5</v>
      </c>
      <c r="G455" s="74" t="s">
        <v>10</v>
      </c>
      <c r="H455" s="24"/>
      <c r="I455" s="24"/>
      <c r="J455" s="534"/>
      <c r="K455" s="394"/>
      <c r="L455" s="29">
        <v>0</v>
      </c>
      <c r="M455" s="7"/>
      <c r="N455" s="7">
        <f t="shared" ref="N455:N456" si="1029">M455-L455</f>
        <v>0</v>
      </c>
      <c r="O455" s="242"/>
      <c r="P455" s="242"/>
      <c r="Q455" s="35">
        <f t="shared" ref="Q455:Q456" si="1030">L455+O455-P455</f>
        <v>0</v>
      </c>
      <c r="R455" s="20"/>
      <c r="S455" s="8"/>
      <c r="T455" s="34"/>
      <c r="U455" s="713"/>
      <c r="V455" s="123"/>
      <c r="W455" s="8"/>
      <c r="X455" s="34"/>
      <c r="Y455" s="713"/>
      <c r="Z455" s="20"/>
      <c r="AA455" s="8"/>
      <c r="AB455" s="34"/>
      <c r="AC455" s="713"/>
      <c r="AD455" s="713"/>
      <c r="AE455" s="394"/>
      <c r="AF455" s="29">
        <f t="shared" si="1027"/>
        <v>0</v>
      </c>
      <c r="AG455" s="7"/>
      <c r="AH455" s="7">
        <f t="shared" ref="AH455:AH456" si="1031">AG455-AF455</f>
        <v>0</v>
      </c>
      <c r="AI455" s="258"/>
      <c r="AJ455" s="242"/>
      <c r="AK455" s="35">
        <f t="shared" ref="AK455:AK456" si="1032">AF455+AI455-AJ455</f>
        <v>0</v>
      </c>
      <c r="AL455" s="20"/>
      <c r="AM455" s="8"/>
      <c r="AN455" s="34"/>
      <c r="AO455" s="713"/>
      <c r="AP455" s="123"/>
      <c r="AQ455" s="8"/>
      <c r="AR455" s="34"/>
      <c r="AS455" s="713"/>
      <c r="AT455" s="20"/>
      <c r="AU455" s="8"/>
      <c r="AV455" s="34"/>
      <c r="AW455" s="713"/>
      <c r="AX455" s="713"/>
      <c r="AY455" s="394"/>
      <c r="AZ455" s="29">
        <f t="shared" ref="AZ455:AZ456" si="1033">AK455</f>
        <v>0</v>
      </c>
      <c r="BA455" s="7"/>
      <c r="BB455" s="7">
        <f t="shared" ref="BB455:BB456" si="1034">BA455-AZ455</f>
        <v>0</v>
      </c>
      <c r="BC455" s="242"/>
      <c r="BD455" s="242"/>
      <c r="BE455" s="35">
        <f t="shared" ref="BE455:BE456" si="1035">AZ455+BC455-BD455</f>
        <v>0</v>
      </c>
      <c r="BF455" s="20"/>
      <c r="BG455" s="8"/>
      <c r="BH455" s="34"/>
      <c r="BI455" s="713"/>
      <c r="BJ455" s="123"/>
      <c r="BK455" s="8"/>
      <c r="BL455" s="34"/>
      <c r="BM455" s="713"/>
      <c r="BN455" s="20"/>
      <c r="BO455" s="8"/>
      <c r="BP455" s="34"/>
      <c r="BQ455" s="713"/>
      <c r="BR455" s="713"/>
      <c r="BS455" s="394"/>
      <c r="BT455" s="29">
        <f t="shared" ref="BT455:BT456" si="1036">BE455</f>
        <v>0</v>
      </c>
      <c r="BU455" s="7"/>
      <c r="BV455" s="7">
        <f t="shared" ref="BV455:BV456" si="1037">BU455-BT455</f>
        <v>0</v>
      </c>
      <c r="BW455" s="242"/>
      <c r="BX455" s="242"/>
      <c r="BY455" s="35">
        <f t="shared" ref="BY455:BY456" si="1038">BT455+BW455-BX455</f>
        <v>0</v>
      </c>
      <c r="BZ455" s="20"/>
      <c r="CA455" s="8"/>
      <c r="CB455" s="34"/>
      <c r="CC455" s="713"/>
      <c r="CD455" s="123"/>
      <c r="CE455" s="8"/>
      <c r="CF455" s="34"/>
      <c r="CG455" s="713"/>
      <c r="CH455" s="20"/>
      <c r="CI455" s="8"/>
      <c r="CJ455" s="34"/>
      <c r="CK455" s="713"/>
      <c r="CL455" s="713"/>
      <c r="CM455" s="394"/>
      <c r="CN455" s="29">
        <f t="shared" ref="CN455:CN456" si="1039">BY455</f>
        <v>0</v>
      </c>
      <c r="CO455" s="7"/>
      <c r="CP455" s="7">
        <f t="shared" ref="CP455:CP456" si="1040">CO455-CN455</f>
        <v>0</v>
      </c>
      <c r="CQ455" s="242"/>
      <c r="CR455" s="242"/>
      <c r="CS455" s="35">
        <f t="shared" ref="CS455:CS456" si="1041">CN455+CQ455-CR455</f>
        <v>0</v>
      </c>
      <c r="CT455" s="20"/>
      <c r="CU455" s="8"/>
      <c r="CV455" s="34"/>
      <c r="CW455" s="713"/>
      <c r="CX455" s="123"/>
      <c r="CY455" s="8"/>
      <c r="CZ455" s="34"/>
      <c r="DA455" s="713"/>
      <c r="DB455" s="20"/>
      <c r="DC455" s="8"/>
      <c r="DD455" s="34"/>
      <c r="DE455" s="713"/>
      <c r="DF455" s="713"/>
      <c r="DG455" s="394"/>
      <c r="DH455" s="32">
        <f t="shared" si="1028"/>
        <v>0</v>
      </c>
      <c r="DI455" s="7"/>
      <c r="DJ455" s="7">
        <f t="shared" ref="DJ455:DJ462" si="1042">DI455-DH455</f>
        <v>0</v>
      </c>
      <c r="DK455" s="242"/>
      <c r="DL455" s="242"/>
      <c r="DM455" s="35">
        <f t="shared" ref="DM455:DM462" si="1043">DH455+DK455-DL455</f>
        <v>0</v>
      </c>
    </row>
    <row r="456" spans="1:117" ht="30" x14ac:dyDescent="0.25">
      <c r="A456" s="17"/>
      <c r="B456" s="80" t="s">
        <v>537</v>
      </c>
      <c r="C456" s="17"/>
      <c r="D456" s="10"/>
      <c r="E456" s="10"/>
      <c r="F456" s="337">
        <v>1404.65</v>
      </c>
      <c r="G456" s="74" t="s">
        <v>10</v>
      </c>
      <c r="H456" s="24"/>
      <c r="I456" s="24"/>
      <c r="J456" s="534"/>
      <c r="K456" s="394"/>
      <c r="L456" s="29">
        <v>0</v>
      </c>
      <c r="M456" s="7"/>
      <c r="N456" s="7">
        <f t="shared" si="1029"/>
        <v>0</v>
      </c>
      <c r="O456" s="242"/>
      <c r="P456" s="242"/>
      <c r="Q456" s="35">
        <f t="shared" si="1030"/>
        <v>0</v>
      </c>
      <c r="R456" s="20"/>
      <c r="S456" s="8"/>
      <c r="T456" s="34"/>
      <c r="U456" s="713"/>
      <c r="V456" s="123"/>
      <c r="W456" s="8"/>
      <c r="X456" s="34"/>
      <c r="Y456" s="713"/>
      <c r="Z456" s="20"/>
      <c r="AA456" s="8"/>
      <c r="AB456" s="34"/>
      <c r="AC456" s="713"/>
      <c r="AD456" s="713"/>
      <c r="AE456" s="394"/>
      <c r="AF456" s="29">
        <f t="shared" si="1027"/>
        <v>0</v>
      </c>
      <c r="AG456" s="7"/>
      <c r="AH456" s="7">
        <f t="shared" si="1031"/>
        <v>0</v>
      </c>
      <c r="AI456" s="258"/>
      <c r="AJ456" s="242"/>
      <c r="AK456" s="35">
        <f t="shared" si="1032"/>
        <v>0</v>
      </c>
      <c r="AL456" s="20"/>
      <c r="AM456" s="8"/>
      <c r="AN456" s="34"/>
      <c r="AO456" s="713"/>
      <c r="AP456" s="123"/>
      <c r="AQ456" s="8"/>
      <c r="AR456" s="34"/>
      <c r="AS456" s="713"/>
      <c r="AT456" s="20"/>
      <c r="AU456" s="8"/>
      <c r="AV456" s="34"/>
      <c r="AW456" s="713"/>
      <c r="AX456" s="713"/>
      <c r="AY456" s="394"/>
      <c r="AZ456" s="29">
        <f t="shared" si="1033"/>
        <v>0</v>
      </c>
      <c r="BA456" s="7"/>
      <c r="BB456" s="7">
        <f t="shared" si="1034"/>
        <v>0</v>
      </c>
      <c r="BC456" s="242"/>
      <c r="BD456" s="242"/>
      <c r="BE456" s="35">
        <f t="shared" si="1035"/>
        <v>0</v>
      </c>
      <c r="BF456" s="20"/>
      <c r="BG456" s="8"/>
      <c r="BH456" s="34"/>
      <c r="BI456" s="713"/>
      <c r="BJ456" s="123"/>
      <c r="BK456" s="8"/>
      <c r="BL456" s="34"/>
      <c r="BM456" s="713"/>
      <c r="BN456" s="20"/>
      <c r="BO456" s="8"/>
      <c r="BP456" s="34"/>
      <c r="BQ456" s="713"/>
      <c r="BR456" s="713"/>
      <c r="BS456" s="394"/>
      <c r="BT456" s="29">
        <f t="shared" si="1036"/>
        <v>0</v>
      </c>
      <c r="BU456" s="7"/>
      <c r="BV456" s="7">
        <f t="shared" si="1037"/>
        <v>0</v>
      </c>
      <c r="BW456" s="242"/>
      <c r="BX456" s="242"/>
      <c r="BY456" s="35">
        <f t="shared" si="1038"/>
        <v>0</v>
      </c>
      <c r="BZ456" s="20"/>
      <c r="CA456" s="8"/>
      <c r="CB456" s="34"/>
      <c r="CC456" s="713"/>
      <c r="CD456" s="123"/>
      <c r="CE456" s="8"/>
      <c r="CF456" s="34"/>
      <c r="CG456" s="713"/>
      <c r="CH456" s="20"/>
      <c r="CI456" s="8"/>
      <c r="CJ456" s="34"/>
      <c r="CK456" s="713"/>
      <c r="CL456" s="713"/>
      <c r="CM456" s="394"/>
      <c r="CN456" s="29">
        <f t="shared" si="1039"/>
        <v>0</v>
      </c>
      <c r="CO456" s="7"/>
      <c r="CP456" s="7">
        <f t="shared" si="1040"/>
        <v>0</v>
      </c>
      <c r="CQ456" s="242"/>
      <c r="CR456" s="242"/>
      <c r="CS456" s="35">
        <f t="shared" si="1041"/>
        <v>0</v>
      </c>
      <c r="CT456" s="20"/>
      <c r="CU456" s="8"/>
      <c r="CV456" s="34"/>
      <c r="CW456" s="713"/>
      <c r="CX456" s="123"/>
      <c r="CY456" s="8"/>
      <c r="CZ456" s="34"/>
      <c r="DA456" s="713"/>
      <c r="DB456" s="20"/>
      <c r="DC456" s="8"/>
      <c r="DD456" s="34"/>
      <c r="DE456" s="713"/>
      <c r="DF456" s="713"/>
      <c r="DG456" s="394"/>
      <c r="DH456" s="32">
        <f t="shared" si="1028"/>
        <v>0</v>
      </c>
      <c r="DI456" s="7"/>
      <c r="DJ456" s="7">
        <f t="shared" si="1042"/>
        <v>0</v>
      </c>
      <c r="DK456" s="242"/>
      <c r="DL456" s="242"/>
      <c r="DM456" s="35">
        <f t="shared" si="1043"/>
        <v>0</v>
      </c>
    </row>
    <row r="457" spans="1:117" x14ac:dyDescent="0.25">
      <c r="A457" s="18"/>
      <c r="B457" s="11" t="s">
        <v>478</v>
      </c>
      <c r="C457" s="18"/>
      <c r="D457" s="11"/>
      <c r="E457" s="11"/>
      <c r="F457" s="149">
        <v>439.05</v>
      </c>
      <c r="G457" s="74" t="s">
        <v>10</v>
      </c>
      <c r="H457" s="25"/>
      <c r="I457" s="25"/>
      <c r="J457" s="530"/>
      <c r="K457" s="478"/>
      <c r="L457" s="29">
        <v>0</v>
      </c>
      <c r="M457" s="5"/>
      <c r="N457" s="7">
        <f t="shared" ref="N457:N462" si="1044">M457-L457</f>
        <v>0</v>
      </c>
      <c r="O457" s="256"/>
      <c r="P457" s="240"/>
      <c r="Q457" s="35">
        <f t="shared" ref="Q457:Q462" si="1045">L457+O457-P457</f>
        <v>0</v>
      </c>
      <c r="R457" s="21"/>
      <c r="S457" s="6"/>
      <c r="T457" s="35"/>
      <c r="U457" s="612"/>
      <c r="V457" s="121"/>
      <c r="W457" s="6"/>
      <c r="X457" s="35"/>
      <c r="Y457" s="612"/>
      <c r="Z457" s="21"/>
      <c r="AA457" s="6"/>
      <c r="AB457" s="35"/>
      <c r="AC457" s="612"/>
      <c r="AD457" s="612"/>
      <c r="AE457" s="478"/>
      <c r="AF457" s="29">
        <f t="shared" si="1027"/>
        <v>0</v>
      </c>
      <c r="AG457" s="5"/>
      <c r="AH457" s="7">
        <f t="shared" ref="AH457:AH462" si="1046">AG457-AF457</f>
        <v>0</v>
      </c>
      <c r="AI457" s="258"/>
      <c r="AJ457" s="240"/>
      <c r="AK457" s="35">
        <f t="shared" ref="AK457:AK462" si="1047">AF457+AI457-AJ457</f>
        <v>0</v>
      </c>
      <c r="AL457" s="21"/>
      <c r="AM457" s="21"/>
      <c r="AN457" s="35"/>
      <c r="AO457" s="612"/>
      <c r="AP457" s="121"/>
      <c r="AQ457" s="21"/>
      <c r="AR457" s="35"/>
      <c r="AS457" s="612"/>
      <c r="AT457" s="21"/>
      <c r="AU457" s="6"/>
      <c r="AV457" s="35"/>
      <c r="AW457" s="612"/>
      <c r="AX457" s="612"/>
      <c r="AY457" s="478"/>
      <c r="AZ457" s="29">
        <f t="shared" ref="AZ457:AZ462" si="1048">AK457</f>
        <v>0</v>
      </c>
      <c r="BA457" s="5"/>
      <c r="BB457" s="7">
        <f t="shared" ref="BB457:BB462" si="1049">BA457-AZ457</f>
        <v>0</v>
      </c>
      <c r="BC457" s="256"/>
      <c r="BD457" s="240"/>
      <c r="BE457" s="35">
        <f t="shared" ref="BE457:BE462" si="1050">AZ457+BC457-BD457</f>
        <v>0</v>
      </c>
      <c r="BF457" s="21"/>
      <c r="BG457" s="6"/>
      <c r="BH457" s="35"/>
      <c r="BI457" s="612"/>
      <c r="BJ457" s="121"/>
      <c r="BK457" s="6"/>
      <c r="BL457" s="35"/>
      <c r="BM457" s="612"/>
      <c r="BN457" s="21"/>
      <c r="BO457" s="6"/>
      <c r="BP457" s="35"/>
      <c r="BQ457" s="612"/>
      <c r="BR457" s="612"/>
      <c r="BS457" s="478"/>
      <c r="BT457" s="29">
        <f t="shared" ref="BT457:BT462" si="1051">BE457</f>
        <v>0</v>
      </c>
      <c r="BU457" s="5"/>
      <c r="BV457" s="7">
        <f t="shared" ref="BV457:BV462" si="1052">BU457-BT457</f>
        <v>0</v>
      </c>
      <c r="BW457" s="240"/>
      <c r="BX457" s="240"/>
      <c r="BY457" s="35">
        <f t="shared" ref="BY457:BY462" si="1053">BT457+BW457-BX457</f>
        <v>0</v>
      </c>
      <c r="BZ457" s="21"/>
      <c r="CA457" s="6"/>
      <c r="CB457" s="35"/>
      <c r="CC457" s="612"/>
      <c r="CD457" s="121"/>
      <c r="CE457" s="6"/>
      <c r="CF457" s="35"/>
      <c r="CG457" s="612"/>
      <c r="CH457" s="21"/>
      <c r="CI457" s="6"/>
      <c r="CJ457" s="35"/>
      <c r="CK457" s="612"/>
      <c r="CL457" s="612"/>
      <c r="CM457" s="478"/>
      <c r="CN457" s="29">
        <f t="shared" ref="CN457:CN462" si="1054">BY457</f>
        <v>0</v>
      </c>
      <c r="CO457" s="5"/>
      <c r="CP457" s="7">
        <f t="shared" ref="CP457:CP462" si="1055">CO457-CN457</f>
        <v>0</v>
      </c>
      <c r="CQ457" s="240"/>
      <c r="CR457" s="240"/>
      <c r="CS457" s="34">
        <f t="shared" ref="CS457:CS462" si="1056">CN457+CQ457-CR457</f>
        <v>0</v>
      </c>
      <c r="CT457" s="21"/>
      <c r="CU457" s="6"/>
      <c r="CV457" s="35"/>
      <c r="CW457" s="612"/>
      <c r="CX457" s="121"/>
      <c r="CY457" s="6"/>
      <c r="CZ457" s="35"/>
      <c r="DA457" s="612"/>
      <c r="DB457" s="21"/>
      <c r="DC457" s="6"/>
      <c r="DD457" s="35"/>
      <c r="DE457" s="612"/>
      <c r="DF457" s="612"/>
      <c r="DG457" s="478"/>
      <c r="DH457" s="32">
        <f t="shared" si="1028"/>
        <v>0</v>
      </c>
      <c r="DI457" s="5"/>
      <c r="DJ457" s="7">
        <f t="shared" si="1042"/>
        <v>0</v>
      </c>
      <c r="DK457" s="240"/>
      <c r="DL457" s="240"/>
      <c r="DM457" s="34">
        <f t="shared" si="1043"/>
        <v>0</v>
      </c>
    </row>
    <row r="458" spans="1:117" x14ac:dyDescent="0.25">
      <c r="A458" s="18"/>
      <c r="B458" s="11" t="s">
        <v>564</v>
      </c>
      <c r="C458" s="18"/>
      <c r="D458" s="11"/>
      <c r="E458" s="11"/>
      <c r="F458" s="149">
        <v>1854.2</v>
      </c>
      <c r="G458" s="11" t="s">
        <v>528</v>
      </c>
      <c r="H458" s="25"/>
      <c r="I458" s="25"/>
      <c r="J458" s="530"/>
      <c r="K458" s="398"/>
      <c r="L458" s="29">
        <v>0</v>
      </c>
      <c r="M458" s="5"/>
      <c r="N458" s="5">
        <f t="shared" si="1044"/>
        <v>0</v>
      </c>
      <c r="O458" s="256"/>
      <c r="P458" s="256"/>
      <c r="Q458" s="35">
        <f t="shared" si="1045"/>
        <v>0</v>
      </c>
      <c r="R458" s="21"/>
      <c r="S458" s="6"/>
      <c r="T458" s="35"/>
      <c r="U458" s="612"/>
      <c r="V458" s="121"/>
      <c r="W458" s="6"/>
      <c r="X458" s="35"/>
      <c r="Y458" s="612"/>
      <c r="Z458" s="21"/>
      <c r="AA458" s="6"/>
      <c r="AB458" s="35"/>
      <c r="AC458" s="231"/>
      <c r="AD458" s="231"/>
      <c r="AE458" s="398"/>
      <c r="AF458" s="29">
        <f t="shared" si="1027"/>
        <v>0</v>
      </c>
      <c r="AG458" s="5"/>
      <c r="AH458" s="5">
        <f t="shared" si="1046"/>
        <v>0</v>
      </c>
      <c r="AI458" s="258"/>
      <c r="AJ458" s="256"/>
      <c r="AK458" s="35">
        <f t="shared" si="1047"/>
        <v>0</v>
      </c>
      <c r="AL458" s="21"/>
      <c r="AM458" s="6"/>
      <c r="AN458" s="35"/>
      <c r="AO458" s="612"/>
      <c r="AP458" s="121"/>
      <c r="AQ458" s="6"/>
      <c r="AR458" s="35"/>
      <c r="AS458" s="612"/>
      <c r="AT458" s="21"/>
      <c r="AU458" s="6"/>
      <c r="AV458" s="35"/>
      <c r="AW458" s="231"/>
      <c r="AX458" s="231"/>
      <c r="AY458" s="398"/>
      <c r="AZ458" s="29">
        <f t="shared" si="1048"/>
        <v>0</v>
      </c>
      <c r="BA458" s="5"/>
      <c r="BB458" s="5">
        <f t="shared" si="1049"/>
        <v>0</v>
      </c>
      <c r="BC458" s="256"/>
      <c r="BD458" s="240"/>
      <c r="BE458" s="35">
        <f t="shared" si="1050"/>
        <v>0</v>
      </c>
      <c r="BF458" s="21"/>
      <c r="BG458" s="6"/>
      <c r="BH458" s="35"/>
      <c r="BI458" s="612"/>
      <c r="BJ458" s="121"/>
      <c r="BK458" s="6"/>
      <c r="BL458" s="35"/>
      <c r="BM458" s="612"/>
      <c r="BN458" s="21"/>
      <c r="BO458" s="6"/>
      <c r="BP458" s="35"/>
      <c r="BQ458" s="231"/>
      <c r="BR458" s="231"/>
      <c r="BS458" s="398"/>
      <c r="BT458" s="29">
        <f t="shared" si="1051"/>
        <v>0</v>
      </c>
      <c r="BU458" s="5"/>
      <c r="BV458" s="5">
        <f t="shared" si="1052"/>
        <v>0</v>
      </c>
      <c r="BW458" s="240"/>
      <c r="BX458" s="256"/>
      <c r="BY458" s="35">
        <f t="shared" si="1053"/>
        <v>0</v>
      </c>
      <c r="BZ458" s="21"/>
      <c r="CA458" s="6"/>
      <c r="CB458" s="35"/>
      <c r="CC458" s="612"/>
      <c r="CD458" s="121"/>
      <c r="CE458" s="6"/>
      <c r="CF458" s="35"/>
      <c r="CG458" s="612"/>
      <c r="CH458" s="21"/>
      <c r="CI458" s="6"/>
      <c r="CJ458" s="35"/>
      <c r="CK458" s="231"/>
      <c r="CL458" s="231"/>
      <c r="CM458" s="398"/>
      <c r="CN458" s="29">
        <f t="shared" si="1054"/>
        <v>0</v>
      </c>
      <c r="CO458" s="5"/>
      <c r="CP458" s="5">
        <f t="shared" si="1055"/>
        <v>0</v>
      </c>
      <c r="CQ458" s="240"/>
      <c r="CR458" s="256"/>
      <c r="CS458" s="35">
        <f t="shared" si="1056"/>
        <v>0</v>
      </c>
      <c r="CT458" s="21"/>
      <c r="CU458" s="6"/>
      <c r="CV458" s="35"/>
      <c r="CW458" s="612"/>
      <c r="CX458" s="121"/>
      <c r="CY458" s="6"/>
      <c r="CZ458" s="35"/>
      <c r="DA458" s="612"/>
      <c r="DB458" s="21"/>
      <c r="DC458" s="6"/>
      <c r="DD458" s="35"/>
      <c r="DE458" s="231"/>
      <c r="DF458" s="231"/>
      <c r="DG458" s="398"/>
      <c r="DH458" s="32">
        <f t="shared" si="1028"/>
        <v>0</v>
      </c>
      <c r="DI458" s="5"/>
      <c r="DJ458" s="5">
        <f t="shared" si="1042"/>
        <v>0</v>
      </c>
      <c r="DK458" s="240"/>
      <c r="DL458" s="256"/>
      <c r="DM458" s="35">
        <f t="shared" si="1043"/>
        <v>0</v>
      </c>
    </row>
    <row r="459" spans="1:117" x14ac:dyDescent="0.25">
      <c r="A459" s="262"/>
      <c r="B459" s="431" t="s">
        <v>565</v>
      </c>
      <c r="C459" s="262"/>
      <c r="D459" s="431"/>
      <c r="E459" s="431"/>
      <c r="F459" s="510">
        <v>1855.84</v>
      </c>
      <c r="G459" s="11" t="s">
        <v>528</v>
      </c>
      <c r="H459" s="420"/>
      <c r="I459" s="420"/>
      <c r="J459" s="534"/>
      <c r="K459" s="395"/>
      <c r="L459" s="451">
        <v>0</v>
      </c>
      <c r="M459" s="432"/>
      <c r="N459" s="7">
        <f t="shared" si="1044"/>
        <v>0</v>
      </c>
      <c r="O459" s="425"/>
      <c r="P459" s="425"/>
      <c r="Q459" s="34">
        <f t="shared" si="1045"/>
        <v>0</v>
      </c>
      <c r="R459" s="421"/>
      <c r="S459" s="416"/>
      <c r="T459" s="415"/>
      <c r="V459" s="433"/>
      <c r="W459" s="416"/>
      <c r="X459" s="415"/>
      <c r="Z459" s="421"/>
      <c r="AA459" s="416"/>
      <c r="AB459" s="415"/>
      <c r="AC459" s="619"/>
      <c r="AD459" s="619"/>
      <c r="AE459" s="395"/>
      <c r="AF459" s="451">
        <f t="shared" si="1027"/>
        <v>0</v>
      </c>
      <c r="AG459" s="432"/>
      <c r="AH459" s="7">
        <f t="shared" si="1046"/>
        <v>0</v>
      </c>
      <c r="AI459" s="258"/>
      <c r="AJ459" s="425"/>
      <c r="AK459" s="34">
        <f t="shared" si="1047"/>
        <v>0</v>
      </c>
      <c r="AL459" s="421"/>
      <c r="AM459" s="416"/>
      <c r="AN459" s="35"/>
      <c r="AP459" s="433"/>
      <c r="AQ459" s="416"/>
      <c r="AR459" s="35"/>
      <c r="AS459" s="612"/>
      <c r="AT459" s="21"/>
      <c r="AU459" s="416"/>
      <c r="AV459" s="35"/>
      <c r="AW459" s="234"/>
      <c r="AX459" s="234"/>
      <c r="AY459" s="395"/>
      <c r="AZ459" s="451">
        <f t="shared" si="1048"/>
        <v>0</v>
      </c>
      <c r="BA459" s="432"/>
      <c r="BB459" s="7">
        <f t="shared" si="1049"/>
        <v>0</v>
      </c>
      <c r="BC459" s="256"/>
      <c r="BD459" s="315"/>
      <c r="BE459" s="34">
        <f t="shared" si="1050"/>
        <v>0</v>
      </c>
      <c r="BF459" s="421"/>
      <c r="BG459" s="416"/>
      <c r="BH459" s="415"/>
      <c r="BJ459" s="433"/>
      <c r="BK459" s="416"/>
      <c r="BL459" s="415"/>
      <c r="BN459" s="421"/>
      <c r="BO459" s="416"/>
      <c r="BP459" s="415"/>
      <c r="BQ459" s="619"/>
      <c r="BR459" s="619"/>
      <c r="BS459" s="395"/>
      <c r="BT459" s="451">
        <f t="shared" si="1051"/>
        <v>0</v>
      </c>
      <c r="BU459" s="432"/>
      <c r="BV459" s="7">
        <f t="shared" si="1052"/>
        <v>0</v>
      </c>
      <c r="BW459" s="315"/>
      <c r="BX459" s="425"/>
      <c r="BY459" s="34">
        <f t="shared" si="1053"/>
        <v>0</v>
      </c>
      <c r="BZ459" s="421"/>
      <c r="CA459" s="416"/>
      <c r="CB459" s="415"/>
      <c r="CD459" s="433"/>
      <c r="CE459" s="416"/>
      <c r="CF459" s="415"/>
      <c r="CH459" s="421"/>
      <c r="CI459" s="416"/>
      <c r="CJ459" s="415"/>
      <c r="CK459" s="619"/>
      <c r="CL459" s="619"/>
      <c r="CM459" s="395"/>
      <c r="CN459" s="451">
        <f t="shared" si="1054"/>
        <v>0</v>
      </c>
      <c r="CO459" s="432"/>
      <c r="CP459" s="7">
        <f t="shared" si="1055"/>
        <v>0</v>
      </c>
      <c r="CQ459" s="315"/>
      <c r="CR459" s="425"/>
      <c r="CS459" s="34">
        <f t="shared" si="1056"/>
        <v>0</v>
      </c>
      <c r="CT459" s="421"/>
      <c r="CU459" s="416"/>
      <c r="CV459" s="415"/>
      <c r="CX459" s="433"/>
      <c r="CY459" s="416"/>
      <c r="CZ459" s="415"/>
      <c r="DB459" s="421"/>
      <c r="DC459" s="416"/>
      <c r="DD459" s="415"/>
      <c r="DE459" s="619"/>
      <c r="DF459" s="619"/>
      <c r="DG459" s="395"/>
      <c r="DH459" s="32">
        <f t="shared" si="1028"/>
        <v>0</v>
      </c>
      <c r="DI459" s="432"/>
      <c r="DJ459" s="7">
        <f t="shared" si="1042"/>
        <v>0</v>
      </c>
      <c r="DK459" s="315"/>
      <c r="DL459" s="425"/>
      <c r="DM459" s="34">
        <f t="shared" si="1043"/>
        <v>0</v>
      </c>
    </row>
    <row r="460" spans="1:117" x14ac:dyDescent="0.25">
      <c r="A460" s="18"/>
      <c r="B460" s="11" t="s">
        <v>566</v>
      </c>
      <c r="C460" s="18"/>
      <c r="D460" s="11"/>
      <c r="E460" s="11"/>
      <c r="F460" s="149">
        <v>1370.82</v>
      </c>
      <c r="G460" s="11" t="s">
        <v>547</v>
      </c>
      <c r="H460" s="25"/>
      <c r="I460" s="25"/>
      <c r="J460" s="530"/>
      <c r="K460" s="398"/>
      <c r="L460" s="29">
        <v>0</v>
      </c>
      <c r="M460" s="5"/>
      <c r="N460" s="5">
        <f t="shared" si="1044"/>
        <v>0</v>
      </c>
      <c r="O460" s="256"/>
      <c r="P460" s="256"/>
      <c r="Q460" s="35">
        <f t="shared" si="1045"/>
        <v>0</v>
      </c>
      <c r="R460" s="21"/>
      <c r="S460" s="6"/>
      <c r="T460" s="35"/>
      <c r="U460" s="612"/>
      <c r="V460" s="121"/>
      <c r="W460" s="6"/>
      <c r="X460" s="35"/>
      <c r="Y460" s="612"/>
      <c r="Z460" s="21"/>
      <c r="AA460" s="6"/>
      <c r="AB460" s="35"/>
      <c r="AC460" s="231"/>
      <c r="AD460" s="231"/>
      <c r="AE460" s="398"/>
      <c r="AF460" s="29">
        <f t="shared" si="1027"/>
        <v>0</v>
      </c>
      <c r="AG460" s="5"/>
      <c r="AH460" s="5">
        <f t="shared" si="1046"/>
        <v>0</v>
      </c>
      <c r="AI460" s="258"/>
      <c r="AJ460" s="256"/>
      <c r="AK460" s="35">
        <f t="shared" si="1047"/>
        <v>0</v>
      </c>
      <c r="AL460" s="21"/>
      <c r="AM460" s="6"/>
      <c r="AN460" s="35"/>
      <c r="AO460" s="612"/>
      <c r="AP460" s="121"/>
      <c r="AQ460" s="6"/>
      <c r="AR460" s="35"/>
      <c r="AS460" s="612"/>
      <c r="AT460" s="121"/>
      <c r="AU460" s="6"/>
      <c r="AV460" s="35"/>
      <c r="AW460" s="231"/>
      <c r="AX460" s="231"/>
      <c r="AY460" s="398"/>
      <c r="AZ460" s="29">
        <f t="shared" si="1048"/>
        <v>0</v>
      </c>
      <c r="BA460" s="5"/>
      <c r="BB460" s="5">
        <f t="shared" si="1049"/>
        <v>0</v>
      </c>
      <c r="BC460" s="256"/>
      <c r="BD460" s="240"/>
      <c r="BE460" s="35">
        <f t="shared" si="1050"/>
        <v>0</v>
      </c>
      <c r="BF460" s="21"/>
      <c r="BG460" s="6"/>
      <c r="BH460" s="35"/>
      <c r="BI460" s="612"/>
      <c r="BJ460" s="121"/>
      <c r="BK460" s="6"/>
      <c r="BL460" s="35"/>
      <c r="BM460" s="612"/>
      <c r="BN460" s="21"/>
      <c r="BO460" s="6"/>
      <c r="BP460" s="35"/>
      <c r="BQ460" s="231"/>
      <c r="BR460" s="231"/>
      <c r="BS460" s="398"/>
      <c r="BT460" s="29">
        <f t="shared" si="1051"/>
        <v>0</v>
      </c>
      <c r="BU460" s="5"/>
      <c r="BV460" s="5">
        <f t="shared" si="1052"/>
        <v>0</v>
      </c>
      <c r="BW460" s="240"/>
      <c r="BX460" s="256"/>
      <c r="BY460" s="35">
        <f t="shared" si="1053"/>
        <v>0</v>
      </c>
      <c r="BZ460" s="21"/>
      <c r="CA460" s="6"/>
      <c r="CB460" s="35"/>
      <c r="CC460" s="612"/>
      <c r="CD460" s="121"/>
      <c r="CE460" s="6"/>
      <c r="CF460" s="35"/>
      <c r="CG460" s="612"/>
      <c r="CH460" s="21"/>
      <c r="CI460" s="6"/>
      <c r="CJ460" s="35"/>
      <c r="CK460" s="231"/>
      <c r="CL460" s="231"/>
      <c r="CM460" s="398"/>
      <c r="CN460" s="29">
        <f t="shared" si="1054"/>
        <v>0</v>
      </c>
      <c r="CO460" s="5"/>
      <c r="CP460" s="5">
        <f t="shared" si="1055"/>
        <v>0</v>
      </c>
      <c r="CQ460" s="240"/>
      <c r="CR460" s="256"/>
      <c r="CS460" s="35">
        <f t="shared" si="1056"/>
        <v>0</v>
      </c>
      <c r="CT460" s="21"/>
      <c r="CU460" s="6"/>
      <c r="CV460" s="35"/>
      <c r="CW460" s="612"/>
      <c r="CX460" s="121"/>
      <c r="CY460" s="6"/>
      <c r="CZ460" s="35"/>
      <c r="DA460" s="612"/>
      <c r="DB460" s="21"/>
      <c r="DC460" s="6"/>
      <c r="DD460" s="35"/>
      <c r="DE460" s="231"/>
      <c r="DF460" s="231"/>
      <c r="DG460" s="398"/>
      <c r="DH460" s="32">
        <f t="shared" si="1028"/>
        <v>0</v>
      </c>
      <c r="DI460" s="5"/>
      <c r="DJ460" s="5">
        <f t="shared" si="1042"/>
        <v>0</v>
      </c>
      <c r="DK460" s="240"/>
      <c r="DL460" s="256"/>
      <c r="DM460" s="35">
        <f t="shared" si="1043"/>
        <v>0</v>
      </c>
    </row>
    <row r="461" spans="1:117" x14ac:dyDescent="0.25">
      <c r="A461" s="262"/>
      <c r="B461" s="431" t="s">
        <v>567</v>
      </c>
      <c r="C461" s="262"/>
      <c r="D461" s="431"/>
      <c r="E461" s="431"/>
      <c r="F461" s="510">
        <v>2258.88</v>
      </c>
      <c r="G461" s="11" t="s">
        <v>547</v>
      </c>
      <c r="H461" s="420"/>
      <c r="I461" s="420"/>
      <c r="J461" s="534"/>
      <c r="K461" s="395"/>
      <c r="L461" s="451">
        <v>0</v>
      </c>
      <c r="M461" s="432"/>
      <c r="N461" s="7">
        <f t="shared" si="1044"/>
        <v>0</v>
      </c>
      <c r="O461" s="425"/>
      <c r="P461" s="425"/>
      <c r="Q461" s="34">
        <f t="shared" si="1045"/>
        <v>0</v>
      </c>
      <c r="R461" s="421"/>
      <c r="S461" s="416"/>
      <c r="T461" s="415"/>
      <c r="V461" s="433"/>
      <c r="W461" s="416"/>
      <c r="X461" s="415"/>
      <c r="Z461" s="421"/>
      <c r="AA461" s="416"/>
      <c r="AB461" s="415"/>
      <c r="AC461" s="619"/>
      <c r="AD461" s="619"/>
      <c r="AE461" s="395"/>
      <c r="AF461" s="451">
        <f t="shared" si="1027"/>
        <v>0</v>
      </c>
      <c r="AG461" s="432"/>
      <c r="AH461" s="7">
        <f t="shared" si="1046"/>
        <v>0</v>
      </c>
      <c r="AI461" s="258"/>
      <c r="AJ461" s="425"/>
      <c r="AK461" s="34">
        <f t="shared" si="1047"/>
        <v>0</v>
      </c>
      <c r="AL461" s="421"/>
      <c r="AM461" s="416"/>
      <c r="AN461" s="415"/>
      <c r="AP461" s="121"/>
      <c r="AQ461" s="416"/>
      <c r="AR461" s="35"/>
      <c r="AS461" s="612"/>
      <c r="AT461" s="121"/>
      <c r="AU461" s="6"/>
      <c r="AV461" s="35"/>
      <c r="AW461" s="234"/>
      <c r="AX461" s="234"/>
      <c r="AY461" s="395"/>
      <c r="AZ461" s="451">
        <f t="shared" si="1048"/>
        <v>0</v>
      </c>
      <c r="BA461" s="432"/>
      <c r="BB461" s="7">
        <f t="shared" si="1049"/>
        <v>0</v>
      </c>
      <c r="BC461" s="256"/>
      <c r="BD461" s="315"/>
      <c r="BE461" s="34">
        <f t="shared" si="1050"/>
        <v>0</v>
      </c>
      <c r="BF461" s="421"/>
      <c r="BG461" s="6"/>
      <c r="BH461" s="35"/>
      <c r="BJ461" s="433"/>
      <c r="BK461" s="416"/>
      <c r="BL461" s="415"/>
      <c r="BN461" s="421"/>
      <c r="BO461" s="416"/>
      <c r="BP461" s="415"/>
      <c r="BQ461" s="619"/>
      <c r="BR461" s="619"/>
      <c r="BS461" s="395"/>
      <c r="BT461" s="451">
        <f t="shared" si="1051"/>
        <v>0</v>
      </c>
      <c r="BU461" s="432"/>
      <c r="BV461" s="7">
        <f t="shared" si="1052"/>
        <v>0</v>
      </c>
      <c r="BW461" s="315"/>
      <c r="BX461" s="425"/>
      <c r="BY461" s="34">
        <f t="shared" si="1053"/>
        <v>0</v>
      </c>
      <c r="BZ461" s="421"/>
      <c r="CA461" s="416"/>
      <c r="CB461" s="415"/>
      <c r="CD461" s="433"/>
      <c r="CE461" s="416"/>
      <c r="CF461" s="415"/>
      <c r="CH461" s="421"/>
      <c r="CI461" s="416"/>
      <c r="CJ461" s="415"/>
      <c r="CK461" s="619"/>
      <c r="CL461" s="619"/>
      <c r="CM461" s="395"/>
      <c r="CN461" s="451">
        <f t="shared" si="1054"/>
        <v>0</v>
      </c>
      <c r="CO461" s="432"/>
      <c r="CP461" s="7">
        <f t="shared" si="1055"/>
        <v>0</v>
      </c>
      <c r="CQ461" s="315"/>
      <c r="CR461" s="425"/>
      <c r="CS461" s="34">
        <f t="shared" si="1056"/>
        <v>0</v>
      </c>
      <c r="CT461" s="421"/>
      <c r="CU461" s="416"/>
      <c r="CV461" s="415"/>
      <c r="CX461" s="433"/>
      <c r="CY461" s="416"/>
      <c r="CZ461" s="415"/>
      <c r="DB461" s="421"/>
      <c r="DC461" s="416"/>
      <c r="DD461" s="415"/>
      <c r="DE461" s="619"/>
      <c r="DF461" s="619"/>
      <c r="DG461" s="395"/>
      <c r="DH461" s="32">
        <f t="shared" si="1028"/>
        <v>0</v>
      </c>
      <c r="DI461" s="432"/>
      <c r="DJ461" s="7">
        <f t="shared" si="1042"/>
        <v>0</v>
      </c>
      <c r="DK461" s="315"/>
      <c r="DL461" s="425"/>
      <c r="DM461" s="34">
        <f t="shared" si="1043"/>
        <v>0</v>
      </c>
    </row>
    <row r="462" spans="1:117" ht="15.75" thickBot="1" x14ac:dyDescent="0.3">
      <c r="A462" s="19"/>
      <c r="B462" s="12"/>
      <c r="C462" s="19"/>
      <c r="D462" s="12"/>
      <c r="E462" s="12"/>
      <c r="F462" s="146"/>
      <c r="G462" s="12"/>
      <c r="H462" s="28"/>
      <c r="I462" s="28"/>
      <c r="J462" s="531"/>
      <c r="K462" s="399"/>
      <c r="L462" s="30">
        <v>0</v>
      </c>
      <c r="M462" s="31"/>
      <c r="N462" s="31">
        <f t="shared" si="1044"/>
        <v>0</v>
      </c>
      <c r="O462" s="241"/>
      <c r="P462" s="241"/>
      <c r="Q462" s="36">
        <f t="shared" si="1045"/>
        <v>0</v>
      </c>
      <c r="R462" s="272"/>
      <c r="S462" s="217"/>
      <c r="T462" s="273"/>
      <c r="U462" s="714"/>
      <c r="V462" s="200"/>
      <c r="W462" s="201"/>
      <c r="X462" s="36"/>
      <c r="Y462" s="220"/>
      <c r="Z462" s="122"/>
      <c r="AA462" s="201"/>
      <c r="AB462" s="36"/>
      <c r="AC462" s="232"/>
      <c r="AD462" s="232"/>
      <c r="AE462" s="399"/>
      <c r="AF462" s="30">
        <f t="shared" si="1027"/>
        <v>0</v>
      </c>
      <c r="AG462" s="31"/>
      <c r="AH462" s="31">
        <f t="shared" si="1046"/>
        <v>0</v>
      </c>
      <c r="AI462" s="241"/>
      <c r="AJ462" s="241"/>
      <c r="AK462" s="36">
        <f t="shared" si="1047"/>
        <v>0</v>
      </c>
      <c r="AL462" s="272"/>
      <c r="AM462" s="217"/>
      <c r="AN462" s="273"/>
      <c r="AO462" s="714"/>
      <c r="AP462" s="200"/>
      <c r="AQ462" s="201"/>
      <c r="AR462" s="36"/>
      <c r="AS462" s="220"/>
      <c r="AT462" s="122"/>
      <c r="AU462" s="201"/>
      <c r="AV462" s="36"/>
      <c r="AW462" s="297"/>
      <c r="AX462" s="297"/>
      <c r="AY462" s="396"/>
      <c r="AZ462" s="30">
        <f t="shared" si="1048"/>
        <v>0</v>
      </c>
      <c r="BA462" s="31"/>
      <c r="BB462" s="31">
        <f t="shared" si="1049"/>
        <v>0</v>
      </c>
      <c r="BC462" s="241"/>
      <c r="BD462" s="241"/>
      <c r="BE462" s="36">
        <f t="shared" si="1050"/>
        <v>0</v>
      </c>
      <c r="BF462" s="272"/>
      <c r="BG462" s="217"/>
      <c r="BH462" s="273"/>
      <c r="BI462" s="714"/>
      <c r="BJ462" s="200"/>
      <c r="BK462" s="201"/>
      <c r="BL462" s="36"/>
      <c r="BM462" s="220"/>
      <c r="BN462" s="122"/>
      <c r="BO462" s="201"/>
      <c r="BP462" s="36"/>
      <c r="BQ462" s="297"/>
      <c r="BR462" s="297"/>
      <c r="BS462" s="396"/>
      <c r="BT462" s="30">
        <f t="shared" si="1051"/>
        <v>0</v>
      </c>
      <c r="BU462" s="31"/>
      <c r="BV462" s="31">
        <f t="shared" si="1052"/>
        <v>0</v>
      </c>
      <c r="BW462" s="241"/>
      <c r="BX462" s="241"/>
      <c r="BY462" s="36">
        <f t="shared" si="1053"/>
        <v>0</v>
      </c>
      <c r="BZ462" s="272"/>
      <c r="CA462" s="217"/>
      <c r="CB462" s="273"/>
      <c r="CC462" s="714"/>
      <c r="CD462" s="200"/>
      <c r="CE462" s="201"/>
      <c r="CF462" s="36"/>
      <c r="CG462" s="220"/>
      <c r="CH462" s="122"/>
      <c r="CI462" s="201"/>
      <c r="CJ462" s="36"/>
      <c r="CK462" s="297"/>
      <c r="CL462" s="297"/>
      <c r="CM462" s="396"/>
      <c r="CN462" s="30">
        <f t="shared" si="1054"/>
        <v>0</v>
      </c>
      <c r="CO462" s="31"/>
      <c r="CP462" s="31">
        <f t="shared" si="1055"/>
        <v>0</v>
      </c>
      <c r="CQ462" s="241"/>
      <c r="CR462" s="241"/>
      <c r="CS462" s="36">
        <f t="shared" si="1056"/>
        <v>0</v>
      </c>
      <c r="CT462" s="272"/>
      <c r="CU462" s="217"/>
      <c r="CV462" s="273"/>
      <c r="CW462" s="714"/>
      <c r="CX462" s="200"/>
      <c r="CY462" s="201"/>
      <c r="CZ462" s="36"/>
      <c r="DA462" s="220"/>
      <c r="DB462" s="122"/>
      <c r="DC462" s="201"/>
      <c r="DD462" s="36"/>
      <c r="DE462" s="297"/>
      <c r="DF462" s="297"/>
      <c r="DG462" s="396"/>
      <c r="DH462" s="296">
        <f t="shared" si="1028"/>
        <v>0</v>
      </c>
      <c r="DI462" s="31"/>
      <c r="DJ462" s="31">
        <f t="shared" si="1042"/>
        <v>0</v>
      </c>
      <c r="DK462" s="241"/>
      <c r="DL462" s="241"/>
      <c r="DM462" s="36">
        <f t="shared" si="1043"/>
        <v>0</v>
      </c>
    </row>
    <row r="463" spans="1:117" ht="15.75" thickBot="1" x14ac:dyDescent="0.3">
      <c r="G463" s="3"/>
      <c r="P463" s="248"/>
      <c r="AJ463" s="248"/>
      <c r="BD463" s="248"/>
      <c r="BX463" s="248"/>
      <c r="CR463" s="248"/>
      <c r="DL463" s="248"/>
    </row>
    <row r="464" spans="1:117" ht="15.75" thickBot="1" x14ac:dyDescent="0.3">
      <c r="A464" s="95"/>
      <c r="B464" s="94" t="s">
        <v>651</v>
      </c>
      <c r="C464" s="95"/>
      <c r="D464" s="93"/>
      <c r="E464" s="93"/>
      <c r="F464" s="340"/>
      <c r="G464" s="93"/>
      <c r="H464" s="96"/>
      <c r="I464" s="96"/>
      <c r="J464" s="96">
        <f>SUM(M464,AG464,BA464,BU464)</f>
        <v>22</v>
      </c>
      <c r="K464" s="95"/>
      <c r="L464" s="97"/>
      <c r="M464" s="249">
        <f>3+0-3</f>
        <v>0</v>
      </c>
      <c r="N464" s="98"/>
      <c r="O464" s="98"/>
      <c r="P464" s="435"/>
      <c r="Q464" s="237"/>
      <c r="R464" s="124">
        <f>SUM(R465:R467)</f>
        <v>0</v>
      </c>
      <c r="S464" s="125">
        <f>SUM(S465:S467)</f>
        <v>0</v>
      </c>
      <c r="T464" s="99"/>
      <c r="U464" s="221"/>
      <c r="V464" s="124">
        <f>SUM(V465:V467)</f>
        <v>0</v>
      </c>
      <c r="W464" s="125">
        <f>SUM(W465:W467)</f>
        <v>0</v>
      </c>
      <c r="X464" s="99"/>
      <c r="Y464" s="221"/>
      <c r="Z464" s="124">
        <f>SUM(Z465:Z467)</f>
        <v>0</v>
      </c>
      <c r="AA464" s="125">
        <f>SUM(AA465:AA467)</f>
        <v>0</v>
      </c>
      <c r="AB464" s="99"/>
      <c r="AC464" s="237"/>
      <c r="AD464" s="237"/>
      <c r="AE464" s="95">
        <f>SUM(AG464,BA464,BU464)</f>
        <v>22</v>
      </c>
      <c r="AF464" s="97"/>
      <c r="AG464" s="249">
        <f>13-13+1+1</f>
        <v>2</v>
      </c>
      <c r="AH464" s="98"/>
      <c r="AI464" s="98"/>
      <c r="AJ464" s="249"/>
      <c r="AK464" s="237"/>
      <c r="AL464" s="124">
        <f>SUM(AL465:AL467)</f>
        <v>0</v>
      </c>
      <c r="AM464" s="125">
        <f>SUM(AM465:AM467)</f>
        <v>0</v>
      </c>
      <c r="AN464" s="99"/>
      <c r="AO464" s="221"/>
      <c r="AP464" s="124">
        <f>SUM(AP465:AP467)</f>
        <v>0</v>
      </c>
      <c r="AQ464" s="125">
        <f>SUM(AQ465:AQ467)</f>
        <v>0</v>
      </c>
      <c r="AR464" s="99"/>
      <c r="AS464" s="221"/>
      <c r="AT464" s="124">
        <f>SUM(AT465:AT467)</f>
        <v>0</v>
      </c>
      <c r="AU464" s="125">
        <f>SUM(AU465:AU467)</f>
        <v>0</v>
      </c>
      <c r="AV464" s="99"/>
      <c r="AW464" s="237"/>
      <c r="AX464" s="237"/>
      <c r="AY464" s="95">
        <f>SUM(BA464,BU464)</f>
        <v>20</v>
      </c>
      <c r="AZ464" s="97"/>
      <c r="BA464" s="249">
        <f>6-6+10+4-10-4+4+4</f>
        <v>8</v>
      </c>
      <c r="BB464" s="98"/>
      <c r="BC464" s="98"/>
      <c r="BD464" s="249"/>
      <c r="BE464" s="237"/>
      <c r="BF464" s="124">
        <f>SUM(BF465:BF467)</f>
        <v>0</v>
      </c>
      <c r="BG464" s="125">
        <f>SUM(BG465:BG467)</f>
        <v>0</v>
      </c>
      <c r="BH464" s="99"/>
      <c r="BI464" s="221"/>
      <c r="BJ464" s="124">
        <f>SUM(BJ465:BJ467)</f>
        <v>0</v>
      </c>
      <c r="BK464" s="125">
        <f>SUM(BK465:BK467)</f>
        <v>0</v>
      </c>
      <c r="BL464" s="99"/>
      <c r="BM464" s="221"/>
      <c r="BN464" s="124">
        <f>SUM(BN465:BN467)</f>
        <v>0</v>
      </c>
      <c r="BO464" s="125">
        <f>SUM(BO465:BO467)</f>
        <v>0</v>
      </c>
      <c r="BP464" s="99"/>
      <c r="BQ464" s="237"/>
      <c r="BR464" s="237"/>
      <c r="BS464" s="95">
        <f>BU464</f>
        <v>12</v>
      </c>
      <c r="BT464" s="97"/>
      <c r="BU464" s="249">
        <f>9+3</f>
        <v>12</v>
      </c>
      <c r="BV464" s="98"/>
      <c r="BW464" s="98"/>
      <c r="BX464" s="249"/>
      <c r="BY464" s="237"/>
      <c r="BZ464" s="124">
        <f>SUM(BZ465:BZ467)</f>
        <v>0</v>
      </c>
      <c r="CA464" s="125">
        <f>SUM(CA465:CA467)</f>
        <v>0</v>
      </c>
      <c r="CB464" s="99"/>
      <c r="CC464" s="221"/>
      <c r="CD464" s="124">
        <f>SUM(CD465:CD467)</f>
        <v>0</v>
      </c>
      <c r="CE464" s="125">
        <f>SUM(CE465:CE467)</f>
        <v>0</v>
      </c>
      <c r="CF464" s="99"/>
      <c r="CG464" s="221"/>
      <c r="CH464" s="124">
        <f>SUM(CH465:CH467)</f>
        <v>0</v>
      </c>
      <c r="CI464" s="125">
        <f>SUM(CI465:CI467)</f>
        <v>0</v>
      </c>
      <c r="CJ464" s="99"/>
      <c r="CK464" s="237"/>
      <c r="CL464" s="237"/>
      <c r="CM464" s="95">
        <f>CO464</f>
        <v>0</v>
      </c>
      <c r="CN464" s="97"/>
      <c r="CO464" s="249"/>
      <c r="CP464" s="98"/>
      <c r="CQ464" s="98"/>
      <c r="CR464" s="249"/>
      <c r="CS464" s="237"/>
      <c r="CT464" s="124">
        <f>SUM(CT465:CT467)</f>
        <v>0</v>
      </c>
      <c r="CU464" s="125">
        <f>SUM(CU465:CU467)</f>
        <v>0</v>
      </c>
      <c r="CV464" s="99"/>
      <c r="CW464" s="221"/>
      <c r="CX464" s="124">
        <f>SUM(CX465:CX467)</f>
        <v>0</v>
      </c>
      <c r="CY464" s="125">
        <f>SUM(CY465:CY467)</f>
        <v>0</v>
      </c>
      <c r="CZ464" s="99"/>
      <c r="DA464" s="221"/>
      <c r="DB464" s="124">
        <f>SUM(DB465:DB467)</f>
        <v>0</v>
      </c>
      <c r="DC464" s="125">
        <f>SUM(DC465:DC467)</f>
        <v>0</v>
      </c>
      <c r="DD464" s="99"/>
      <c r="DE464" s="237"/>
      <c r="DF464" s="237"/>
      <c r="DG464" s="95">
        <f>DI464</f>
        <v>0</v>
      </c>
      <c r="DH464" s="97"/>
      <c r="DI464" s="249"/>
      <c r="DJ464" s="98"/>
      <c r="DK464" s="98"/>
      <c r="DL464" s="249"/>
      <c r="DM464" s="237"/>
    </row>
    <row r="465" spans="1:117" x14ac:dyDescent="0.25">
      <c r="A465" s="17"/>
      <c r="B465" s="10"/>
      <c r="C465" s="17"/>
      <c r="D465" s="10"/>
      <c r="E465" s="10"/>
      <c r="F465" s="337"/>
      <c r="G465" s="10"/>
      <c r="H465" s="24"/>
      <c r="I465" s="24"/>
      <c r="J465" s="532"/>
      <c r="K465" s="394"/>
      <c r="L465" s="29">
        <v>0</v>
      </c>
      <c r="M465" s="7"/>
      <c r="N465" s="7">
        <f>M465-L465</f>
        <v>0</v>
      </c>
      <c r="O465" s="242"/>
      <c r="P465" s="242"/>
      <c r="Q465" s="35">
        <f>L465+O465-P465</f>
        <v>0</v>
      </c>
      <c r="R465" s="123"/>
      <c r="S465" s="8"/>
      <c r="T465" s="34"/>
      <c r="U465" s="713"/>
      <c r="V465" s="123"/>
      <c r="W465" s="8"/>
      <c r="X465" s="34"/>
      <c r="Y465" s="713"/>
      <c r="Z465" s="20"/>
      <c r="AA465" s="8"/>
      <c r="AB465" s="34"/>
      <c r="AC465" s="713"/>
      <c r="AD465" s="713"/>
      <c r="AE465" s="394"/>
      <c r="AF465" s="29">
        <f>Q465</f>
        <v>0</v>
      </c>
      <c r="AG465" s="7"/>
      <c r="AH465" s="7">
        <f>AG465-AF465</f>
        <v>0</v>
      </c>
      <c r="AI465" s="242"/>
      <c r="AJ465" s="242"/>
      <c r="AK465" s="35">
        <f>AF465+AI465-AJ465</f>
        <v>0</v>
      </c>
      <c r="AL465" s="123"/>
      <c r="AM465" s="8"/>
      <c r="AN465" s="34"/>
      <c r="AO465" s="713"/>
      <c r="AP465" s="123"/>
      <c r="AQ465" s="8"/>
      <c r="AR465" s="34"/>
      <c r="AS465" s="713"/>
      <c r="AT465" s="20"/>
      <c r="AU465" s="8"/>
      <c r="AV465" s="34"/>
      <c r="AW465" s="713"/>
      <c r="AX465" s="713"/>
      <c r="AY465" s="394"/>
      <c r="AZ465" s="29">
        <f>AK465</f>
        <v>0</v>
      </c>
      <c r="BA465" s="7"/>
      <c r="BB465" s="7">
        <f>BA465-AZ465</f>
        <v>0</v>
      </c>
      <c r="BC465" s="242"/>
      <c r="BD465" s="242"/>
      <c r="BE465" s="35">
        <f>AZ465+BC465-BD465</f>
        <v>0</v>
      </c>
      <c r="BF465" s="123"/>
      <c r="BG465" s="8"/>
      <c r="BH465" s="34"/>
      <c r="BI465" s="713"/>
      <c r="BJ465" s="123"/>
      <c r="BK465" s="8"/>
      <c r="BL465" s="34"/>
      <c r="BM465" s="713"/>
      <c r="BN465" s="20"/>
      <c r="BO465" s="8"/>
      <c r="BP465" s="34"/>
      <c r="BQ465" s="713"/>
      <c r="BR465" s="713"/>
      <c r="BS465" s="394"/>
      <c r="BT465" s="29">
        <f>BE465</f>
        <v>0</v>
      </c>
      <c r="BU465" s="7"/>
      <c r="BV465" s="7">
        <f>BU465-BT465</f>
        <v>0</v>
      </c>
      <c r="BW465" s="242"/>
      <c r="BX465" s="242"/>
      <c r="BY465" s="35">
        <f>BT465+BW465-BX465</f>
        <v>0</v>
      </c>
      <c r="BZ465" s="123"/>
      <c r="CA465" s="8"/>
      <c r="CB465" s="34"/>
      <c r="CC465" s="713"/>
      <c r="CD465" s="123"/>
      <c r="CE465" s="8"/>
      <c r="CF465" s="34"/>
      <c r="CG465" s="713"/>
      <c r="CH465" s="20"/>
      <c r="CI465" s="8"/>
      <c r="CJ465" s="34"/>
      <c r="CK465" s="713"/>
      <c r="CL465" s="713"/>
      <c r="CM465" s="394"/>
      <c r="CN465" s="29">
        <f>BY465</f>
        <v>0</v>
      </c>
      <c r="CO465" s="7"/>
      <c r="CP465" s="7">
        <f>CO465-CN465</f>
        <v>0</v>
      </c>
      <c r="CQ465" s="242"/>
      <c r="CR465" s="242"/>
      <c r="CS465" s="35">
        <f>CN465+CQ465-CR465</f>
        <v>0</v>
      </c>
      <c r="CT465" s="123"/>
      <c r="CU465" s="8"/>
      <c r="CV465" s="34"/>
      <c r="CW465" s="713"/>
      <c r="CX465" s="123"/>
      <c r="CY465" s="8"/>
      <c r="CZ465" s="34"/>
      <c r="DA465" s="713"/>
      <c r="DB465" s="20"/>
      <c r="DC465" s="8"/>
      <c r="DD465" s="34"/>
      <c r="DE465" s="713"/>
      <c r="DF465" s="713"/>
      <c r="DG465" s="394"/>
      <c r="DH465" s="32">
        <f t="shared" ref="DH465:DH467" si="1057">BY465</f>
        <v>0</v>
      </c>
      <c r="DI465" s="7"/>
      <c r="DJ465" s="7">
        <f>DI465-DH465</f>
        <v>0</v>
      </c>
      <c r="DK465" s="242"/>
      <c r="DL465" s="242"/>
      <c r="DM465" s="35">
        <f>DH465+DK465-DL465</f>
        <v>0</v>
      </c>
    </row>
    <row r="466" spans="1:117" x14ac:dyDescent="0.25">
      <c r="A466" s="262"/>
      <c r="B466" s="431" t="s">
        <v>484</v>
      </c>
      <c r="C466" s="262"/>
      <c r="D466" s="431"/>
      <c r="E466" s="431"/>
      <c r="F466" s="510">
        <v>440.2</v>
      </c>
      <c r="G466" s="74" t="s">
        <v>10</v>
      </c>
      <c r="H466" s="420"/>
      <c r="I466" s="420"/>
      <c r="J466" s="530"/>
      <c r="K466" s="398"/>
      <c r="L466" s="276">
        <v>0</v>
      </c>
      <c r="M466" s="432"/>
      <c r="N466" s="7">
        <f>M466-L466</f>
        <v>0</v>
      </c>
      <c r="O466" s="425"/>
      <c r="P466" s="425"/>
      <c r="Q466" s="35">
        <f>L466+O466-P466</f>
        <v>0</v>
      </c>
      <c r="R466" s="421"/>
      <c r="S466" s="416"/>
      <c r="T466" s="415"/>
      <c r="V466" s="433"/>
      <c r="W466" s="416"/>
      <c r="X466" s="415"/>
      <c r="Z466" s="421"/>
      <c r="AA466" s="416"/>
      <c r="AB466" s="415"/>
      <c r="AC466" s="619"/>
      <c r="AD466" s="619"/>
      <c r="AE466" s="398"/>
      <c r="AF466" s="276">
        <f>Q466</f>
        <v>0</v>
      </c>
      <c r="AG466" s="432"/>
      <c r="AH466" s="7">
        <f>AG466-AF466</f>
        <v>0</v>
      </c>
      <c r="AI466" s="425"/>
      <c r="AJ466" s="425"/>
      <c r="AK466" s="35">
        <f>AF466+AI466-AJ466</f>
        <v>0</v>
      </c>
      <c r="AL466" s="421"/>
      <c r="AM466" s="416"/>
      <c r="AN466" s="415"/>
      <c r="AP466" s="433"/>
      <c r="AQ466" s="416"/>
      <c r="AR466" s="415"/>
      <c r="AT466" s="421"/>
      <c r="AU466" s="416"/>
      <c r="AV466" s="415"/>
      <c r="AW466" s="619"/>
      <c r="AX466" s="619"/>
      <c r="AY466" s="395"/>
      <c r="AZ466" s="276">
        <f>AK466</f>
        <v>0</v>
      </c>
      <c r="BA466" s="432"/>
      <c r="BB466" s="7">
        <f>BA466-AZ466</f>
        <v>0</v>
      </c>
      <c r="BC466" s="425"/>
      <c r="BD466" s="425"/>
      <c r="BE466" s="35">
        <f>AZ466+BC466-BD466</f>
        <v>0</v>
      </c>
      <c r="BF466" s="421"/>
      <c r="BG466" s="416"/>
      <c r="BH466" s="415"/>
      <c r="BJ466" s="433"/>
      <c r="BK466" s="416"/>
      <c r="BL466" s="415"/>
      <c r="BN466" s="421"/>
      <c r="BO466" s="416"/>
      <c r="BP466" s="415"/>
      <c r="BQ466" s="619"/>
      <c r="BR466" s="619"/>
      <c r="BS466" s="395"/>
      <c r="BT466" s="276">
        <f>BE466</f>
        <v>0</v>
      </c>
      <c r="BU466" s="432"/>
      <c r="BV466" s="7">
        <f>BU466-BT466</f>
        <v>0</v>
      </c>
      <c r="BW466" s="315"/>
      <c r="BX466" s="425"/>
      <c r="BY466" s="35">
        <f>BT466+BW466-BX466</f>
        <v>0</v>
      </c>
      <c r="BZ466" s="421"/>
      <c r="CA466" s="416"/>
      <c r="CB466" s="415"/>
      <c r="CD466" s="433"/>
      <c r="CE466" s="416"/>
      <c r="CF466" s="415"/>
      <c r="CH466" s="421"/>
      <c r="CI466" s="416"/>
      <c r="CJ466" s="415"/>
      <c r="CK466" s="619"/>
      <c r="CL466" s="619"/>
      <c r="CM466" s="395"/>
      <c r="CN466" s="276">
        <f>BY466</f>
        <v>0</v>
      </c>
      <c r="CO466" s="432"/>
      <c r="CP466" s="7">
        <f>CO466-CN466</f>
        <v>0</v>
      </c>
      <c r="CQ466" s="315"/>
      <c r="CR466" s="425"/>
      <c r="CS466" s="35">
        <f>CN466+CQ466-CR466</f>
        <v>0</v>
      </c>
      <c r="CT466" s="421"/>
      <c r="CU466" s="416"/>
      <c r="CV466" s="415"/>
      <c r="CX466" s="433"/>
      <c r="CY466" s="416"/>
      <c r="CZ466" s="415"/>
      <c r="DB466" s="421"/>
      <c r="DC466" s="416"/>
      <c r="DD466" s="415"/>
      <c r="DE466" s="619"/>
      <c r="DF466" s="619"/>
      <c r="DG466" s="395"/>
      <c r="DH466" s="32">
        <f t="shared" si="1057"/>
        <v>0</v>
      </c>
      <c r="DI466" s="432"/>
      <c r="DJ466" s="7">
        <f>DI466-DH466</f>
        <v>0</v>
      </c>
      <c r="DK466" s="315"/>
      <c r="DL466" s="425"/>
      <c r="DM466" s="35">
        <f>DH466+DK466-DL466</f>
        <v>0</v>
      </c>
    </row>
    <row r="467" spans="1:117" ht="15.75" thickBot="1" x14ac:dyDescent="0.3">
      <c r="A467" s="19"/>
      <c r="B467" s="12"/>
      <c r="C467" s="19"/>
      <c r="D467" s="12"/>
      <c r="E467" s="12"/>
      <c r="F467" s="146"/>
      <c r="G467" s="12"/>
      <c r="H467" s="28"/>
      <c r="I467" s="28"/>
      <c r="J467" s="531"/>
      <c r="K467" s="399"/>
      <c r="L467" s="30">
        <v>0</v>
      </c>
      <c r="M467" s="31"/>
      <c r="N467" s="31">
        <f>M467-L467</f>
        <v>0</v>
      </c>
      <c r="O467" s="241"/>
      <c r="P467" s="241"/>
      <c r="Q467" s="36">
        <f>L467+O467-P467</f>
        <v>0</v>
      </c>
      <c r="R467" s="272"/>
      <c r="S467" s="217"/>
      <c r="T467" s="273"/>
      <c r="U467" s="714"/>
      <c r="V467" s="200"/>
      <c r="W467" s="201"/>
      <c r="X467" s="36"/>
      <c r="Y467" s="220"/>
      <c r="Z467" s="122"/>
      <c r="AA467" s="201"/>
      <c r="AB467" s="36"/>
      <c r="AC467" s="232"/>
      <c r="AD467" s="232"/>
      <c r="AE467" s="399"/>
      <c r="AF467" s="30">
        <f>Q467</f>
        <v>0</v>
      </c>
      <c r="AG467" s="31"/>
      <c r="AH467" s="31">
        <f>AG467-AF467</f>
        <v>0</v>
      </c>
      <c r="AI467" s="241"/>
      <c r="AJ467" s="241"/>
      <c r="AK467" s="36">
        <f>AF467+AI467-AJ467</f>
        <v>0</v>
      </c>
      <c r="AL467" s="272"/>
      <c r="AM467" s="217"/>
      <c r="AN467" s="273"/>
      <c r="AO467" s="714"/>
      <c r="AP467" s="200"/>
      <c r="AQ467" s="201"/>
      <c r="AR467" s="36"/>
      <c r="AS467" s="220"/>
      <c r="AT467" s="122"/>
      <c r="AU467" s="201"/>
      <c r="AV467" s="36"/>
      <c r="AW467" s="297"/>
      <c r="AX467" s="297"/>
      <c r="AY467" s="396"/>
      <c r="AZ467" s="30">
        <f>AK467</f>
        <v>0</v>
      </c>
      <c r="BA467" s="31"/>
      <c r="BB467" s="31">
        <f>BA467-AZ467</f>
        <v>0</v>
      </c>
      <c r="BC467" s="241"/>
      <c r="BD467" s="241"/>
      <c r="BE467" s="36">
        <f>AZ467+BC467-BD467</f>
        <v>0</v>
      </c>
      <c r="BF467" s="272"/>
      <c r="BG467" s="217"/>
      <c r="BH467" s="273"/>
      <c r="BI467" s="714"/>
      <c r="BJ467" s="200"/>
      <c r="BK467" s="201"/>
      <c r="BL467" s="36"/>
      <c r="BM467" s="220"/>
      <c r="BN467" s="122"/>
      <c r="BO467" s="201"/>
      <c r="BP467" s="36"/>
      <c r="BQ467" s="297"/>
      <c r="BR467" s="297"/>
      <c r="BS467" s="396"/>
      <c r="BT467" s="30">
        <f>BE467</f>
        <v>0</v>
      </c>
      <c r="BU467" s="31"/>
      <c r="BV467" s="31">
        <f>BU467-BT467</f>
        <v>0</v>
      </c>
      <c r="BW467" s="241"/>
      <c r="BX467" s="241"/>
      <c r="BY467" s="36">
        <f>BT467+BW467-BX467</f>
        <v>0</v>
      </c>
      <c r="BZ467" s="272"/>
      <c r="CA467" s="217"/>
      <c r="CB467" s="273"/>
      <c r="CC467" s="714"/>
      <c r="CD467" s="200"/>
      <c r="CE467" s="201"/>
      <c r="CF467" s="36"/>
      <c r="CG467" s="220"/>
      <c r="CH467" s="122"/>
      <c r="CI467" s="201"/>
      <c r="CJ467" s="36"/>
      <c r="CK467" s="297"/>
      <c r="CL467" s="297"/>
      <c r="CM467" s="396"/>
      <c r="CN467" s="30">
        <f>BY467</f>
        <v>0</v>
      </c>
      <c r="CO467" s="31"/>
      <c r="CP467" s="31">
        <f>CO467-CN467</f>
        <v>0</v>
      </c>
      <c r="CQ467" s="241"/>
      <c r="CR467" s="241"/>
      <c r="CS467" s="36">
        <f>CN467+CQ467-CR467</f>
        <v>0</v>
      </c>
      <c r="CT467" s="272"/>
      <c r="CU467" s="217"/>
      <c r="CV467" s="273"/>
      <c r="CW467" s="714"/>
      <c r="CX467" s="200"/>
      <c r="CY467" s="201"/>
      <c r="CZ467" s="36"/>
      <c r="DA467" s="220"/>
      <c r="DB467" s="122"/>
      <c r="DC467" s="201"/>
      <c r="DD467" s="36"/>
      <c r="DE467" s="297"/>
      <c r="DF467" s="297"/>
      <c r="DG467" s="396"/>
      <c r="DH467" s="296">
        <f t="shared" si="1057"/>
        <v>0</v>
      </c>
      <c r="DI467" s="31"/>
      <c r="DJ467" s="31">
        <f>DI467-DH467</f>
        <v>0</v>
      </c>
      <c r="DK467" s="241"/>
      <c r="DL467" s="241"/>
      <c r="DM467" s="36">
        <f>DH467+DK467-DL467</f>
        <v>0</v>
      </c>
    </row>
    <row r="468" spans="1:117" ht="15.75" thickBot="1" x14ac:dyDescent="0.3">
      <c r="P468" s="248"/>
      <c r="AJ468" s="248"/>
      <c r="BD468" s="248"/>
      <c r="BX468" s="248"/>
      <c r="CR468" s="248"/>
      <c r="DL468" s="248"/>
    </row>
    <row r="469" spans="1:117" ht="15.75" thickBot="1" x14ac:dyDescent="0.3">
      <c r="A469" s="95"/>
      <c r="B469" s="94" t="s">
        <v>684</v>
      </c>
      <c r="C469" s="95"/>
      <c r="D469" s="93"/>
      <c r="E469" s="93"/>
      <c r="F469" s="340"/>
      <c r="G469" s="93"/>
      <c r="H469" s="96"/>
      <c r="I469" s="96"/>
      <c r="J469" s="96">
        <f>SUM(M469,AG469,BA469,BU469)</f>
        <v>40</v>
      </c>
      <c r="K469" s="95"/>
      <c r="L469" s="97"/>
      <c r="M469" s="249">
        <f>2+0-2</f>
        <v>0</v>
      </c>
      <c r="N469" s="98"/>
      <c r="O469" s="98"/>
      <c r="P469" s="435"/>
      <c r="Q469" s="237"/>
      <c r="R469" s="124">
        <f>SUM(R470:R475)</f>
        <v>0</v>
      </c>
      <c r="S469" s="125">
        <f>SUM(S470:S475)</f>
        <v>0</v>
      </c>
      <c r="T469" s="99"/>
      <c r="U469" s="221"/>
      <c r="V469" s="124">
        <f>SUM(V470:V475)</f>
        <v>61750</v>
      </c>
      <c r="W469" s="125">
        <f>SUM(W470:W475)</f>
        <v>0</v>
      </c>
      <c r="X469" s="99"/>
      <c r="Y469" s="221"/>
      <c r="Z469" s="124">
        <f>SUM(Z470:Z475)</f>
        <v>59962.5</v>
      </c>
      <c r="AA469" s="125">
        <f>SUM(AA470:AA475)</f>
        <v>59962.5</v>
      </c>
      <c r="AB469" s="99"/>
      <c r="AC469" s="237"/>
      <c r="AD469" s="237"/>
      <c r="AE469" s="95">
        <f>SUM(AG469,BA469,BU469)</f>
        <v>40</v>
      </c>
      <c r="AF469" s="97"/>
      <c r="AG469" s="249">
        <f>20-20+3-3</f>
        <v>0</v>
      </c>
      <c r="AH469" s="98"/>
      <c r="AI469" s="98"/>
      <c r="AJ469" s="249"/>
      <c r="AK469" s="237"/>
      <c r="AL469" s="124">
        <f>SUM(AL470:AL475)</f>
        <v>0</v>
      </c>
      <c r="AM469" s="125">
        <f>SUM(AM470:AM475)</f>
        <v>61750</v>
      </c>
      <c r="AN469" s="99"/>
      <c r="AO469" s="221"/>
      <c r="AP469" s="124">
        <f>SUM(AP470:AP475)</f>
        <v>0</v>
      </c>
      <c r="AQ469" s="125">
        <f>SUM(AQ470:AQ475)</f>
        <v>0</v>
      </c>
      <c r="AR469" s="99"/>
      <c r="AS469" s="221"/>
      <c r="AT469" s="124">
        <f>SUM(AT470:AT475)</f>
        <v>0</v>
      </c>
      <c r="AU469" s="125">
        <f>SUM(AU470:AU475)</f>
        <v>0</v>
      </c>
      <c r="AV469" s="99"/>
      <c r="AW469" s="237"/>
      <c r="AX469" s="237"/>
      <c r="AY469" s="95">
        <f>SUM(BA469,BU469)</f>
        <v>40</v>
      </c>
      <c r="AZ469" s="97"/>
      <c r="BA469" s="249">
        <f>10-10+36-36+15</f>
        <v>15</v>
      </c>
      <c r="BB469" s="98"/>
      <c r="BC469" s="98"/>
      <c r="BD469" s="249"/>
      <c r="BE469" s="237"/>
      <c r="BF469" s="124">
        <f>SUM(BF470:BF475)</f>
        <v>0</v>
      </c>
      <c r="BG469" s="125">
        <f>SUM(BG470:BG475)</f>
        <v>0</v>
      </c>
      <c r="BH469" s="99"/>
      <c r="BI469" s="221"/>
      <c r="BJ469" s="124">
        <f>SUM(BJ470:BJ475)</f>
        <v>0</v>
      </c>
      <c r="BK469" s="125">
        <f>SUM(BK470:BK475)</f>
        <v>0</v>
      </c>
      <c r="BL469" s="99"/>
      <c r="BM469" s="221"/>
      <c r="BN469" s="124">
        <f>SUM(BN470:BN475)</f>
        <v>0</v>
      </c>
      <c r="BO469" s="125">
        <f>SUM(BO470:BO475)</f>
        <v>0</v>
      </c>
      <c r="BP469" s="99"/>
      <c r="BQ469" s="237"/>
      <c r="BR469" s="237"/>
      <c r="BS469" s="95">
        <f>BU469</f>
        <v>25</v>
      </c>
      <c r="BT469" s="97"/>
      <c r="BU469" s="249">
        <f>14-14+11-11+25</f>
        <v>25</v>
      </c>
      <c r="BV469" s="98"/>
      <c r="BW469" s="98"/>
      <c r="BX469" s="249"/>
      <c r="BY469" s="237"/>
      <c r="BZ469" s="124">
        <f>SUM(BZ470:BZ475)</f>
        <v>0</v>
      </c>
      <c r="CA469" s="125">
        <f>SUM(CA470:CA475)</f>
        <v>0</v>
      </c>
      <c r="CB469" s="99"/>
      <c r="CC469" s="221"/>
      <c r="CD469" s="124">
        <f>SUM(CD470:CD475)</f>
        <v>0</v>
      </c>
      <c r="CE469" s="125">
        <f>SUM(CE470:CE475)</f>
        <v>0</v>
      </c>
      <c r="CF469" s="99"/>
      <c r="CG469" s="221"/>
      <c r="CH469" s="124">
        <f>SUM(CH470:CH475)</f>
        <v>0</v>
      </c>
      <c r="CI469" s="125">
        <f>SUM(CI470:CI475)</f>
        <v>0</v>
      </c>
      <c r="CJ469" s="99"/>
      <c r="CK469" s="237"/>
      <c r="CL469" s="237"/>
      <c r="CM469" s="95">
        <f>CO469</f>
        <v>0</v>
      </c>
      <c r="CN469" s="97"/>
      <c r="CO469" s="249"/>
      <c r="CP469" s="98"/>
      <c r="CQ469" s="98"/>
      <c r="CR469" s="249"/>
      <c r="CS469" s="237"/>
      <c r="CT469" s="124">
        <f>SUM(CT470:CT475)</f>
        <v>0</v>
      </c>
      <c r="CU469" s="125">
        <f>SUM(CU470:CU475)</f>
        <v>0</v>
      </c>
      <c r="CV469" s="99"/>
      <c r="CW469" s="221"/>
      <c r="CX469" s="124">
        <f>SUM(CX470:CX475)</f>
        <v>0</v>
      </c>
      <c r="CY469" s="125">
        <f>SUM(CY470:CY475)</f>
        <v>0</v>
      </c>
      <c r="CZ469" s="99"/>
      <c r="DA469" s="221"/>
      <c r="DB469" s="124">
        <f>SUM(DB470:DB475)</f>
        <v>0</v>
      </c>
      <c r="DC469" s="125">
        <f>SUM(DC470:DC475)</f>
        <v>0</v>
      </c>
      <c r="DD469" s="99"/>
      <c r="DE469" s="237"/>
      <c r="DF469" s="237"/>
      <c r="DG469" s="95">
        <f>DI469</f>
        <v>0</v>
      </c>
      <c r="DH469" s="97"/>
      <c r="DI469" s="249"/>
      <c r="DJ469" s="98"/>
      <c r="DK469" s="98"/>
      <c r="DL469" s="249"/>
      <c r="DM469" s="237"/>
    </row>
    <row r="470" spans="1:117" x14ac:dyDescent="0.25">
      <c r="A470" s="17"/>
      <c r="B470" s="10"/>
      <c r="C470" s="17"/>
      <c r="D470" s="10"/>
      <c r="E470" s="10"/>
      <c r="F470" s="337"/>
      <c r="G470" s="10"/>
      <c r="H470" s="24"/>
      <c r="I470" s="24"/>
      <c r="J470" s="532"/>
      <c r="K470" s="394"/>
      <c r="L470" s="29">
        <v>0</v>
      </c>
      <c r="M470" s="7"/>
      <c r="N470" s="7">
        <f>M470-L470</f>
        <v>0</v>
      </c>
      <c r="O470" s="242"/>
      <c r="P470" s="242"/>
      <c r="Q470" s="35">
        <f>L470+O470-P470</f>
        <v>0</v>
      </c>
      <c r="R470" s="123"/>
      <c r="S470" s="8"/>
      <c r="T470" s="34"/>
      <c r="U470" s="713"/>
      <c r="V470" s="123"/>
      <c r="W470" s="8"/>
      <c r="X470" s="34"/>
      <c r="Y470" s="713"/>
      <c r="Z470" s="20"/>
      <c r="AA470" s="8"/>
      <c r="AB470" s="34"/>
      <c r="AC470" s="713"/>
      <c r="AD470" s="713"/>
      <c r="AE470" s="394"/>
      <c r="AF470" s="29">
        <f t="shared" ref="AF470:AF475" si="1058">Q470</f>
        <v>0</v>
      </c>
      <c r="AG470" s="7"/>
      <c r="AH470" s="7">
        <f>AG470-AF470</f>
        <v>0</v>
      </c>
      <c r="AI470" s="242"/>
      <c r="AJ470" s="242"/>
      <c r="AK470" s="35">
        <f>AF470+AI470-AJ470</f>
        <v>0</v>
      </c>
      <c r="AL470" s="123"/>
      <c r="AM470" s="8"/>
      <c r="AN470" s="34"/>
      <c r="AO470" s="713"/>
      <c r="AP470" s="123"/>
      <c r="AQ470" s="8"/>
      <c r="AR470" s="34"/>
      <c r="AS470" s="713"/>
      <c r="AT470" s="20"/>
      <c r="AU470" s="8"/>
      <c r="AV470" s="34"/>
      <c r="AW470" s="713"/>
      <c r="AX470" s="713"/>
      <c r="AY470" s="394"/>
      <c r="AZ470" s="29">
        <f>AK470</f>
        <v>0</v>
      </c>
      <c r="BA470" s="7"/>
      <c r="BB470" s="7">
        <f>BA470-AZ470</f>
        <v>0</v>
      </c>
      <c r="BC470" s="242"/>
      <c r="BD470" s="242"/>
      <c r="BE470" s="35">
        <f>AZ470+BC470-BD470</f>
        <v>0</v>
      </c>
      <c r="BF470" s="123"/>
      <c r="BG470" s="8"/>
      <c r="BH470" s="34"/>
      <c r="BI470" s="713"/>
      <c r="BJ470" s="123"/>
      <c r="BK470" s="8"/>
      <c r="BL470" s="34"/>
      <c r="BM470" s="713"/>
      <c r="BN470" s="20"/>
      <c r="BO470" s="8"/>
      <c r="BP470" s="34"/>
      <c r="BQ470" s="713"/>
      <c r="BR470" s="713"/>
      <c r="BS470" s="394"/>
      <c r="BT470" s="29">
        <f>BE470</f>
        <v>0</v>
      </c>
      <c r="BU470" s="7"/>
      <c r="BV470" s="7">
        <f>BU470-BT470</f>
        <v>0</v>
      </c>
      <c r="BW470" s="242"/>
      <c r="BX470" s="242"/>
      <c r="BY470" s="35">
        <f>BT470+BW470-BX470</f>
        <v>0</v>
      </c>
      <c r="BZ470" s="123"/>
      <c r="CA470" s="8"/>
      <c r="CB470" s="34"/>
      <c r="CC470" s="713"/>
      <c r="CD470" s="123"/>
      <c r="CE470" s="8"/>
      <c r="CF470" s="34"/>
      <c r="CG470" s="713"/>
      <c r="CH470" s="20"/>
      <c r="CI470" s="8"/>
      <c r="CJ470" s="34"/>
      <c r="CK470" s="713"/>
      <c r="CL470" s="713"/>
      <c r="CM470" s="394"/>
      <c r="CN470" s="29">
        <f>BY470</f>
        <v>0</v>
      </c>
      <c r="CO470" s="7"/>
      <c r="CP470" s="7">
        <f>CO470-CN470</f>
        <v>0</v>
      </c>
      <c r="CQ470" s="242"/>
      <c r="CR470" s="242"/>
      <c r="CS470" s="35">
        <f>CN470+CQ470-CR470</f>
        <v>0</v>
      </c>
      <c r="CT470" s="123"/>
      <c r="CU470" s="8"/>
      <c r="CV470" s="34"/>
      <c r="CW470" s="713"/>
      <c r="CX470" s="123"/>
      <c r="CY470" s="8"/>
      <c r="CZ470" s="34"/>
      <c r="DA470" s="713"/>
      <c r="DB470" s="20"/>
      <c r="DC470" s="8"/>
      <c r="DD470" s="34"/>
      <c r="DE470" s="713"/>
      <c r="DF470" s="713"/>
      <c r="DG470" s="394"/>
      <c r="DH470" s="32">
        <f t="shared" ref="DH470:DH475" si="1059">BY470</f>
        <v>0</v>
      </c>
      <c r="DI470" s="7"/>
      <c r="DJ470" s="7">
        <f>DI470-DH470</f>
        <v>0</v>
      </c>
      <c r="DK470" s="242"/>
      <c r="DL470" s="242"/>
      <c r="DM470" s="35">
        <f>DH470+DK470-DL470</f>
        <v>0</v>
      </c>
    </row>
    <row r="471" spans="1:117" x14ac:dyDescent="0.25">
      <c r="A471" s="18"/>
      <c r="B471" s="11" t="s">
        <v>725</v>
      </c>
      <c r="C471" s="18"/>
      <c r="D471" s="11"/>
      <c r="E471" s="11"/>
      <c r="F471" s="568">
        <v>1220</v>
      </c>
      <c r="G471" s="15" t="s">
        <v>649</v>
      </c>
      <c r="H471" s="25"/>
      <c r="I471" s="25"/>
      <c r="J471" s="530"/>
      <c r="K471" s="395">
        <f t="shared" ref="K471:K474" si="1060">M471-O471-L471</f>
        <v>0</v>
      </c>
      <c r="L471" s="29">
        <v>0</v>
      </c>
      <c r="M471" s="298">
        <f>M469</f>
        <v>0</v>
      </c>
      <c r="N471" s="7">
        <f t="shared" ref="N471:N473" si="1061">M471-L471</f>
        <v>0</v>
      </c>
      <c r="O471" s="256"/>
      <c r="P471" s="240"/>
      <c r="Q471" s="35">
        <f t="shared" ref="Q471:Q473" si="1062">L471+O471-P471</f>
        <v>0</v>
      </c>
      <c r="R471" s="21"/>
      <c r="S471" s="6"/>
      <c r="T471" s="35"/>
      <c r="U471" s="612"/>
      <c r="V471" s="573">
        <f>$F$471*50%*50</f>
        <v>30500</v>
      </c>
      <c r="W471" s="6"/>
      <c r="X471" s="35" t="s">
        <v>729</v>
      </c>
      <c r="Y471" s="612"/>
      <c r="Z471" s="21"/>
      <c r="AA471" s="6"/>
      <c r="AB471" s="35"/>
      <c r="AC471" s="231"/>
      <c r="AD471" s="231"/>
      <c r="AE471" s="398">
        <f>SUM(M471,AG471)-SUM(O471,AI471)-L471</f>
        <v>-50</v>
      </c>
      <c r="AF471" s="29">
        <f t="shared" si="1058"/>
        <v>0</v>
      </c>
      <c r="AG471" s="298">
        <f>AG469</f>
        <v>0</v>
      </c>
      <c r="AH471" s="7">
        <f t="shared" ref="AH471:AH473" si="1063">AG471-AF471</f>
        <v>0</v>
      </c>
      <c r="AI471" s="256">
        <v>50</v>
      </c>
      <c r="AJ471" s="240"/>
      <c r="AK471" s="35">
        <f t="shared" ref="AK471:AK473" si="1064">AF471+AI471-AJ471</f>
        <v>50</v>
      </c>
      <c r="AL471" s="21"/>
      <c r="AM471" s="6">
        <f>$F$471*50%*50</f>
        <v>30500</v>
      </c>
      <c r="AN471" s="35" t="s">
        <v>730</v>
      </c>
      <c r="AO471" s="612"/>
      <c r="AP471" s="121"/>
      <c r="AQ471" s="6"/>
      <c r="AR471" s="35"/>
      <c r="AS471" s="612"/>
      <c r="AT471" s="21"/>
      <c r="AU471" s="6"/>
      <c r="AV471" s="35"/>
      <c r="AW471" s="234"/>
      <c r="AX471" s="234"/>
      <c r="AY471" s="395">
        <f>SUM(M471,AG471,BA471)-SUM(O471,AI471,BC471)-L471</f>
        <v>-35</v>
      </c>
      <c r="AZ471" s="29">
        <f t="shared" ref="AZ471:AZ473" si="1065">AK471</f>
        <v>50</v>
      </c>
      <c r="BA471" s="298">
        <f>BA469</f>
        <v>15</v>
      </c>
      <c r="BB471" s="7">
        <f t="shared" ref="BB471:BB473" si="1066">BA471-AZ471</f>
        <v>-35</v>
      </c>
      <c r="BC471" s="240"/>
      <c r="BD471" s="240"/>
      <c r="BE471" s="35">
        <f t="shared" ref="BE471:BE473" si="1067">AZ471+BC471-BD471</f>
        <v>50</v>
      </c>
      <c r="BF471" s="21"/>
      <c r="BG471" s="6"/>
      <c r="BH471" s="35"/>
      <c r="BI471" s="612"/>
      <c r="BJ471" s="121"/>
      <c r="BK471" s="6"/>
      <c r="BL471" s="35"/>
      <c r="BM471" s="612"/>
      <c r="BN471" s="21"/>
      <c r="BO471" s="6"/>
      <c r="BP471" s="35"/>
      <c r="BQ471" s="234"/>
      <c r="BR471" s="234"/>
      <c r="BS471" s="395">
        <f>SUM(M471,AG471,BA471,BU471)-SUM(O471,AI471,BC471,BW471)-L471</f>
        <v>-10</v>
      </c>
      <c r="BT471" s="29">
        <f t="shared" ref="BT471:BT473" si="1068">BE471</f>
        <v>50</v>
      </c>
      <c r="BU471" s="298">
        <f>BU469</f>
        <v>25</v>
      </c>
      <c r="BV471" s="7">
        <f t="shared" ref="BV471:BV473" si="1069">BU471-BT471</f>
        <v>-25</v>
      </c>
      <c r="BW471" s="240"/>
      <c r="BX471" s="240"/>
      <c r="BY471" s="35">
        <f t="shared" ref="BY471:BY473" si="1070">BT471+BW471-BX471</f>
        <v>50</v>
      </c>
      <c r="BZ471" s="21"/>
      <c r="CA471" s="6"/>
      <c r="CB471" s="35" t="s">
        <v>912</v>
      </c>
      <c r="CC471" s="612"/>
      <c r="CD471" s="121"/>
      <c r="CE471" s="6"/>
      <c r="CF471" s="35" t="s">
        <v>912</v>
      </c>
      <c r="CG471" s="612"/>
      <c r="CH471" s="235"/>
      <c r="CI471" s="199"/>
      <c r="CJ471" s="35" t="s">
        <v>912</v>
      </c>
      <c r="CK471" s="234"/>
      <c r="CL471" s="234"/>
      <c r="CM471" s="395">
        <f>SUM(M471,AG471,BA471,BU471,CO471)-SUM(O471,AI471,BC471,BW471,CQ471)-L471</f>
        <v>-10</v>
      </c>
      <c r="CN471" s="29">
        <f t="shared" ref="CN471:CN473" si="1071">BY471</f>
        <v>50</v>
      </c>
      <c r="CO471" s="298">
        <f>CO469</f>
        <v>0</v>
      </c>
      <c r="CP471" s="7">
        <f t="shared" ref="CP471:CP473" si="1072">CO471-CN471</f>
        <v>-50</v>
      </c>
      <c r="CQ471" s="240"/>
      <c r="CR471" s="240"/>
      <c r="CS471" s="35">
        <f t="shared" ref="CS471:CS473" si="1073">CN471+CQ471-CR471</f>
        <v>50</v>
      </c>
      <c r="CT471" s="21"/>
      <c r="CU471" s="199"/>
      <c r="CV471" s="35" t="s">
        <v>912</v>
      </c>
      <c r="CW471" s="612"/>
      <c r="CX471" s="121"/>
      <c r="CY471" s="6"/>
      <c r="CZ471" s="35" t="s">
        <v>912</v>
      </c>
      <c r="DA471" s="612"/>
      <c r="DB471" s="21"/>
      <c r="DC471" s="6"/>
      <c r="DD471" s="35"/>
      <c r="DE471" s="234"/>
      <c r="DF471" s="234"/>
      <c r="DG471" s="395">
        <f>SUM(M471,AG471,BA471,BU471,DI471)-SUM(O471,AI471,BC471,BW471,CQ471)-L471</f>
        <v>-10</v>
      </c>
      <c r="DH471" s="32">
        <f t="shared" si="1059"/>
        <v>50</v>
      </c>
      <c r="DI471" s="298">
        <f>DI469</f>
        <v>0</v>
      </c>
      <c r="DJ471" s="7">
        <f t="shared" ref="DJ471:DJ473" si="1074">DI471-DH471</f>
        <v>-50</v>
      </c>
      <c r="DK471" s="240"/>
      <c r="DL471" s="240"/>
      <c r="DM471" s="35">
        <f t="shared" ref="DM471:DM473" si="1075">DH471+DK471-DL471</f>
        <v>50</v>
      </c>
    </row>
    <row r="472" spans="1:117" x14ac:dyDescent="0.25">
      <c r="A472" s="18"/>
      <c r="B472" s="11" t="s">
        <v>726</v>
      </c>
      <c r="C472" s="18"/>
      <c r="D472" s="11"/>
      <c r="E472" s="11"/>
      <c r="F472" s="568">
        <v>1250</v>
      </c>
      <c r="G472" s="15" t="s">
        <v>649</v>
      </c>
      <c r="H472" s="25"/>
      <c r="I472" s="25"/>
      <c r="J472" s="530"/>
      <c r="K472" s="395">
        <f t="shared" si="1060"/>
        <v>0</v>
      </c>
      <c r="L472" s="29">
        <v>0</v>
      </c>
      <c r="M472" s="298">
        <f>M469</f>
        <v>0</v>
      </c>
      <c r="N472" s="7">
        <f t="shared" si="1061"/>
        <v>0</v>
      </c>
      <c r="O472" s="256"/>
      <c r="P472" s="240"/>
      <c r="Q472" s="35">
        <f t="shared" si="1062"/>
        <v>0</v>
      </c>
      <c r="R472" s="21"/>
      <c r="S472" s="6"/>
      <c r="T472" s="35"/>
      <c r="U472" s="612"/>
      <c r="V472" s="573">
        <f>$F$472*50%*50</f>
        <v>31250</v>
      </c>
      <c r="W472" s="6"/>
      <c r="X472" s="35" t="s">
        <v>729</v>
      </c>
      <c r="Y472" s="612"/>
      <c r="Z472" s="21"/>
      <c r="AA472" s="6"/>
      <c r="AB472" s="35"/>
      <c r="AC472" s="231"/>
      <c r="AD472" s="231"/>
      <c r="AE472" s="398">
        <f>SUM(M472,AG472)-SUM(O472,AI472)-L472</f>
        <v>-50</v>
      </c>
      <c r="AF472" s="29">
        <f t="shared" si="1058"/>
        <v>0</v>
      </c>
      <c r="AG472" s="298">
        <f>AG469</f>
        <v>0</v>
      </c>
      <c r="AH472" s="7">
        <f t="shared" si="1063"/>
        <v>0</v>
      </c>
      <c r="AI472" s="256">
        <v>50</v>
      </c>
      <c r="AJ472" s="240"/>
      <c r="AK472" s="35">
        <f t="shared" si="1064"/>
        <v>50</v>
      </c>
      <c r="AL472" s="21"/>
      <c r="AM472" s="6">
        <f>$F$472*50%*50</f>
        <v>31250</v>
      </c>
      <c r="AN472" s="35" t="s">
        <v>730</v>
      </c>
      <c r="AO472" s="612"/>
      <c r="AP472" s="121"/>
      <c r="AQ472" s="6"/>
      <c r="AR472" s="35"/>
      <c r="AS472" s="612"/>
      <c r="AT472" s="21"/>
      <c r="AU472" s="6"/>
      <c r="AV472" s="35"/>
      <c r="AW472" s="234"/>
      <c r="AX472" s="234"/>
      <c r="AY472" s="395">
        <f>SUM(M472,AG472,BA472)-SUM(O472,AI472,BC472)-L472</f>
        <v>-35</v>
      </c>
      <c r="AZ472" s="29">
        <f t="shared" si="1065"/>
        <v>50</v>
      </c>
      <c r="BA472" s="298">
        <f>BA469</f>
        <v>15</v>
      </c>
      <c r="BB472" s="7">
        <f t="shared" si="1066"/>
        <v>-35</v>
      </c>
      <c r="BC472" s="240"/>
      <c r="BD472" s="240"/>
      <c r="BE472" s="35">
        <f t="shared" si="1067"/>
        <v>50</v>
      </c>
      <c r="BF472" s="21"/>
      <c r="BG472" s="6"/>
      <c r="BH472" s="35"/>
      <c r="BI472" s="612"/>
      <c r="BJ472" s="121"/>
      <c r="BK472" s="6"/>
      <c r="BL472" s="35"/>
      <c r="BM472" s="612"/>
      <c r="BN472" s="21"/>
      <c r="BO472" s="6"/>
      <c r="BP472" s="35"/>
      <c r="BQ472" s="234"/>
      <c r="BR472" s="234"/>
      <c r="BS472" s="395">
        <f>SUM(M472,AG472,BA472,BU472)-SUM(O472,AI472,BC472,BW472)-L472</f>
        <v>-10</v>
      </c>
      <c r="BT472" s="29">
        <f t="shared" si="1068"/>
        <v>50</v>
      </c>
      <c r="BU472" s="298">
        <f>BU469</f>
        <v>25</v>
      </c>
      <c r="BV472" s="7">
        <f t="shared" si="1069"/>
        <v>-25</v>
      </c>
      <c r="BW472" s="240"/>
      <c r="BX472" s="240"/>
      <c r="BY472" s="35">
        <f t="shared" si="1070"/>
        <v>50</v>
      </c>
      <c r="BZ472" s="21"/>
      <c r="CA472" s="6"/>
      <c r="CB472" s="35" t="s">
        <v>912</v>
      </c>
      <c r="CC472" s="612"/>
      <c r="CD472" s="121"/>
      <c r="CE472" s="6"/>
      <c r="CF472" s="35" t="s">
        <v>912</v>
      </c>
      <c r="CG472" s="612"/>
      <c r="CH472" s="235"/>
      <c r="CI472" s="199"/>
      <c r="CJ472" s="35" t="s">
        <v>912</v>
      </c>
      <c r="CK472" s="234"/>
      <c r="CL472" s="234"/>
      <c r="CM472" s="395">
        <f>SUM(M472,AG472,BA472,BU472,CO472)-SUM(O472,AI472,BC472,BW472,CQ472)-L472</f>
        <v>-10</v>
      </c>
      <c r="CN472" s="29">
        <f t="shared" si="1071"/>
        <v>50</v>
      </c>
      <c r="CO472" s="298">
        <f>CO469</f>
        <v>0</v>
      </c>
      <c r="CP472" s="7">
        <f t="shared" si="1072"/>
        <v>-50</v>
      </c>
      <c r="CQ472" s="240"/>
      <c r="CR472" s="240"/>
      <c r="CS472" s="35">
        <f t="shared" si="1073"/>
        <v>50</v>
      </c>
      <c r="CT472" s="21"/>
      <c r="CU472" s="199"/>
      <c r="CV472" s="35" t="s">
        <v>912</v>
      </c>
      <c r="CW472" s="612"/>
      <c r="CX472" s="121"/>
      <c r="CY472" s="6"/>
      <c r="CZ472" s="35" t="s">
        <v>912</v>
      </c>
      <c r="DA472" s="612"/>
      <c r="DB472" s="21"/>
      <c r="DC472" s="6"/>
      <c r="DD472" s="35"/>
      <c r="DE472" s="234"/>
      <c r="DF472" s="234"/>
      <c r="DG472" s="395">
        <f>SUM(M472,AG472,BA472,BU472,DI472)-SUM(O472,AI472,BC472,BW472,CQ472)-L472</f>
        <v>-10</v>
      </c>
      <c r="DH472" s="32">
        <f t="shared" si="1059"/>
        <v>50</v>
      </c>
      <c r="DI472" s="298">
        <f>DI469</f>
        <v>0</v>
      </c>
      <c r="DJ472" s="7">
        <f t="shared" si="1074"/>
        <v>-50</v>
      </c>
      <c r="DK472" s="240"/>
      <c r="DL472" s="240"/>
      <c r="DM472" s="35">
        <f t="shared" si="1075"/>
        <v>50</v>
      </c>
    </row>
    <row r="473" spans="1:117" x14ac:dyDescent="0.25">
      <c r="A473" s="18"/>
      <c r="B473" s="11" t="s">
        <v>727</v>
      </c>
      <c r="C473" s="18"/>
      <c r="D473" s="11"/>
      <c r="E473" s="11"/>
      <c r="F473" s="568">
        <v>686.84</v>
      </c>
      <c r="G473" s="74" t="s">
        <v>10</v>
      </c>
      <c r="H473" s="25"/>
      <c r="I473" s="25"/>
      <c r="J473" s="530"/>
      <c r="K473" s="395">
        <f t="shared" si="1060"/>
        <v>-100</v>
      </c>
      <c r="L473" s="29">
        <v>0</v>
      </c>
      <c r="M473" s="298">
        <f>M469*2</f>
        <v>0</v>
      </c>
      <c r="N473" s="7">
        <f t="shared" si="1061"/>
        <v>0</v>
      </c>
      <c r="O473" s="256">
        <v>100</v>
      </c>
      <c r="P473" s="240"/>
      <c r="Q473" s="35">
        <f t="shared" si="1062"/>
        <v>100</v>
      </c>
      <c r="R473" s="21"/>
      <c r="S473" s="6"/>
      <c r="T473" s="35"/>
      <c r="U473" s="612"/>
      <c r="V473" s="121"/>
      <c r="W473" s="6"/>
      <c r="X473" s="35"/>
      <c r="Y473" s="612"/>
      <c r="Z473" s="573">
        <f>$F$473*50%*100</f>
        <v>34342</v>
      </c>
      <c r="AA473" s="579">
        <f>$F$473*50%*100</f>
        <v>34342</v>
      </c>
      <c r="AB473" s="35" t="s">
        <v>697</v>
      </c>
      <c r="AC473" s="231"/>
      <c r="AD473" s="231"/>
      <c r="AE473" s="398">
        <f>SUM(M473,AG473)-SUM(O473,AI473)-L473</f>
        <v>-100</v>
      </c>
      <c r="AF473" s="29">
        <f t="shared" si="1058"/>
        <v>100</v>
      </c>
      <c r="AG473" s="298">
        <f>AG469*2</f>
        <v>0</v>
      </c>
      <c r="AH473" s="7">
        <f t="shared" si="1063"/>
        <v>-100</v>
      </c>
      <c r="AI473" s="256"/>
      <c r="AJ473" s="240"/>
      <c r="AK473" s="35">
        <f t="shared" si="1064"/>
        <v>100</v>
      </c>
      <c r="AL473" s="21"/>
      <c r="AM473" s="6"/>
      <c r="AN473" s="35"/>
      <c r="AO473" s="612"/>
      <c r="AP473" s="121"/>
      <c r="AQ473" s="6"/>
      <c r="AR473" s="35"/>
      <c r="AS473" s="612"/>
      <c r="AT473" s="21"/>
      <c r="AU473" s="6"/>
      <c r="AV473" s="35"/>
      <c r="AW473" s="234"/>
      <c r="AX473" s="234"/>
      <c r="AY473" s="395">
        <f>SUM(M473,AG473,BA473)-SUM(O473,AI473,BC473)-L473</f>
        <v>-70</v>
      </c>
      <c r="AZ473" s="29">
        <f t="shared" si="1065"/>
        <v>100</v>
      </c>
      <c r="BA473" s="298">
        <f>BA469*2</f>
        <v>30</v>
      </c>
      <c r="BB473" s="7">
        <f t="shared" si="1066"/>
        <v>-70</v>
      </c>
      <c r="BC473" s="240"/>
      <c r="BD473" s="240"/>
      <c r="BE473" s="35">
        <f t="shared" si="1067"/>
        <v>100</v>
      </c>
      <c r="BF473" s="21"/>
      <c r="BG473" s="6"/>
      <c r="BH473" s="35"/>
      <c r="BI473" s="612"/>
      <c r="BJ473" s="121"/>
      <c r="BK473" s="6"/>
      <c r="BL473" s="35"/>
      <c r="BM473" s="612"/>
      <c r="BN473" s="21"/>
      <c r="BO473" s="6"/>
      <c r="BP473" s="35"/>
      <c r="BQ473" s="234"/>
      <c r="BR473" s="234"/>
      <c r="BS473" s="395">
        <f>SUM(M473,AG473,BA473,BU473)-SUM(O473,AI473,BC473,BW473)-L473</f>
        <v>-20</v>
      </c>
      <c r="BT473" s="29">
        <f t="shared" si="1068"/>
        <v>100</v>
      </c>
      <c r="BU473" s="298">
        <f>BU469*2</f>
        <v>50</v>
      </c>
      <c r="BV473" s="7">
        <f t="shared" si="1069"/>
        <v>-50</v>
      </c>
      <c r="BW473" s="240"/>
      <c r="BX473" s="240"/>
      <c r="BY473" s="35">
        <f t="shared" si="1070"/>
        <v>100</v>
      </c>
      <c r="BZ473" s="21"/>
      <c r="CA473" s="6"/>
      <c r="CB473" s="35" t="s">
        <v>912</v>
      </c>
      <c r="CC473" s="612"/>
      <c r="CD473" s="121"/>
      <c r="CE473" s="6"/>
      <c r="CF473" s="35" t="s">
        <v>912</v>
      </c>
      <c r="CG473" s="612"/>
      <c r="CH473" s="235"/>
      <c r="CI473" s="199"/>
      <c r="CJ473" s="35" t="s">
        <v>912</v>
      </c>
      <c r="CK473" s="234"/>
      <c r="CL473" s="234"/>
      <c r="CM473" s="395">
        <f>SUM(M473,AG473,BA473,BU473,CO473)-SUM(O473,AI473,BC473,BW473,CQ473)-L473</f>
        <v>-20</v>
      </c>
      <c r="CN473" s="29">
        <f t="shared" si="1071"/>
        <v>100</v>
      </c>
      <c r="CO473" s="298">
        <f>CO469*2</f>
        <v>0</v>
      </c>
      <c r="CP473" s="7">
        <f t="shared" si="1072"/>
        <v>-100</v>
      </c>
      <c r="CQ473" s="240"/>
      <c r="CR473" s="240"/>
      <c r="CS473" s="35">
        <f t="shared" si="1073"/>
        <v>100</v>
      </c>
      <c r="CT473" s="21"/>
      <c r="CU473" s="199"/>
      <c r="CV473" s="35" t="s">
        <v>912</v>
      </c>
      <c r="CW473" s="612"/>
      <c r="CX473" s="121"/>
      <c r="CY473" s="6"/>
      <c r="CZ473" s="35" t="s">
        <v>912</v>
      </c>
      <c r="DA473" s="612"/>
      <c r="DB473" s="21"/>
      <c r="DC473" s="6"/>
      <c r="DD473" s="35"/>
      <c r="DE473" s="234"/>
      <c r="DF473" s="234"/>
      <c r="DG473" s="395">
        <f>SUM(M473,AG473,BA473,BU473,DI473)-SUM(O473,AI473,BC473,BW473,CQ473)-L473</f>
        <v>-20</v>
      </c>
      <c r="DH473" s="32">
        <f t="shared" si="1059"/>
        <v>100</v>
      </c>
      <c r="DI473" s="298">
        <f>DI469*2</f>
        <v>0</v>
      </c>
      <c r="DJ473" s="7">
        <f t="shared" si="1074"/>
        <v>-100</v>
      </c>
      <c r="DK473" s="240"/>
      <c r="DL473" s="240"/>
      <c r="DM473" s="35">
        <f t="shared" si="1075"/>
        <v>100</v>
      </c>
    </row>
    <row r="474" spans="1:117" x14ac:dyDescent="0.25">
      <c r="A474" s="18"/>
      <c r="B474" s="11" t="s">
        <v>728</v>
      </c>
      <c r="C474" s="18"/>
      <c r="D474" s="11"/>
      <c r="E474" s="11"/>
      <c r="F474" s="568">
        <v>512.41</v>
      </c>
      <c r="G474" s="74" t="s">
        <v>10</v>
      </c>
      <c r="H474" s="25"/>
      <c r="I474" s="25"/>
      <c r="J474" s="530"/>
      <c r="K474" s="395">
        <f t="shared" si="1060"/>
        <v>-100</v>
      </c>
      <c r="L474" s="29">
        <v>0</v>
      </c>
      <c r="M474" s="298">
        <f>M469*2</f>
        <v>0</v>
      </c>
      <c r="N474" s="5">
        <f>M474-L474</f>
        <v>0</v>
      </c>
      <c r="O474" s="256">
        <v>100</v>
      </c>
      <c r="P474" s="256"/>
      <c r="Q474" s="35">
        <f>L474+O474-P474</f>
        <v>100</v>
      </c>
      <c r="R474" s="21"/>
      <c r="S474" s="6"/>
      <c r="T474" s="35"/>
      <c r="U474" s="612"/>
      <c r="V474" s="121"/>
      <c r="W474" s="6"/>
      <c r="X474" s="35"/>
      <c r="Y474" s="612"/>
      <c r="Z474" s="573">
        <f>$F$474*50%*100</f>
        <v>25620.5</v>
      </c>
      <c r="AA474" s="579">
        <f>$F$474*50%*100</f>
        <v>25620.5</v>
      </c>
      <c r="AB474" s="35" t="s">
        <v>697</v>
      </c>
      <c r="AC474" s="231"/>
      <c r="AD474" s="231"/>
      <c r="AE474" s="398">
        <f>SUM(M474,AG474)-SUM(O474,AI474)-L474</f>
        <v>-100</v>
      </c>
      <c r="AF474" s="29">
        <f t="shared" si="1058"/>
        <v>100</v>
      </c>
      <c r="AG474" s="298">
        <f>AG469*2</f>
        <v>0</v>
      </c>
      <c r="AH474" s="5">
        <f>AG474-AF474</f>
        <v>-100</v>
      </c>
      <c r="AI474" s="256"/>
      <c r="AJ474" s="256"/>
      <c r="AK474" s="35">
        <f>AF474+AI474-AJ474</f>
        <v>100</v>
      </c>
      <c r="AL474" s="21"/>
      <c r="AM474" s="6"/>
      <c r="AN474" s="35"/>
      <c r="AO474" s="612"/>
      <c r="AP474" s="121"/>
      <c r="AQ474" s="6"/>
      <c r="AR474" s="35"/>
      <c r="AS474" s="612"/>
      <c r="AT474" s="21"/>
      <c r="AU474" s="6"/>
      <c r="AV474" s="35"/>
      <c r="AW474" s="234"/>
      <c r="AX474" s="234"/>
      <c r="AY474" s="395">
        <f>SUM(M474,AG474,BA474)-SUM(O474,AI474,BC474)-L474</f>
        <v>-70</v>
      </c>
      <c r="AZ474" s="29">
        <f>AK474</f>
        <v>100</v>
      </c>
      <c r="BA474" s="298">
        <f>BA469*2</f>
        <v>30</v>
      </c>
      <c r="BB474" s="5">
        <f>BA474-AZ474</f>
        <v>-70</v>
      </c>
      <c r="BC474" s="256"/>
      <c r="BD474" s="256"/>
      <c r="BE474" s="35">
        <f>AZ474+BC474-BD474</f>
        <v>100</v>
      </c>
      <c r="BF474" s="21"/>
      <c r="BG474" s="6"/>
      <c r="BH474" s="35"/>
      <c r="BI474" s="612"/>
      <c r="BJ474" s="121"/>
      <c r="BK474" s="6"/>
      <c r="BL474" s="35"/>
      <c r="BM474" s="612"/>
      <c r="BN474" s="21"/>
      <c r="BO474" s="6"/>
      <c r="BP474" s="35"/>
      <c r="BQ474" s="234"/>
      <c r="BR474" s="234"/>
      <c r="BS474" s="395">
        <f>SUM(M474,AG474,BA474,BU474)-SUM(O474,AI474,BC474,BW474)-L474</f>
        <v>-20</v>
      </c>
      <c r="BT474" s="29">
        <f>BE474</f>
        <v>100</v>
      </c>
      <c r="BU474" s="298">
        <f>BU469*2</f>
        <v>50</v>
      </c>
      <c r="BV474" s="5">
        <f>BU474-BT474</f>
        <v>-50</v>
      </c>
      <c r="BW474" s="240"/>
      <c r="BX474" s="256"/>
      <c r="BY474" s="35">
        <f>BT474+BW474-BX474</f>
        <v>100</v>
      </c>
      <c r="BZ474" s="21"/>
      <c r="CA474" s="6"/>
      <c r="CB474" s="35" t="s">
        <v>912</v>
      </c>
      <c r="CC474" s="612"/>
      <c r="CD474" s="121"/>
      <c r="CE474" s="6"/>
      <c r="CF474" s="35" t="s">
        <v>912</v>
      </c>
      <c r="CG474" s="612"/>
      <c r="CH474" s="235"/>
      <c r="CI474" s="199"/>
      <c r="CJ474" s="35" t="s">
        <v>912</v>
      </c>
      <c r="CK474" s="234"/>
      <c r="CL474" s="234"/>
      <c r="CM474" s="395">
        <f>SUM(M474,AG474,BA474,BU474,CO474)-SUM(O474,AI474,BC474,BW474,CQ474)-L474</f>
        <v>-20</v>
      </c>
      <c r="CN474" s="29">
        <f>BY474</f>
        <v>100</v>
      </c>
      <c r="CO474" s="298">
        <f>CO469*2</f>
        <v>0</v>
      </c>
      <c r="CP474" s="5">
        <f>CO474-CN474</f>
        <v>-100</v>
      </c>
      <c r="CQ474" s="240"/>
      <c r="CR474" s="256"/>
      <c r="CS474" s="35">
        <f>CN474+CQ474-CR474</f>
        <v>100</v>
      </c>
      <c r="CT474" s="21"/>
      <c r="CU474" s="199"/>
      <c r="CV474" s="35" t="s">
        <v>912</v>
      </c>
      <c r="CW474" s="612"/>
      <c r="CX474" s="121"/>
      <c r="CY474" s="6"/>
      <c r="CZ474" s="35" t="s">
        <v>912</v>
      </c>
      <c r="DA474" s="612"/>
      <c r="DB474" s="21"/>
      <c r="DC474" s="6"/>
      <c r="DD474" s="35"/>
      <c r="DE474" s="234"/>
      <c r="DF474" s="234"/>
      <c r="DG474" s="395">
        <f>SUM(M474,AG474,BA474,BU474,DI474)-SUM(O474,AI474,BC474,BW474,CQ474)-L474</f>
        <v>-20</v>
      </c>
      <c r="DH474" s="29">
        <f t="shared" si="1059"/>
        <v>100</v>
      </c>
      <c r="DI474" s="298">
        <f>DI469*2</f>
        <v>0</v>
      </c>
      <c r="DJ474" s="5">
        <f>DI474-DH474</f>
        <v>-100</v>
      </c>
      <c r="DK474" s="240"/>
      <c r="DL474" s="256"/>
      <c r="DM474" s="35">
        <f>DH474+DK474-DL474</f>
        <v>100</v>
      </c>
    </row>
    <row r="475" spans="1:117" ht="15.75" thickBot="1" x14ac:dyDescent="0.3">
      <c r="A475" s="19"/>
      <c r="B475" s="12"/>
      <c r="C475" s="19"/>
      <c r="D475" s="12"/>
      <c r="E475" s="12"/>
      <c r="F475" s="146"/>
      <c r="G475" s="12"/>
      <c r="H475" s="28"/>
      <c r="I475" s="28"/>
      <c r="J475" s="531"/>
      <c r="K475" s="399"/>
      <c r="L475" s="30">
        <v>0</v>
      </c>
      <c r="M475" s="31"/>
      <c r="N475" s="31">
        <f>M475-L475</f>
        <v>0</v>
      </c>
      <c r="O475" s="241"/>
      <c r="P475" s="241"/>
      <c r="Q475" s="36">
        <f>L475+O475-P475</f>
        <v>0</v>
      </c>
      <c r="R475" s="272"/>
      <c r="S475" s="217"/>
      <c r="T475" s="273"/>
      <c r="U475" s="714"/>
      <c r="V475" s="200"/>
      <c r="W475" s="201"/>
      <c r="X475" s="36"/>
      <c r="Y475" s="220"/>
      <c r="Z475" s="122"/>
      <c r="AA475" s="201"/>
      <c r="AB475" s="36"/>
      <c r="AC475" s="232"/>
      <c r="AD475" s="232"/>
      <c r="AE475" s="399"/>
      <c r="AF475" s="30">
        <f t="shared" si="1058"/>
        <v>0</v>
      </c>
      <c r="AG475" s="31"/>
      <c r="AH475" s="31">
        <f>AG475-AF475</f>
        <v>0</v>
      </c>
      <c r="AI475" s="241"/>
      <c r="AJ475" s="241"/>
      <c r="AK475" s="36">
        <f>AF475+AI475-AJ475</f>
        <v>0</v>
      </c>
      <c r="AL475" s="272"/>
      <c r="AM475" s="217"/>
      <c r="AN475" s="273"/>
      <c r="AO475" s="714"/>
      <c r="AP475" s="200"/>
      <c r="AQ475" s="201"/>
      <c r="AR475" s="36"/>
      <c r="AS475" s="220"/>
      <c r="AT475" s="122"/>
      <c r="AU475" s="201"/>
      <c r="AV475" s="36"/>
      <c r="AW475" s="297"/>
      <c r="AX475" s="297"/>
      <c r="AY475" s="396"/>
      <c r="AZ475" s="30">
        <f>AK475</f>
        <v>0</v>
      </c>
      <c r="BA475" s="31"/>
      <c r="BB475" s="31">
        <f>BA475-AZ475</f>
        <v>0</v>
      </c>
      <c r="BC475" s="241"/>
      <c r="BD475" s="241"/>
      <c r="BE475" s="36">
        <f>AZ475+BC475-BD475</f>
        <v>0</v>
      </c>
      <c r="BF475" s="272"/>
      <c r="BG475" s="217"/>
      <c r="BH475" s="273"/>
      <c r="BI475" s="714"/>
      <c r="BJ475" s="200"/>
      <c r="BK475" s="201"/>
      <c r="BL475" s="36"/>
      <c r="BM475" s="220"/>
      <c r="BN475" s="122"/>
      <c r="BO475" s="201"/>
      <c r="BP475" s="36"/>
      <c r="BQ475" s="297"/>
      <c r="BR475" s="297"/>
      <c r="BS475" s="396"/>
      <c r="BT475" s="30">
        <f>BE475</f>
        <v>0</v>
      </c>
      <c r="BU475" s="31"/>
      <c r="BV475" s="31">
        <f>BU475-BT475</f>
        <v>0</v>
      </c>
      <c r="BW475" s="241"/>
      <c r="BX475" s="241"/>
      <c r="BY475" s="36">
        <f>BT475+BW475-BX475</f>
        <v>0</v>
      </c>
      <c r="BZ475" s="272"/>
      <c r="CA475" s="217"/>
      <c r="CB475" s="273"/>
      <c r="CC475" s="714"/>
      <c r="CD475" s="200"/>
      <c r="CE475" s="201"/>
      <c r="CF475" s="36"/>
      <c r="CG475" s="220"/>
      <c r="CH475" s="122"/>
      <c r="CI475" s="201"/>
      <c r="CJ475" s="36"/>
      <c r="CK475" s="297"/>
      <c r="CL475" s="297"/>
      <c r="CM475" s="396"/>
      <c r="CN475" s="30">
        <f>BY475</f>
        <v>0</v>
      </c>
      <c r="CO475" s="31"/>
      <c r="CP475" s="31">
        <f>CO475-CN475</f>
        <v>0</v>
      </c>
      <c r="CQ475" s="241"/>
      <c r="CR475" s="241"/>
      <c r="CS475" s="36">
        <f>CN475+CQ475-CR475</f>
        <v>0</v>
      </c>
      <c r="CT475" s="272"/>
      <c r="CU475" s="217"/>
      <c r="CV475" s="273"/>
      <c r="CW475" s="714"/>
      <c r="CX475" s="200"/>
      <c r="CY475" s="201"/>
      <c r="CZ475" s="36"/>
      <c r="DA475" s="220"/>
      <c r="DB475" s="122"/>
      <c r="DC475" s="201"/>
      <c r="DD475" s="36"/>
      <c r="DE475" s="297"/>
      <c r="DF475" s="297"/>
      <c r="DG475" s="396"/>
      <c r="DH475" s="296">
        <f t="shared" si="1059"/>
        <v>0</v>
      </c>
      <c r="DI475" s="31"/>
      <c r="DJ475" s="31">
        <f>DI475-DH475</f>
        <v>0</v>
      </c>
      <c r="DK475" s="241"/>
      <c r="DL475" s="241"/>
      <c r="DM475" s="36">
        <f>DH475+DK475-DL475</f>
        <v>0</v>
      </c>
    </row>
    <row r="476" spans="1:117" ht="15.75" thickBot="1" x14ac:dyDescent="0.3">
      <c r="P476" s="248"/>
      <c r="AJ476" s="248"/>
      <c r="BD476" s="248"/>
      <c r="BX476" s="248"/>
      <c r="CR476" s="248"/>
      <c r="DL476" s="248"/>
    </row>
    <row r="477" spans="1:117" ht="15.75" thickBot="1" x14ac:dyDescent="0.3">
      <c r="A477" s="263"/>
      <c r="B477" s="261" t="s">
        <v>196</v>
      </c>
      <c r="C477" s="263"/>
      <c r="D477" s="260"/>
      <c r="E477" s="260"/>
      <c r="F477" s="564"/>
      <c r="G477" s="260"/>
      <c r="H477" s="263"/>
      <c r="I477" s="391"/>
      <c r="J477" s="391"/>
      <c r="K477" s="391"/>
      <c r="L477" s="264"/>
      <c r="M477" s="265"/>
      <c r="N477" s="265"/>
      <c r="O477" s="265"/>
      <c r="P477" s="270"/>
      <c r="Q477" s="266"/>
      <c r="R477" s="267">
        <f>SUM(R478:R499)</f>
        <v>0</v>
      </c>
      <c r="S477" s="268">
        <f>SUM(S478:S499)</f>
        <v>0</v>
      </c>
      <c r="T477" s="269"/>
      <c r="U477" s="727"/>
      <c r="V477" s="267">
        <f>SUM(V478:V499)</f>
        <v>0</v>
      </c>
      <c r="W477" s="268">
        <f>SUM(W478:W499)</f>
        <v>0</v>
      </c>
      <c r="X477" s="269"/>
      <c r="Y477" s="727"/>
      <c r="Z477" s="267">
        <f>SUM(Z478:Z499)</f>
        <v>0</v>
      </c>
      <c r="AA477" s="268">
        <f>SUM(AA478:AA499)</f>
        <v>0</v>
      </c>
      <c r="AB477" s="269"/>
      <c r="AC477" s="727"/>
      <c r="AD477" s="727"/>
      <c r="AE477" s="391"/>
      <c r="AF477" s="264"/>
      <c r="AG477" s="265"/>
      <c r="AH477" s="265"/>
      <c r="AI477" s="265"/>
      <c r="AJ477" s="270"/>
      <c r="AK477" s="266"/>
      <c r="AL477" s="267">
        <f>SUM(AL478:AL499)</f>
        <v>0</v>
      </c>
      <c r="AM477" s="268">
        <f>SUM(AM478:AM499)</f>
        <v>0</v>
      </c>
      <c r="AN477" s="269"/>
      <c r="AO477" s="727"/>
      <c r="AP477" s="267">
        <f>SUM(AP478:AP499)</f>
        <v>0</v>
      </c>
      <c r="AQ477" s="268">
        <f>SUM(AQ478:AQ499)</f>
        <v>0</v>
      </c>
      <c r="AR477" s="269"/>
      <c r="AS477" s="727"/>
      <c r="AT477" s="267">
        <f>SUM(AT478:AT499)</f>
        <v>0</v>
      </c>
      <c r="AU477" s="268">
        <f>SUM(AU478:AU499)</f>
        <v>0</v>
      </c>
      <c r="AV477" s="269"/>
      <c r="AW477" s="727"/>
      <c r="AX477" s="727"/>
      <c r="AY477" s="391"/>
      <c r="AZ477" s="264"/>
      <c r="BA477" s="265"/>
      <c r="BB477" s="265"/>
      <c r="BC477" s="265"/>
      <c r="BD477" s="270"/>
      <c r="BE477" s="266"/>
      <c r="BF477" s="267">
        <f>SUM(BF478:BF499)</f>
        <v>0</v>
      </c>
      <c r="BG477" s="268">
        <f>SUM(BG478:BG499)</f>
        <v>0</v>
      </c>
      <c r="BH477" s="269"/>
      <c r="BI477" s="727"/>
      <c r="BJ477" s="267">
        <f>SUM(BJ478:BJ499)</f>
        <v>0</v>
      </c>
      <c r="BK477" s="268">
        <f>SUM(BK478:BK499)</f>
        <v>0</v>
      </c>
      <c r="BL477" s="269"/>
      <c r="BM477" s="727"/>
      <c r="BN477" s="267">
        <f>SUM(BN478:BN499)</f>
        <v>0</v>
      </c>
      <c r="BO477" s="268">
        <f>SUM(BO478:BO499)</f>
        <v>0</v>
      </c>
      <c r="BP477" s="269"/>
      <c r="BQ477" s="727"/>
      <c r="BR477" s="727"/>
      <c r="BS477" s="391"/>
      <c r="BT477" s="264"/>
      <c r="BU477" s="265"/>
      <c r="BV477" s="265"/>
      <c r="BW477" s="265"/>
      <c r="BX477" s="270"/>
      <c r="BY477" s="266"/>
      <c r="BZ477" s="267">
        <f>SUM(BZ478:BZ499)</f>
        <v>0</v>
      </c>
      <c r="CA477" s="268">
        <f>SUM(CA478:CA499)</f>
        <v>0</v>
      </c>
      <c r="CB477" s="269"/>
      <c r="CC477" s="727"/>
      <c r="CD477" s="267">
        <f>SUM(CD478:CD499)</f>
        <v>284050</v>
      </c>
      <c r="CE477" s="268">
        <f>SUM(CE478:CE499)</f>
        <v>9569.57</v>
      </c>
      <c r="CF477" s="269"/>
      <c r="CG477" s="727"/>
      <c r="CH477" s="267">
        <f>SUM(CH478:CH499)</f>
        <v>0</v>
      </c>
      <c r="CI477" s="268">
        <f>SUM(CI478:CI499)</f>
        <v>0</v>
      </c>
      <c r="CJ477" s="269"/>
      <c r="CK477" s="727"/>
      <c r="CL477" s="727"/>
      <c r="CM477" s="391"/>
      <c r="CN477" s="264"/>
      <c r="CO477" s="265"/>
      <c r="CP477" s="265"/>
      <c r="CQ477" s="265"/>
      <c r="CR477" s="270"/>
      <c r="CS477" s="266"/>
      <c r="CT477" s="267">
        <f>SUM(CT478:CT499)</f>
        <v>0</v>
      </c>
      <c r="CU477" s="268">
        <f>SUM(CU478:CU499)</f>
        <v>800</v>
      </c>
      <c r="CV477" s="269"/>
      <c r="CW477" s="727"/>
      <c r="CX477" s="267">
        <f>SUM(CX478:CX499)</f>
        <v>0</v>
      </c>
      <c r="CY477" s="268">
        <f>SUM(CY478:CY499)</f>
        <v>230000</v>
      </c>
      <c r="CZ477" s="269"/>
      <c r="DA477" s="727"/>
      <c r="DB477" s="267">
        <f>SUM(DB478:DB499)</f>
        <v>218500</v>
      </c>
      <c r="DC477" s="268">
        <f>SUM(DC478:DC499)</f>
        <v>0</v>
      </c>
      <c r="DD477" s="269"/>
      <c r="DE477" s="727"/>
      <c r="DF477" s="727"/>
      <c r="DG477" s="391"/>
      <c r="DH477" s="264"/>
      <c r="DI477" s="265"/>
      <c r="DJ477" s="265"/>
      <c r="DK477" s="265"/>
      <c r="DL477" s="270"/>
      <c r="DM477" s="266"/>
    </row>
    <row r="478" spans="1:117" ht="45" x14ac:dyDescent="0.25">
      <c r="A478" s="18"/>
      <c r="B478" s="11" t="s">
        <v>364</v>
      </c>
      <c r="C478" s="18"/>
      <c r="D478" s="15" t="s">
        <v>663</v>
      </c>
      <c r="E478" s="15"/>
      <c r="F478" s="149"/>
      <c r="G478" s="23" t="s">
        <v>198</v>
      </c>
      <c r="H478" s="18"/>
      <c r="I478" s="18"/>
      <c r="J478" s="530">
        <f t="shared" ref="J478:J497" si="1076">SUM(M478,AG478,BA478,BU478)-L478</f>
        <v>-10</v>
      </c>
      <c r="K478" s="395">
        <f t="shared" ref="K478:K497" si="1077">M478-O478-L478</f>
        <v>-19</v>
      </c>
      <c r="L478" s="544">
        <v>20</v>
      </c>
      <c r="M478" s="298">
        <f>M274+M275+M340+M385</f>
        <v>1</v>
      </c>
      <c r="N478" s="7">
        <f t="shared" ref="N478:N499" si="1078">M478-L478</f>
        <v>-19</v>
      </c>
      <c r="O478" s="256"/>
      <c r="P478" s="240">
        <f>1</f>
        <v>1</v>
      </c>
      <c r="Q478" s="231">
        <f t="shared" ref="Q478:Q498" si="1079">L478+O478-P478</f>
        <v>19</v>
      </c>
      <c r="R478" s="121"/>
      <c r="S478" s="6"/>
      <c r="T478" s="35"/>
      <c r="U478" s="612"/>
      <c r="V478" s="121"/>
      <c r="W478" s="6"/>
      <c r="X478" s="35"/>
      <c r="Y478" s="612"/>
      <c r="Z478" s="121"/>
      <c r="AA478" s="6"/>
      <c r="AB478" s="35"/>
      <c r="AC478" s="231"/>
      <c r="AD478" s="231"/>
      <c r="AE478" s="398">
        <f t="shared" ref="AE478:AE497" si="1080">SUM(M478,AG478)-SUM(O478,AI478)-L478</f>
        <v>-18</v>
      </c>
      <c r="AF478" s="29">
        <f t="shared" ref="AF478:AF498" si="1081">Q478</f>
        <v>19</v>
      </c>
      <c r="AG478" s="298">
        <f>AG274+AG275+AG340+AG385</f>
        <v>1</v>
      </c>
      <c r="AH478" s="7">
        <f t="shared" ref="AH478:AH499" si="1082">AG478-AF478</f>
        <v>-18</v>
      </c>
      <c r="AI478" s="258"/>
      <c r="AJ478" s="240">
        <v>2</v>
      </c>
      <c r="AK478" s="231">
        <f t="shared" ref="AK478:AK498" si="1083">AF478+AI478-AJ478</f>
        <v>17</v>
      </c>
      <c r="AL478" s="121"/>
      <c r="AM478" s="6"/>
      <c r="AN478" s="35"/>
      <c r="AO478" s="612"/>
      <c r="AP478" s="121"/>
      <c r="AQ478" s="6"/>
      <c r="AR478" s="35"/>
      <c r="AS478" s="612"/>
      <c r="AT478" s="121"/>
      <c r="AU478" s="6"/>
      <c r="AV478" s="35"/>
      <c r="AW478" s="234"/>
      <c r="AX478" s="234"/>
      <c r="AY478" s="395">
        <f t="shared" ref="AY478:AY497" si="1084">SUM(M478,AG478,BA478)-SUM(O478,AI478,BC478)-L478</f>
        <v>-16</v>
      </c>
      <c r="AZ478" s="29">
        <f t="shared" ref="AZ478:AZ498" si="1085">AK478</f>
        <v>17</v>
      </c>
      <c r="BA478" s="298">
        <f>BA274+BA275+BA340+BA385</f>
        <v>2</v>
      </c>
      <c r="BB478" s="7">
        <f t="shared" ref="BB478:BB499" si="1086">BA478-AZ478</f>
        <v>-15</v>
      </c>
      <c r="BC478" s="240"/>
      <c r="BD478" s="240">
        <f>1+1+1</f>
        <v>3</v>
      </c>
      <c r="BE478" s="231">
        <f t="shared" ref="BE478:BE498" si="1087">AZ478+BC478-BD478</f>
        <v>14</v>
      </c>
      <c r="BF478" s="121"/>
      <c r="BG478" s="6"/>
      <c r="BH478" s="35"/>
      <c r="BI478" s="612"/>
      <c r="BJ478" s="121"/>
      <c r="BK478" s="6"/>
      <c r="BL478" s="35"/>
      <c r="BM478" s="612"/>
      <c r="BN478" s="121"/>
      <c r="BO478" s="6"/>
      <c r="BP478" s="35"/>
      <c r="BQ478" s="234"/>
      <c r="BR478" s="234"/>
      <c r="BS478" s="395">
        <f t="shared" ref="BS478:BS497" si="1088">SUM(M478,AG478,BA478,BU478)-SUM(O478,AI478,BC478,BW478)-L478</f>
        <v>-10</v>
      </c>
      <c r="BT478" s="29">
        <f t="shared" ref="BT478:BT498" si="1089">BE478</f>
        <v>14</v>
      </c>
      <c r="BU478" s="298">
        <f>BU274+BU275+BU340+BU385</f>
        <v>6</v>
      </c>
      <c r="BV478" s="7">
        <f t="shared" ref="BV478:BV499" si="1090">BU478-BT478</f>
        <v>-8</v>
      </c>
      <c r="BW478" s="256"/>
      <c r="BX478" s="240">
        <f>1</f>
        <v>1</v>
      </c>
      <c r="BY478" s="231">
        <f t="shared" ref="BY478:BY498" si="1091">BT478+BW478-BX478</f>
        <v>13</v>
      </c>
      <c r="BZ478" s="121"/>
      <c r="CA478" s="6"/>
      <c r="CB478" s="35"/>
      <c r="CC478" s="612"/>
      <c r="CD478" s="121"/>
      <c r="CE478" s="6"/>
      <c r="CF478" s="35"/>
      <c r="CG478" s="612"/>
      <c r="CH478" s="121"/>
      <c r="CI478" s="6"/>
      <c r="CJ478" s="35"/>
      <c r="CK478" s="234"/>
      <c r="CL478" s="234"/>
      <c r="CM478" s="395">
        <f t="shared" ref="CM478:CM497" si="1092">SUM(M478,AG478,BA478,BU478,CO478)-SUM(O478,AI478,BC478,BW478,CQ478)-L478</f>
        <v>-10</v>
      </c>
      <c r="CN478" s="29">
        <f t="shared" ref="CN478:CN498" si="1093">BY478</f>
        <v>13</v>
      </c>
      <c r="CO478" s="298">
        <f>CO274+CO275+CO340+CO385</f>
        <v>0</v>
      </c>
      <c r="CP478" s="7">
        <f t="shared" ref="CP478:CP499" si="1094">CO478-CN478</f>
        <v>-13</v>
      </c>
      <c r="CQ478" s="240"/>
      <c r="CR478" s="240"/>
      <c r="CS478" s="231">
        <f t="shared" ref="CS478:CS498" si="1095">CN478+CQ478-CR478</f>
        <v>13</v>
      </c>
      <c r="CT478" s="121"/>
      <c r="CU478" s="6"/>
      <c r="CV478" s="35"/>
      <c r="CW478" s="612"/>
      <c r="CX478" s="121"/>
      <c r="CY478" s="6"/>
      <c r="CZ478" s="35"/>
      <c r="DA478" s="612"/>
      <c r="DB478" s="121"/>
      <c r="DC478" s="6"/>
      <c r="DD478" s="35"/>
      <c r="DE478" s="234"/>
      <c r="DF478" s="234"/>
      <c r="DG478" s="395">
        <f t="shared" ref="DG478:DG497" si="1096">SUM(M478,AG478,BA478,BU478,DI478)-SUM(O478,AI478,BC478,BW478,CQ478)-L478</f>
        <v>-10</v>
      </c>
      <c r="DH478" s="32">
        <f t="shared" ref="DH478:DH497" si="1097">BY478</f>
        <v>13</v>
      </c>
      <c r="DI478" s="298">
        <f>DI274+DI275+DI340+DI385</f>
        <v>0</v>
      </c>
      <c r="DJ478" s="7">
        <f t="shared" ref="DJ478:DJ483" si="1098">DI478-DH478</f>
        <v>-13</v>
      </c>
      <c r="DK478" s="240"/>
      <c r="DL478" s="240"/>
      <c r="DM478" s="231">
        <f t="shared" ref="DM478:DM483" si="1099">DH478+DK478-DL478</f>
        <v>13</v>
      </c>
    </row>
    <row r="479" spans="1:117" ht="75" x14ac:dyDescent="0.25">
      <c r="A479" s="18">
        <v>967</v>
      </c>
      <c r="B479" s="11" t="s">
        <v>199</v>
      </c>
      <c r="C479" s="18"/>
      <c r="D479" s="15" t="s">
        <v>659</v>
      </c>
      <c r="E479" s="15"/>
      <c r="F479" s="149"/>
      <c r="G479" s="23" t="s">
        <v>198</v>
      </c>
      <c r="H479" s="18"/>
      <c r="I479" s="18"/>
      <c r="J479" s="530">
        <f t="shared" si="1076"/>
        <v>-2</v>
      </c>
      <c r="K479" s="395">
        <f t="shared" si="1077"/>
        <v>-2</v>
      </c>
      <c r="L479" s="544">
        <v>2</v>
      </c>
      <c r="M479" s="512"/>
      <c r="N479" s="7">
        <f t="shared" si="1078"/>
        <v>-2</v>
      </c>
      <c r="O479" s="256"/>
      <c r="P479" s="240"/>
      <c r="Q479" s="231">
        <f t="shared" si="1079"/>
        <v>2</v>
      </c>
      <c r="R479" s="121"/>
      <c r="S479" s="6"/>
      <c r="T479" s="35"/>
      <c r="U479" s="612"/>
      <c r="V479" s="121"/>
      <c r="W479" s="6"/>
      <c r="X479" s="35"/>
      <c r="Y479" s="612"/>
      <c r="Z479" s="121"/>
      <c r="AA479" s="6"/>
      <c r="AB479" s="35"/>
      <c r="AC479" s="231"/>
      <c r="AD479" s="231"/>
      <c r="AE479" s="398">
        <f t="shared" si="1080"/>
        <v>-2</v>
      </c>
      <c r="AF479" s="29">
        <f t="shared" si="1081"/>
        <v>2</v>
      </c>
      <c r="AG479" s="512"/>
      <c r="AH479" s="7">
        <f t="shared" si="1082"/>
        <v>-2</v>
      </c>
      <c r="AI479" s="242"/>
      <c r="AJ479" s="240"/>
      <c r="AK479" s="231">
        <f t="shared" si="1083"/>
        <v>2</v>
      </c>
      <c r="AL479" s="121"/>
      <c r="AM479" s="6"/>
      <c r="AN479" s="35"/>
      <c r="AO479" s="612"/>
      <c r="AP479" s="121"/>
      <c r="AQ479" s="6"/>
      <c r="AR479" s="35"/>
      <c r="AS479" s="612"/>
      <c r="AT479" s="121"/>
      <c r="AU479" s="6"/>
      <c r="AV479" s="35"/>
      <c r="AW479" s="234"/>
      <c r="AX479" s="234"/>
      <c r="AY479" s="395">
        <f t="shared" si="1084"/>
        <v>-2</v>
      </c>
      <c r="AZ479" s="29">
        <f t="shared" si="1085"/>
        <v>2</v>
      </c>
      <c r="BA479" s="512"/>
      <c r="BB479" s="7">
        <f t="shared" si="1086"/>
        <v>-2</v>
      </c>
      <c r="BC479" s="240"/>
      <c r="BD479" s="240"/>
      <c r="BE479" s="231">
        <f t="shared" si="1087"/>
        <v>2</v>
      </c>
      <c r="BF479" s="121"/>
      <c r="BG479" s="6"/>
      <c r="BH479" s="35"/>
      <c r="BI479" s="612"/>
      <c r="BJ479" s="121"/>
      <c r="BK479" s="6"/>
      <c r="BL479" s="35"/>
      <c r="BM479" s="612"/>
      <c r="BN479" s="121"/>
      <c r="BO479" s="6"/>
      <c r="BP479" s="35"/>
      <c r="BQ479" s="234"/>
      <c r="BR479" s="234"/>
      <c r="BS479" s="395">
        <f t="shared" si="1088"/>
        <v>-2</v>
      </c>
      <c r="BT479" s="29">
        <f t="shared" si="1089"/>
        <v>2</v>
      </c>
      <c r="BU479" s="512"/>
      <c r="BV479" s="7">
        <f t="shared" si="1090"/>
        <v>-2</v>
      </c>
      <c r="BW479" s="256"/>
      <c r="BX479" s="240"/>
      <c r="BY479" s="231">
        <f t="shared" si="1091"/>
        <v>2</v>
      </c>
      <c r="BZ479" s="121"/>
      <c r="CA479" s="6"/>
      <c r="CB479" s="35"/>
      <c r="CC479" s="612"/>
      <c r="CD479" s="121"/>
      <c r="CE479" s="6"/>
      <c r="CF479" s="35"/>
      <c r="CG479" s="612"/>
      <c r="CH479" s="121"/>
      <c r="CI479" s="6"/>
      <c r="CJ479" s="35"/>
      <c r="CK479" s="234"/>
      <c r="CL479" s="234"/>
      <c r="CM479" s="395">
        <f t="shared" si="1092"/>
        <v>-2</v>
      </c>
      <c r="CN479" s="29">
        <f t="shared" si="1093"/>
        <v>2</v>
      </c>
      <c r="CO479" s="512"/>
      <c r="CP479" s="7">
        <f t="shared" si="1094"/>
        <v>-2</v>
      </c>
      <c r="CQ479" s="240"/>
      <c r="CR479" s="240"/>
      <c r="CS479" s="231">
        <f t="shared" si="1095"/>
        <v>2</v>
      </c>
      <c r="CT479" s="121"/>
      <c r="CU479" s="6"/>
      <c r="CV479" s="35"/>
      <c r="CW479" s="612"/>
      <c r="CX479" s="121"/>
      <c r="CY479" s="6"/>
      <c r="CZ479" s="35"/>
      <c r="DA479" s="612"/>
      <c r="DB479" s="121"/>
      <c r="DC479" s="6"/>
      <c r="DD479" s="35"/>
      <c r="DE479" s="234"/>
      <c r="DF479" s="234"/>
      <c r="DG479" s="395">
        <f t="shared" si="1096"/>
        <v>-2</v>
      </c>
      <c r="DH479" s="32">
        <f t="shared" si="1097"/>
        <v>2</v>
      </c>
      <c r="DI479" s="512"/>
      <c r="DJ479" s="7">
        <f t="shared" si="1098"/>
        <v>-2</v>
      </c>
      <c r="DK479" s="240"/>
      <c r="DL479" s="240"/>
      <c r="DM479" s="231">
        <f t="shared" si="1099"/>
        <v>2</v>
      </c>
    </row>
    <row r="480" spans="1:117" ht="75" x14ac:dyDescent="0.25">
      <c r="A480" s="18"/>
      <c r="B480" s="15" t="s">
        <v>350</v>
      </c>
      <c r="C480" s="18"/>
      <c r="D480" s="15" t="s">
        <v>659</v>
      </c>
      <c r="E480" s="15"/>
      <c r="F480" s="149"/>
      <c r="G480" s="23" t="s">
        <v>198</v>
      </c>
      <c r="H480" s="18"/>
      <c r="I480" s="18"/>
      <c r="J480" s="530">
        <f t="shared" si="1076"/>
        <v>-45</v>
      </c>
      <c r="K480" s="395">
        <f t="shared" si="1077"/>
        <v>-45</v>
      </c>
      <c r="L480" s="544">
        <v>45</v>
      </c>
      <c r="M480" s="512"/>
      <c r="N480" s="7">
        <f t="shared" si="1078"/>
        <v>-45</v>
      </c>
      <c r="O480" s="240"/>
      <c r="P480" s="240"/>
      <c r="Q480" s="231">
        <f t="shared" si="1079"/>
        <v>45</v>
      </c>
      <c r="R480" s="121"/>
      <c r="S480" s="6"/>
      <c r="T480" s="35"/>
      <c r="U480" s="612"/>
      <c r="V480" s="121"/>
      <c r="W480" s="6"/>
      <c r="X480" s="35"/>
      <c r="Y480" s="612"/>
      <c r="Z480" s="121"/>
      <c r="AA480" s="6"/>
      <c r="AB480" s="35"/>
      <c r="AC480" s="231"/>
      <c r="AD480" s="231"/>
      <c r="AE480" s="398">
        <f t="shared" si="1080"/>
        <v>-45</v>
      </c>
      <c r="AF480" s="29">
        <f t="shared" si="1081"/>
        <v>45</v>
      </c>
      <c r="AG480" s="512"/>
      <c r="AH480" s="7">
        <f t="shared" si="1082"/>
        <v>-45</v>
      </c>
      <c r="AI480" s="258"/>
      <c r="AJ480" s="240"/>
      <c r="AK480" s="231">
        <f t="shared" si="1083"/>
        <v>45</v>
      </c>
      <c r="AL480" s="121"/>
      <c r="AM480" s="6"/>
      <c r="AN480" s="35"/>
      <c r="AO480" s="612"/>
      <c r="AP480" s="121"/>
      <c r="AQ480" s="6"/>
      <c r="AR480" s="35"/>
      <c r="AS480" s="612"/>
      <c r="AT480" s="121"/>
      <c r="AU480" s="6"/>
      <c r="AV480" s="35"/>
      <c r="AW480" s="234"/>
      <c r="AX480" s="234"/>
      <c r="AY480" s="395">
        <f t="shared" si="1084"/>
        <v>-45</v>
      </c>
      <c r="AZ480" s="29">
        <f t="shared" si="1085"/>
        <v>45</v>
      </c>
      <c r="BA480" s="512"/>
      <c r="BB480" s="7">
        <f t="shared" si="1086"/>
        <v>-45</v>
      </c>
      <c r="BC480" s="256"/>
      <c r="BD480" s="240"/>
      <c r="BE480" s="231">
        <f t="shared" si="1087"/>
        <v>45</v>
      </c>
      <c r="BF480" s="121"/>
      <c r="BG480" s="6"/>
      <c r="BH480" s="35"/>
      <c r="BI480" s="612"/>
      <c r="BJ480" s="121"/>
      <c r="BK480" s="6"/>
      <c r="BL480" s="35"/>
      <c r="BM480" s="612"/>
      <c r="BN480" s="121"/>
      <c r="BO480" s="6"/>
      <c r="BP480" s="35"/>
      <c r="BQ480" s="234"/>
      <c r="BR480" s="234"/>
      <c r="BS480" s="395">
        <f t="shared" si="1088"/>
        <v>-45</v>
      </c>
      <c r="BT480" s="29">
        <f t="shared" si="1089"/>
        <v>45</v>
      </c>
      <c r="BU480" s="512"/>
      <c r="BV480" s="7">
        <f t="shared" si="1090"/>
        <v>-45</v>
      </c>
      <c r="BW480" s="256"/>
      <c r="BX480" s="240"/>
      <c r="BY480" s="231">
        <f t="shared" si="1091"/>
        <v>45</v>
      </c>
      <c r="BZ480" s="121"/>
      <c r="CA480" s="6"/>
      <c r="CB480" s="35"/>
      <c r="CC480" s="612"/>
      <c r="CD480" s="121"/>
      <c r="CE480" s="6"/>
      <c r="CF480" s="35"/>
      <c r="CG480" s="612"/>
      <c r="CH480" s="121"/>
      <c r="CI480" s="6"/>
      <c r="CJ480" s="35"/>
      <c r="CK480" s="234"/>
      <c r="CL480" s="234"/>
      <c r="CM480" s="395">
        <f t="shared" si="1092"/>
        <v>-45</v>
      </c>
      <c r="CN480" s="29">
        <f t="shared" si="1093"/>
        <v>45</v>
      </c>
      <c r="CO480" s="512"/>
      <c r="CP480" s="7">
        <f t="shared" si="1094"/>
        <v>-45</v>
      </c>
      <c r="CQ480" s="240"/>
      <c r="CR480" s="240"/>
      <c r="CS480" s="231">
        <f t="shared" si="1095"/>
        <v>45</v>
      </c>
      <c r="CT480" s="121"/>
      <c r="CU480" s="6"/>
      <c r="CV480" s="35"/>
      <c r="CW480" s="612"/>
      <c r="CX480" s="121"/>
      <c r="CY480" s="6"/>
      <c r="CZ480" s="35"/>
      <c r="DA480" s="612"/>
      <c r="DB480" s="121"/>
      <c r="DC480" s="6"/>
      <c r="DD480" s="35"/>
      <c r="DE480" s="234"/>
      <c r="DF480" s="234"/>
      <c r="DG480" s="395">
        <f t="shared" si="1096"/>
        <v>-45</v>
      </c>
      <c r="DH480" s="32">
        <f t="shared" si="1097"/>
        <v>45</v>
      </c>
      <c r="DI480" s="512"/>
      <c r="DJ480" s="7">
        <f t="shared" si="1098"/>
        <v>-45</v>
      </c>
      <c r="DK480" s="240"/>
      <c r="DL480" s="240"/>
      <c r="DM480" s="231">
        <f t="shared" si="1099"/>
        <v>45</v>
      </c>
    </row>
    <row r="481" spans="1:117" ht="30" x14ac:dyDescent="0.25">
      <c r="A481" s="18"/>
      <c r="B481" s="11" t="s">
        <v>539</v>
      </c>
      <c r="C481" s="18"/>
      <c r="D481" s="15" t="s">
        <v>658</v>
      </c>
      <c r="E481" s="15"/>
      <c r="F481" s="149"/>
      <c r="G481" s="23" t="s">
        <v>198</v>
      </c>
      <c r="H481" s="18"/>
      <c r="I481" s="18"/>
      <c r="J481" s="530">
        <f t="shared" si="1076"/>
        <v>2</v>
      </c>
      <c r="K481" s="395">
        <f t="shared" si="1077"/>
        <v>-7</v>
      </c>
      <c r="L481" s="544">
        <v>8</v>
      </c>
      <c r="M481" s="298">
        <f>M275</f>
        <v>1</v>
      </c>
      <c r="N481" s="7">
        <f t="shared" ref="N481:N482" si="1100">M481-L481</f>
        <v>-7</v>
      </c>
      <c r="O481" s="240"/>
      <c r="P481" s="240">
        <f>1</f>
        <v>1</v>
      </c>
      <c r="Q481" s="231">
        <f t="shared" ref="Q481:Q482" si="1101">L481+O481-P481</f>
        <v>7</v>
      </c>
      <c r="R481" s="121"/>
      <c r="S481" s="6"/>
      <c r="T481" s="35"/>
      <c r="U481" s="612"/>
      <c r="V481" s="121"/>
      <c r="W481" s="6"/>
      <c r="X481" s="35"/>
      <c r="Y481" s="612"/>
      <c r="Z481" s="121"/>
      <c r="AA481" s="6"/>
      <c r="AB481" s="35"/>
      <c r="AC481" s="231"/>
      <c r="AD481" s="231"/>
      <c r="AE481" s="398">
        <f t="shared" si="1080"/>
        <v>-6</v>
      </c>
      <c r="AF481" s="29">
        <f t="shared" si="1081"/>
        <v>7</v>
      </c>
      <c r="AG481" s="298">
        <f>AG275</f>
        <v>1</v>
      </c>
      <c r="AH481" s="7">
        <f t="shared" ref="AH481:AH482" si="1102">AG481-AF481</f>
        <v>-6</v>
      </c>
      <c r="AI481" s="258"/>
      <c r="AJ481" s="240">
        <f>1</f>
        <v>1</v>
      </c>
      <c r="AK481" s="231">
        <f t="shared" ref="AK481:AK482" si="1103">AF481+AI481-AJ481</f>
        <v>6</v>
      </c>
      <c r="AL481" s="121"/>
      <c r="AM481" s="6"/>
      <c r="AN481" s="35"/>
      <c r="AO481" s="612"/>
      <c r="AP481" s="121"/>
      <c r="AQ481" s="6"/>
      <c r="AR481" s="35"/>
      <c r="AS481" s="612"/>
      <c r="AT481" s="121"/>
      <c r="AU481" s="6"/>
      <c r="AV481" s="35"/>
      <c r="AW481" s="234"/>
      <c r="AX481" s="234"/>
      <c r="AY481" s="395">
        <f t="shared" si="1084"/>
        <v>-4</v>
      </c>
      <c r="AZ481" s="29">
        <f t="shared" ref="AZ481:AZ482" si="1104">AK481</f>
        <v>6</v>
      </c>
      <c r="BA481" s="298">
        <f>BA275</f>
        <v>2</v>
      </c>
      <c r="BB481" s="7">
        <f t="shared" ref="BB481:BB482" si="1105">BA481-AZ481</f>
        <v>-4</v>
      </c>
      <c r="BC481" s="240"/>
      <c r="BD481" s="240">
        <f>1+1+1</f>
        <v>3</v>
      </c>
      <c r="BE481" s="231">
        <f t="shared" ref="BE481:BE482" si="1106">AZ481+BC481-BD481</f>
        <v>3</v>
      </c>
      <c r="BF481" s="121"/>
      <c r="BG481" s="6"/>
      <c r="BH481" s="35"/>
      <c r="BI481" s="612"/>
      <c r="BJ481" s="121"/>
      <c r="BK481" s="6"/>
      <c r="BL481" s="35"/>
      <c r="BM481" s="612"/>
      <c r="BN481" s="121"/>
      <c r="BO481" s="6"/>
      <c r="BP481" s="35"/>
      <c r="BQ481" s="234"/>
      <c r="BR481" s="234"/>
      <c r="BS481" s="395">
        <f t="shared" si="1088"/>
        <v>2</v>
      </c>
      <c r="BT481" s="29">
        <f t="shared" ref="BT481:BT482" si="1107">BE481</f>
        <v>3</v>
      </c>
      <c r="BU481" s="298">
        <f>BU275</f>
        <v>6</v>
      </c>
      <c r="BV481" s="7">
        <f t="shared" ref="BV481:BV482" si="1108">BU481-BT481</f>
        <v>3</v>
      </c>
      <c r="BW481" s="256"/>
      <c r="BX481" s="240">
        <f>1</f>
        <v>1</v>
      </c>
      <c r="BY481" s="231">
        <f t="shared" ref="BY481:BY482" si="1109">BT481+BW481-BX481</f>
        <v>2</v>
      </c>
      <c r="BZ481" s="121"/>
      <c r="CA481" s="6"/>
      <c r="CB481" s="35"/>
      <c r="CC481" s="612"/>
      <c r="CD481" s="121"/>
      <c r="CE481" s="6"/>
      <c r="CF481" s="35"/>
      <c r="CG481" s="612"/>
      <c r="CH481" s="121"/>
      <c r="CI481" s="6"/>
      <c r="CJ481" s="35"/>
      <c r="CK481" s="234"/>
      <c r="CL481" s="234"/>
      <c r="CM481" s="395">
        <f t="shared" si="1092"/>
        <v>2</v>
      </c>
      <c r="CN481" s="29">
        <f t="shared" ref="CN481:CN482" si="1110">BY481</f>
        <v>2</v>
      </c>
      <c r="CO481" s="298">
        <f>CO275</f>
        <v>0</v>
      </c>
      <c r="CP481" s="7">
        <f t="shared" ref="CP481:CP482" si="1111">CO481-CN481</f>
        <v>-2</v>
      </c>
      <c r="CQ481" s="240"/>
      <c r="CR481" s="240"/>
      <c r="CS481" s="231">
        <f t="shared" ref="CS481:CS482" si="1112">CN481+CQ481-CR481</f>
        <v>2</v>
      </c>
      <c r="CT481" s="121"/>
      <c r="CU481" s="6"/>
      <c r="CV481" s="35"/>
      <c r="CW481" s="612"/>
      <c r="CX481" s="121"/>
      <c r="CY481" s="6"/>
      <c r="CZ481" s="35"/>
      <c r="DA481" s="612"/>
      <c r="DB481" s="121"/>
      <c r="DC481" s="6"/>
      <c r="DD481" s="35"/>
      <c r="DE481" s="234"/>
      <c r="DF481" s="234"/>
      <c r="DG481" s="395">
        <f t="shared" si="1096"/>
        <v>2</v>
      </c>
      <c r="DH481" s="32">
        <f t="shared" si="1097"/>
        <v>2</v>
      </c>
      <c r="DI481" s="298">
        <f>DI275</f>
        <v>0</v>
      </c>
      <c r="DJ481" s="7">
        <f t="shared" si="1098"/>
        <v>-2</v>
      </c>
      <c r="DK481" s="240"/>
      <c r="DL481" s="240"/>
      <c r="DM481" s="231">
        <f t="shared" si="1099"/>
        <v>2</v>
      </c>
    </row>
    <row r="482" spans="1:117" ht="30" x14ac:dyDescent="0.25">
      <c r="A482" s="18"/>
      <c r="B482" s="15" t="s">
        <v>569</v>
      </c>
      <c r="C482" s="18"/>
      <c r="D482" s="15" t="s">
        <v>635</v>
      </c>
      <c r="E482" s="15"/>
      <c r="F482" s="149">
        <v>1009.44</v>
      </c>
      <c r="G482" s="11" t="s">
        <v>10</v>
      </c>
      <c r="H482" s="18"/>
      <c r="I482" s="18"/>
      <c r="J482" s="530">
        <f t="shared" si="1076"/>
        <v>-1</v>
      </c>
      <c r="K482" s="395">
        <f t="shared" si="1077"/>
        <v>-10</v>
      </c>
      <c r="L482" s="544">
        <v>11</v>
      </c>
      <c r="M482" s="298">
        <f>M481</f>
        <v>1</v>
      </c>
      <c r="N482" s="7">
        <f t="shared" si="1100"/>
        <v>-10</v>
      </c>
      <c r="O482" s="240"/>
      <c r="P482" s="240">
        <f>1</f>
        <v>1</v>
      </c>
      <c r="Q482" s="231">
        <f t="shared" si="1101"/>
        <v>10</v>
      </c>
      <c r="R482" s="121"/>
      <c r="S482" s="6"/>
      <c r="T482" s="35"/>
      <c r="U482" s="612"/>
      <c r="V482" s="121"/>
      <c r="W482" s="6"/>
      <c r="X482" s="35"/>
      <c r="Y482" s="612"/>
      <c r="Z482" s="121"/>
      <c r="AA482" s="6"/>
      <c r="AB482" s="35"/>
      <c r="AC482" s="231"/>
      <c r="AD482" s="231"/>
      <c r="AE482" s="398">
        <f t="shared" si="1080"/>
        <v>-9</v>
      </c>
      <c r="AF482" s="29">
        <f t="shared" si="1081"/>
        <v>10</v>
      </c>
      <c r="AG482" s="298">
        <f>AG481</f>
        <v>1</v>
      </c>
      <c r="AH482" s="7">
        <f t="shared" si="1102"/>
        <v>-9</v>
      </c>
      <c r="AI482" s="258"/>
      <c r="AJ482" s="240">
        <f>1</f>
        <v>1</v>
      </c>
      <c r="AK482" s="231">
        <f t="shared" si="1103"/>
        <v>9</v>
      </c>
      <c r="AL482" s="121"/>
      <c r="AM482" s="6"/>
      <c r="AN482" s="35"/>
      <c r="AO482" s="612"/>
      <c r="AP482" s="121"/>
      <c r="AQ482" s="6"/>
      <c r="AR482" s="35"/>
      <c r="AS482" s="612"/>
      <c r="AT482" s="121"/>
      <c r="AU482" s="6"/>
      <c r="AV482" s="35"/>
      <c r="AW482" s="234"/>
      <c r="AX482" s="234"/>
      <c r="AY482" s="395">
        <f t="shared" si="1084"/>
        <v>-7</v>
      </c>
      <c r="AZ482" s="29">
        <f t="shared" si="1104"/>
        <v>9</v>
      </c>
      <c r="BA482" s="298">
        <f>BA481</f>
        <v>2</v>
      </c>
      <c r="BB482" s="7">
        <f t="shared" si="1105"/>
        <v>-7</v>
      </c>
      <c r="BC482" s="7"/>
      <c r="BD482" s="240">
        <f>1+1+1</f>
        <v>3</v>
      </c>
      <c r="BE482" s="231">
        <f t="shared" si="1106"/>
        <v>6</v>
      </c>
      <c r="BF482" s="121"/>
      <c r="BG482" s="6"/>
      <c r="BH482" s="35"/>
      <c r="BI482" s="612"/>
      <c r="BJ482" s="121"/>
      <c r="BK482" s="6"/>
      <c r="BL482" s="35"/>
      <c r="BM482" s="612"/>
      <c r="BN482" s="121"/>
      <c r="BO482" s="6"/>
      <c r="BP482" s="35"/>
      <c r="BQ482" s="234"/>
      <c r="BR482" s="234"/>
      <c r="BS482" s="395">
        <f t="shared" si="1088"/>
        <v>-11</v>
      </c>
      <c r="BT482" s="29">
        <f t="shared" si="1107"/>
        <v>6</v>
      </c>
      <c r="BU482" s="298">
        <f>BU481</f>
        <v>6</v>
      </c>
      <c r="BV482" s="7">
        <f t="shared" si="1108"/>
        <v>0</v>
      </c>
      <c r="BW482" s="621">
        <v>10</v>
      </c>
      <c r="BX482" s="240">
        <f>1</f>
        <v>1</v>
      </c>
      <c r="BY482" s="231">
        <f t="shared" si="1109"/>
        <v>15</v>
      </c>
      <c r="BZ482" s="121"/>
      <c r="CA482" s="6"/>
      <c r="CB482" s="35"/>
      <c r="CC482" s="612"/>
      <c r="CD482" s="121"/>
      <c r="CE482" s="663">
        <v>9569.57</v>
      </c>
      <c r="CF482" s="664" t="s">
        <v>900</v>
      </c>
      <c r="CG482" s="773"/>
      <c r="CH482" s="121"/>
      <c r="CI482" s="6"/>
      <c r="CJ482" s="35"/>
      <c r="CK482" s="234"/>
      <c r="CL482" s="234"/>
      <c r="CM482" s="395">
        <f t="shared" si="1092"/>
        <v>-11</v>
      </c>
      <c r="CN482" s="29">
        <f t="shared" si="1110"/>
        <v>15</v>
      </c>
      <c r="CO482" s="298">
        <f>CO481</f>
        <v>0</v>
      </c>
      <c r="CP482" s="7">
        <f t="shared" si="1111"/>
        <v>-15</v>
      </c>
      <c r="CQ482" s="240"/>
      <c r="CR482" s="240"/>
      <c r="CS482" s="231">
        <f t="shared" si="1112"/>
        <v>15</v>
      </c>
      <c r="CT482" s="121"/>
      <c r="CU482" s="6"/>
      <c r="CV482" s="35"/>
      <c r="CW482" s="612"/>
      <c r="CX482" s="121"/>
      <c r="CY482" s="6"/>
      <c r="CZ482" s="35"/>
      <c r="DA482" s="612"/>
      <c r="DB482" s="121"/>
      <c r="DC482" s="6"/>
      <c r="DD482" s="35"/>
      <c r="DE482" s="234"/>
      <c r="DF482" s="234"/>
      <c r="DG482" s="395">
        <f t="shared" si="1096"/>
        <v>-11</v>
      </c>
      <c r="DH482" s="32">
        <f t="shared" si="1097"/>
        <v>15</v>
      </c>
      <c r="DI482" s="298">
        <f>DI481</f>
        <v>0</v>
      </c>
      <c r="DJ482" s="7">
        <f t="shared" si="1098"/>
        <v>-15</v>
      </c>
      <c r="DK482" s="240"/>
      <c r="DL482" s="240"/>
      <c r="DM482" s="231">
        <f t="shared" si="1099"/>
        <v>15</v>
      </c>
    </row>
    <row r="483" spans="1:117" ht="45" x14ac:dyDescent="0.25">
      <c r="A483" s="18"/>
      <c r="B483" s="15" t="s">
        <v>634</v>
      </c>
      <c r="C483" s="18"/>
      <c r="D483" s="15" t="s">
        <v>635</v>
      </c>
      <c r="E483" s="15"/>
      <c r="F483" s="149"/>
      <c r="G483" s="11" t="s">
        <v>198</v>
      </c>
      <c r="H483" s="18"/>
      <c r="I483" s="18"/>
      <c r="J483" s="530">
        <f t="shared" si="1076"/>
        <v>-103</v>
      </c>
      <c r="K483" s="395">
        <f t="shared" si="1077"/>
        <v>-112</v>
      </c>
      <c r="L483" s="544">
        <v>113</v>
      </c>
      <c r="M483" s="298">
        <f>M482</f>
        <v>1</v>
      </c>
      <c r="N483" s="7">
        <f t="shared" ref="N483" si="1113">M483-L483</f>
        <v>-112</v>
      </c>
      <c r="O483" s="240"/>
      <c r="P483" s="303">
        <f>P482</f>
        <v>1</v>
      </c>
      <c r="Q483" s="231">
        <f t="shared" ref="Q483" si="1114">L483+O483-P483</f>
        <v>112</v>
      </c>
      <c r="R483" s="121"/>
      <c r="S483" s="6"/>
      <c r="T483" s="35"/>
      <c r="U483" s="612"/>
      <c r="V483" s="121"/>
      <c r="W483" s="6"/>
      <c r="X483" s="35"/>
      <c r="Y483" s="612"/>
      <c r="Z483" s="121"/>
      <c r="AA483" s="6"/>
      <c r="AB483" s="35"/>
      <c r="AC483" s="231"/>
      <c r="AD483" s="231"/>
      <c r="AE483" s="398">
        <f t="shared" si="1080"/>
        <v>-111</v>
      </c>
      <c r="AF483" s="29">
        <f t="shared" si="1081"/>
        <v>112</v>
      </c>
      <c r="AG483" s="298">
        <f>AG482</f>
        <v>1</v>
      </c>
      <c r="AH483" s="7">
        <f t="shared" ref="AH483" si="1115">AG483-AF483</f>
        <v>-111</v>
      </c>
      <c r="AI483" s="7"/>
      <c r="AJ483" s="303">
        <f>AJ482</f>
        <v>1</v>
      </c>
      <c r="AK483" s="231">
        <f t="shared" ref="AK483" si="1116">AF483+AI483-AJ483</f>
        <v>111</v>
      </c>
      <c r="AL483" s="121"/>
      <c r="AM483" s="6"/>
      <c r="AN483" s="35"/>
      <c r="AO483" s="612"/>
      <c r="AP483" s="121"/>
      <c r="AQ483" s="6"/>
      <c r="AR483" s="35"/>
      <c r="AS483" s="612"/>
      <c r="AT483" s="121"/>
      <c r="AU483" s="6"/>
      <c r="AV483" s="35"/>
      <c r="AW483" s="234"/>
      <c r="AX483" s="234"/>
      <c r="AY483" s="395">
        <f t="shared" si="1084"/>
        <v>-109</v>
      </c>
      <c r="AZ483" s="29">
        <f t="shared" ref="AZ483" si="1117">AK483</f>
        <v>111</v>
      </c>
      <c r="BA483" s="298">
        <f>BA482</f>
        <v>2</v>
      </c>
      <c r="BB483" s="7">
        <f t="shared" ref="BB483" si="1118">BA483-AZ483</f>
        <v>-109</v>
      </c>
      <c r="BC483" s="7"/>
      <c r="BD483" s="303">
        <f>BD482</f>
        <v>3</v>
      </c>
      <c r="BE483" s="231">
        <f t="shared" ref="BE483" si="1119">AZ483+BC483-BD483</f>
        <v>108</v>
      </c>
      <c r="BF483" s="121"/>
      <c r="BG483" s="6"/>
      <c r="BH483" s="35"/>
      <c r="BI483" s="612"/>
      <c r="BJ483" s="121"/>
      <c r="BK483" s="6"/>
      <c r="BL483" s="35"/>
      <c r="BM483" s="612"/>
      <c r="BN483" s="121"/>
      <c r="BO483" s="6"/>
      <c r="BP483" s="35"/>
      <c r="BQ483" s="234"/>
      <c r="BR483" s="234"/>
      <c r="BS483" s="395">
        <f t="shared" si="1088"/>
        <v>-103</v>
      </c>
      <c r="BT483" s="29">
        <f t="shared" ref="BT483" si="1120">BE483</f>
        <v>108</v>
      </c>
      <c r="BU483" s="298">
        <f>BU482</f>
        <v>6</v>
      </c>
      <c r="BV483" s="7">
        <f t="shared" ref="BV483" si="1121">BU483-BT483</f>
        <v>-102</v>
      </c>
      <c r="BW483" s="240"/>
      <c r="BX483" s="303">
        <f>BX482</f>
        <v>1</v>
      </c>
      <c r="BY483" s="231">
        <f t="shared" ref="BY483" si="1122">BT483+BW483-BX483</f>
        <v>107</v>
      </c>
      <c r="BZ483" s="121"/>
      <c r="CA483" s="6"/>
      <c r="CB483" s="35"/>
      <c r="CC483" s="612"/>
      <c r="CD483" s="121"/>
      <c r="CE483" s="6"/>
      <c r="CF483" s="35"/>
      <c r="CG483" s="612"/>
      <c r="CH483" s="121"/>
      <c r="CI483" s="6"/>
      <c r="CJ483" s="35"/>
      <c r="CK483" s="234"/>
      <c r="CL483" s="234"/>
      <c r="CM483" s="395">
        <f t="shared" si="1092"/>
        <v>-103</v>
      </c>
      <c r="CN483" s="29">
        <f t="shared" ref="CN483" si="1123">BY483</f>
        <v>107</v>
      </c>
      <c r="CO483" s="298">
        <f>CO482</f>
        <v>0</v>
      </c>
      <c r="CP483" s="7">
        <f t="shared" ref="CP483" si="1124">CO483-CN483</f>
        <v>-107</v>
      </c>
      <c r="CQ483" s="240"/>
      <c r="CR483" s="303">
        <f>CR482</f>
        <v>0</v>
      </c>
      <c r="CS483" s="231">
        <f t="shared" ref="CS483" si="1125">CN483+CQ483-CR483</f>
        <v>107</v>
      </c>
      <c r="CT483" s="121"/>
      <c r="CU483" s="6"/>
      <c r="CV483" s="35"/>
      <c r="CW483" s="612"/>
      <c r="CX483" s="121"/>
      <c r="CY483" s="6"/>
      <c r="CZ483" s="35"/>
      <c r="DA483" s="612"/>
      <c r="DB483" s="121"/>
      <c r="DC483" s="6"/>
      <c r="DD483" s="35"/>
      <c r="DE483" s="234"/>
      <c r="DF483" s="234"/>
      <c r="DG483" s="395">
        <f t="shared" si="1096"/>
        <v>-103</v>
      </c>
      <c r="DH483" s="32">
        <f t="shared" si="1097"/>
        <v>107</v>
      </c>
      <c r="DI483" s="298">
        <f>DI482</f>
        <v>0</v>
      </c>
      <c r="DJ483" s="7">
        <f t="shared" si="1098"/>
        <v>-107</v>
      </c>
      <c r="DK483" s="240"/>
      <c r="DL483" s="303">
        <f>DL482</f>
        <v>0</v>
      </c>
      <c r="DM483" s="231">
        <f t="shared" si="1099"/>
        <v>107</v>
      </c>
    </row>
    <row r="484" spans="1:117" ht="89.45" customHeight="1" x14ac:dyDescent="0.25">
      <c r="A484" s="17">
        <v>12582</v>
      </c>
      <c r="B484" s="10" t="s">
        <v>107</v>
      </c>
      <c r="C484" s="17"/>
      <c r="D484" s="80" t="s">
        <v>652</v>
      </c>
      <c r="E484" s="80"/>
      <c r="F484" s="337">
        <v>43700</v>
      </c>
      <c r="G484" s="10" t="s">
        <v>91</v>
      </c>
      <c r="H484" s="24" t="s">
        <v>552</v>
      </c>
      <c r="I484" s="24"/>
      <c r="J484" s="530">
        <f t="shared" si="1076"/>
        <v>-1</v>
      </c>
      <c r="K484" s="395">
        <f t="shared" si="1077"/>
        <v>-19</v>
      </c>
      <c r="L484" s="544">
        <v>21</v>
      </c>
      <c r="M484" s="302">
        <f>M272+M273*2+M275*2+M385</f>
        <v>2</v>
      </c>
      <c r="N484" s="7">
        <f>M484-L484</f>
        <v>-19</v>
      </c>
      <c r="O484" s="242"/>
      <c r="P484" s="242">
        <f>2</f>
        <v>2</v>
      </c>
      <c r="Q484" s="231">
        <f>L484+O484-P484</f>
        <v>19</v>
      </c>
      <c r="R484" s="123"/>
      <c r="S484" s="8"/>
      <c r="T484" s="447"/>
      <c r="U484" s="728"/>
      <c r="V484" s="123"/>
      <c r="W484" s="8"/>
      <c r="X484" s="313"/>
      <c r="Y484" s="716"/>
      <c r="Z484" s="20"/>
      <c r="AA484" s="8"/>
      <c r="AB484" s="34"/>
      <c r="AC484" s="234"/>
      <c r="AD484" s="234"/>
      <c r="AE484" s="395">
        <f t="shared" si="1080"/>
        <v>-17</v>
      </c>
      <c r="AF484" s="29">
        <f t="shared" si="1081"/>
        <v>19</v>
      </c>
      <c r="AG484" s="302">
        <f>AG272+AG273*2+AG275*2+AG385</f>
        <v>2</v>
      </c>
      <c r="AH484" s="7">
        <f>AG484-AF484</f>
        <v>-17</v>
      </c>
      <c r="AI484" s="258"/>
      <c r="AJ484" s="242">
        <f>2</f>
        <v>2</v>
      </c>
      <c r="AK484" s="231">
        <f>AF484+AI484-AJ484</f>
        <v>17</v>
      </c>
      <c r="AL484" s="20"/>
      <c r="AM484" s="8"/>
      <c r="AN484" s="34"/>
      <c r="AO484" s="713"/>
      <c r="AP484" s="123"/>
      <c r="AQ484" s="8"/>
      <c r="AR484" s="34"/>
      <c r="AS484" s="713"/>
      <c r="AT484" s="20"/>
      <c r="AU484" s="8"/>
      <c r="AV484" s="34"/>
      <c r="AW484" s="234"/>
      <c r="AX484" s="234"/>
      <c r="AY484" s="395">
        <f t="shared" si="1084"/>
        <v>-13</v>
      </c>
      <c r="AZ484" s="29">
        <f>AK484</f>
        <v>17</v>
      </c>
      <c r="BA484" s="302">
        <f>BA272+BA273*2+BA275*2+BA385</f>
        <v>4</v>
      </c>
      <c r="BB484" s="7">
        <f>BA484-AZ484</f>
        <v>-13</v>
      </c>
      <c r="BC484" s="242"/>
      <c r="BD484" s="242">
        <f>2+2+2</f>
        <v>6</v>
      </c>
      <c r="BE484" s="231">
        <f>AZ484+BC484-BD484</f>
        <v>11</v>
      </c>
      <c r="BF484" s="20"/>
      <c r="BG484" s="8"/>
      <c r="BH484" s="34"/>
      <c r="BI484" s="713"/>
      <c r="BJ484" s="123"/>
      <c r="BK484" s="8"/>
      <c r="BL484" s="447"/>
      <c r="BM484" s="728"/>
      <c r="BN484" s="20"/>
      <c r="BO484" s="8"/>
      <c r="BP484" s="447"/>
      <c r="BQ484" s="767"/>
      <c r="BR484" s="767"/>
      <c r="BS484" s="395">
        <f t="shared" si="1088"/>
        <v>-11</v>
      </c>
      <c r="BT484" s="29">
        <f>BE484</f>
        <v>11</v>
      </c>
      <c r="BU484" s="302">
        <f>BU272+BU273*2+BU275*2+BU385</f>
        <v>12</v>
      </c>
      <c r="BV484" s="7">
        <f>BU484-BT484</f>
        <v>1</v>
      </c>
      <c r="BW484" s="623">
        <v>10</v>
      </c>
      <c r="BX484" s="242">
        <f>2</f>
        <v>2</v>
      </c>
      <c r="BY484" s="231">
        <f>BT484+BW484-BX484</f>
        <v>19</v>
      </c>
      <c r="BZ484" s="20"/>
      <c r="CA484" s="8"/>
      <c r="CB484" s="447"/>
      <c r="CC484" s="728"/>
      <c r="CD484" s="686">
        <v>284050</v>
      </c>
      <c r="CE484" s="154"/>
      <c r="CF484" s="658" t="s">
        <v>821</v>
      </c>
      <c r="CG484" s="796"/>
      <c r="CH484" s="123"/>
      <c r="CI484" s="8"/>
      <c r="CJ484" s="447" t="s">
        <v>916</v>
      </c>
      <c r="CK484" s="767"/>
      <c r="CL484" s="767"/>
      <c r="CM484" s="395">
        <f t="shared" si="1092"/>
        <v>-16</v>
      </c>
      <c r="CN484" s="29">
        <f>BY484</f>
        <v>19</v>
      </c>
      <c r="CO484" s="302">
        <f>CO272+CO273*2+CO275*2+CO385</f>
        <v>0</v>
      </c>
      <c r="CP484" s="7">
        <f>CO484-CN484</f>
        <v>-19</v>
      </c>
      <c r="CQ484" s="240">
        <v>5</v>
      </c>
      <c r="CR484" s="242"/>
      <c r="CS484" s="231">
        <f>CN484+CQ484-CR484</f>
        <v>24</v>
      </c>
      <c r="CT484" s="123"/>
      <c r="CU484" s="8"/>
      <c r="CV484" s="34" t="s">
        <v>916</v>
      </c>
      <c r="CW484" s="713"/>
      <c r="CX484" s="123"/>
      <c r="CY484" s="633">
        <v>230000</v>
      </c>
      <c r="CZ484" s="642" t="s">
        <v>822</v>
      </c>
      <c r="DA484" s="782"/>
      <c r="DB484" s="20">
        <v>218500</v>
      </c>
      <c r="DC484" s="8"/>
      <c r="DD484" s="34" t="s">
        <v>939</v>
      </c>
      <c r="DE484" s="234"/>
      <c r="DF484" s="234"/>
      <c r="DG484" s="395">
        <f t="shared" si="1096"/>
        <v>-16</v>
      </c>
      <c r="DH484" s="32">
        <f t="shared" si="1097"/>
        <v>19</v>
      </c>
      <c r="DI484" s="302">
        <f>DI272+DI273*2+DI275*2+DI385</f>
        <v>0</v>
      </c>
      <c r="DJ484" s="7">
        <f>DI484-DH484</f>
        <v>-19</v>
      </c>
      <c r="DK484" s="256"/>
      <c r="DL484" s="242"/>
      <c r="DM484" s="231">
        <f>DH484+DK484-DL484</f>
        <v>19</v>
      </c>
    </row>
    <row r="485" spans="1:117" ht="75" x14ac:dyDescent="0.25">
      <c r="A485" s="17"/>
      <c r="B485" s="10" t="s">
        <v>621</v>
      </c>
      <c r="C485" s="17"/>
      <c r="D485" s="80" t="s">
        <v>670</v>
      </c>
      <c r="E485" s="80"/>
      <c r="F485" s="337">
        <v>80</v>
      </c>
      <c r="G485" s="518" t="s">
        <v>757</v>
      </c>
      <c r="H485" s="24"/>
      <c r="I485" s="24"/>
      <c r="J485" s="530">
        <f t="shared" si="1076"/>
        <v>-1</v>
      </c>
      <c r="K485" s="395">
        <f t="shared" si="1077"/>
        <v>-19</v>
      </c>
      <c r="L485" s="544">
        <v>21</v>
      </c>
      <c r="M485" s="302">
        <f>M484+M274*2</f>
        <v>2</v>
      </c>
      <c r="N485" s="7">
        <f>M485-L485</f>
        <v>-19</v>
      </c>
      <c r="O485" s="240"/>
      <c r="P485" s="242">
        <f>2</f>
        <v>2</v>
      </c>
      <c r="Q485" s="231">
        <f>L485+O485-P485</f>
        <v>19</v>
      </c>
      <c r="R485" s="123"/>
      <c r="S485" s="8"/>
      <c r="T485" s="34"/>
      <c r="U485" s="713"/>
      <c r="V485" s="123"/>
      <c r="W485" s="8"/>
      <c r="X485" s="34"/>
      <c r="Y485" s="713"/>
      <c r="Z485" s="20"/>
      <c r="AA485" s="8"/>
      <c r="AB485" s="415"/>
      <c r="AC485" s="619"/>
      <c r="AD485" s="619"/>
      <c r="AE485" s="395">
        <f t="shared" si="1080"/>
        <v>-17</v>
      </c>
      <c r="AF485" s="29">
        <f t="shared" si="1081"/>
        <v>19</v>
      </c>
      <c r="AG485" s="302">
        <f>AG484+AG274*2</f>
        <v>2</v>
      </c>
      <c r="AH485" s="7">
        <f>AG485-AF485</f>
        <v>-17</v>
      </c>
      <c r="AI485" s="258"/>
      <c r="AJ485" s="242">
        <f>2</f>
        <v>2</v>
      </c>
      <c r="AK485" s="231">
        <f>AF485+AI485-AJ485</f>
        <v>17</v>
      </c>
      <c r="AL485" s="123"/>
      <c r="AM485" s="416"/>
      <c r="AN485" s="415"/>
      <c r="AP485" s="123"/>
      <c r="AQ485" s="8"/>
      <c r="AR485" s="34"/>
      <c r="AS485" s="713"/>
      <c r="AT485" s="20"/>
      <c r="AU485" s="8"/>
      <c r="AV485" s="34"/>
      <c r="AW485" s="234"/>
      <c r="AX485" s="234"/>
      <c r="AY485" s="395">
        <f t="shared" si="1084"/>
        <v>-13</v>
      </c>
      <c r="AZ485" s="29">
        <f>AK485</f>
        <v>17</v>
      </c>
      <c r="BA485" s="302">
        <f>BA484+BA274*2</f>
        <v>4</v>
      </c>
      <c r="BB485" s="7">
        <f>BA485-AZ485</f>
        <v>-13</v>
      </c>
      <c r="BC485" s="240"/>
      <c r="BD485" s="242">
        <f>2+2+2</f>
        <v>6</v>
      </c>
      <c r="BE485" s="231">
        <f>AZ485+BC485-BD485</f>
        <v>11</v>
      </c>
      <c r="BF485" s="123"/>
      <c r="BG485" s="8"/>
      <c r="BH485" s="34"/>
      <c r="BI485" s="713"/>
      <c r="BJ485" s="123"/>
      <c r="BK485" s="8"/>
      <c r="BL485" s="34"/>
      <c r="BM485" s="713"/>
      <c r="BN485" s="20"/>
      <c r="BO485" s="8"/>
      <c r="BP485" s="34"/>
      <c r="BQ485" s="234"/>
      <c r="BR485" s="234"/>
      <c r="BS485" s="395">
        <f t="shared" si="1088"/>
        <v>-1</v>
      </c>
      <c r="BT485" s="29">
        <f>BE485</f>
        <v>11</v>
      </c>
      <c r="BU485" s="302">
        <f>BU484+BU274*2</f>
        <v>12</v>
      </c>
      <c r="BV485" s="7">
        <f>BU485-BT485</f>
        <v>1</v>
      </c>
      <c r="BW485" s="242"/>
      <c r="BX485" s="242">
        <f>1</f>
        <v>1</v>
      </c>
      <c r="BY485" s="231">
        <f>BT485+BW485-BX485</f>
        <v>10</v>
      </c>
      <c r="BZ485" s="123"/>
      <c r="CA485" s="8"/>
      <c r="CB485" s="34"/>
      <c r="CC485" s="713"/>
      <c r="CD485" s="123"/>
      <c r="CE485" s="213"/>
      <c r="CF485" s="212"/>
      <c r="CG485" s="797"/>
      <c r="CH485" s="20"/>
      <c r="CI485" s="8"/>
      <c r="CJ485" s="34"/>
      <c r="CK485" s="234"/>
      <c r="CL485" s="234"/>
      <c r="CM485" s="395">
        <f t="shared" si="1092"/>
        <v>-11</v>
      </c>
      <c r="CN485" s="29">
        <f>BY485</f>
        <v>10</v>
      </c>
      <c r="CO485" s="302">
        <f>CO484+CO274*2</f>
        <v>0</v>
      </c>
      <c r="CP485" s="7">
        <f>CO485-CN485</f>
        <v>-10</v>
      </c>
      <c r="CQ485" s="242">
        <v>10</v>
      </c>
      <c r="CR485" s="242"/>
      <c r="CS485" s="231">
        <f>CN485+CQ485-CR485</f>
        <v>20</v>
      </c>
      <c r="CT485" s="123"/>
      <c r="CU485" s="213">
        <v>800</v>
      </c>
      <c r="CV485" s="212" t="s">
        <v>900</v>
      </c>
      <c r="CW485" s="797"/>
      <c r="CX485" s="123"/>
      <c r="CY485" s="8"/>
      <c r="CZ485" s="34"/>
      <c r="DA485" s="713"/>
      <c r="DB485" s="20"/>
      <c r="DC485" s="8"/>
      <c r="DD485" s="34"/>
      <c r="DE485" s="234"/>
      <c r="DF485" s="234"/>
      <c r="DG485" s="395">
        <f t="shared" si="1096"/>
        <v>-11</v>
      </c>
      <c r="DH485" s="32">
        <f t="shared" si="1097"/>
        <v>10</v>
      </c>
      <c r="DI485" s="302">
        <f>DI484+DI274*2</f>
        <v>0</v>
      </c>
      <c r="DJ485" s="7">
        <f>DI485-DH485</f>
        <v>-10</v>
      </c>
      <c r="DK485" s="242"/>
      <c r="DL485" s="242"/>
      <c r="DM485" s="231">
        <f>DH485+DK485-DL485</f>
        <v>10</v>
      </c>
    </row>
    <row r="486" spans="1:117" x14ac:dyDescent="0.25">
      <c r="A486" s="75"/>
      <c r="B486" s="274" t="s">
        <v>464</v>
      </c>
      <c r="C486" s="75"/>
      <c r="D486" s="274" t="s">
        <v>369</v>
      </c>
      <c r="E486" s="274"/>
      <c r="F486" s="275"/>
      <c r="G486" s="76" t="s">
        <v>198</v>
      </c>
      <c r="H486" s="75"/>
      <c r="I486" s="75"/>
      <c r="J486" s="530">
        <f t="shared" si="1076"/>
        <v>2</v>
      </c>
      <c r="K486" s="395">
        <f t="shared" si="1077"/>
        <v>-7</v>
      </c>
      <c r="L486" s="544">
        <v>8</v>
      </c>
      <c r="M486" s="299">
        <f>M274+M275</f>
        <v>1</v>
      </c>
      <c r="N486" s="5">
        <f t="shared" si="1078"/>
        <v>-7</v>
      </c>
      <c r="O486" s="240"/>
      <c r="P486" s="240">
        <f>1</f>
        <v>1</v>
      </c>
      <c r="Q486" s="233">
        <f t="shared" si="1079"/>
        <v>7</v>
      </c>
      <c r="R486" s="121"/>
      <c r="S486" s="6"/>
      <c r="T486" s="35"/>
      <c r="U486" s="612"/>
      <c r="V486" s="121"/>
      <c r="W486" s="6"/>
      <c r="X486" s="35"/>
      <c r="Y486" s="612"/>
      <c r="Z486" s="121"/>
      <c r="AA486" s="6"/>
      <c r="AB486" s="35"/>
      <c r="AC486" s="231"/>
      <c r="AD486" s="231"/>
      <c r="AE486" s="398">
        <f t="shared" si="1080"/>
        <v>-6</v>
      </c>
      <c r="AF486" s="29">
        <f t="shared" si="1081"/>
        <v>7</v>
      </c>
      <c r="AG486" s="299">
        <f>AG274+AG275</f>
        <v>1</v>
      </c>
      <c r="AH486" s="5">
        <f t="shared" si="1082"/>
        <v>-6</v>
      </c>
      <c r="AI486" s="258"/>
      <c r="AJ486" s="240">
        <f>1</f>
        <v>1</v>
      </c>
      <c r="AK486" s="233">
        <f t="shared" si="1083"/>
        <v>6</v>
      </c>
      <c r="AL486" s="121"/>
      <c r="AM486" s="6"/>
      <c r="AN486" s="35"/>
      <c r="AO486" s="612"/>
      <c r="AP486" s="121"/>
      <c r="AQ486" s="6"/>
      <c r="AR486" s="35"/>
      <c r="AS486" s="612"/>
      <c r="AT486" s="121"/>
      <c r="AU486" s="6"/>
      <c r="AV486" s="35"/>
      <c r="AW486" s="234"/>
      <c r="AX486" s="234"/>
      <c r="AY486" s="395">
        <f t="shared" si="1084"/>
        <v>-4</v>
      </c>
      <c r="AZ486" s="29">
        <f t="shared" si="1085"/>
        <v>6</v>
      </c>
      <c r="BA486" s="299">
        <f>BA274+BA275</f>
        <v>2</v>
      </c>
      <c r="BB486" s="5">
        <f t="shared" si="1086"/>
        <v>-4</v>
      </c>
      <c r="BC486" s="256"/>
      <c r="BD486" s="240">
        <f>1+1+1</f>
        <v>3</v>
      </c>
      <c r="BE486" s="233">
        <f t="shared" si="1087"/>
        <v>3</v>
      </c>
      <c r="BF486" s="121"/>
      <c r="BG486" s="6"/>
      <c r="BH486" s="35"/>
      <c r="BI486" s="612"/>
      <c r="BJ486" s="121"/>
      <c r="BK486" s="6"/>
      <c r="BL486" s="35"/>
      <c r="BM486" s="612"/>
      <c r="BN486" s="121"/>
      <c r="BO486" s="6"/>
      <c r="BP486" s="35"/>
      <c r="BQ486" s="234"/>
      <c r="BR486" s="234"/>
      <c r="BS486" s="395">
        <f t="shared" si="1088"/>
        <v>2</v>
      </c>
      <c r="BT486" s="29">
        <f t="shared" si="1089"/>
        <v>3</v>
      </c>
      <c r="BU486" s="299">
        <f>BU274+BU275</f>
        <v>6</v>
      </c>
      <c r="BV486" s="5">
        <f t="shared" si="1090"/>
        <v>3</v>
      </c>
      <c r="BW486" s="256"/>
      <c r="BX486" s="240">
        <f>1</f>
        <v>1</v>
      </c>
      <c r="BY486" s="233">
        <f t="shared" si="1091"/>
        <v>2</v>
      </c>
      <c r="BZ486" s="121"/>
      <c r="CA486" s="6"/>
      <c r="CB486" s="35"/>
      <c r="CC486" s="612"/>
      <c r="CD486" s="121"/>
      <c r="CE486" s="6"/>
      <c r="CF486" s="35"/>
      <c r="CG486" s="612"/>
      <c r="CH486" s="121"/>
      <c r="CI486" s="6"/>
      <c r="CJ486" s="35"/>
      <c r="CK486" s="234"/>
      <c r="CL486" s="234"/>
      <c r="CM486" s="395">
        <f t="shared" si="1092"/>
        <v>2</v>
      </c>
      <c r="CN486" s="29">
        <f t="shared" si="1093"/>
        <v>2</v>
      </c>
      <c r="CO486" s="299">
        <f>CO274+CO275</f>
        <v>0</v>
      </c>
      <c r="CP486" s="5">
        <f t="shared" si="1094"/>
        <v>-2</v>
      </c>
      <c r="CQ486" s="240"/>
      <c r="CR486" s="240"/>
      <c r="CS486" s="233">
        <f t="shared" si="1095"/>
        <v>2</v>
      </c>
      <c r="CT486" s="121"/>
      <c r="CU486" s="6"/>
      <c r="CV486" s="35"/>
      <c r="CW486" s="612"/>
      <c r="CX486" s="121"/>
      <c r="CY486" s="6"/>
      <c r="CZ486" s="35"/>
      <c r="DA486" s="612"/>
      <c r="DB486" s="121"/>
      <c r="DC486" s="6"/>
      <c r="DD486" s="35"/>
      <c r="DE486" s="234"/>
      <c r="DF486" s="234"/>
      <c r="DG486" s="395">
        <f t="shared" si="1096"/>
        <v>2</v>
      </c>
      <c r="DH486" s="32">
        <f t="shared" si="1097"/>
        <v>2</v>
      </c>
      <c r="DI486" s="299">
        <f>DI274+DI275</f>
        <v>0</v>
      </c>
      <c r="DJ486" s="5">
        <f t="shared" ref="DJ486:DJ487" si="1126">DI486-DH486</f>
        <v>-2</v>
      </c>
      <c r="DK486" s="240"/>
      <c r="DL486" s="240"/>
      <c r="DM486" s="233">
        <f t="shared" ref="DM486:DM487" si="1127">DH486+DK486-DL486</f>
        <v>2</v>
      </c>
    </row>
    <row r="487" spans="1:117" ht="45" x14ac:dyDescent="0.25">
      <c r="A487" s="18">
        <v>2297</v>
      </c>
      <c r="B487" s="11" t="s">
        <v>454</v>
      </c>
      <c r="C487" s="18"/>
      <c r="D487" s="274" t="s">
        <v>660</v>
      </c>
      <c r="E487" s="274"/>
      <c r="F487" s="149"/>
      <c r="G487" s="23" t="s">
        <v>198</v>
      </c>
      <c r="H487" s="18"/>
      <c r="I487" s="18"/>
      <c r="J487" s="530">
        <f t="shared" si="1076"/>
        <v>8</v>
      </c>
      <c r="K487" s="395">
        <f t="shared" si="1077"/>
        <v>-1</v>
      </c>
      <c r="L487" s="544">
        <v>2</v>
      </c>
      <c r="M487" s="298">
        <f>M246+M275</f>
        <v>1</v>
      </c>
      <c r="N487" s="5">
        <f t="shared" si="1078"/>
        <v>-1</v>
      </c>
      <c r="O487" s="240"/>
      <c r="P487" s="240">
        <f>1</f>
        <v>1</v>
      </c>
      <c r="Q487" s="233">
        <f t="shared" si="1079"/>
        <v>1</v>
      </c>
      <c r="R487" s="121"/>
      <c r="S487" s="6"/>
      <c r="T487" s="35"/>
      <c r="U487" s="612"/>
      <c r="V487" s="121"/>
      <c r="W487" s="6"/>
      <c r="X487" s="35"/>
      <c r="Y487" s="612"/>
      <c r="Z487" s="121"/>
      <c r="AA487" s="6"/>
      <c r="AB487" s="35"/>
      <c r="AC487" s="231"/>
      <c r="AD487" s="231"/>
      <c r="AE487" s="398">
        <f t="shared" si="1080"/>
        <v>0</v>
      </c>
      <c r="AF487" s="29">
        <f t="shared" si="1081"/>
        <v>1</v>
      </c>
      <c r="AG487" s="298">
        <f>AG246+AG275</f>
        <v>1</v>
      </c>
      <c r="AH487" s="5">
        <f t="shared" si="1082"/>
        <v>0</v>
      </c>
      <c r="AI487" s="258"/>
      <c r="AJ487" s="240">
        <f>1</f>
        <v>1</v>
      </c>
      <c r="AK487" s="233">
        <f t="shared" si="1083"/>
        <v>0</v>
      </c>
      <c r="AL487" s="121"/>
      <c r="AM487" s="6"/>
      <c r="AN487" s="35"/>
      <c r="AO487" s="612"/>
      <c r="AP487" s="121"/>
      <c r="AQ487" s="6"/>
      <c r="AR487" s="35"/>
      <c r="AS487" s="612"/>
      <c r="AT487" s="121"/>
      <c r="AU487" s="6"/>
      <c r="AV487" s="35"/>
      <c r="AW487" s="234"/>
      <c r="AX487" s="234"/>
      <c r="AY487" s="395">
        <f t="shared" si="1084"/>
        <v>2</v>
      </c>
      <c r="AZ487" s="29">
        <f t="shared" si="1085"/>
        <v>0</v>
      </c>
      <c r="BA487" s="298">
        <f>BA246+BA275</f>
        <v>2</v>
      </c>
      <c r="BB487" s="5">
        <f t="shared" si="1086"/>
        <v>2</v>
      </c>
      <c r="BC487" s="425"/>
      <c r="BD487" s="240">
        <f>1+1+1</f>
        <v>3</v>
      </c>
      <c r="BE487" s="233">
        <f t="shared" si="1087"/>
        <v>-3</v>
      </c>
      <c r="BF487" s="121"/>
      <c r="BG487" s="6"/>
      <c r="BH487" s="35"/>
      <c r="BI487" s="612"/>
      <c r="BJ487" s="121"/>
      <c r="BK487" s="6"/>
      <c r="BL487" s="35"/>
      <c r="BM487" s="612"/>
      <c r="BN487" s="121"/>
      <c r="BO487" s="6"/>
      <c r="BP487" s="35"/>
      <c r="BQ487" s="234"/>
      <c r="BR487" s="234"/>
      <c r="BS487" s="395">
        <f t="shared" si="1088"/>
        <v>8</v>
      </c>
      <c r="BT487" s="29">
        <f t="shared" si="1089"/>
        <v>-3</v>
      </c>
      <c r="BU487" s="298">
        <f>BU246+BU275</f>
        <v>6</v>
      </c>
      <c r="BV487" s="5">
        <f t="shared" si="1090"/>
        <v>9</v>
      </c>
      <c r="BW487" s="256"/>
      <c r="BX487" s="240">
        <f>1</f>
        <v>1</v>
      </c>
      <c r="BY487" s="233">
        <f t="shared" si="1091"/>
        <v>-4</v>
      </c>
      <c r="BZ487" s="121"/>
      <c r="CA487" s="6"/>
      <c r="CB487" s="35"/>
      <c r="CC487" s="612"/>
      <c r="CD487" s="121"/>
      <c r="CE487" s="6"/>
      <c r="CF487" s="35"/>
      <c r="CG487" s="612"/>
      <c r="CH487" s="121"/>
      <c r="CI487" s="6"/>
      <c r="CJ487" s="35"/>
      <c r="CK487" s="234"/>
      <c r="CL487" s="234"/>
      <c r="CM487" s="395">
        <f t="shared" si="1092"/>
        <v>8</v>
      </c>
      <c r="CN487" s="29">
        <f t="shared" si="1093"/>
        <v>-4</v>
      </c>
      <c r="CO487" s="298">
        <f>CO246+CO275</f>
        <v>0</v>
      </c>
      <c r="CP487" s="5">
        <f t="shared" si="1094"/>
        <v>4</v>
      </c>
      <c r="CQ487" s="240"/>
      <c r="CR487" s="240"/>
      <c r="CS487" s="233">
        <f t="shared" si="1095"/>
        <v>-4</v>
      </c>
      <c r="CT487" s="121"/>
      <c r="CU487" s="6"/>
      <c r="CV487" s="35"/>
      <c r="CW487" s="612"/>
      <c r="CX487" s="121"/>
      <c r="CY487" s="6"/>
      <c r="CZ487" s="35"/>
      <c r="DA487" s="612"/>
      <c r="DB487" s="121"/>
      <c r="DC487" s="6"/>
      <c r="DD487" s="35"/>
      <c r="DE487" s="234"/>
      <c r="DF487" s="234"/>
      <c r="DG487" s="395">
        <f t="shared" si="1096"/>
        <v>8</v>
      </c>
      <c r="DH487" s="32">
        <f t="shared" si="1097"/>
        <v>-4</v>
      </c>
      <c r="DI487" s="298">
        <f>DI246+DI275</f>
        <v>0</v>
      </c>
      <c r="DJ487" s="5">
        <f t="shared" si="1126"/>
        <v>4</v>
      </c>
      <c r="DK487" s="240"/>
      <c r="DL487" s="240"/>
      <c r="DM487" s="233">
        <f t="shared" si="1127"/>
        <v>-4</v>
      </c>
    </row>
    <row r="488" spans="1:117" x14ac:dyDescent="0.25">
      <c r="A488" s="18"/>
      <c r="B488" s="15" t="s">
        <v>368</v>
      </c>
      <c r="C488" s="18"/>
      <c r="D488" s="274" t="s">
        <v>369</v>
      </c>
      <c r="E488" s="274"/>
      <c r="F488" s="149"/>
      <c r="G488" s="23" t="s">
        <v>198</v>
      </c>
      <c r="H488" s="18"/>
      <c r="I488" s="18"/>
      <c r="J488" s="530">
        <f t="shared" si="1076"/>
        <v>-10</v>
      </c>
      <c r="K488" s="395">
        <f t="shared" si="1077"/>
        <v>-19</v>
      </c>
      <c r="L488" s="544">
        <v>20</v>
      </c>
      <c r="M488" s="298">
        <f>M274+M275</f>
        <v>1</v>
      </c>
      <c r="N488" s="5">
        <f t="shared" ref="N488" si="1128">M488-L488</f>
        <v>-19</v>
      </c>
      <c r="O488" s="256"/>
      <c r="P488" s="240">
        <f>1</f>
        <v>1</v>
      </c>
      <c r="Q488" s="233">
        <f t="shared" ref="Q488" si="1129">L488+O488-P488</f>
        <v>19</v>
      </c>
      <c r="R488" s="121"/>
      <c r="S488" s="6"/>
      <c r="T488" s="35"/>
      <c r="U488" s="612"/>
      <c r="V488" s="121"/>
      <c r="W488" s="6"/>
      <c r="X488" s="35"/>
      <c r="Y488" s="612"/>
      <c r="Z488" s="121"/>
      <c r="AA488" s="6"/>
      <c r="AB488" s="35"/>
      <c r="AC488" s="231"/>
      <c r="AD488" s="231"/>
      <c r="AE488" s="398">
        <f t="shared" si="1080"/>
        <v>-18</v>
      </c>
      <c r="AF488" s="29">
        <f t="shared" si="1081"/>
        <v>19</v>
      </c>
      <c r="AG488" s="298">
        <f>AG274+AG275</f>
        <v>1</v>
      </c>
      <c r="AH488" s="5">
        <f>AG488-AF488</f>
        <v>-18</v>
      </c>
      <c r="AI488" s="240"/>
      <c r="AJ488" s="240">
        <f>1</f>
        <v>1</v>
      </c>
      <c r="AK488" s="233">
        <f>AF488+AI488-AJ488</f>
        <v>18</v>
      </c>
      <c r="AL488" s="121"/>
      <c r="AM488" s="6"/>
      <c r="AN488" s="35"/>
      <c r="AO488" s="612"/>
      <c r="AP488" s="121"/>
      <c r="AQ488" s="6"/>
      <c r="AR488" s="35"/>
      <c r="AS488" s="612"/>
      <c r="AT488" s="121"/>
      <c r="AU488" s="6"/>
      <c r="AV488" s="35"/>
      <c r="AW488" s="234"/>
      <c r="AX488" s="234"/>
      <c r="AY488" s="395">
        <f t="shared" si="1084"/>
        <v>-16</v>
      </c>
      <c r="AZ488" s="29">
        <f>AK488</f>
        <v>18</v>
      </c>
      <c r="BA488" s="298">
        <f>BA274+BA275</f>
        <v>2</v>
      </c>
      <c r="BB488" s="5">
        <f>BA488-AZ488</f>
        <v>-16</v>
      </c>
      <c r="BC488" s="256"/>
      <c r="BD488" s="240">
        <f>1+1+1</f>
        <v>3</v>
      </c>
      <c r="BE488" s="233">
        <f>AZ488+BC488-BD488</f>
        <v>15</v>
      </c>
      <c r="BF488" s="121"/>
      <c r="BG488" s="6"/>
      <c r="BH488" s="35"/>
      <c r="BI488" s="612"/>
      <c r="BJ488" s="121"/>
      <c r="BK488" s="6"/>
      <c r="BL488" s="35"/>
      <c r="BM488" s="612"/>
      <c r="BN488" s="121"/>
      <c r="BO488" s="6"/>
      <c r="BP488" s="35"/>
      <c r="BQ488" s="234"/>
      <c r="BR488" s="234"/>
      <c r="BS488" s="395">
        <f t="shared" si="1088"/>
        <v>-10</v>
      </c>
      <c r="BT488" s="29">
        <f>BE488</f>
        <v>15</v>
      </c>
      <c r="BU488" s="298">
        <f>BU274+BU275</f>
        <v>6</v>
      </c>
      <c r="BV488" s="5">
        <f>BU488-BT488</f>
        <v>-9</v>
      </c>
      <c r="BW488" s="256"/>
      <c r="BX488" s="240">
        <f>1</f>
        <v>1</v>
      </c>
      <c r="BY488" s="233">
        <f>BT488+BW488-BX488</f>
        <v>14</v>
      </c>
      <c r="BZ488" s="121"/>
      <c r="CA488" s="6"/>
      <c r="CB488" s="35"/>
      <c r="CC488" s="612"/>
      <c r="CD488" s="121"/>
      <c r="CE488" s="6"/>
      <c r="CF488" s="35"/>
      <c r="CG488" s="612"/>
      <c r="CH488" s="121"/>
      <c r="CI488" s="6"/>
      <c r="CJ488" s="35"/>
      <c r="CK488" s="234"/>
      <c r="CL488" s="234"/>
      <c r="CM488" s="395">
        <f t="shared" si="1092"/>
        <v>-10</v>
      </c>
      <c r="CN488" s="29">
        <f>BY488</f>
        <v>14</v>
      </c>
      <c r="CO488" s="298">
        <f>CO274+CO275</f>
        <v>0</v>
      </c>
      <c r="CP488" s="5">
        <f>CO488-CN488</f>
        <v>-14</v>
      </c>
      <c r="CQ488" s="240"/>
      <c r="CR488" s="240"/>
      <c r="CS488" s="233">
        <f>CN488+CQ488-CR488</f>
        <v>14</v>
      </c>
      <c r="CT488" s="121"/>
      <c r="CU488" s="6"/>
      <c r="CV488" s="35"/>
      <c r="CW488" s="612"/>
      <c r="CX488" s="121"/>
      <c r="CY488" s="6"/>
      <c r="CZ488" s="35"/>
      <c r="DA488" s="612"/>
      <c r="DB488" s="121"/>
      <c r="DC488" s="6"/>
      <c r="DD488" s="35"/>
      <c r="DE488" s="234"/>
      <c r="DF488" s="234"/>
      <c r="DG488" s="395">
        <f t="shared" si="1096"/>
        <v>-10</v>
      </c>
      <c r="DH488" s="32">
        <f t="shared" si="1097"/>
        <v>14</v>
      </c>
      <c r="DI488" s="298">
        <f>DI274+DI275</f>
        <v>0</v>
      </c>
      <c r="DJ488" s="5">
        <f>DI488-DH488</f>
        <v>-14</v>
      </c>
      <c r="DK488" s="240"/>
      <c r="DL488" s="240"/>
      <c r="DM488" s="233">
        <f>DH488+DK488-DL488</f>
        <v>14</v>
      </c>
    </row>
    <row r="489" spans="1:117" ht="60" x14ac:dyDescent="0.25">
      <c r="A489" s="18"/>
      <c r="B489" s="15" t="s">
        <v>336</v>
      </c>
      <c r="C489" s="18"/>
      <c r="D489" s="317" t="s">
        <v>499</v>
      </c>
      <c r="E489" s="317"/>
      <c r="F489" s="149"/>
      <c r="G489" s="23" t="s">
        <v>198</v>
      </c>
      <c r="H489" s="18"/>
      <c r="I489" s="18"/>
      <c r="J489" s="530">
        <f t="shared" si="1076"/>
        <v>-1</v>
      </c>
      <c r="K489" s="395">
        <f t="shared" si="1077"/>
        <v>-1</v>
      </c>
      <c r="L489" s="544">
        <v>1</v>
      </c>
      <c r="M489" s="298">
        <f>M273+M385</f>
        <v>0</v>
      </c>
      <c r="N489" s="5">
        <f t="shared" si="1078"/>
        <v>-1</v>
      </c>
      <c r="O489" s="256"/>
      <c r="P489" s="240"/>
      <c r="Q489" s="233">
        <f t="shared" si="1079"/>
        <v>1</v>
      </c>
      <c r="R489" s="121"/>
      <c r="S489" s="6"/>
      <c r="T489" s="35"/>
      <c r="U489" s="612"/>
      <c r="V489" s="121"/>
      <c r="W489" s="6"/>
      <c r="X489" s="35"/>
      <c r="Y489" s="612"/>
      <c r="Z489" s="121"/>
      <c r="AA489" s="6"/>
      <c r="AB489" s="35"/>
      <c r="AC489" s="231"/>
      <c r="AD489" s="231"/>
      <c r="AE489" s="398">
        <f t="shared" si="1080"/>
        <v>-1</v>
      </c>
      <c r="AF489" s="29">
        <f t="shared" si="1081"/>
        <v>1</v>
      </c>
      <c r="AG489" s="298">
        <f>AG273+AG385</f>
        <v>0</v>
      </c>
      <c r="AH489" s="5">
        <f t="shared" si="1082"/>
        <v>-1</v>
      </c>
      <c r="AI489" s="256"/>
      <c r="AJ489" s="240"/>
      <c r="AK489" s="233">
        <f t="shared" si="1083"/>
        <v>1</v>
      </c>
      <c r="AL489" s="121"/>
      <c r="AM489" s="6"/>
      <c r="AN489" s="35"/>
      <c r="AO489" s="612"/>
      <c r="AP489" s="121"/>
      <c r="AQ489" s="6"/>
      <c r="AR489" s="35"/>
      <c r="AS489" s="612"/>
      <c r="AT489" s="121"/>
      <c r="AU489" s="6"/>
      <c r="AV489" s="35"/>
      <c r="AW489" s="234"/>
      <c r="AX489" s="234"/>
      <c r="AY489" s="395">
        <f t="shared" si="1084"/>
        <v>-1</v>
      </c>
      <c r="AZ489" s="29">
        <f t="shared" si="1085"/>
        <v>1</v>
      </c>
      <c r="BA489" s="298">
        <f>BA273+BA385</f>
        <v>0</v>
      </c>
      <c r="BB489" s="5">
        <f t="shared" si="1086"/>
        <v>-1</v>
      </c>
      <c r="BC489" s="256"/>
      <c r="BD489" s="240"/>
      <c r="BE489" s="233">
        <f t="shared" si="1087"/>
        <v>1</v>
      </c>
      <c r="BF489" s="121"/>
      <c r="BG489" s="6"/>
      <c r="BH489" s="35"/>
      <c r="BI489" s="612"/>
      <c r="BJ489" s="121"/>
      <c r="BK489" s="6"/>
      <c r="BL489" s="35"/>
      <c r="BM489" s="612"/>
      <c r="BN489" s="121"/>
      <c r="BO489" s="6"/>
      <c r="BP489" s="35"/>
      <c r="BQ489" s="234"/>
      <c r="BR489" s="234"/>
      <c r="BS489" s="395">
        <f t="shared" si="1088"/>
        <v>-1</v>
      </c>
      <c r="BT489" s="29">
        <f t="shared" si="1089"/>
        <v>1</v>
      </c>
      <c r="BU489" s="298">
        <f>BU273+BU385</f>
        <v>0</v>
      </c>
      <c r="BV489" s="5">
        <f t="shared" si="1090"/>
        <v>-1</v>
      </c>
      <c r="BW489" s="240"/>
      <c r="BX489" s="240"/>
      <c r="BY489" s="233">
        <f t="shared" si="1091"/>
        <v>1</v>
      </c>
      <c r="BZ489" s="121"/>
      <c r="CA489" s="6"/>
      <c r="CB489" s="35"/>
      <c r="CC489" s="612"/>
      <c r="CD489" s="121"/>
      <c r="CE489" s="6"/>
      <c r="CF489" s="35"/>
      <c r="CG489" s="612"/>
      <c r="CH489" s="121"/>
      <c r="CI489" s="6"/>
      <c r="CJ489" s="35"/>
      <c r="CK489" s="234"/>
      <c r="CL489" s="234"/>
      <c r="CM489" s="395">
        <f t="shared" si="1092"/>
        <v>-1</v>
      </c>
      <c r="CN489" s="29">
        <f t="shared" si="1093"/>
        <v>1</v>
      </c>
      <c r="CO489" s="298">
        <f>CO273+CO385</f>
        <v>0</v>
      </c>
      <c r="CP489" s="5">
        <f t="shared" si="1094"/>
        <v>-1</v>
      </c>
      <c r="CQ489" s="240"/>
      <c r="CR489" s="240"/>
      <c r="CS489" s="233">
        <f t="shared" si="1095"/>
        <v>1</v>
      </c>
      <c r="CT489" s="121"/>
      <c r="CU489" s="6"/>
      <c r="CV489" s="35"/>
      <c r="CW489" s="612"/>
      <c r="CX489" s="121"/>
      <c r="CY489" s="6"/>
      <c r="CZ489" s="35"/>
      <c r="DA489" s="612"/>
      <c r="DB489" s="121"/>
      <c r="DC489" s="6"/>
      <c r="DD489" s="35"/>
      <c r="DE489" s="234"/>
      <c r="DF489" s="234"/>
      <c r="DG489" s="395">
        <f t="shared" si="1096"/>
        <v>-1</v>
      </c>
      <c r="DH489" s="32">
        <f t="shared" si="1097"/>
        <v>1</v>
      </c>
      <c r="DI489" s="298">
        <f>DI273+DI385</f>
        <v>0</v>
      </c>
      <c r="DJ489" s="5">
        <f t="shared" ref="DJ489:DJ499" si="1130">DI489-DH489</f>
        <v>-1</v>
      </c>
      <c r="DK489" s="240"/>
      <c r="DL489" s="240"/>
      <c r="DM489" s="233">
        <f t="shared" ref="DM489:DM498" si="1131">DH489+DK489-DL489</f>
        <v>1</v>
      </c>
    </row>
    <row r="490" spans="1:117" ht="60" x14ac:dyDescent="0.25">
      <c r="A490" s="18"/>
      <c r="B490" s="15" t="s">
        <v>337</v>
      </c>
      <c r="C490" s="18"/>
      <c r="D490" s="317" t="s">
        <v>499</v>
      </c>
      <c r="E490" s="317"/>
      <c r="F490" s="149"/>
      <c r="G490" s="23" t="s">
        <v>198</v>
      </c>
      <c r="H490" s="18"/>
      <c r="I490" s="18"/>
      <c r="J490" s="530">
        <f t="shared" si="1076"/>
        <v>-1</v>
      </c>
      <c r="K490" s="395">
        <f t="shared" si="1077"/>
        <v>-1</v>
      </c>
      <c r="L490" s="544">
        <v>1</v>
      </c>
      <c r="M490" s="298">
        <f>M273+M385</f>
        <v>0</v>
      </c>
      <c r="N490" s="5">
        <f t="shared" si="1078"/>
        <v>-1</v>
      </c>
      <c r="O490" s="256"/>
      <c r="P490" s="240"/>
      <c r="Q490" s="233">
        <f t="shared" si="1079"/>
        <v>1</v>
      </c>
      <c r="R490" s="121"/>
      <c r="S490" s="6"/>
      <c r="T490" s="35"/>
      <c r="U490" s="612"/>
      <c r="V490" s="121"/>
      <c r="W490" s="6"/>
      <c r="X490" s="35"/>
      <c r="Y490" s="612"/>
      <c r="Z490" s="121"/>
      <c r="AA490" s="6"/>
      <c r="AB490" s="35"/>
      <c r="AC490" s="231"/>
      <c r="AD490" s="231"/>
      <c r="AE490" s="398">
        <f t="shared" si="1080"/>
        <v>-1</v>
      </c>
      <c r="AF490" s="29">
        <f t="shared" si="1081"/>
        <v>1</v>
      </c>
      <c r="AG490" s="298">
        <f>AG273+AG385</f>
        <v>0</v>
      </c>
      <c r="AH490" s="5">
        <f t="shared" si="1082"/>
        <v>-1</v>
      </c>
      <c r="AI490" s="256"/>
      <c r="AJ490" s="240"/>
      <c r="AK490" s="233">
        <f t="shared" si="1083"/>
        <v>1</v>
      </c>
      <c r="AL490" s="121"/>
      <c r="AM490" s="6"/>
      <c r="AN490" s="35"/>
      <c r="AO490" s="612"/>
      <c r="AP490" s="121"/>
      <c r="AQ490" s="6"/>
      <c r="AR490" s="35"/>
      <c r="AS490" s="612"/>
      <c r="AT490" s="121"/>
      <c r="AU490" s="6"/>
      <c r="AV490" s="35"/>
      <c r="AW490" s="234"/>
      <c r="AX490" s="234"/>
      <c r="AY490" s="395">
        <f t="shared" si="1084"/>
        <v>-1</v>
      </c>
      <c r="AZ490" s="29">
        <f t="shared" si="1085"/>
        <v>1</v>
      </c>
      <c r="BA490" s="298">
        <f>BA273+BA385</f>
        <v>0</v>
      </c>
      <c r="BB490" s="5">
        <f t="shared" si="1086"/>
        <v>-1</v>
      </c>
      <c r="BC490" s="256"/>
      <c r="BD490" s="240"/>
      <c r="BE490" s="233">
        <f t="shared" si="1087"/>
        <v>1</v>
      </c>
      <c r="BF490" s="121"/>
      <c r="BG490" s="6"/>
      <c r="BH490" s="35"/>
      <c r="BI490" s="612"/>
      <c r="BJ490" s="121"/>
      <c r="BK490" s="6"/>
      <c r="BL490" s="35"/>
      <c r="BM490" s="612"/>
      <c r="BN490" s="121"/>
      <c r="BO490" s="6"/>
      <c r="BP490" s="35"/>
      <c r="BQ490" s="234"/>
      <c r="BR490" s="234"/>
      <c r="BS490" s="395">
        <f t="shared" si="1088"/>
        <v>-1</v>
      </c>
      <c r="BT490" s="29">
        <f t="shared" si="1089"/>
        <v>1</v>
      </c>
      <c r="BU490" s="298">
        <f>BU273+BU385</f>
        <v>0</v>
      </c>
      <c r="BV490" s="5">
        <f t="shared" si="1090"/>
        <v>-1</v>
      </c>
      <c r="BW490" s="240"/>
      <c r="BX490" s="240"/>
      <c r="BY490" s="233">
        <f t="shared" si="1091"/>
        <v>1</v>
      </c>
      <c r="BZ490" s="121"/>
      <c r="CA490" s="6"/>
      <c r="CB490" s="35"/>
      <c r="CC490" s="612"/>
      <c r="CD490" s="121"/>
      <c r="CE490" s="6"/>
      <c r="CF490" s="35"/>
      <c r="CG490" s="612"/>
      <c r="CH490" s="121"/>
      <c r="CI490" s="6"/>
      <c r="CJ490" s="35"/>
      <c r="CK490" s="234"/>
      <c r="CL490" s="234"/>
      <c r="CM490" s="395">
        <f t="shared" si="1092"/>
        <v>-1</v>
      </c>
      <c r="CN490" s="29">
        <f t="shared" si="1093"/>
        <v>1</v>
      </c>
      <c r="CO490" s="298">
        <f>CO273+CO385</f>
        <v>0</v>
      </c>
      <c r="CP490" s="5">
        <f t="shared" si="1094"/>
        <v>-1</v>
      </c>
      <c r="CQ490" s="240"/>
      <c r="CR490" s="240"/>
      <c r="CS490" s="233">
        <f t="shared" si="1095"/>
        <v>1</v>
      </c>
      <c r="CT490" s="121"/>
      <c r="CU490" s="6"/>
      <c r="CV490" s="35"/>
      <c r="CW490" s="612"/>
      <c r="CX490" s="121"/>
      <c r="CY490" s="6"/>
      <c r="CZ490" s="35"/>
      <c r="DA490" s="612"/>
      <c r="DB490" s="121"/>
      <c r="DC490" s="6"/>
      <c r="DD490" s="35"/>
      <c r="DE490" s="234"/>
      <c r="DF490" s="234"/>
      <c r="DG490" s="395">
        <f t="shared" si="1096"/>
        <v>-1</v>
      </c>
      <c r="DH490" s="32">
        <f t="shared" si="1097"/>
        <v>1</v>
      </c>
      <c r="DI490" s="298">
        <f>DI273+DI385</f>
        <v>0</v>
      </c>
      <c r="DJ490" s="5">
        <f t="shared" si="1130"/>
        <v>-1</v>
      </c>
      <c r="DK490" s="240"/>
      <c r="DL490" s="240"/>
      <c r="DM490" s="233">
        <f t="shared" si="1131"/>
        <v>1</v>
      </c>
    </row>
    <row r="491" spans="1:117" ht="45" x14ac:dyDescent="0.25">
      <c r="A491" s="18"/>
      <c r="B491" s="11" t="s">
        <v>222</v>
      </c>
      <c r="C491" s="18"/>
      <c r="D491" s="274" t="s">
        <v>661</v>
      </c>
      <c r="E491" s="274"/>
      <c r="F491" s="149"/>
      <c r="G491" s="23" t="s">
        <v>198</v>
      </c>
      <c r="H491" s="18"/>
      <c r="I491" s="18"/>
      <c r="J491" s="530">
        <f t="shared" si="1076"/>
        <v>-11</v>
      </c>
      <c r="K491" s="395">
        <f t="shared" si="1077"/>
        <v>-20</v>
      </c>
      <c r="L491" s="544">
        <v>20</v>
      </c>
      <c r="M491" s="298">
        <f>M246*3+M266</f>
        <v>0</v>
      </c>
      <c r="N491" s="5">
        <f t="shared" ref="N491:N497" si="1132">M491-L491</f>
        <v>-20</v>
      </c>
      <c r="O491" s="256"/>
      <c r="P491" s="240"/>
      <c r="Q491" s="233">
        <f t="shared" ref="Q491:Q497" si="1133">L491+O491-P491</f>
        <v>20</v>
      </c>
      <c r="R491" s="121"/>
      <c r="S491" s="6"/>
      <c r="T491" s="35"/>
      <c r="U491" s="612"/>
      <c r="V491" s="121"/>
      <c r="W491" s="6"/>
      <c r="X491" s="35"/>
      <c r="Y491" s="612"/>
      <c r="Z491" s="121"/>
      <c r="AA491" s="6"/>
      <c r="AB491" s="35"/>
      <c r="AC491" s="231"/>
      <c r="AD491" s="231"/>
      <c r="AE491" s="398">
        <f t="shared" si="1080"/>
        <v>-20</v>
      </c>
      <c r="AF491" s="29">
        <f t="shared" si="1081"/>
        <v>20</v>
      </c>
      <c r="AG491" s="298">
        <f>AG246*3+AG266</f>
        <v>0</v>
      </c>
      <c r="AH491" s="5">
        <f t="shared" ref="AH491:AH497" si="1134">AG491-AF491</f>
        <v>-20</v>
      </c>
      <c r="AI491" s="256"/>
      <c r="AJ491" s="240"/>
      <c r="AK491" s="233">
        <f t="shared" ref="AK491:AK497" si="1135">AF491+AI491-AJ491</f>
        <v>20</v>
      </c>
      <c r="AL491" s="121"/>
      <c r="AM491" s="6"/>
      <c r="AN491" s="35"/>
      <c r="AO491" s="612"/>
      <c r="AP491" s="121"/>
      <c r="AQ491" s="6"/>
      <c r="AR491" s="35"/>
      <c r="AS491" s="612"/>
      <c r="AT491" s="121"/>
      <c r="AU491" s="6"/>
      <c r="AV491" s="35"/>
      <c r="AW491" s="234"/>
      <c r="AX491" s="234"/>
      <c r="AY491" s="395">
        <f t="shared" si="1084"/>
        <v>-14</v>
      </c>
      <c r="AZ491" s="29">
        <f t="shared" ref="AZ491:AZ497" si="1136">AK491</f>
        <v>20</v>
      </c>
      <c r="BA491" s="298">
        <f>BA246*3+BA266</f>
        <v>6</v>
      </c>
      <c r="BB491" s="5">
        <f t="shared" ref="BB491:BB497" si="1137">BA491-AZ491</f>
        <v>-14</v>
      </c>
      <c r="BC491" s="256"/>
      <c r="BD491" s="240"/>
      <c r="BE491" s="233">
        <f t="shared" ref="BE491:BE497" si="1138">AZ491+BC491-BD491</f>
        <v>20</v>
      </c>
      <c r="BF491" s="121"/>
      <c r="BG491" s="6"/>
      <c r="BH491" s="35"/>
      <c r="BI491" s="612"/>
      <c r="BJ491" s="121"/>
      <c r="BK491" s="6"/>
      <c r="BL491" s="35"/>
      <c r="BM491" s="612"/>
      <c r="BN491" s="121"/>
      <c r="BO491" s="6"/>
      <c r="BP491" s="35"/>
      <c r="BQ491" s="234"/>
      <c r="BR491" s="234"/>
      <c r="BS491" s="395">
        <f t="shared" si="1088"/>
        <v>-11</v>
      </c>
      <c r="BT491" s="29">
        <f t="shared" ref="BT491:BT497" si="1139">BE491</f>
        <v>20</v>
      </c>
      <c r="BU491" s="298">
        <f>BU246*3+BU266</f>
        <v>3</v>
      </c>
      <c r="BV491" s="5">
        <f t="shared" ref="BV491:BV497" si="1140">BU491-BT491</f>
        <v>-17</v>
      </c>
      <c r="BW491" s="240"/>
      <c r="BX491" s="240"/>
      <c r="BY491" s="233">
        <f t="shared" ref="BY491:BY497" si="1141">BT491+BW491-BX491</f>
        <v>20</v>
      </c>
      <c r="BZ491" s="121"/>
      <c r="CA491" s="6"/>
      <c r="CB491" s="35"/>
      <c r="CC491" s="612"/>
      <c r="CD491" s="121"/>
      <c r="CE491" s="6"/>
      <c r="CF491" s="35"/>
      <c r="CG491" s="612"/>
      <c r="CH491" s="121"/>
      <c r="CI491" s="6"/>
      <c r="CJ491" s="35"/>
      <c r="CK491" s="234"/>
      <c r="CL491" s="234"/>
      <c r="CM491" s="395">
        <f t="shared" si="1092"/>
        <v>-11</v>
      </c>
      <c r="CN491" s="29">
        <f t="shared" ref="CN491:CN497" si="1142">BY491</f>
        <v>20</v>
      </c>
      <c r="CO491" s="298">
        <f>CO246*3+CO266</f>
        <v>0</v>
      </c>
      <c r="CP491" s="5">
        <f t="shared" ref="CP491:CP497" si="1143">CO491-CN491</f>
        <v>-20</v>
      </c>
      <c r="CQ491" s="240"/>
      <c r="CR491" s="240"/>
      <c r="CS491" s="233">
        <f t="shared" ref="CS491:CS497" si="1144">CN491+CQ491-CR491</f>
        <v>20</v>
      </c>
      <c r="CT491" s="121"/>
      <c r="CU491" s="6"/>
      <c r="CV491" s="35"/>
      <c r="CW491" s="612"/>
      <c r="CX491" s="121"/>
      <c r="CY491" s="6"/>
      <c r="CZ491" s="35"/>
      <c r="DA491" s="612"/>
      <c r="DB491" s="121"/>
      <c r="DC491" s="6"/>
      <c r="DD491" s="35"/>
      <c r="DE491" s="234"/>
      <c r="DF491" s="234"/>
      <c r="DG491" s="395">
        <f t="shared" si="1096"/>
        <v>-11</v>
      </c>
      <c r="DH491" s="32">
        <f t="shared" si="1097"/>
        <v>20</v>
      </c>
      <c r="DI491" s="298">
        <f>DI246*3+DI266</f>
        <v>0</v>
      </c>
      <c r="DJ491" s="5">
        <f t="shared" si="1130"/>
        <v>-20</v>
      </c>
      <c r="DK491" s="240"/>
      <c r="DL491" s="240"/>
      <c r="DM491" s="233">
        <f t="shared" si="1131"/>
        <v>20</v>
      </c>
    </row>
    <row r="492" spans="1:117" ht="30" x14ac:dyDescent="0.25">
      <c r="A492" s="18"/>
      <c r="B492" s="15" t="s">
        <v>351</v>
      </c>
      <c r="C492" s="18"/>
      <c r="D492" s="15" t="s">
        <v>662</v>
      </c>
      <c r="E492" s="15"/>
      <c r="F492" s="149"/>
      <c r="G492" s="23" t="s">
        <v>198</v>
      </c>
      <c r="H492" s="18"/>
      <c r="I492" s="18"/>
      <c r="J492" s="530">
        <f t="shared" si="1076"/>
        <v>7</v>
      </c>
      <c r="K492" s="395">
        <f t="shared" si="1077"/>
        <v>-5</v>
      </c>
      <c r="L492" s="544">
        <v>5</v>
      </c>
      <c r="M492" s="298">
        <f>M340+M344</f>
        <v>0</v>
      </c>
      <c r="N492" s="5">
        <f t="shared" si="1132"/>
        <v>-5</v>
      </c>
      <c r="O492" s="240"/>
      <c r="P492" s="240"/>
      <c r="Q492" s="233">
        <f t="shared" si="1133"/>
        <v>5</v>
      </c>
      <c r="R492" s="121"/>
      <c r="S492" s="6"/>
      <c r="T492" s="35"/>
      <c r="U492" s="612"/>
      <c r="V492" s="121"/>
      <c r="W492" s="6"/>
      <c r="X492" s="35"/>
      <c r="Y492" s="612"/>
      <c r="Z492" s="121"/>
      <c r="AA492" s="6"/>
      <c r="AB492" s="35"/>
      <c r="AC492" s="231"/>
      <c r="AD492" s="231"/>
      <c r="AE492" s="398">
        <f t="shared" si="1080"/>
        <v>-5</v>
      </c>
      <c r="AF492" s="29">
        <f t="shared" si="1081"/>
        <v>5</v>
      </c>
      <c r="AG492" s="298">
        <f>AG340+AG344</f>
        <v>0</v>
      </c>
      <c r="AH492" s="5">
        <f t="shared" si="1134"/>
        <v>-5</v>
      </c>
      <c r="AI492" s="256"/>
      <c r="AJ492" s="240"/>
      <c r="AK492" s="233">
        <f t="shared" si="1135"/>
        <v>5</v>
      </c>
      <c r="AL492" s="121"/>
      <c r="AM492" s="6"/>
      <c r="AN492" s="35"/>
      <c r="AO492" s="612"/>
      <c r="AP492" s="121"/>
      <c r="AQ492" s="6"/>
      <c r="AR492" s="35"/>
      <c r="AS492" s="612"/>
      <c r="AT492" s="121"/>
      <c r="AU492" s="6"/>
      <c r="AV492" s="35"/>
      <c r="AW492" s="234"/>
      <c r="AX492" s="234"/>
      <c r="AY492" s="395">
        <f t="shared" si="1084"/>
        <v>0</v>
      </c>
      <c r="AZ492" s="29">
        <f t="shared" si="1136"/>
        <v>5</v>
      </c>
      <c r="BA492" s="298">
        <f>BA340+BA344</f>
        <v>5</v>
      </c>
      <c r="BB492" s="5">
        <f t="shared" si="1137"/>
        <v>0</v>
      </c>
      <c r="BC492" s="256"/>
      <c r="BD492" s="240"/>
      <c r="BE492" s="233">
        <f t="shared" si="1138"/>
        <v>5</v>
      </c>
      <c r="BF492" s="121"/>
      <c r="BG492" s="6"/>
      <c r="BH492" s="35"/>
      <c r="BI492" s="612"/>
      <c r="BJ492" s="121"/>
      <c r="BK492" s="6"/>
      <c r="BL492" s="35"/>
      <c r="BM492" s="612"/>
      <c r="BN492" s="121"/>
      <c r="BO492" s="6"/>
      <c r="BP492" s="35"/>
      <c r="BQ492" s="234"/>
      <c r="BR492" s="234"/>
      <c r="BS492" s="395">
        <f t="shared" si="1088"/>
        <v>7</v>
      </c>
      <c r="BT492" s="29">
        <f t="shared" si="1139"/>
        <v>5</v>
      </c>
      <c r="BU492" s="298">
        <f>BU340+BU344</f>
        <v>7</v>
      </c>
      <c r="BV492" s="5">
        <f t="shared" si="1140"/>
        <v>2</v>
      </c>
      <c r="BW492" s="240"/>
      <c r="BX492" s="240"/>
      <c r="BY492" s="233">
        <f t="shared" si="1141"/>
        <v>5</v>
      </c>
      <c r="BZ492" s="121"/>
      <c r="CA492" s="6"/>
      <c r="CB492" s="35"/>
      <c r="CC492" s="612"/>
      <c r="CD492" s="121"/>
      <c r="CE492" s="6"/>
      <c r="CF492" s="35"/>
      <c r="CG492" s="612"/>
      <c r="CH492" s="121"/>
      <c r="CI492" s="6"/>
      <c r="CJ492" s="35"/>
      <c r="CK492" s="234"/>
      <c r="CL492" s="234"/>
      <c r="CM492" s="395">
        <f t="shared" si="1092"/>
        <v>7</v>
      </c>
      <c r="CN492" s="29">
        <f t="shared" si="1142"/>
        <v>5</v>
      </c>
      <c r="CO492" s="298">
        <f>CO340+CO344</f>
        <v>0</v>
      </c>
      <c r="CP492" s="5">
        <f t="shared" si="1143"/>
        <v>-5</v>
      </c>
      <c r="CQ492" s="240"/>
      <c r="CR492" s="240"/>
      <c r="CS492" s="233">
        <f t="shared" si="1144"/>
        <v>5</v>
      </c>
      <c r="CT492" s="121"/>
      <c r="CU492" s="6"/>
      <c r="CV492" s="35"/>
      <c r="CW492" s="612"/>
      <c r="CX492" s="121"/>
      <c r="CY492" s="6"/>
      <c r="CZ492" s="35"/>
      <c r="DA492" s="612"/>
      <c r="DB492" s="121"/>
      <c r="DC492" s="6"/>
      <c r="DD492" s="35"/>
      <c r="DE492" s="234"/>
      <c r="DF492" s="234"/>
      <c r="DG492" s="395">
        <f t="shared" si="1096"/>
        <v>7</v>
      </c>
      <c r="DH492" s="32">
        <f t="shared" si="1097"/>
        <v>5</v>
      </c>
      <c r="DI492" s="298">
        <f>DI340+DI344</f>
        <v>0</v>
      </c>
      <c r="DJ492" s="5">
        <f t="shared" si="1130"/>
        <v>-5</v>
      </c>
      <c r="DK492" s="240"/>
      <c r="DL492" s="240"/>
      <c r="DM492" s="233">
        <f t="shared" si="1131"/>
        <v>5</v>
      </c>
    </row>
    <row r="493" spans="1:117" x14ac:dyDescent="0.25">
      <c r="A493" s="17">
        <v>907</v>
      </c>
      <c r="B493" s="10" t="s">
        <v>274</v>
      </c>
      <c r="C493" s="17">
        <v>1</v>
      </c>
      <c r="D493" s="10" t="s">
        <v>197</v>
      </c>
      <c r="E493" s="10"/>
      <c r="F493" s="337"/>
      <c r="G493" s="109" t="s">
        <v>198</v>
      </c>
      <c r="H493" s="17"/>
      <c r="I493" s="17"/>
      <c r="J493" s="530">
        <f t="shared" si="1076"/>
        <v>0</v>
      </c>
      <c r="K493" s="395">
        <f t="shared" si="1077"/>
        <v>0</v>
      </c>
      <c r="L493" s="544">
        <v>0</v>
      </c>
      <c r="M493" s="302">
        <f>M246</f>
        <v>0</v>
      </c>
      <c r="N493" s="7">
        <f t="shared" si="1132"/>
        <v>0</v>
      </c>
      <c r="O493" s="258"/>
      <c r="P493" s="242"/>
      <c r="Q493" s="231">
        <f t="shared" si="1133"/>
        <v>0</v>
      </c>
      <c r="R493" s="123"/>
      <c r="S493" s="8"/>
      <c r="T493" s="34"/>
      <c r="U493" s="713"/>
      <c r="V493" s="123"/>
      <c r="W493" s="8"/>
      <c r="X493" s="34"/>
      <c r="Y493" s="713"/>
      <c r="Z493" s="123"/>
      <c r="AA493" s="8"/>
      <c r="AB493" s="34"/>
      <c r="AC493" s="234"/>
      <c r="AD493" s="234"/>
      <c r="AE493" s="398">
        <f t="shared" si="1080"/>
        <v>0</v>
      </c>
      <c r="AF493" s="29">
        <f t="shared" si="1081"/>
        <v>0</v>
      </c>
      <c r="AG493" s="302">
        <f>AG246</f>
        <v>0</v>
      </c>
      <c r="AH493" s="7">
        <f t="shared" si="1134"/>
        <v>0</v>
      </c>
      <c r="AI493" s="258"/>
      <c r="AJ493" s="242"/>
      <c r="AK493" s="231">
        <f t="shared" si="1135"/>
        <v>0</v>
      </c>
      <c r="AL493" s="123"/>
      <c r="AM493" s="8"/>
      <c r="AN493" s="34"/>
      <c r="AO493" s="713"/>
      <c r="AP493" s="123"/>
      <c r="AQ493" s="8"/>
      <c r="AR493" s="34"/>
      <c r="AS493" s="713"/>
      <c r="AT493" s="123"/>
      <c r="AU493" s="8"/>
      <c r="AV493" s="34"/>
      <c r="AW493" s="234"/>
      <c r="AX493" s="234"/>
      <c r="AY493" s="395">
        <f t="shared" si="1084"/>
        <v>0</v>
      </c>
      <c r="AZ493" s="29">
        <f t="shared" si="1136"/>
        <v>0</v>
      </c>
      <c r="BA493" s="302">
        <f>BA246</f>
        <v>0</v>
      </c>
      <c r="BB493" s="7">
        <f t="shared" si="1137"/>
        <v>0</v>
      </c>
      <c r="BC493" s="258"/>
      <c r="BD493" s="242"/>
      <c r="BE493" s="231">
        <f t="shared" si="1138"/>
        <v>0</v>
      </c>
      <c r="BF493" s="123"/>
      <c r="BG493" s="8"/>
      <c r="BH493" s="34"/>
      <c r="BI493" s="713"/>
      <c r="BJ493" s="123"/>
      <c r="BK493" s="8"/>
      <c r="BL493" s="34"/>
      <c r="BM493" s="713"/>
      <c r="BN493" s="123"/>
      <c r="BO493" s="8"/>
      <c r="BP493" s="34"/>
      <c r="BQ493" s="234"/>
      <c r="BR493" s="234"/>
      <c r="BS493" s="395">
        <f t="shared" si="1088"/>
        <v>0</v>
      </c>
      <c r="BT493" s="29">
        <f t="shared" si="1139"/>
        <v>0</v>
      </c>
      <c r="BU493" s="302">
        <f>BU246</f>
        <v>0</v>
      </c>
      <c r="BV493" s="7">
        <f t="shared" si="1140"/>
        <v>0</v>
      </c>
      <c r="BW493" s="258"/>
      <c r="BX493" s="242"/>
      <c r="BY493" s="231">
        <f t="shared" si="1141"/>
        <v>0</v>
      </c>
      <c r="BZ493" s="123"/>
      <c r="CA493" s="8"/>
      <c r="CB493" s="34"/>
      <c r="CC493" s="713"/>
      <c r="CD493" s="123"/>
      <c r="CE493" s="8"/>
      <c r="CF493" s="34"/>
      <c r="CG493" s="713"/>
      <c r="CH493" s="123"/>
      <c r="CI493" s="8"/>
      <c r="CJ493" s="34"/>
      <c r="CK493" s="234"/>
      <c r="CL493" s="234"/>
      <c r="CM493" s="395">
        <f t="shared" si="1092"/>
        <v>0</v>
      </c>
      <c r="CN493" s="29">
        <f t="shared" si="1142"/>
        <v>0</v>
      </c>
      <c r="CO493" s="302">
        <f>CO246</f>
        <v>0</v>
      </c>
      <c r="CP493" s="7">
        <f t="shared" si="1143"/>
        <v>0</v>
      </c>
      <c r="CQ493" s="242"/>
      <c r="CR493" s="242"/>
      <c r="CS493" s="231">
        <f t="shared" si="1144"/>
        <v>0</v>
      </c>
      <c r="CT493" s="123"/>
      <c r="CU493" s="8"/>
      <c r="CV493" s="34"/>
      <c r="CW493" s="713"/>
      <c r="CX493" s="123"/>
      <c r="CY493" s="8"/>
      <c r="CZ493" s="34"/>
      <c r="DA493" s="713"/>
      <c r="DB493" s="123"/>
      <c r="DC493" s="8"/>
      <c r="DD493" s="34"/>
      <c r="DE493" s="234"/>
      <c r="DF493" s="234"/>
      <c r="DG493" s="395">
        <f t="shared" si="1096"/>
        <v>0</v>
      </c>
      <c r="DH493" s="32">
        <f t="shared" si="1097"/>
        <v>0</v>
      </c>
      <c r="DI493" s="302">
        <f>DI246</f>
        <v>0</v>
      </c>
      <c r="DJ493" s="7">
        <f t="shared" si="1130"/>
        <v>0</v>
      </c>
      <c r="DK493" s="242"/>
      <c r="DL493" s="242"/>
      <c r="DM493" s="231">
        <f t="shared" si="1131"/>
        <v>0</v>
      </c>
    </row>
    <row r="494" spans="1:117" x14ac:dyDescent="0.25">
      <c r="A494" s="18">
        <v>2218</v>
      </c>
      <c r="B494" s="11" t="s">
        <v>201</v>
      </c>
      <c r="C494" s="18">
        <v>1</v>
      </c>
      <c r="D494" s="11" t="s">
        <v>197</v>
      </c>
      <c r="E494" s="11"/>
      <c r="F494" s="149"/>
      <c r="G494" s="23" t="s">
        <v>198</v>
      </c>
      <c r="H494" s="18"/>
      <c r="I494" s="18"/>
      <c r="J494" s="530">
        <f t="shared" si="1076"/>
        <v>0</v>
      </c>
      <c r="K494" s="395">
        <f t="shared" si="1077"/>
        <v>0</v>
      </c>
      <c r="L494" s="544">
        <v>0</v>
      </c>
      <c r="M494" s="298">
        <f>M246</f>
        <v>0</v>
      </c>
      <c r="N494" s="7">
        <f t="shared" si="1132"/>
        <v>0</v>
      </c>
      <c r="O494" s="258"/>
      <c r="P494" s="242"/>
      <c r="Q494" s="231">
        <f t="shared" si="1133"/>
        <v>0</v>
      </c>
      <c r="R494" s="121"/>
      <c r="S494" s="6"/>
      <c r="T494" s="35"/>
      <c r="U494" s="612"/>
      <c r="V494" s="121"/>
      <c r="W494" s="6"/>
      <c r="X494" s="35"/>
      <c r="Y494" s="612"/>
      <c r="Z494" s="121"/>
      <c r="AA494" s="6"/>
      <c r="AB494" s="35"/>
      <c r="AC494" s="231"/>
      <c r="AD494" s="231"/>
      <c r="AE494" s="398">
        <f t="shared" si="1080"/>
        <v>0</v>
      </c>
      <c r="AF494" s="29">
        <f t="shared" si="1081"/>
        <v>0</v>
      </c>
      <c r="AG494" s="298">
        <f>AG246</f>
        <v>0</v>
      </c>
      <c r="AH494" s="7">
        <f t="shared" si="1134"/>
        <v>0</v>
      </c>
      <c r="AI494" s="258"/>
      <c r="AJ494" s="242"/>
      <c r="AK494" s="231">
        <f t="shared" si="1135"/>
        <v>0</v>
      </c>
      <c r="AL494" s="121"/>
      <c r="AM494" s="6"/>
      <c r="AN494" s="35"/>
      <c r="AO494" s="612"/>
      <c r="AP494" s="121"/>
      <c r="AQ494" s="6"/>
      <c r="AR494" s="35"/>
      <c r="AS494" s="612"/>
      <c r="AT494" s="121"/>
      <c r="AU494" s="6"/>
      <c r="AV494" s="35"/>
      <c r="AW494" s="234"/>
      <c r="AX494" s="234"/>
      <c r="AY494" s="395">
        <f t="shared" si="1084"/>
        <v>0</v>
      </c>
      <c r="AZ494" s="29">
        <f t="shared" si="1136"/>
        <v>0</v>
      </c>
      <c r="BA494" s="298">
        <f>BA246</f>
        <v>0</v>
      </c>
      <c r="BB494" s="7">
        <f t="shared" si="1137"/>
        <v>0</v>
      </c>
      <c r="BC494" s="258"/>
      <c r="BD494" s="242"/>
      <c r="BE494" s="231">
        <f t="shared" si="1138"/>
        <v>0</v>
      </c>
      <c r="BF494" s="121"/>
      <c r="BG494" s="6"/>
      <c r="BH494" s="35"/>
      <c r="BI494" s="612"/>
      <c r="BJ494" s="121"/>
      <c r="BK494" s="6"/>
      <c r="BL494" s="35"/>
      <c r="BM494" s="612"/>
      <c r="BN494" s="121"/>
      <c r="BO494" s="6"/>
      <c r="BP494" s="35"/>
      <c r="BQ494" s="234"/>
      <c r="BR494" s="234"/>
      <c r="BS494" s="395">
        <f t="shared" si="1088"/>
        <v>0</v>
      </c>
      <c r="BT494" s="29">
        <f t="shared" si="1139"/>
        <v>0</v>
      </c>
      <c r="BU494" s="298">
        <f>BU246</f>
        <v>0</v>
      </c>
      <c r="BV494" s="7">
        <f t="shared" si="1140"/>
        <v>0</v>
      </c>
      <c r="BW494" s="258"/>
      <c r="BX494" s="242"/>
      <c r="BY494" s="231">
        <f t="shared" si="1141"/>
        <v>0</v>
      </c>
      <c r="BZ494" s="121"/>
      <c r="CA494" s="6"/>
      <c r="CB494" s="35"/>
      <c r="CC494" s="612"/>
      <c r="CD494" s="121"/>
      <c r="CE494" s="6"/>
      <c r="CF494" s="35"/>
      <c r="CG494" s="612"/>
      <c r="CH494" s="121"/>
      <c r="CI494" s="6"/>
      <c r="CJ494" s="35"/>
      <c r="CK494" s="234"/>
      <c r="CL494" s="234"/>
      <c r="CM494" s="395">
        <f t="shared" si="1092"/>
        <v>0</v>
      </c>
      <c r="CN494" s="29">
        <f t="shared" si="1142"/>
        <v>0</v>
      </c>
      <c r="CO494" s="298">
        <f>CO246</f>
        <v>0</v>
      </c>
      <c r="CP494" s="7">
        <f t="shared" si="1143"/>
        <v>0</v>
      </c>
      <c r="CQ494" s="242"/>
      <c r="CR494" s="242"/>
      <c r="CS494" s="231">
        <f t="shared" si="1144"/>
        <v>0</v>
      </c>
      <c r="CT494" s="121"/>
      <c r="CU494" s="6"/>
      <c r="CV494" s="35"/>
      <c r="CW494" s="612"/>
      <c r="CX494" s="121"/>
      <c r="CY494" s="6"/>
      <c r="CZ494" s="35"/>
      <c r="DA494" s="612"/>
      <c r="DB494" s="121"/>
      <c r="DC494" s="6"/>
      <c r="DD494" s="35"/>
      <c r="DE494" s="234"/>
      <c r="DF494" s="234"/>
      <c r="DG494" s="395">
        <f t="shared" si="1096"/>
        <v>0</v>
      </c>
      <c r="DH494" s="32">
        <f t="shared" si="1097"/>
        <v>0</v>
      </c>
      <c r="DI494" s="298">
        <f>DI246</f>
        <v>0</v>
      </c>
      <c r="DJ494" s="7">
        <f t="shared" si="1130"/>
        <v>0</v>
      </c>
      <c r="DK494" s="242"/>
      <c r="DL494" s="242"/>
      <c r="DM494" s="231">
        <f t="shared" si="1131"/>
        <v>0</v>
      </c>
    </row>
    <row r="495" spans="1:117" ht="30" x14ac:dyDescent="0.25">
      <c r="A495" s="18">
        <v>909</v>
      </c>
      <c r="B495" s="11" t="s">
        <v>272</v>
      </c>
      <c r="C495" s="18"/>
      <c r="D495" s="15" t="s">
        <v>664</v>
      </c>
      <c r="E495" s="15"/>
      <c r="F495" s="149"/>
      <c r="G495" s="23" t="s">
        <v>198</v>
      </c>
      <c r="H495" s="18"/>
      <c r="I495" s="18"/>
      <c r="J495" s="530">
        <f t="shared" si="1076"/>
        <v>-2</v>
      </c>
      <c r="K495" s="395">
        <f t="shared" si="1077"/>
        <v>-2</v>
      </c>
      <c r="L495" s="544">
        <v>2</v>
      </c>
      <c r="M495" s="298">
        <f>M246*2+M273</f>
        <v>0</v>
      </c>
      <c r="N495" s="7">
        <f t="shared" si="1132"/>
        <v>-2</v>
      </c>
      <c r="O495" s="256"/>
      <c r="P495" s="240"/>
      <c r="Q495" s="231">
        <f t="shared" si="1133"/>
        <v>2</v>
      </c>
      <c r="R495" s="121"/>
      <c r="S495" s="6"/>
      <c r="T495" s="35"/>
      <c r="U495" s="612"/>
      <c r="V495" s="121"/>
      <c r="W495" s="6"/>
      <c r="X495" s="35"/>
      <c r="Y495" s="612"/>
      <c r="Z495" s="121"/>
      <c r="AA495" s="6"/>
      <c r="AB495" s="35"/>
      <c r="AC495" s="231"/>
      <c r="AD495" s="231"/>
      <c r="AE495" s="398">
        <f t="shared" si="1080"/>
        <v>-2</v>
      </c>
      <c r="AF495" s="29">
        <f t="shared" si="1081"/>
        <v>2</v>
      </c>
      <c r="AG495" s="298">
        <f>AG246*2+AG273</f>
        <v>0</v>
      </c>
      <c r="AH495" s="7">
        <f t="shared" si="1134"/>
        <v>-2</v>
      </c>
      <c r="AI495" s="256"/>
      <c r="AJ495" s="240"/>
      <c r="AK495" s="231">
        <f t="shared" si="1135"/>
        <v>2</v>
      </c>
      <c r="AL495" s="121"/>
      <c r="AM495" s="6"/>
      <c r="AN495" s="35"/>
      <c r="AO495" s="612"/>
      <c r="AP495" s="121"/>
      <c r="AQ495" s="6"/>
      <c r="AR495" s="35"/>
      <c r="AS495" s="612"/>
      <c r="AT495" s="121"/>
      <c r="AU495" s="6"/>
      <c r="AV495" s="35"/>
      <c r="AW495" s="234"/>
      <c r="AX495" s="234"/>
      <c r="AY495" s="395">
        <f t="shared" si="1084"/>
        <v>-2</v>
      </c>
      <c r="AZ495" s="29">
        <f t="shared" si="1136"/>
        <v>2</v>
      </c>
      <c r="BA495" s="298">
        <f>BA246*2+BA273</f>
        <v>0</v>
      </c>
      <c r="BB495" s="7">
        <f t="shared" si="1137"/>
        <v>-2</v>
      </c>
      <c r="BC495" s="240"/>
      <c r="BD495" s="240"/>
      <c r="BE495" s="231">
        <f t="shared" si="1138"/>
        <v>2</v>
      </c>
      <c r="BF495" s="121"/>
      <c r="BG495" s="6"/>
      <c r="BH495" s="35"/>
      <c r="BI495" s="612"/>
      <c r="BJ495" s="121"/>
      <c r="BK495" s="6"/>
      <c r="BL495" s="35"/>
      <c r="BM495" s="612"/>
      <c r="BN495" s="121"/>
      <c r="BO495" s="6"/>
      <c r="BP495" s="35"/>
      <c r="BQ495" s="234"/>
      <c r="BR495" s="234"/>
      <c r="BS495" s="395">
        <f t="shared" si="1088"/>
        <v>-2</v>
      </c>
      <c r="BT495" s="29">
        <f t="shared" si="1139"/>
        <v>2</v>
      </c>
      <c r="BU495" s="298">
        <f>BU246*2+BU273</f>
        <v>0</v>
      </c>
      <c r="BV495" s="7">
        <f t="shared" si="1140"/>
        <v>-2</v>
      </c>
      <c r="BW495" s="256"/>
      <c r="BX495" s="240"/>
      <c r="BY495" s="231">
        <f t="shared" si="1141"/>
        <v>2</v>
      </c>
      <c r="BZ495" s="121"/>
      <c r="CA495" s="6"/>
      <c r="CB495" s="35"/>
      <c r="CC495" s="612"/>
      <c r="CD495" s="121"/>
      <c r="CE495" s="6"/>
      <c r="CF495" s="35"/>
      <c r="CG495" s="612"/>
      <c r="CH495" s="121"/>
      <c r="CI495" s="6"/>
      <c r="CJ495" s="35"/>
      <c r="CK495" s="234"/>
      <c r="CL495" s="234"/>
      <c r="CM495" s="395">
        <f t="shared" si="1092"/>
        <v>-2</v>
      </c>
      <c r="CN495" s="29">
        <f t="shared" si="1142"/>
        <v>2</v>
      </c>
      <c r="CO495" s="298">
        <f>CO246*2+CO273</f>
        <v>0</v>
      </c>
      <c r="CP495" s="7">
        <f t="shared" si="1143"/>
        <v>-2</v>
      </c>
      <c r="CQ495" s="240"/>
      <c r="CR495" s="240"/>
      <c r="CS495" s="231">
        <f t="shared" si="1144"/>
        <v>2</v>
      </c>
      <c r="CT495" s="121"/>
      <c r="CU495" s="6"/>
      <c r="CV495" s="35"/>
      <c r="CW495" s="612"/>
      <c r="CX495" s="121"/>
      <c r="CY495" s="6"/>
      <c r="CZ495" s="35"/>
      <c r="DA495" s="612"/>
      <c r="DB495" s="121"/>
      <c r="DC495" s="6"/>
      <c r="DD495" s="35"/>
      <c r="DE495" s="234"/>
      <c r="DF495" s="234"/>
      <c r="DG495" s="395">
        <f t="shared" si="1096"/>
        <v>-2</v>
      </c>
      <c r="DH495" s="32">
        <f t="shared" si="1097"/>
        <v>2</v>
      </c>
      <c r="DI495" s="298">
        <f>DI246*2+DI273</f>
        <v>0</v>
      </c>
      <c r="DJ495" s="7">
        <f t="shared" si="1130"/>
        <v>-2</v>
      </c>
      <c r="DK495" s="240"/>
      <c r="DL495" s="240"/>
      <c r="DM495" s="231">
        <f t="shared" si="1131"/>
        <v>2</v>
      </c>
    </row>
    <row r="496" spans="1:117" x14ac:dyDescent="0.25">
      <c r="A496" s="18">
        <v>2296</v>
      </c>
      <c r="B496" s="11" t="s">
        <v>223</v>
      </c>
      <c r="C496" s="18"/>
      <c r="D496" s="274" t="s">
        <v>389</v>
      </c>
      <c r="E496" s="274"/>
      <c r="F496" s="149"/>
      <c r="G496" s="23" t="s">
        <v>198</v>
      </c>
      <c r="H496" s="18"/>
      <c r="I496" s="18"/>
      <c r="J496" s="530">
        <f t="shared" si="1076"/>
        <v>0</v>
      </c>
      <c r="K496" s="395">
        <f t="shared" si="1077"/>
        <v>0</v>
      </c>
      <c r="L496" s="544">
        <v>0</v>
      </c>
      <c r="M496" s="298">
        <f>M246</f>
        <v>0</v>
      </c>
      <c r="N496" s="5">
        <f t="shared" si="1132"/>
        <v>0</v>
      </c>
      <c r="O496" s="256"/>
      <c r="P496" s="240"/>
      <c r="Q496" s="233">
        <f t="shared" si="1133"/>
        <v>0</v>
      </c>
      <c r="R496" s="121"/>
      <c r="S496" s="6"/>
      <c r="T496" s="35"/>
      <c r="U496" s="612"/>
      <c r="V496" s="121"/>
      <c r="W496" s="6"/>
      <c r="X496" s="35"/>
      <c r="Y496" s="612"/>
      <c r="Z496" s="121"/>
      <c r="AA496" s="6"/>
      <c r="AB496" s="35"/>
      <c r="AC496" s="231"/>
      <c r="AD496" s="231"/>
      <c r="AE496" s="398">
        <f t="shared" si="1080"/>
        <v>0</v>
      </c>
      <c r="AF496" s="29">
        <f t="shared" si="1081"/>
        <v>0</v>
      </c>
      <c r="AG496" s="298">
        <f>AG246</f>
        <v>0</v>
      </c>
      <c r="AH496" s="5">
        <f t="shared" si="1134"/>
        <v>0</v>
      </c>
      <c r="AI496" s="256"/>
      <c r="AJ496" s="240"/>
      <c r="AK496" s="233">
        <f t="shared" si="1135"/>
        <v>0</v>
      </c>
      <c r="AL496" s="121"/>
      <c r="AM496" s="6"/>
      <c r="AN496" s="35"/>
      <c r="AO496" s="612"/>
      <c r="AP496" s="121"/>
      <c r="AQ496" s="6"/>
      <c r="AR496" s="35"/>
      <c r="AS496" s="612"/>
      <c r="AT496" s="121"/>
      <c r="AU496" s="6"/>
      <c r="AV496" s="35"/>
      <c r="AW496" s="234"/>
      <c r="AX496" s="234"/>
      <c r="AY496" s="395">
        <f t="shared" si="1084"/>
        <v>0</v>
      </c>
      <c r="AZ496" s="29">
        <f t="shared" si="1136"/>
        <v>0</v>
      </c>
      <c r="BA496" s="298">
        <f>BA246</f>
        <v>0</v>
      </c>
      <c r="BB496" s="5">
        <f t="shared" si="1137"/>
        <v>0</v>
      </c>
      <c r="BC496" s="256"/>
      <c r="BD496" s="240"/>
      <c r="BE496" s="233">
        <f t="shared" si="1138"/>
        <v>0</v>
      </c>
      <c r="BF496" s="121"/>
      <c r="BG496" s="6"/>
      <c r="BH496" s="35"/>
      <c r="BI496" s="612"/>
      <c r="BJ496" s="121"/>
      <c r="BK496" s="6"/>
      <c r="BL496" s="35"/>
      <c r="BM496" s="612"/>
      <c r="BN496" s="121"/>
      <c r="BO496" s="6"/>
      <c r="BP496" s="35"/>
      <c r="BQ496" s="234"/>
      <c r="BR496" s="234"/>
      <c r="BS496" s="395">
        <f t="shared" si="1088"/>
        <v>0</v>
      </c>
      <c r="BT496" s="29">
        <f t="shared" si="1139"/>
        <v>0</v>
      </c>
      <c r="BU496" s="298">
        <f>BU246</f>
        <v>0</v>
      </c>
      <c r="BV496" s="5">
        <f t="shared" si="1140"/>
        <v>0</v>
      </c>
      <c r="BW496" s="256"/>
      <c r="BX496" s="240"/>
      <c r="BY496" s="233">
        <f t="shared" si="1141"/>
        <v>0</v>
      </c>
      <c r="BZ496" s="121"/>
      <c r="CA496" s="6"/>
      <c r="CB496" s="35"/>
      <c r="CC496" s="612"/>
      <c r="CD496" s="121"/>
      <c r="CE496" s="6"/>
      <c r="CF496" s="35"/>
      <c r="CG496" s="612"/>
      <c r="CH496" s="121"/>
      <c r="CI496" s="6"/>
      <c r="CJ496" s="35"/>
      <c r="CK496" s="234"/>
      <c r="CL496" s="234"/>
      <c r="CM496" s="395">
        <f t="shared" si="1092"/>
        <v>0</v>
      </c>
      <c r="CN496" s="29">
        <f t="shared" si="1142"/>
        <v>0</v>
      </c>
      <c r="CO496" s="298">
        <f>CO246</f>
        <v>0</v>
      </c>
      <c r="CP496" s="5">
        <f t="shared" si="1143"/>
        <v>0</v>
      </c>
      <c r="CQ496" s="240"/>
      <c r="CR496" s="240"/>
      <c r="CS496" s="233">
        <f t="shared" si="1144"/>
        <v>0</v>
      </c>
      <c r="CT496" s="121"/>
      <c r="CU496" s="6"/>
      <c r="CV496" s="35"/>
      <c r="CW496" s="612"/>
      <c r="CX496" s="121"/>
      <c r="CY496" s="6"/>
      <c r="CZ496" s="35"/>
      <c r="DA496" s="612"/>
      <c r="DB496" s="121"/>
      <c r="DC496" s="6"/>
      <c r="DD496" s="35"/>
      <c r="DE496" s="234"/>
      <c r="DF496" s="234"/>
      <c r="DG496" s="395">
        <f t="shared" si="1096"/>
        <v>0</v>
      </c>
      <c r="DH496" s="32">
        <f t="shared" si="1097"/>
        <v>0</v>
      </c>
      <c r="DI496" s="298">
        <f>DI246</f>
        <v>0</v>
      </c>
      <c r="DJ496" s="5">
        <f t="shared" si="1130"/>
        <v>0</v>
      </c>
      <c r="DK496" s="240"/>
      <c r="DL496" s="240"/>
      <c r="DM496" s="233">
        <f t="shared" si="1131"/>
        <v>0</v>
      </c>
    </row>
    <row r="497" spans="1:117" ht="30" x14ac:dyDescent="0.25">
      <c r="A497" s="75">
        <v>910</v>
      </c>
      <c r="B497" s="74" t="s">
        <v>202</v>
      </c>
      <c r="C497" s="75"/>
      <c r="D497" s="274" t="s">
        <v>200</v>
      </c>
      <c r="E497" s="274"/>
      <c r="F497" s="275"/>
      <c r="G497" s="76" t="s">
        <v>198</v>
      </c>
      <c r="H497" s="75"/>
      <c r="I497" s="75"/>
      <c r="J497" s="530">
        <f t="shared" si="1076"/>
        <v>0</v>
      </c>
      <c r="K497" s="395">
        <f t="shared" si="1077"/>
        <v>0</v>
      </c>
      <c r="L497" s="544">
        <v>0</v>
      </c>
      <c r="M497" s="299">
        <f>SUM(M246,M340)</f>
        <v>0</v>
      </c>
      <c r="N497" s="5">
        <f t="shared" si="1132"/>
        <v>0</v>
      </c>
      <c r="O497" s="256"/>
      <c r="P497" s="240"/>
      <c r="Q497" s="233">
        <f t="shared" si="1133"/>
        <v>0</v>
      </c>
      <c r="R497" s="121"/>
      <c r="S497" s="6"/>
      <c r="T497" s="35"/>
      <c r="U497" s="612"/>
      <c r="V497" s="121"/>
      <c r="W497" s="6"/>
      <c r="X497" s="35"/>
      <c r="Y497" s="612"/>
      <c r="Z497" s="121"/>
      <c r="AA497" s="6"/>
      <c r="AB497" s="35"/>
      <c r="AC497" s="231"/>
      <c r="AD497" s="231"/>
      <c r="AE497" s="398">
        <f t="shared" si="1080"/>
        <v>0</v>
      </c>
      <c r="AF497" s="29">
        <f t="shared" si="1081"/>
        <v>0</v>
      </c>
      <c r="AG497" s="299">
        <f>SUM(AG246,AG340)</f>
        <v>0</v>
      </c>
      <c r="AH497" s="5">
        <f t="shared" si="1134"/>
        <v>0</v>
      </c>
      <c r="AI497" s="256"/>
      <c r="AJ497" s="240"/>
      <c r="AK497" s="233">
        <f t="shared" si="1135"/>
        <v>0</v>
      </c>
      <c r="AL497" s="121"/>
      <c r="AM497" s="6"/>
      <c r="AN497" s="35"/>
      <c r="AO497" s="612"/>
      <c r="AP497" s="121"/>
      <c r="AQ497" s="6"/>
      <c r="AR497" s="35"/>
      <c r="AS497" s="612"/>
      <c r="AT497" s="121"/>
      <c r="AU497" s="6"/>
      <c r="AV497" s="35"/>
      <c r="AW497" s="234"/>
      <c r="AX497" s="234"/>
      <c r="AY497" s="395">
        <f t="shared" si="1084"/>
        <v>0</v>
      </c>
      <c r="AZ497" s="29">
        <f t="shared" si="1136"/>
        <v>0</v>
      </c>
      <c r="BA497" s="299">
        <f>SUM(BA246,BA340)</f>
        <v>0</v>
      </c>
      <c r="BB497" s="5">
        <f t="shared" si="1137"/>
        <v>0</v>
      </c>
      <c r="BC497" s="256"/>
      <c r="BD497" s="240"/>
      <c r="BE497" s="233">
        <f t="shared" si="1138"/>
        <v>0</v>
      </c>
      <c r="BF497" s="121"/>
      <c r="BG497" s="6"/>
      <c r="BH497" s="35"/>
      <c r="BI497" s="612"/>
      <c r="BJ497" s="121"/>
      <c r="BK497" s="6"/>
      <c r="BL497" s="35"/>
      <c r="BM497" s="612"/>
      <c r="BN497" s="121"/>
      <c r="BO497" s="6"/>
      <c r="BP497" s="35"/>
      <c r="BQ497" s="234"/>
      <c r="BR497" s="234"/>
      <c r="BS497" s="395">
        <f t="shared" si="1088"/>
        <v>0</v>
      </c>
      <c r="BT497" s="29">
        <f t="shared" si="1139"/>
        <v>0</v>
      </c>
      <c r="BU497" s="299">
        <f>SUM(BU246,BU340)</f>
        <v>0</v>
      </c>
      <c r="BV497" s="5">
        <f t="shared" si="1140"/>
        <v>0</v>
      </c>
      <c r="BW497" s="256"/>
      <c r="BX497" s="240"/>
      <c r="BY497" s="233">
        <f t="shared" si="1141"/>
        <v>0</v>
      </c>
      <c r="BZ497" s="121"/>
      <c r="CA497" s="6"/>
      <c r="CB497" s="35"/>
      <c r="CC497" s="612"/>
      <c r="CD497" s="121"/>
      <c r="CE497" s="6"/>
      <c r="CF497" s="35"/>
      <c r="CG497" s="612"/>
      <c r="CH497" s="121"/>
      <c r="CI497" s="6"/>
      <c r="CJ497" s="35"/>
      <c r="CK497" s="234"/>
      <c r="CL497" s="234"/>
      <c r="CM497" s="395">
        <f t="shared" si="1092"/>
        <v>0</v>
      </c>
      <c r="CN497" s="29">
        <f t="shared" si="1142"/>
        <v>0</v>
      </c>
      <c r="CO497" s="299">
        <f>SUM(CO246,CO340)</f>
        <v>0</v>
      </c>
      <c r="CP497" s="5">
        <f t="shared" si="1143"/>
        <v>0</v>
      </c>
      <c r="CQ497" s="240"/>
      <c r="CR497" s="240"/>
      <c r="CS497" s="233">
        <f t="shared" si="1144"/>
        <v>0</v>
      </c>
      <c r="CT497" s="121"/>
      <c r="CU497" s="6"/>
      <c r="CV497" s="35"/>
      <c r="CW497" s="612"/>
      <c r="CX497" s="121"/>
      <c r="CY497" s="6"/>
      <c r="CZ497" s="35"/>
      <c r="DA497" s="612"/>
      <c r="DB497" s="121"/>
      <c r="DC497" s="6"/>
      <c r="DD497" s="35"/>
      <c r="DE497" s="234"/>
      <c r="DF497" s="234"/>
      <c r="DG497" s="395">
        <f t="shared" si="1096"/>
        <v>0</v>
      </c>
      <c r="DH497" s="32">
        <f t="shared" si="1097"/>
        <v>0</v>
      </c>
      <c r="DI497" s="299">
        <f>SUM(DI246,DI340)</f>
        <v>0</v>
      </c>
      <c r="DJ497" s="5">
        <f t="shared" si="1130"/>
        <v>0</v>
      </c>
      <c r="DK497" s="240"/>
      <c r="DL497" s="240"/>
      <c r="DM497" s="233">
        <f t="shared" si="1131"/>
        <v>0</v>
      </c>
    </row>
    <row r="498" spans="1:117" x14ac:dyDescent="0.25">
      <c r="A498" s="18"/>
      <c r="B498" s="11"/>
      <c r="C498" s="18"/>
      <c r="D498" s="15"/>
      <c r="E498" s="15"/>
      <c r="F498" s="149"/>
      <c r="G498" s="23"/>
      <c r="H498" s="18"/>
      <c r="I498" s="25"/>
      <c r="J498" s="25"/>
      <c r="K498" s="25"/>
      <c r="L498" s="29">
        <v>0</v>
      </c>
      <c r="M498" s="5"/>
      <c r="N498" s="5">
        <f t="shared" si="1078"/>
        <v>0</v>
      </c>
      <c r="O498" s="240"/>
      <c r="P498" s="240"/>
      <c r="Q498" s="233">
        <f t="shared" si="1079"/>
        <v>0</v>
      </c>
      <c r="R498" s="121"/>
      <c r="S498" s="6"/>
      <c r="T498" s="35"/>
      <c r="U498" s="612"/>
      <c r="V498" s="121"/>
      <c r="W498" s="6"/>
      <c r="X498" s="35"/>
      <c r="Y498" s="612"/>
      <c r="Z498" s="121"/>
      <c r="AA498" s="6"/>
      <c r="AB498" s="35"/>
      <c r="AC498" s="612"/>
      <c r="AD498" s="612"/>
      <c r="AE498" s="25"/>
      <c r="AF498" s="29">
        <f t="shared" si="1081"/>
        <v>0</v>
      </c>
      <c r="AG498" s="5"/>
      <c r="AH498" s="5">
        <f t="shared" si="1082"/>
        <v>0</v>
      </c>
      <c r="AI498" s="240"/>
      <c r="AJ498" s="240"/>
      <c r="AK498" s="233">
        <f t="shared" si="1083"/>
        <v>0</v>
      </c>
      <c r="AL498" s="121"/>
      <c r="AM498" s="6"/>
      <c r="AN498" s="35"/>
      <c r="AO498" s="612"/>
      <c r="AP498" s="121"/>
      <c r="AQ498" s="6"/>
      <c r="AR498" s="35"/>
      <c r="AS498" s="612"/>
      <c r="AT498" s="121"/>
      <c r="AU498" s="6"/>
      <c r="AV498" s="35"/>
      <c r="AW498" s="612"/>
      <c r="AX498" s="612"/>
      <c r="AY498" s="25"/>
      <c r="AZ498" s="29">
        <f t="shared" si="1085"/>
        <v>0</v>
      </c>
      <c r="BA498" s="5"/>
      <c r="BB498" s="5">
        <f t="shared" si="1086"/>
        <v>0</v>
      </c>
      <c r="BC498" s="240"/>
      <c r="BD498" s="240"/>
      <c r="BE498" s="233">
        <f t="shared" si="1087"/>
        <v>0</v>
      </c>
      <c r="BF498" s="121"/>
      <c r="BG498" s="6"/>
      <c r="BH498" s="35"/>
      <c r="BI498" s="612"/>
      <c r="BJ498" s="121"/>
      <c r="BK498" s="6"/>
      <c r="BL498" s="35"/>
      <c r="BM498" s="612"/>
      <c r="BN498" s="121"/>
      <c r="BO498" s="6"/>
      <c r="BP498" s="35"/>
      <c r="BQ498" s="612"/>
      <c r="BR498" s="612"/>
      <c r="BS498" s="25"/>
      <c r="BT498" s="29">
        <f t="shared" si="1089"/>
        <v>0</v>
      </c>
      <c r="BU498" s="5"/>
      <c r="BV498" s="5">
        <f t="shared" si="1090"/>
        <v>0</v>
      </c>
      <c r="BW498" s="240"/>
      <c r="BX498" s="240"/>
      <c r="BY498" s="233">
        <f t="shared" si="1091"/>
        <v>0</v>
      </c>
      <c r="BZ498" s="121"/>
      <c r="CA498" s="6"/>
      <c r="CB498" s="35"/>
      <c r="CC498" s="612"/>
      <c r="CD498" s="121"/>
      <c r="CE498" s="6"/>
      <c r="CF498" s="35"/>
      <c r="CG498" s="612"/>
      <c r="CH498" s="121"/>
      <c r="CI498" s="6"/>
      <c r="CJ498" s="35"/>
      <c r="CK498" s="612"/>
      <c r="CL498" s="612"/>
      <c r="CM498" s="25"/>
      <c r="CN498" s="29">
        <f t="shared" si="1093"/>
        <v>0</v>
      </c>
      <c r="CO498" s="5"/>
      <c r="CP498" s="5">
        <f t="shared" si="1094"/>
        <v>0</v>
      </c>
      <c r="CQ498" s="240"/>
      <c r="CR498" s="240"/>
      <c r="CS498" s="233">
        <f t="shared" si="1095"/>
        <v>0</v>
      </c>
      <c r="CT498" s="121"/>
      <c r="CU498" s="6"/>
      <c r="CV498" s="35"/>
      <c r="CW498" s="612"/>
      <c r="CX498" s="121"/>
      <c r="CY498" s="6"/>
      <c r="CZ498" s="35"/>
      <c r="DA498" s="612"/>
      <c r="DB498" s="121"/>
      <c r="DC498" s="6"/>
      <c r="DD498" s="35"/>
      <c r="DE498" s="612"/>
      <c r="DF498" s="612"/>
      <c r="DG498" s="25"/>
      <c r="DH498" s="29">
        <f t="shared" ref="DH498" si="1145">CS498</f>
        <v>0</v>
      </c>
      <c r="DI498" s="5"/>
      <c r="DJ498" s="5">
        <f t="shared" si="1130"/>
        <v>0</v>
      </c>
      <c r="DK498" s="240"/>
      <c r="DL498" s="240"/>
      <c r="DM498" s="233">
        <f t="shared" si="1131"/>
        <v>0</v>
      </c>
    </row>
    <row r="499" spans="1:117" ht="15.75" thickBot="1" x14ac:dyDescent="0.3">
      <c r="A499" s="19"/>
      <c r="B499" s="12"/>
      <c r="C499" s="19"/>
      <c r="D499" s="60"/>
      <c r="E499" s="60"/>
      <c r="F499" s="146"/>
      <c r="G499" s="67"/>
      <c r="H499" s="19"/>
      <c r="I499" s="28"/>
      <c r="J499" s="28"/>
      <c r="K499" s="28"/>
      <c r="L499" s="30"/>
      <c r="M499" s="31"/>
      <c r="N499" s="31">
        <f t="shared" si="1078"/>
        <v>0</v>
      </c>
      <c r="O499" s="241"/>
      <c r="P499" s="241"/>
      <c r="Q499" s="36"/>
      <c r="R499" s="200"/>
      <c r="S499" s="201"/>
      <c r="T499" s="36"/>
      <c r="U499" s="220"/>
      <c r="V499" s="200"/>
      <c r="W499" s="201"/>
      <c r="X499" s="36"/>
      <c r="Y499" s="220"/>
      <c r="Z499" s="200"/>
      <c r="AA499" s="201"/>
      <c r="AB499" s="36"/>
      <c r="AC499" s="220"/>
      <c r="AD499" s="220"/>
      <c r="AE499" s="28"/>
      <c r="AF499" s="30"/>
      <c r="AG499" s="31"/>
      <c r="AH499" s="31">
        <f t="shared" si="1082"/>
        <v>0</v>
      </c>
      <c r="AI499" s="241"/>
      <c r="AJ499" s="241"/>
      <c r="AK499" s="36"/>
      <c r="AL499" s="200"/>
      <c r="AM499" s="201"/>
      <c r="AN499" s="36"/>
      <c r="AO499" s="220"/>
      <c r="AP499" s="200"/>
      <c r="AQ499" s="201"/>
      <c r="AR499" s="36"/>
      <c r="AS499" s="220"/>
      <c r="AT499" s="200"/>
      <c r="AU499" s="201"/>
      <c r="AV499" s="36"/>
      <c r="AW499" s="220"/>
      <c r="AX499" s="220"/>
      <c r="AY499" s="28"/>
      <c r="AZ499" s="30"/>
      <c r="BA499" s="31"/>
      <c r="BB499" s="31">
        <f t="shared" si="1086"/>
        <v>0</v>
      </c>
      <c r="BC499" s="241"/>
      <c r="BD499" s="241"/>
      <c r="BE499" s="36"/>
      <c r="BF499" s="200"/>
      <c r="BG499" s="201"/>
      <c r="BH499" s="36"/>
      <c r="BI499" s="220"/>
      <c r="BJ499" s="200"/>
      <c r="BK499" s="201"/>
      <c r="BL499" s="36"/>
      <c r="BM499" s="220"/>
      <c r="BN499" s="200"/>
      <c r="BO499" s="201"/>
      <c r="BP499" s="36"/>
      <c r="BQ499" s="220"/>
      <c r="BR499" s="220"/>
      <c r="BS499" s="28"/>
      <c r="BT499" s="30"/>
      <c r="BU499" s="31"/>
      <c r="BV499" s="31">
        <f t="shared" si="1090"/>
        <v>0</v>
      </c>
      <c r="BW499" s="241"/>
      <c r="BX499" s="241"/>
      <c r="BY499" s="36"/>
      <c r="BZ499" s="200"/>
      <c r="CA499" s="201"/>
      <c r="CB499" s="36"/>
      <c r="CC499" s="220"/>
      <c r="CD499" s="200"/>
      <c r="CE499" s="201"/>
      <c r="CF499" s="36"/>
      <c r="CG499" s="220"/>
      <c r="CH499" s="200"/>
      <c r="CI499" s="201"/>
      <c r="CJ499" s="36"/>
      <c r="CK499" s="220"/>
      <c r="CL499" s="220"/>
      <c r="CM499" s="28"/>
      <c r="CN499" s="30"/>
      <c r="CO499" s="31"/>
      <c r="CP499" s="31">
        <f t="shared" si="1094"/>
        <v>0</v>
      </c>
      <c r="CQ499" s="241"/>
      <c r="CR499" s="241"/>
      <c r="CS499" s="36"/>
      <c r="CT499" s="200"/>
      <c r="CU499" s="201"/>
      <c r="CV499" s="36"/>
      <c r="CW499" s="220"/>
      <c r="CX499" s="200"/>
      <c r="CY499" s="201"/>
      <c r="CZ499" s="36"/>
      <c r="DA499" s="220"/>
      <c r="DB499" s="200"/>
      <c r="DC499" s="201"/>
      <c r="DD499" s="36"/>
      <c r="DE499" s="220"/>
      <c r="DF499" s="220"/>
      <c r="DG499" s="28"/>
      <c r="DH499" s="30"/>
      <c r="DI499" s="31"/>
      <c r="DJ499" s="31">
        <f t="shared" si="1130"/>
        <v>0</v>
      </c>
      <c r="DK499" s="241"/>
      <c r="DL499" s="241"/>
      <c r="DM499" s="36"/>
    </row>
    <row r="500" spans="1:117" ht="15.75" thickBot="1" x14ac:dyDescent="0.3">
      <c r="P500" s="248"/>
      <c r="AJ500" s="248"/>
      <c r="BD500" s="248"/>
      <c r="BX500" s="248"/>
      <c r="CR500" s="248"/>
      <c r="DL500" s="248"/>
    </row>
    <row r="501" spans="1:117" ht="15.75" thickBot="1" x14ac:dyDescent="0.3">
      <c r="A501" s="103"/>
      <c r="B501" s="102" t="s">
        <v>221</v>
      </c>
      <c r="C501" s="103"/>
      <c r="D501" s="101"/>
      <c r="E501" s="101"/>
      <c r="F501" s="565"/>
      <c r="G501" s="101"/>
      <c r="H501" s="104"/>
      <c r="I501" s="104"/>
      <c r="J501" s="104"/>
      <c r="K501" s="103"/>
      <c r="L501" s="105"/>
      <c r="M501" s="106"/>
      <c r="N501" s="106"/>
      <c r="O501" s="106"/>
      <c r="P501" s="251"/>
      <c r="Q501" s="222"/>
      <c r="R501" s="133">
        <f>SUM(R502:R508)</f>
        <v>0</v>
      </c>
      <c r="S501" s="134">
        <f>SUM(S502:S508)</f>
        <v>0</v>
      </c>
      <c r="T501" s="107"/>
      <c r="U501" s="222"/>
      <c r="V501" s="133">
        <f>SUM(V502:V508)</f>
        <v>0</v>
      </c>
      <c r="W501" s="134">
        <f>SUM(W502:W508)</f>
        <v>0</v>
      </c>
      <c r="X501" s="107"/>
      <c r="Y501" s="222"/>
      <c r="Z501" s="133">
        <f>SUM(Z502:Z508)</f>
        <v>30500</v>
      </c>
      <c r="AA501" s="134">
        <f>SUM(AA502:AA508)</f>
        <v>0</v>
      </c>
      <c r="AB501" s="107"/>
      <c r="AC501" s="222"/>
      <c r="AD501" s="222"/>
      <c r="AE501" s="104"/>
      <c r="AF501" s="105"/>
      <c r="AG501" s="106"/>
      <c r="AH501" s="106"/>
      <c r="AI501" s="106"/>
      <c r="AJ501" s="251"/>
      <c r="AK501" s="239"/>
      <c r="AL501" s="133">
        <f>SUM(AL502:AL508)</f>
        <v>134400</v>
      </c>
      <c r="AM501" s="134">
        <f>SUM(AM502:AM508)</f>
        <v>0</v>
      </c>
      <c r="AN501" s="107"/>
      <c r="AO501" s="222"/>
      <c r="AP501" s="133">
        <f>SUM(AP502:AP508)</f>
        <v>0</v>
      </c>
      <c r="AQ501" s="134">
        <f>SUM(AQ502:AQ508)</f>
        <v>0</v>
      </c>
      <c r="AR501" s="107"/>
      <c r="AS501" s="222"/>
      <c r="AT501" s="133">
        <f>SUM(AT502:AT508)</f>
        <v>0</v>
      </c>
      <c r="AU501" s="134">
        <f>SUM(AU502:AU508)</f>
        <v>89600</v>
      </c>
      <c r="AV501" s="107"/>
      <c r="AW501" s="222"/>
      <c r="AX501" s="222"/>
      <c r="AY501" s="104"/>
      <c r="AZ501" s="105"/>
      <c r="BA501" s="106"/>
      <c r="BB501" s="106"/>
      <c r="BC501" s="106"/>
      <c r="BD501" s="251"/>
      <c r="BE501" s="222"/>
      <c r="BF501" s="133">
        <f>SUM(BF502:BF508)</f>
        <v>0</v>
      </c>
      <c r="BG501" s="134">
        <f>SUM(BG502:BG508)</f>
        <v>0</v>
      </c>
      <c r="BH501" s="107"/>
      <c r="BI501" s="222"/>
      <c r="BJ501" s="133">
        <f>SUM(BJ502:BJ508)</f>
        <v>0</v>
      </c>
      <c r="BK501" s="134">
        <f>SUM(BK502:BK508)</f>
        <v>0</v>
      </c>
      <c r="BL501" s="107"/>
      <c r="BM501" s="222"/>
      <c r="BN501" s="133">
        <f>SUM(BN502:BN508)</f>
        <v>0</v>
      </c>
      <c r="BO501" s="134">
        <f>SUM(BO502:BO508)</f>
        <v>0</v>
      </c>
      <c r="BP501" s="107"/>
      <c r="BQ501" s="222"/>
      <c r="BR501" s="222"/>
      <c r="BS501" s="104"/>
      <c r="BT501" s="105"/>
      <c r="BU501" s="106"/>
      <c r="BV501" s="106"/>
      <c r="BW501" s="106"/>
      <c r="BX501" s="251"/>
      <c r="BY501" s="222"/>
      <c r="BZ501" s="133">
        <f>SUM(BZ502:BZ508)</f>
        <v>194000</v>
      </c>
      <c r="CA501" s="134">
        <f>SUM(CA502:CA508)</f>
        <v>0</v>
      </c>
      <c r="CB501" s="107"/>
      <c r="CC501" s="222"/>
      <c r="CD501" s="133">
        <f>SUM(CD502:CD508)</f>
        <v>22750</v>
      </c>
      <c r="CE501" s="134">
        <f>SUM(CE502:CE508)</f>
        <v>82000</v>
      </c>
      <c r="CF501" s="107"/>
      <c r="CG501" s="222"/>
      <c r="CH501" s="133">
        <f>SUM(CH502:CH508)</f>
        <v>0</v>
      </c>
      <c r="CI501" s="134">
        <f>SUM(CI502:CI508)</f>
        <v>134750</v>
      </c>
      <c r="CJ501" s="107"/>
      <c r="CK501" s="222"/>
      <c r="CL501" s="222"/>
      <c r="CM501" s="104"/>
      <c r="CN501" s="105"/>
      <c r="CO501" s="106"/>
      <c r="CP501" s="106"/>
      <c r="CQ501" s="106"/>
      <c r="CR501" s="251"/>
      <c r="CS501" s="239"/>
      <c r="CT501" s="133">
        <f>SUM(CT502:CT508)</f>
        <v>0</v>
      </c>
      <c r="CU501" s="134">
        <f>SUM(CU502:CU508)</f>
        <v>21350</v>
      </c>
      <c r="CV501" s="107"/>
      <c r="CW501" s="222"/>
      <c r="CX501" s="133">
        <f>SUM(CX502:CX508)</f>
        <v>0</v>
      </c>
      <c r="CY501" s="134">
        <f>SUM(CY502:CY508)</f>
        <v>183200</v>
      </c>
      <c r="CZ501" s="107"/>
      <c r="DA501" s="222"/>
      <c r="DB501" s="133">
        <f>SUM(DB502:DB508)</f>
        <v>0</v>
      </c>
      <c r="DC501" s="134">
        <f>SUM(DC502:DC508)</f>
        <v>0</v>
      </c>
      <c r="DD501" s="107"/>
      <c r="DE501" s="239"/>
      <c r="DF501" s="239"/>
      <c r="DG501" s="103"/>
      <c r="DH501" s="105"/>
      <c r="DI501" s="106"/>
      <c r="DJ501" s="106"/>
      <c r="DK501" s="106"/>
      <c r="DL501" s="251"/>
      <c r="DM501" s="239"/>
    </row>
    <row r="502" spans="1:117" ht="45" x14ac:dyDescent="0.25">
      <c r="A502" s="17"/>
      <c r="B502" s="80" t="s">
        <v>402</v>
      </c>
      <c r="C502" s="17">
        <v>1</v>
      </c>
      <c r="D502" s="80" t="s">
        <v>653</v>
      </c>
      <c r="E502" s="80"/>
      <c r="F502" s="337">
        <v>7035</v>
      </c>
      <c r="G502" s="80" t="s">
        <v>551</v>
      </c>
      <c r="H502" s="24" t="s">
        <v>552</v>
      </c>
      <c r="I502" s="24"/>
      <c r="J502" s="532">
        <f>SUM(M502,AG502,BA502,BU502)-L502</f>
        <v>-7</v>
      </c>
      <c r="K502" s="395">
        <f t="shared" ref="K502:K508" si="1146">M502-O502-L502</f>
        <v>-7</v>
      </c>
      <c r="L502" s="544">
        <v>9</v>
      </c>
      <c r="M502" s="302">
        <f>M246+M273+M385+M432</f>
        <v>2</v>
      </c>
      <c r="N502" s="7">
        <f>M502-L502</f>
        <v>-7</v>
      </c>
      <c r="O502" s="242"/>
      <c r="P502" s="242">
        <f>1+1</f>
        <v>2</v>
      </c>
      <c r="Q502" s="35">
        <f>L502+O502-P502</f>
        <v>7</v>
      </c>
      <c r="R502" s="123"/>
      <c r="S502" s="8"/>
      <c r="T502" s="34"/>
      <c r="U502" s="713"/>
      <c r="V502" s="123"/>
      <c r="W502" s="8"/>
      <c r="X502" s="34"/>
      <c r="Y502" s="713"/>
      <c r="Z502" s="20"/>
      <c r="AA502" s="8"/>
      <c r="AB502" s="34"/>
      <c r="AC502" s="234"/>
      <c r="AD502" s="234"/>
      <c r="AE502" s="397">
        <f>SUM(M502,AG502)-SUM(O502,AI502)-L502</f>
        <v>-7</v>
      </c>
      <c r="AF502" s="279">
        <f>Q502</f>
        <v>7</v>
      </c>
      <c r="AG502" s="306">
        <f>AG246+AG273+AG385+AG432</f>
        <v>0</v>
      </c>
      <c r="AH502" s="47">
        <f>AG502-AF502</f>
        <v>-7</v>
      </c>
      <c r="AI502" s="285"/>
      <c r="AJ502" s="253"/>
      <c r="AK502" s="48">
        <f>AF502+AI502-AJ502</f>
        <v>7</v>
      </c>
      <c r="AL502" s="123"/>
      <c r="AM502" s="8"/>
      <c r="AN502" s="34"/>
      <c r="AO502" s="713"/>
      <c r="AP502" s="123"/>
      <c r="AQ502" s="8"/>
      <c r="AR502" s="34"/>
      <c r="AS502" s="713"/>
      <c r="AT502" s="20"/>
      <c r="AU502" s="8"/>
      <c r="AV502" s="447"/>
      <c r="AW502" s="767"/>
      <c r="AX502" s="767"/>
      <c r="AY502" s="397">
        <f>SUM(M502,AG502,BA502)-SUM(O502,AI502,BC502)-L502</f>
        <v>-7</v>
      </c>
      <c r="AZ502" s="279">
        <f>AK502</f>
        <v>7</v>
      </c>
      <c r="BA502" s="302">
        <f>BA246+BA273+BA385+BA432</f>
        <v>0</v>
      </c>
      <c r="BB502" s="47">
        <f t="shared" ref="BB502:BB508" si="1147">BA502-AZ502</f>
        <v>-7</v>
      </c>
      <c r="BC502" s="256"/>
      <c r="BD502" s="253"/>
      <c r="BE502" s="48">
        <f t="shared" ref="BE502:BE508" si="1148">AZ502+BC502-BD502</f>
        <v>7</v>
      </c>
      <c r="BF502" s="123"/>
      <c r="BG502" s="8"/>
      <c r="BH502" s="34"/>
      <c r="BI502" s="713"/>
      <c r="BJ502" s="123"/>
      <c r="BK502" s="8"/>
      <c r="BL502" s="34"/>
      <c r="BM502" s="713"/>
      <c r="BN502" s="123"/>
      <c r="BO502" s="8"/>
      <c r="BP502" s="447"/>
      <c r="BQ502" s="767"/>
      <c r="BR502" s="767"/>
      <c r="BS502" s="397">
        <f>SUM(M502,AG502,BA502,BU502)-SUM(O502,AI502,BC502,BW502)-L502</f>
        <v>-7</v>
      </c>
      <c r="BT502" s="29">
        <f>BE502</f>
        <v>7</v>
      </c>
      <c r="BU502" s="302">
        <f>BU246+BU273+BU385+BU432</f>
        <v>0</v>
      </c>
      <c r="BV502" s="7">
        <f t="shared" ref="BV502:BV508" si="1149">BU502-BT502</f>
        <v>-7</v>
      </c>
      <c r="BW502" s="256"/>
      <c r="BX502" s="242">
        <f>1</f>
        <v>1</v>
      </c>
      <c r="BY502" s="35">
        <f t="shared" ref="BY502:BY508" si="1150">BT502+BW502-BX502</f>
        <v>6</v>
      </c>
      <c r="BZ502" s="123"/>
      <c r="CA502" s="8"/>
      <c r="CB502" s="447"/>
      <c r="CC502" s="728"/>
      <c r="CD502" s="123"/>
      <c r="CE502" s="8"/>
      <c r="CF502" s="447"/>
      <c r="CG502" s="728"/>
      <c r="CH502" s="20"/>
      <c r="CI502" s="8"/>
      <c r="CJ502" s="447"/>
      <c r="CK502" s="767"/>
      <c r="CL502" s="767"/>
      <c r="CM502" s="397">
        <f>SUM(M502,AG502,BA502,BU502,CO502)-SUM(O502,AI502,BC502,BW502,CQ502)-L502</f>
        <v>-7</v>
      </c>
      <c r="CN502" s="29">
        <f>BY502</f>
        <v>6</v>
      </c>
      <c r="CO502" s="302">
        <f>CO246+CO273+CO385+CO432</f>
        <v>0</v>
      </c>
      <c r="CP502" s="7">
        <f>CO502-CN502</f>
        <v>-6</v>
      </c>
      <c r="CQ502" s="240"/>
      <c r="CR502" s="242"/>
      <c r="CS502" s="35">
        <f>CN502+CQ502-CR502</f>
        <v>6</v>
      </c>
      <c r="CT502" s="123"/>
      <c r="CU502" s="8"/>
      <c r="CV502" s="34"/>
      <c r="CW502" s="713"/>
      <c r="CX502" s="123"/>
      <c r="CY502" s="8"/>
      <c r="CZ502" s="34"/>
      <c r="DA502" s="713"/>
      <c r="DB502" s="20"/>
      <c r="DC502" s="8"/>
      <c r="DD502" s="34"/>
      <c r="DE502" s="234"/>
      <c r="DF502" s="234"/>
      <c r="DG502" s="395">
        <f>SUM(M502,AG502,BA502,BU502,DI502)-SUM(O502,AI502,BC502,BW502,CQ502)-L502</f>
        <v>-7</v>
      </c>
      <c r="DH502" s="279">
        <f t="shared" ref="DH502:DH508" si="1151">BY502</f>
        <v>6</v>
      </c>
      <c r="DI502" s="302">
        <f>DI246+DI273+DI385+DI432</f>
        <v>0</v>
      </c>
      <c r="DJ502" s="47">
        <f>DI502-DH502</f>
        <v>-6</v>
      </c>
      <c r="DK502" s="253"/>
      <c r="DL502" s="253"/>
      <c r="DM502" s="48">
        <f>DH502+DK502-DL502</f>
        <v>6</v>
      </c>
    </row>
    <row r="503" spans="1:117" ht="75" x14ac:dyDescent="0.25">
      <c r="A503" s="18"/>
      <c r="B503" s="11" t="s">
        <v>413</v>
      </c>
      <c r="C503" s="18">
        <v>1</v>
      </c>
      <c r="D503" s="317" t="s">
        <v>717</v>
      </c>
      <c r="E503" s="317"/>
      <c r="F503" s="568">
        <v>3200</v>
      </c>
      <c r="G503" s="15" t="s">
        <v>754</v>
      </c>
      <c r="H503" s="25" t="s">
        <v>552</v>
      </c>
      <c r="I503" s="25"/>
      <c r="J503" s="530">
        <f>SUM(M503,AG503,BA503,BU503)-L503</f>
        <v>47</v>
      </c>
      <c r="K503" s="395">
        <f t="shared" si="1146"/>
        <v>-59</v>
      </c>
      <c r="L503" s="544">
        <v>62</v>
      </c>
      <c r="M503" s="298">
        <f>SUM(M274,M469*2,M531,M532)+3-SUM(M274,M469*2,M531,M532)</f>
        <v>3</v>
      </c>
      <c r="N503" s="5">
        <f>M503-L503</f>
        <v>-59</v>
      </c>
      <c r="O503" s="256"/>
      <c r="P503" s="240">
        <f>1+1+1</f>
        <v>3</v>
      </c>
      <c r="Q503" s="35">
        <f>L503+O503-P503</f>
        <v>59</v>
      </c>
      <c r="R503" s="235"/>
      <c r="S503" s="210"/>
      <c r="T503" s="216"/>
      <c r="U503" s="707"/>
      <c r="V503" s="236"/>
      <c r="W503" s="210"/>
      <c r="X503" s="216"/>
      <c r="Y503" s="707"/>
      <c r="Z503" s="236"/>
      <c r="AA503" s="210"/>
      <c r="AB503" s="216"/>
      <c r="AC503" s="738"/>
      <c r="AD503" s="738"/>
      <c r="AE503" s="398">
        <f>SUM(M503,AG503)-SUM(O503,AI503)-L503</f>
        <v>-127</v>
      </c>
      <c r="AF503" s="29">
        <f>Q503</f>
        <v>59</v>
      </c>
      <c r="AG503" s="298">
        <f>SUM(AG274,AG469*2,AG531,AG532)</f>
        <v>2</v>
      </c>
      <c r="AH503" s="5">
        <f>AG503-AF503</f>
        <v>-57</v>
      </c>
      <c r="AI503" s="256">
        <v>70</v>
      </c>
      <c r="AJ503" s="240">
        <f>1+1+1+1+1+1</f>
        <v>6</v>
      </c>
      <c r="AK503" s="35">
        <f>AF503+AI503-AJ503</f>
        <v>123</v>
      </c>
      <c r="AL503" s="587">
        <f>$F$503*60%*70</f>
        <v>134400</v>
      </c>
      <c r="AM503" s="210"/>
      <c r="AN503" s="216" t="s">
        <v>732</v>
      </c>
      <c r="AO503" s="707"/>
      <c r="AP503" s="235"/>
      <c r="AQ503" s="210"/>
      <c r="AR503" s="216"/>
      <c r="AS503" s="707"/>
      <c r="AT503" s="21"/>
      <c r="AU503" s="210">
        <f>$F$503*40%*70</f>
        <v>89600</v>
      </c>
      <c r="AV503" s="216" t="s">
        <v>733</v>
      </c>
      <c r="AW503" s="739"/>
      <c r="AX503" s="739"/>
      <c r="AY503" s="395">
        <f>SUM(M503,AG503,BA503)-SUM(O503,AI503,BC503)-L503</f>
        <v>-87</v>
      </c>
      <c r="AZ503" s="29">
        <f>AK503</f>
        <v>123</v>
      </c>
      <c r="BA503" s="298">
        <f>SUM(BA274,BA469*2,BA531,BA532)</f>
        <v>40</v>
      </c>
      <c r="BB503" s="5">
        <f t="shared" si="1147"/>
        <v>-83</v>
      </c>
      <c r="BC503" s="256"/>
      <c r="BD503" s="240">
        <f>1+1+1+1+1+1+1+1+1</f>
        <v>9</v>
      </c>
      <c r="BE503" s="35">
        <f t="shared" si="1148"/>
        <v>114</v>
      </c>
      <c r="BF503" s="236"/>
      <c r="BG503" s="6"/>
      <c r="BH503" s="216"/>
      <c r="BI503" s="707"/>
      <c r="BJ503" s="235"/>
      <c r="BK503" s="6"/>
      <c r="BL503" s="216"/>
      <c r="BM503" s="707"/>
      <c r="BN503" s="21"/>
      <c r="BO503" s="6"/>
      <c r="BP503" s="35"/>
      <c r="BQ503" s="234"/>
      <c r="BR503" s="234"/>
      <c r="BS503" s="395">
        <f>SUM(M503,AG503,BA503,BU503)-SUM(O503,AI503,BC503,BW503)-L503</f>
        <v>-93</v>
      </c>
      <c r="BT503" s="29">
        <f>BE503</f>
        <v>114</v>
      </c>
      <c r="BU503" s="298">
        <f>SUM(BU274,BU469*2,BU531,BU532)</f>
        <v>64</v>
      </c>
      <c r="BV503" s="5">
        <f t="shared" si="1149"/>
        <v>-50</v>
      </c>
      <c r="BW503" s="623">
        <v>70</v>
      </c>
      <c r="BX503" s="240">
        <f>1+4+1+1+1+1+1+1+1</f>
        <v>12</v>
      </c>
      <c r="BY503" s="35">
        <f t="shared" si="1150"/>
        <v>172</v>
      </c>
      <c r="BZ503" s="666">
        <v>112000</v>
      </c>
      <c r="CA503" s="663"/>
      <c r="CB503" s="664" t="s">
        <v>823</v>
      </c>
      <c r="CC503" s="773"/>
      <c r="CD503" s="236"/>
      <c r="CE503" s="199"/>
      <c r="CF503" s="148"/>
      <c r="CG503" s="711"/>
      <c r="CH503" s="21"/>
      <c r="CI503" s="629">
        <v>112000</v>
      </c>
      <c r="CJ503" s="625" t="s">
        <v>919</v>
      </c>
      <c r="CK503" s="806"/>
      <c r="CL503" s="806"/>
      <c r="CM503" s="395">
        <f>SUM(M503,AG503,BA503,BU503,CO503)-SUM(O503,AI503,BC503,BW503,CQ503)-L503</f>
        <v>-93</v>
      </c>
      <c r="CN503" s="29">
        <f>BY503</f>
        <v>172</v>
      </c>
      <c r="CO503" s="298">
        <f>SUM(CO274,CO469*2,CO531,CO532)</f>
        <v>0</v>
      </c>
      <c r="CP503" s="5">
        <f>CO503-CN503</f>
        <v>-172</v>
      </c>
      <c r="CQ503" s="240"/>
      <c r="CR503" s="240"/>
      <c r="CS503" s="35">
        <f>CN503+CQ503-CR503</f>
        <v>172</v>
      </c>
      <c r="CT503" s="449"/>
      <c r="CU503" s="416"/>
      <c r="CV503" s="450"/>
      <c r="CW503" s="248"/>
      <c r="CX503" s="449"/>
      <c r="CY503" s="416">
        <v>108500</v>
      </c>
      <c r="CZ503" s="450" t="s">
        <v>824</v>
      </c>
      <c r="DA503" s="248"/>
      <c r="DB503" s="421"/>
      <c r="DC503" s="416"/>
      <c r="DD503" s="415"/>
      <c r="DE503" s="619"/>
      <c r="DF503" s="619"/>
      <c r="DG503" s="395">
        <f>SUM(M503,AG503,BA503,BU503,DI503)-SUM(O503,AI503,BC503,BW503,CQ503)-L503</f>
        <v>-93</v>
      </c>
      <c r="DH503" s="32">
        <f t="shared" si="1151"/>
        <v>172</v>
      </c>
      <c r="DI503" s="298">
        <f>SUM(DI274,DI469*2,DI531,DI532)</f>
        <v>0</v>
      </c>
      <c r="DJ503" s="5">
        <f>DI503-DH503</f>
        <v>-172</v>
      </c>
      <c r="DK503" s="240"/>
      <c r="DL503" s="240"/>
      <c r="DM503" s="35">
        <f>DH503+DK503-DL503</f>
        <v>172</v>
      </c>
    </row>
    <row r="504" spans="1:117" ht="30" x14ac:dyDescent="0.25">
      <c r="A504" s="18">
        <v>2216</v>
      </c>
      <c r="B504" s="11" t="s">
        <v>87</v>
      </c>
      <c r="C504" s="18">
        <v>1</v>
      </c>
      <c r="D504" s="15" t="s">
        <v>655</v>
      </c>
      <c r="E504" s="15"/>
      <c r="F504" s="149">
        <v>7470</v>
      </c>
      <c r="G504" s="15" t="s">
        <v>551</v>
      </c>
      <c r="H504" s="25" t="s">
        <v>552</v>
      </c>
      <c r="I504" s="25"/>
      <c r="J504" s="530">
        <f>SUM(M504,AG504,BA504,BU504)-L504</f>
        <v>-13</v>
      </c>
      <c r="K504" s="395">
        <f t="shared" si="1146"/>
        <v>-39</v>
      </c>
      <c r="L504" s="544">
        <v>43</v>
      </c>
      <c r="M504" s="298">
        <f>SUM(M545,M551,M552)+4-SUM(M545,M551,M552)</f>
        <v>4</v>
      </c>
      <c r="N504" s="5">
        <f>M504-L504</f>
        <v>-39</v>
      </c>
      <c r="O504" s="256"/>
      <c r="P504" s="240">
        <f>1+1+1+1</f>
        <v>4</v>
      </c>
      <c r="Q504" s="35">
        <f>L504+O504-P504</f>
        <v>39</v>
      </c>
      <c r="R504" s="235"/>
      <c r="S504" s="210"/>
      <c r="T504" s="216"/>
      <c r="U504" s="707"/>
      <c r="V504" s="236"/>
      <c r="W504" s="210"/>
      <c r="X504" s="216"/>
      <c r="Y504" s="707"/>
      <c r="Z504" s="236"/>
      <c r="AA504" s="210"/>
      <c r="AB504" s="216"/>
      <c r="AC504" s="738"/>
      <c r="AD504" s="738"/>
      <c r="AE504" s="398">
        <f>SUM(M504,AG504)-SUM(O504,AI504)-L504</f>
        <v>-37</v>
      </c>
      <c r="AF504" s="29">
        <f>Q504</f>
        <v>39</v>
      </c>
      <c r="AG504" s="298">
        <f>SUM(AG545,AG551,AG552)</f>
        <v>2</v>
      </c>
      <c r="AH504" s="5">
        <f>AG504-AF504</f>
        <v>-37</v>
      </c>
      <c r="AI504" s="258"/>
      <c r="AJ504" s="240">
        <f>1+1+1+1+1+1</f>
        <v>6</v>
      </c>
      <c r="AK504" s="35">
        <f>AF504+AI504-AJ504</f>
        <v>33</v>
      </c>
      <c r="AL504" s="236"/>
      <c r="AM504" s="210"/>
      <c r="AN504" s="211"/>
      <c r="AO504" s="708"/>
      <c r="AP504" s="235"/>
      <c r="AQ504" s="210"/>
      <c r="AR504" s="216"/>
      <c r="AS504" s="707"/>
      <c r="AT504" s="21"/>
      <c r="AU504" s="6"/>
      <c r="AV504" s="216"/>
      <c r="AW504" s="739"/>
      <c r="AX504" s="739"/>
      <c r="AY504" s="395">
        <f>SUM(M504,AG504,BA504)-SUM(O504,AI504,BC504)-L504</f>
        <v>-27</v>
      </c>
      <c r="AZ504" s="29">
        <f t="shared" ref="AZ504:AZ505" si="1152">AK504</f>
        <v>33</v>
      </c>
      <c r="BA504" s="298">
        <f>SUM(BA545,BA551,BA552)</f>
        <v>10</v>
      </c>
      <c r="BB504" s="5">
        <f t="shared" si="1147"/>
        <v>-23</v>
      </c>
      <c r="BC504" s="5"/>
      <c r="BD504" s="240">
        <f>1+1+1+1+1+1+1+1+1</f>
        <v>9</v>
      </c>
      <c r="BE504" s="35">
        <f t="shared" si="1148"/>
        <v>24</v>
      </c>
      <c r="BF504" s="236"/>
      <c r="BG504" s="6"/>
      <c r="BH504" s="216"/>
      <c r="BI504" s="707"/>
      <c r="BJ504" s="236"/>
      <c r="BK504" s="6"/>
      <c r="BL504" s="216"/>
      <c r="BM504" s="707"/>
      <c r="BN504" s="235"/>
      <c r="BO504" s="6"/>
      <c r="BP504" s="216"/>
      <c r="BQ504" s="739"/>
      <c r="BR504" s="739"/>
      <c r="BS504" s="395">
        <f>SUM(M504,AG504,BA504,BU504)-SUM(O504,AI504,BC504,BW504)-L504</f>
        <v>-33</v>
      </c>
      <c r="BT504" s="29">
        <f t="shared" ref="BT504:BT505" si="1153">BE504</f>
        <v>24</v>
      </c>
      <c r="BU504" s="298">
        <f>SUM(BU545,BU551,BU552)</f>
        <v>14</v>
      </c>
      <c r="BV504" s="5">
        <f t="shared" si="1149"/>
        <v>-10</v>
      </c>
      <c r="BW504" s="7">
        <v>20</v>
      </c>
      <c r="BX504" s="240">
        <f>1+4+1+1+1+1+1+1</f>
        <v>11</v>
      </c>
      <c r="BY504" s="35">
        <f t="shared" si="1150"/>
        <v>33</v>
      </c>
      <c r="BZ504" s="666">
        <v>82000</v>
      </c>
      <c r="CA504" s="663"/>
      <c r="CB504" s="664" t="s">
        <v>886</v>
      </c>
      <c r="CC504" s="773"/>
      <c r="CD504" s="236"/>
      <c r="CE504" s="663">
        <v>82000</v>
      </c>
      <c r="CF504" s="664" t="s">
        <v>901</v>
      </c>
      <c r="CG504" s="773"/>
      <c r="CH504" s="236"/>
      <c r="CI504" s="210"/>
      <c r="CJ504" s="35"/>
      <c r="CK504" s="234"/>
      <c r="CL504" s="234"/>
      <c r="CM504" s="395">
        <f>SUM(M504,AG504,BA504,BU504,CO504)-SUM(O504,AI504,BC504,BW504,CQ504)-L504</f>
        <v>-33</v>
      </c>
      <c r="CN504" s="29">
        <f t="shared" ref="CN504:CN506" si="1154">BY504</f>
        <v>33</v>
      </c>
      <c r="CO504" s="298">
        <f>SUM(CO545,CO551,CO552)</f>
        <v>0</v>
      </c>
      <c r="CP504" s="5">
        <f>CO504-CN504</f>
        <v>-33</v>
      </c>
      <c r="CQ504" s="256"/>
      <c r="CR504" s="240"/>
      <c r="CS504" s="35">
        <f>CN504+CQ504-CR504</f>
        <v>33</v>
      </c>
      <c r="CT504" s="235"/>
      <c r="CU504" s="210"/>
      <c r="CV504" s="35"/>
      <c r="CW504" s="612"/>
      <c r="CX504" s="235"/>
      <c r="CY504" s="6">
        <v>74700</v>
      </c>
      <c r="CZ504" s="450" t="s">
        <v>824</v>
      </c>
      <c r="DA504" s="248"/>
      <c r="DB504" s="21"/>
      <c r="DC504" s="6"/>
      <c r="DD504" s="35"/>
      <c r="DE504" s="234"/>
      <c r="DF504" s="234"/>
      <c r="DG504" s="395">
        <f>SUM(M504,AG504,BA504,BU504,DI504)-SUM(O504,AI504,BC504,BW504,CQ504)-L504</f>
        <v>-33</v>
      </c>
      <c r="DH504" s="32">
        <f t="shared" si="1151"/>
        <v>33</v>
      </c>
      <c r="DI504" s="298">
        <f>SUM(DI545,DI551,DI552)</f>
        <v>0</v>
      </c>
      <c r="DJ504" s="5">
        <f>DI504-DH504</f>
        <v>-33</v>
      </c>
      <c r="DK504" s="256"/>
      <c r="DL504" s="240"/>
      <c r="DM504" s="35">
        <f>DH504+DK504-DL504</f>
        <v>33</v>
      </c>
    </row>
    <row r="505" spans="1:117" ht="60" x14ac:dyDescent="0.25">
      <c r="A505" s="18"/>
      <c r="B505" s="15" t="s">
        <v>622</v>
      </c>
      <c r="C505" s="18">
        <v>1</v>
      </c>
      <c r="D505" s="345" t="s">
        <v>671</v>
      </c>
      <c r="E505" s="345"/>
      <c r="F505" s="149">
        <v>20</v>
      </c>
      <c r="G505" s="518" t="s">
        <v>757</v>
      </c>
      <c r="H505" s="25"/>
      <c r="I505" s="25"/>
      <c r="J505" s="530">
        <f>SUM(M505,AG505,BA505,BU505)-L505</f>
        <v>-87</v>
      </c>
      <c r="K505" s="395">
        <f t="shared" si="1146"/>
        <v>-113</v>
      </c>
      <c r="L505" s="544">
        <v>117</v>
      </c>
      <c r="M505" s="298">
        <f>SUM(M545,M551,M552)+4-SUM(M545,M551,M552)</f>
        <v>4</v>
      </c>
      <c r="N505" s="5">
        <f>M505-L505</f>
        <v>-113</v>
      </c>
      <c r="O505" s="256"/>
      <c r="P505" s="240">
        <f>1+1+1+1</f>
        <v>4</v>
      </c>
      <c r="Q505" s="35">
        <f>L505+O505-P505</f>
        <v>113</v>
      </c>
      <c r="R505" s="236"/>
      <c r="S505" s="210"/>
      <c r="T505" s="216"/>
      <c r="U505" s="707"/>
      <c r="V505" s="236"/>
      <c r="W505" s="6"/>
      <c r="X505" s="216"/>
      <c r="Y505" s="707"/>
      <c r="Z505" s="21"/>
      <c r="AA505" s="6"/>
      <c r="AB505" s="216"/>
      <c r="AC505" s="738"/>
      <c r="AD505" s="738"/>
      <c r="AE505" s="398">
        <f>SUM(M505,AG505)-SUM(O505,AI505)-L505</f>
        <v>-111</v>
      </c>
      <c r="AF505" s="29">
        <f>Q505</f>
        <v>113</v>
      </c>
      <c r="AG505" s="298">
        <f>SUM(AG545,AG551,AG552)</f>
        <v>2</v>
      </c>
      <c r="AH505" s="5">
        <f>AG505-AF505</f>
        <v>-111</v>
      </c>
      <c r="AI505" s="258"/>
      <c r="AJ505" s="240">
        <f>1+1+1+1+1+1</f>
        <v>6</v>
      </c>
      <c r="AK505" s="35">
        <f>AF505+AI505-AJ505</f>
        <v>107</v>
      </c>
      <c r="AL505" s="236"/>
      <c r="AM505" s="6"/>
      <c r="AN505" s="216"/>
      <c r="AO505" s="707"/>
      <c r="AP505" s="236"/>
      <c r="AQ505" s="6"/>
      <c r="AR505" s="216"/>
      <c r="AS505" s="707"/>
      <c r="AT505" s="21"/>
      <c r="AU505" s="6"/>
      <c r="AV505" s="35"/>
      <c r="AW505" s="234"/>
      <c r="AX505" s="234"/>
      <c r="AY505" s="395">
        <f>SUM(M505,AG505,BA505)-SUM(O505,AI505,BC505)-L505</f>
        <v>-101</v>
      </c>
      <c r="AZ505" s="29">
        <f t="shared" si="1152"/>
        <v>107</v>
      </c>
      <c r="BA505" s="298">
        <f>SUM(BA545,BA551,BA552)</f>
        <v>10</v>
      </c>
      <c r="BB505" s="5">
        <f t="shared" si="1147"/>
        <v>-97</v>
      </c>
      <c r="BC505" s="258"/>
      <c r="BD505" s="240">
        <f>1+1+1+1+1+1+1</f>
        <v>7</v>
      </c>
      <c r="BE505" s="35">
        <f t="shared" si="1148"/>
        <v>100</v>
      </c>
      <c r="BF505" s="236"/>
      <c r="BG505" s="6"/>
      <c r="BH505" s="216"/>
      <c r="BI505" s="707"/>
      <c r="BJ505" s="236"/>
      <c r="BK505" s="6"/>
      <c r="BL505" s="216"/>
      <c r="BM505" s="707"/>
      <c r="BN505" s="21"/>
      <c r="BO505" s="6"/>
      <c r="BP505" s="35"/>
      <c r="BQ505" s="234"/>
      <c r="BR505" s="234"/>
      <c r="BS505" s="395">
        <f>SUM(M505,AG505,BA505,BU505)-SUM(O505,AI505,BC505,BW505)-L505</f>
        <v>-87</v>
      </c>
      <c r="BT505" s="29">
        <f t="shared" si="1153"/>
        <v>100</v>
      </c>
      <c r="BU505" s="298">
        <f>SUM(BU545,BU551,BU552)</f>
        <v>14</v>
      </c>
      <c r="BV505" s="5">
        <f t="shared" si="1149"/>
        <v>-86</v>
      </c>
      <c r="BW505" s="256"/>
      <c r="BX505" s="240">
        <f>1</f>
        <v>1</v>
      </c>
      <c r="BY505" s="35">
        <f t="shared" si="1150"/>
        <v>99</v>
      </c>
      <c r="BZ505" s="235"/>
      <c r="CA505" s="6"/>
      <c r="CB505" s="148"/>
      <c r="CC505" s="711"/>
      <c r="CD505" s="236"/>
      <c r="CE505" s="210"/>
      <c r="CF505" s="216"/>
      <c r="CG505" s="707"/>
      <c r="CH505" s="236"/>
      <c r="CI505" s="210"/>
      <c r="CJ505" s="216"/>
      <c r="CK505" s="739"/>
      <c r="CL505" s="739"/>
      <c r="CM505" s="395">
        <f>SUM(M505,AG505,BA505,BU505,CO505)-SUM(O505,AI505,BC505,BW505,CQ505)-L505</f>
        <v>-87</v>
      </c>
      <c r="CN505" s="29">
        <f t="shared" si="1154"/>
        <v>99</v>
      </c>
      <c r="CO505" s="298">
        <f>SUM(CO545,CO551,CO552)</f>
        <v>0</v>
      </c>
      <c r="CP505" s="5">
        <f>CO505-CN505</f>
        <v>-99</v>
      </c>
      <c r="CQ505" s="240"/>
      <c r="CR505" s="240"/>
      <c r="CS505" s="35">
        <f>CN505+CQ505-CR505</f>
        <v>99</v>
      </c>
      <c r="CT505" s="235"/>
      <c r="CU505" s="6"/>
      <c r="CV505" s="148"/>
      <c r="CW505" s="711"/>
      <c r="CX505" s="235"/>
      <c r="CY505" s="6"/>
      <c r="CZ505" s="148"/>
      <c r="DA505" s="711"/>
      <c r="DB505" s="21"/>
      <c r="DC505" s="6"/>
      <c r="DD505" s="35"/>
      <c r="DE505" s="234"/>
      <c r="DF505" s="234"/>
      <c r="DG505" s="395">
        <f>SUM(M505,AG505,BA505,BU505,DI505)-SUM(O505,AI505,BC505,BW505,CQ505)-L505</f>
        <v>-87</v>
      </c>
      <c r="DH505" s="32">
        <f t="shared" si="1151"/>
        <v>99</v>
      </c>
      <c r="DI505" s="298">
        <f>SUM(DI545,DI551,DI552)</f>
        <v>0</v>
      </c>
      <c r="DJ505" s="5">
        <f>DI505-DH505</f>
        <v>-99</v>
      </c>
      <c r="DK505" s="240"/>
      <c r="DL505" s="240"/>
      <c r="DM505" s="35">
        <f>DH505+DK505-DL505</f>
        <v>99</v>
      </c>
    </row>
    <row r="506" spans="1:117" ht="15.75" thickBot="1" x14ac:dyDescent="0.3">
      <c r="A506" s="63">
        <v>2289</v>
      </c>
      <c r="B506" s="62" t="s">
        <v>868</v>
      </c>
      <c r="C506" s="63">
        <v>1</v>
      </c>
      <c r="D506" s="15" t="s">
        <v>870</v>
      </c>
      <c r="E506" s="419"/>
      <c r="F506" s="584"/>
      <c r="G506" s="386"/>
      <c r="H506" s="311"/>
      <c r="I506" s="311"/>
      <c r="J506" s="533"/>
      <c r="K506" s="396"/>
      <c r="L506" s="551"/>
      <c r="M506" s="300"/>
      <c r="N506" s="65"/>
      <c r="O506" s="286"/>
      <c r="P506" s="250"/>
      <c r="Q506" s="66"/>
      <c r="R506" s="126"/>
      <c r="S506" s="127"/>
      <c r="T506" s="66"/>
      <c r="U506" s="715"/>
      <c r="V506" s="126"/>
      <c r="W506" s="127"/>
      <c r="X506" s="66"/>
      <c r="Y506" s="715"/>
      <c r="Z506" s="585"/>
      <c r="AA506" s="127"/>
      <c r="AB506" s="66"/>
      <c r="AC506" s="297"/>
      <c r="AD506" s="297"/>
      <c r="AE506" s="396"/>
      <c r="AF506" s="296"/>
      <c r="AG506" s="300"/>
      <c r="AH506" s="65"/>
      <c r="AI506" s="284"/>
      <c r="AJ506" s="250"/>
      <c r="AK506" s="66"/>
      <c r="AL506" s="126"/>
      <c r="AM506" s="127"/>
      <c r="AN506" s="66"/>
      <c r="AO506" s="715"/>
      <c r="AP506" s="126"/>
      <c r="AQ506" s="127"/>
      <c r="AR506" s="66"/>
      <c r="AS506" s="715"/>
      <c r="AT506" s="128"/>
      <c r="AU506" s="127"/>
      <c r="AV506" s="66"/>
      <c r="AW506" s="297"/>
      <c r="AX506" s="297"/>
      <c r="AY506" s="396"/>
      <c r="AZ506" s="608">
        <v>31</v>
      </c>
      <c r="BA506" s="300">
        <f>SUM(BA545,BA551,BA552)</f>
        <v>10</v>
      </c>
      <c r="BB506" s="65">
        <f t="shared" si="1147"/>
        <v>-21</v>
      </c>
      <c r="BC506" s="284"/>
      <c r="BD506" s="241">
        <f>BD504</f>
        <v>9</v>
      </c>
      <c r="BE506" s="66">
        <f t="shared" si="1148"/>
        <v>22</v>
      </c>
      <c r="BF506" s="128"/>
      <c r="BG506" s="127"/>
      <c r="BH506" s="66"/>
      <c r="BI506" s="715"/>
      <c r="BJ506" s="126"/>
      <c r="BK506" s="127"/>
      <c r="BL506" s="66"/>
      <c r="BM506" s="715"/>
      <c r="BN506" s="128"/>
      <c r="BO506" s="127"/>
      <c r="BP506" s="66"/>
      <c r="BQ506" s="297"/>
      <c r="BR506" s="297"/>
      <c r="BS506" s="396"/>
      <c r="BT506" s="296">
        <f>BE506</f>
        <v>22</v>
      </c>
      <c r="BU506" s="298">
        <f>SUM(BU545,BU551,BU552)</f>
        <v>14</v>
      </c>
      <c r="BV506" s="5">
        <f t="shared" si="1149"/>
        <v>-8</v>
      </c>
      <c r="BW506" s="241"/>
      <c r="BX506" s="250">
        <f>BX504</f>
        <v>11</v>
      </c>
      <c r="BY506" s="66">
        <f t="shared" si="1150"/>
        <v>11</v>
      </c>
      <c r="BZ506" s="126"/>
      <c r="CA506" s="127"/>
      <c r="CB506" s="66"/>
      <c r="CC506" s="715"/>
      <c r="CD506" s="470"/>
      <c r="CE506" s="6"/>
      <c r="CF506" s="35"/>
      <c r="CH506" s="557"/>
      <c r="CI506" s="469"/>
      <c r="CJ506" s="472"/>
      <c r="CK506" s="740"/>
      <c r="CL506" s="740"/>
      <c r="CM506" s="396"/>
      <c r="CN506" s="296">
        <f t="shared" si="1154"/>
        <v>11</v>
      </c>
      <c r="CO506" s="300"/>
      <c r="CP506" s="65"/>
      <c r="CQ506" s="250"/>
      <c r="CR506" s="250"/>
      <c r="CS506" s="66">
        <f>CN506+CQ506-CR506</f>
        <v>11</v>
      </c>
      <c r="CT506" s="126"/>
      <c r="CU506" s="127"/>
      <c r="CV506" s="450"/>
      <c r="CW506" s="248"/>
      <c r="CX506" s="126"/>
      <c r="DB506" s="128"/>
      <c r="DC506" s="127"/>
      <c r="DD506" s="66"/>
      <c r="DE506" s="297"/>
      <c r="DF506" s="297"/>
      <c r="DG506" s="396"/>
      <c r="DH506" s="296">
        <f t="shared" si="1151"/>
        <v>11</v>
      </c>
      <c r="DI506" s="300"/>
      <c r="DJ506" s="65"/>
      <c r="DK506" s="250"/>
      <c r="DL506" s="250"/>
      <c r="DM506" s="66">
        <f>DH506+DK506-DL506</f>
        <v>11</v>
      </c>
    </row>
    <row r="507" spans="1:117" ht="15.75" thickBot="1" x14ac:dyDescent="0.3">
      <c r="A507" s="63">
        <v>2290</v>
      </c>
      <c r="B507" s="62" t="s">
        <v>867</v>
      </c>
      <c r="C507" s="63">
        <v>1</v>
      </c>
      <c r="D507" s="15" t="s">
        <v>870</v>
      </c>
      <c r="E507" s="419"/>
      <c r="F507" s="584"/>
      <c r="G507" s="386"/>
      <c r="H507" s="311"/>
      <c r="I507" s="311"/>
      <c r="J507" s="533"/>
      <c r="K507" s="396"/>
      <c r="L507" s="551"/>
      <c r="M507" s="300"/>
      <c r="N507" s="65"/>
      <c r="O507" s="286"/>
      <c r="P507" s="250"/>
      <c r="Q507" s="66"/>
      <c r="R507" s="126"/>
      <c r="S507" s="127"/>
      <c r="T507" s="66"/>
      <c r="U507" s="715"/>
      <c r="V507" s="126"/>
      <c r="W507" s="127"/>
      <c r="X507" s="66"/>
      <c r="Y507" s="715"/>
      <c r="Z507" s="585"/>
      <c r="AA507" s="127"/>
      <c r="AB507" s="66"/>
      <c r="AC507" s="297"/>
      <c r="AD507" s="297"/>
      <c r="AE507" s="396"/>
      <c r="AF507" s="296"/>
      <c r="AG507" s="300"/>
      <c r="AH507" s="65"/>
      <c r="AI507" s="284"/>
      <c r="AJ507" s="250"/>
      <c r="AK507" s="66"/>
      <c r="AL507" s="126"/>
      <c r="AM507" s="127"/>
      <c r="AN507" s="66"/>
      <c r="AO507" s="715"/>
      <c r="AP507" s="126"/>
      <c r="AQ507" s="127"/>
      <c r="AR507" s="66"/>
      <c r="AS507" s="715"/>
      <c r="AT507" s="128"/>
      <c r="AU507" s="127"/>
      <c r="AV507" s="66"/>
      <c r="AW507" s="297"/>
      <c r="AX507" s="297"/>
      <c r="AY507" s="396"/>
      <c r="AZ507" s="608">
        <v>1</v>
      </c>
      <c r="BA507" s="300">
        <f>SUM(BA545,BA551,BA552)</f>
        <v>10</v>
      </c>
      <c r="BB507" s="65">
        <f t="shared" si="1147"/>
        <v>9</v>
      </c>
      <c r="BC507" s="284">
        <v>35</v>
      </c>
      <c r="BD507" s="241">
        <f>BD504</f>
        <v>9</v>
      </c>
      <c r="BE507" s="66">
        <f t="shared" si="1148"/>
        <v>27</v>
      </c>
      <c r="BF507" s="128"/>
      <c r="BG507" s="127"/>
      <c r="BH507" s="66" t="s">
        <v>869</v>
      </c>
      <c r="BI507" s="715"/>
      <c r="BJ507" s="126"/>
      <c r="BK507" s="127"/>
      <c r="BL507" s="66"/>
      <c r="BM507" s="715"/>
      <c r="BN507" s="128"/>
      <c r="BO507" s="127"/>
      <c r="BP507" s="66"/>
      <c r="BQ507" s="297"/>
      <c r="BR507" s="297"/>
      <c r="BS507" s="396"/>
      <c r="BT507" s="296">
        <f>BE507</f>
        <v>27</v>
      </c>
      <c r="BU507" s="300">
        <f>SUM(BU545,BU551,BU552)</f>
        <v>14</v>
      </c>
      <c r="BV507" s="65">
        <f t="shared" si="1149"/>
        <v>-13</v>
      </c>
      <c r="BW507" s="241"/>
      <c r="BX507" s="250">
        <f>BX504</f>
        <v>11</v>
      </c>
      <c r="BY507" s="66">
        <f t="shared" si="1150"/>
        <v>16</v>
      </c>
      <c r="BZ507" s="126"/>
      <c r="CA507" s="127"/>
      <c r="CB507" s="66"/>
      <c r="CC507" s="715"/>
      <c r="CD507" s="470"/>
      <c r="CE507" s="6"/>
      <c r="CF507" s="35"/>
      <c r="CH507" s="557"/>
      <c r="CI507" s="469"/>
      <c r="CJ507" s="472"/>
      <c r="CK507" s="740"/>
      <c r="CL507" s="740"/>
      <c r="CM507" s="396"/>
      <c r="CN507" s="296"/>
      <c r="CO507" s="300"/>
      <c r="CP507" s="65"/>
      <c r="CQ507" s="250"/>
      <c r="CR507" s="250"/>
      <c r="CS507" s="66"/>
      <c r="CT507" s="126"/>
      <c r="CU507" s="127"/>
      <c r="CV507" s="450"/>
      <c r="CW507" s="248"/>
      <c r="CX507" s="126"/>
      <c r="DB507" s="128"/>
      <c r="DC507" s="127"/>
      <c r="DD507" s="66"/>
      <c r="DE507" s="297"/>
      <c r="DF507" s="297"/>
      <c r="DG507" s="396"/>
      <c r="DH507" s="296"/>
      <c r="DI507" s="300"/>
      <c r="DJ507" s="65"/>
      <c r="DK507" s="250"/>
      <c r="DL507" s="250"/>
      <c r="DM507" s="66"/>
    </row>
    <row r="508" spans="1:117" ht="165.75" thickBot="1" x14ac:dyDescent="0.3">
      <c r="A508" s="63"/>
      <c r="B508" s="62" t="s">
        <v>102</v>
      </c>
      <c r="C508" s="63"/>
      <c r="D508" s="295" t="s">
        <v>718</v>
      </c>
      <c r="E508" s="295"/>
      <c r="F508" s="584">
        <v>610</v>
      </c>
      <c r="G508" s="386" t="s">
        <v>331</v>
      </c>
      <c r="H508" s="311"/>
      <c r="I508" s="311"/>
      <c r="J508" s="533">
        <f>SUM(M508,AG508,BA508,BU508)-L508</f>
        <v>17</v>
      </c>
      <c r="K508" s="396">
        <f t="shared" si="1146"/>
        <v>-78</v>
      </c>
      <c r="L508" s="551">
        <v>34</v>
      </c>
      <c r="M508" s="300">
        <f>(M246*2+M266+M275+M340+M385+M441+M464)+6-(M246*2+M266+M275+M340+M385+M441+M464)</f>
        <v>6</v>
      </c>
      <c r="N508" s="65">
        <f>M508-L508</f>
        <v>-28</v>
      </c>
      <c r="O508" s="286">
        <v>50</v>
      </c>
      <c r="P508" s="250">
        <f>1+1+1+1+1+1+4</f>
        <v>10</v>
      </c>
      <c r="Q508" s="66">
        <f>L508+O508-P508</f>
        <v>74</v>
      </c>
      <c r="R508" s="126"/>
      <c r="S508" s="127"/>
      <c r="T508" s="66"/>
      <c r="U508" s="715"/>
      <c r="V508" s="126"/>
      <c r="W508" s="127"/>
      <c r="X508" s="66"/>
      <c r="Y508" s="715"/>
      <c r="Z508" s="585">
        <f>$F$508*100%*50</f>
        <v>30500</v>
      </c>
      <c r="AA508" s="127"/>
      <c r="AB508" s="66" t="s">
        <v>731</v>
      </c>
      <c r="AC508" s="297"/>
      <c r="AD508" s="297"/>
      <c r="AE508" s="396">
        <f>SUM(M508,AG508)-SUM(O508,AI508)-L508</f>
        <v>-75</v>
      </c>
      <c r="AF508" s="296">
        <f>Q508</f>
        <v>74</v>
      </c>
      <c r="AG508" s="300">
        <f>AG246*2+AG266+AG275+AG340+AG385+AG441+AG464</f>
        <v>3</v>
      </c>
      <c r="AH508" s="65">
        <f>AG508-AF508</f>
        <v>-71</v>
      </c>
      <c r="AI508" s="284"/>
      <c r="AJ508" s="250">
        <f>1+1+1+1+1+1+1+1</f>
        <v>8</v>
      </c>
      <c r="AK508" s="66">
        <f>AF508+AI508-AJ508</f>
        <v>66</v>
      </c>
      <c r="AL508" s="126"/>
      <c r="AM508" s="127"/>
      <c r="AN508" s="66"/>
      <c r="AO508" s="715"/>
      <c r="AP508" s="126"/>
      <c r="AQ508" s="127"/>
      <c r="AR508" s="66"/>
      <c r="AS508" s="715"/>
      <c r="AT508" s="128"/>
      <c r="AU508" s="127"/>
      <c r="AV508" s="66"/>
      <c r="AW508" s="297"/>
      <c r="AX508" s="297"/>
      <c r="AY508" s="396">
        <f>SUM(M508,AG508,BA508)-SUM(O508,AI508,BC508)-L508</f>
        <v>-58</v>
      </c>
      <c r="AZ508" s="296">
        <f>AK508</f>
        <v>66</v>
      </c>
      <c r="BA508" s="300">
        <f>BA246*2+BA266+BA275+BA340+BA385+BA441+BA464</f>
        <v>17</v>
      </c>
      <c r="BB508" s="65">
        <f t="shared" si="1147"/>
        <v>-49</v>
      </c>
      <c r="BC508" s="284"/>
      <c r="BD508" s="241">
        <f>1+1+1+1+1+1+1</f>
        <v>7</v>
      </c>
      <c r="BE508" s="66">
        <f t="shared" si="1148"/>
        <v>59</v>
      </c>
      <c r="BF508" s="128"/>
      <c r="BG508" s="127"/>
      <c r="BH508" s="66"/>
      <c r="BI508" s="715"/>
      <c r="BJ508" s="126"/>
      <c r="BK508" s="127"/>
      <c r="BL508" s="66"/>
      <c r="BM508" s="715"/>
      <c r="BN508" s="128"/>
      <c r="BO508" s="127"/>
      <c r="BP508" s="66"/>
      <c r="BQ508" s="297"/>
      <c r="BR508" s="297"/>
      <c r="BS508" s="396">
        <f>SUM(M508,AG508,BA508,BU508)-SUM(O508,AI508,BC508,BW508)-L508</f>
        <v>-103</v>
      </c>
      <c r="BT508" s="296">
        <f>BE508</f>
        <v>59</v>
      </c>
      <c r="BU508" s="300">
        <f>BU246*2+BU266+BU275+BU340+BU385+BU441+BU464</f>
        <v>25</v>
      </c>
      <c r="BV508" s="65">
        <f t="shared" si="1149"/>
        <v>-34</v>
      </c>
      <c r="BW508" s="622">
        <v>70</v>
      </c>
      <c r="BX508" s="250">
        <f>1+1+4+1+1+1+1+1+1+1</f>
        <v>13</v>
      </c>
      <c r="BY508" s="66">
        <f t="shared" si="1150"/>
        <v>116</v>
      </c>
      <c r="BZ508" s="126"/>
      <c r="CA508" s="127"/>
      <c r="CB508" s="66"/>
      <c r="CC508" s="715"/>
      <c r="CD508" s="697">
        <v>22750</v>
      </c>
      <c r="CE508" s="663"/>
      <c r="CF508" s="664" t="s">
        <v>823</v>
      </c>
      <c r="CG508" s="689"/>
      <c r="CH508" s="557"/>
      <c r="CI508" s="631">
        <v>22750</v>
      </c>
      <c r="CJ508" s="651" t="s">
        <v>919</v>
      </c>
      <c r="CK508" s="777"/>
      <c r="CL508" s="813"/>
      <c r="CM508" s="396">
        <f>SUM(M508,AG508,BA508,BU508,CO508)-SUM(O508,AI508,BC508,BW508,CQ508)-L508</f>
        <v>-103</v>
      </c>
      <c r="CN508" s="296">
        <f>BY508</f>
        <v>116</v>
      </c>
      <c r="CO508" s="300">
        <f>CO246*2+CO266+CO275+CO340+CO385+CO441+CO464</f>
        <v>0</v>
      </c>
      <c r="CP508" s="65">
        <f>CO508-CN508</f>
        <v>-116</v>
      </c>
      <c r="CQ508" s="250"/>
      <c r="CR508" s="250"/>
      <c r="CS508" s="66">
        <f>CN508+CQ508-CR508</f>
        <v>116</v>
      </c>
      <c r="CT508" s="126"/>
      <c r="CU508" s="127">
        <v>21350</v>
      </c>
      <c r="CV508" s="450" t="s">
        <v>824</v>
      </c>
      <c r="CW508" s="248"/>
      <c r="CX508" s="126"/>
      <c r="DB508" s="128"/>
      <c r="DC508" s="127"/>
      <c r="DD508" s="66"/>
      <c r="DE508" s="297"/>
      <c r="DF508" s="297"/>
      <c r="DG508" s="396">
        <f>SUM(M508,AG508,BA508,BU508,DI508)-SUM(O508,AI508,BC508,BW508,CQ508)-L508</f>
        <v>-103</v>
      </c>
      <c r="DH508" s="296">
        <f t="shared" si="1151"/>
        <v>116</v>
      </c>
      <c r="DI508" s="300">
        <f>DI246*2+DI266+DI275+DI340+DI385+DI441+DI464</f>
        <v>0</v>
      </c>
      <c r="DJ508" s="65">
        <f>DI508-DH508</f>
        <v>-116</v>
      </c>
      <c r="DK508" s="250"/>
      <c r="DL508" s="250"/>
      <c r="DM508" s="66">
        <f>DH508+DK508-DL508</f>
        <v>116</v>
      </c>
    </row>
    <row r="509" spans="1:117" ht="15.75" thickBot="1" x14ac:dyDescent="0.3">
      <c r="D509" s="100"/>
      <c r="E509" s="100"/>
      <c r="G509" s="3"/>
      <c r="P509" s="248"/>
      <c r="AJ509" s="248"/>
      <c r="BD509" s="248"/>
      <c r="BX509" s="248"/>
      <c r="CR509" s="248"/>
      <c r="DL509" s="248"/>
    </row>
    <row r="510" spans="1:117" ht="45" x14ac:dyDescent="0.25">
      <c r="A510" s="84">
        <v>926</v>
      </c>
      <c r="B510" s="89" t="s">
        <v>74</v>
      </c>
      <c r="C510" s="84">
        <v>1</v>
      </c>
      <c r="D510" s="90" t="s">
        <v>656</v>
      </c>
      <c r="E510" s="90"/>
      <c r="F510" s="339"/>
      <c r="G510" s="83"/>
      <c r="H510" s="85"/>
      <c r="I510" s="85"/>
      <c r="J510" s="84">
        <f>SUM(M510,AG510,BA510,BU510)</f>
        <v>2</v>
      </c>
      <c r="K510" s="84"/>
      <c r="L510" s="86"/>
      <c r="M510" s="306">
        <f>M246+M273+M385+M432</f>
        <v>2</v>
      </c>
      <c r="N510" s="87"/>
      <c r="O510" s="87"/>
      <c r="P510" s="252">
        <f>1+1</f>
        <v>2</v>
      </c>
      <c r="Q510" s="88"/>
      <c r="R510" s="135">
        <f>SUM(R511:R526)</f>
        <v>0</v>
      </c>
      <c r="S510" s="136">
        <f>SUM(S511:S526)</f>
        <v>0</v>
      </c>
      <c r="T510" s="88"/>
      <c r="U510" s="223"/>
      <c r="V510" s="135">
        <f>SUM(V511:V526)</f>
        <v>0</v>
      </c>
      <c r="W510" s="136">
        <f>SUM(W511:W526)</f>
        <v>0</v>
      </c>
      <c r="X510" s="88"/>
      <c r="Y510" s="223"/>
      <c r="Z510" s="135">
        <f>SUM(Z511:Z526)</f>
        <v>0</v>
      </c>
      <c r="AA510" s="136">
        <f>SUM(AA511:AA526)</f>
        <v>0</v>
      </c>
      <c r="AB510" s="88"/>
      <c r="AC510" s="238"/>
      <c r="AD510" s="238"/>
      <c r="AE510" s="84">
        <f>SUM(AG510,BA510,BU510)</f>
        <v>0</v>
      </c>
      <c r="AF510" s="86"/>
      <c r="AG510" s="306">
        <f>AG246+AG273+AG385+AG432</f>
        <v>0</v>
      </c>
      <c r="AH510" s="87"/>
      <c r="AI510" s="87"/>
      <c r="AJ510" s="252"/>
      <c r="AK510" s="88"/>
      <c r="AL510" s="135">
        <f>SUM(AL511:AL526)</f>
        <v>0</v>
      </c>
      <c r="AM510" s="136">
        <f>SUM(AM511:AM526)</f>
        <v>0</v>
      </c>
      <c r="AN510" s="88"/>
      <c r="AO510" s="223"/>
      <c r="AP510" s="135">
        <f>SUM(AP511:AP526)</f>
        <v>0</v>
      </c>
      <c r="AQ510" s="136">
        <f>SUM(AQ511:AQ526)</f>
        <v>0</v>
      </c>
      <c r="AR510" s="88"/>
      <c r="AS510" s="223"/>
      <c r="AT510" s="135">
        <f>SUM(AT511:AT526)</f>
        <v>0</v>
      </c>
      <c r="AU510" s="136">
        <f>SUM(AU511:AU526)</f>
        <v>0</v>
      </c>
      <c r="AV510" s="88"/>
      <c r="AW510" s="238"/>
      <c r="AX510" s="238"/>
      <c r="AY510" s="84">
        <f>SUM(BA510,BU510)</f>
        <v>0</v>
      </c>
      <c r="AZ510" s="86"/>
      <c r="BA510" s="306">
        <f>BA246+BA273+BA385+BA432</f>
        <v>0</v>
      </c>
      <c r="BB510" s="87"/>
      <c r="BC510" s="87"/>
      <c r="BD510" s="252"/>
      <c r="BE510" s="88"/>
      <c r="BF510" s="135">
        <f>SUM(BF511:BF526)</f>
        <v>0</v>
      </c>
      <c r="BG510" s="136">
        <f>SUM(BG511:BG526)</f>
        <v>0</v>
      </c>
      <c r="BH510" s="88"/>
      <c r="BI510" s="223"/>
      <c r="BJ510" s="135">
        <f>SUM(BJ511:BJ526)</f>
        <v>0</v>
      </c>
      <c r="BK510" s="136">
        <f>SUM(BK511:BK526)</f>
        <v>0</v>
      </c>
      <c r="BL510" s="88"/>
      <c r="BM510" s="223"/>
      <c r="BN510" s="135">
        <f>SUM(BN511:BN526)</f>
        <v>0</v>
      </c>
      <c r="BO510" s="136">
        <f>SUM(BO511:BO526)</f>
        <v>0</v>
      </c>
      <c r="BP510" s="88"/>
      <c r="BQ510" s="238"/>
      <c r="BR510" s="238"/>
      <c r="BS510" s="84">
        <f>BU510</f>
        <v>0</v>
      </c>
      <c r="BT510" s="86"/>
      <c r="BU510" s="306">
        <f>BU246+BU273+BU385+BU432</f>
        <v>0</v>
      </c>
      <c r="BV510" s="87"/>
      <c r="BW510" s="87"/>
      <c r="BX510" s="252"/>
      <c r="BY510" s="88"/>
      <c r="BZ510" s="135">
        <f>SUM(BZ511:BZ526)</f>
        <v>0</v>
      </c>
      <c r="CA510" s="136">
        <f>SUM(CA511:CA526)</f>
        <v>0</v>
      </c>
      <c r="CB510" s="88"/>
      <c r="CC510" s="223"/>
      <c r="CD510" s="135">
        <f>SUM(CD511:CD526)</f>
        <v>0</v>
      </c>
      <c r="CE510" s="136">
        <f>SUM(CE511:CE526)</f>
        <v>0</v>
      </c>
      <c r="CF510" s="88"/>
      <c r="CG510" s="223"/>
      <c r="CH510" s="135">
        <f>SUM(CH511:CH526)</f>
        <v>0</v>
      </c>
      <c r="CI510" s="136">
        <f>SUM(CI511:CI526)</f>
        <v>0</v>
      </c>
      <c r="CJ510" s="88"/>
      <c r="CK510" s="238"/>
      <c r="CL510" s="238"/>
      <c r="CM510" s="84">
        <f>CO510</f>
        <v>0</v>
      </c>
      <c r="CN510" s="86"/>
      <c r="CO510" s="306">
        <f>CO246+CO273+CO385+CO432</f>
        <v>0</v>
      </c>
      <c r="CP510" s="87"/>
      <c r="CQ510" s="87"/>
      <c r="CR510" s="252"/>
      <c r="CS510" s="88"/>
      <c r="CT510" s="135">
        <f>SUM(CT511:CT526)</f>
        <v>0</v>
      </c>
      <c r="CU510" s="136">
        <f>SUM(CU511:CU526)</f>
        <v>0</v>
      </c>
      <c r="CV510" s="88"/>
      <c r="CW510" s="223"/>
      <c r="CX510" s="135">
        <f>SUM(CX511:CX526)</f>
        <v>0</v>
      </c>
      <c r="CY510" s="136">
        <f>SUM(CY511:CY526)</f>
        <v>0</v>
      </c>
      <c r="CZ510" s="88"/>
      <c r="DA510" s="223"/>
      <c r="DB510" s="135">
        <f>SUM(DB511:DB526)</f>
        <v>0</v>
      </c>
      <c r="DC510" s="136">
        <f>SUM(DC511:DC526)</f>
        <v>0</v>
      </c>
      <c r="DD510" s="88"/>
      <c r="DE510" s="238"/>
      <c r="DF510" s="238"/>
      <c r="DG510" s="84">
        <f>DI510</f>
        <v>0</v>
      </c>
      <c r="DH510" s="86"/>
      <c r="DI510" s="306">
        <f>DI246+DI273+DI385+DI432</f>
        <v>0</v>
      </c>
      <c r="DJ510" s="87"/>
      <c r="DK510" s="87"/>
      <c r="DL510" s="252"/>
      <c r="DM510" s="88"/>
    </row>
    <row r="511" spans="1:117" x14ac:dyDescent="0.25">
      <c r="A511" s="18"/>
      <c r="B511" s="15" t="s">
        <v>215</v>
      </c>
      <c r="C511" s="18">
        <v>1</v>
      </c>
      <c r="D511" s="15"/>
      <c r="E511" s="15"/>
      <c r="F511" s="149"/>
      <c r="G511" s="15"/>
      <c r="H511" s="25"/>
      <c r="I511" s="24"/>
      <c r="J511" s="534">
        <f>SUM(M511,AG511,BA511,BU511)-L511</f>
        <v>0</v>
      </c>
      <c r="K511" s="395">
        <f t="shared" ref="K511:K525" si="1155">M511-O511-L511</f>
        <v>0</v>
      </c>
      <c r="L511" s="29"/>
      <c r="M511" s="5"/>
      <c r="N511" s="5">
        <f>M511-L511</f>
        <v>0</v>
      </c>
      <c r="O511" s="240"/>
      <c r="P511" s="240"/>
      <c r="Q511" s="35">
        <f>L511+O511-P511</f>
        <v>0</v>
      </c>
      <c r="R511" s="121"/>
      <c r="S511" s="6"/>
      <c r="T511" s="35"/>
      <c r="U511" s="612"/>
      <c r="V511" s="121"/>
      <c r="W511" s="6"/>
      <c r="X511" s="35"/>
      <c r="Y511" s="612"/>
      <c r="Z511" s="21"/>
      <c r="AA511" s="6"/>
      <c r="AB511" s="35"/>
      <c r="AC511" s="231"/>
      <c r="AD511" s="231"/>
      <c r="AE511" s="398">
        <f>SUM(M511,AG511)-SUM(O511,AI511)-L511</f>
        <v>0</v>
      </c>
      <c r="AF511" s="29"/>
      <c r="AG511" s="5"/>
      <c r="AH511" s="5">
        <f>AG511-AF511</f>
        <v>0</v>
      </c>
      <c r="AI511" s="240"/>
      <c r="AJ511" s="240"/>
      <c r="AK511" s="35">
        <f>AF511+AI511-AJ511</f>
        <v>0</v>
      </c>
      <c r="AL511" s="121"/>
      <c r="AM511" s="6"/>
      <c r="AN511" s="35"/>
      <c r="AO511" s="612"/>
      <c r="AP511" s="121"/>
      <c r="AQ511" s="6"/>
      <c r="AR511" s="35"/>
      <c r="AS511" s="612"/>
      <c r="AT511" s="21"/>
      <c r="AU511" s="6"/>
      <c r="AV511" s="35"/>
      <c r="AW511" s="234"/>
      <c r="AX511" s="234"/>
      <c r="AY511" s="395">
        <f>SUM(M511,AG511,BA511)-SUM(O511,AI511,BC511)-L511</f>
        <v>0</v>
      </c>
      <c r="AZ511" s="29"/>
      <c r="BA511" s="5"/>
      <c r="BB511" s="5">
        <f>BA511-AZ511</f>
        <v>0</v>
      </c>
      <c r="BC511" s="240"/>
      <c r="BD511" s="240"/>
      <c r="BE511" s="35">
        <f>AZ511+BC511-BD511</f>
        <v>0</v>
      </c>
      <c r="BF511" s="121"/>
      <c r="BG511" s="6"/>
      <c r="BH511" s="35"/>
      <c r="BI511" s="612"/>
      <c r="BJ511" s="121"/>
      <c r="BK511" s="6"/>
      <c r="BL511" s="35"/>
      <c r="BM511" s="612"/>
      <c r="BN511" s="21"/>
      <c r="BO511" s="6"/>
      <c r="BP511" s="35"/>
      <c r="BQ511" s="234"/>
      <c r="BR511" s="234"/>
      <c r="BS511" s="395">
        <f>SUM(M511,AG511,BA511,BU511)-SUM(O511,AI511,BC511,BW511)-L511</f>
        <v>0</v>
      </c>
      <c r="BT511" s="29"/>
      <c r="BU511" s="5"/>
      <c r="BV511" s="5">
        <f>BU511-BT511</f>
        <v>0</v>
      </c>
      <c r="BW511" s="240"/>
      <c r="BX511" s="240"/>
      <c r="BY511" s="35">
        <f>BT511+BW511-BX511</f>
        <v>0</v>
      </c>
      <c r="BZ511" s="121"/>
      <c r="CA511" s="6"/>
      <c r="CB511" s="35"/>
      <c r="CC511" s="612"/>
      <c r="CD511" s="121"/>
      <c r="CE511" s="6"/>
      <c r="CF511" s="35"/>
      <c r="CG511" s="612"/>
      <c r="CH511" s="21"/>
      <c r="CI511" s="6"/>
      <c r="CJ511" s="35"/>
      <c r="CK511" s="234"/>
      <c r="CL511" s="234"/>
      <c r="CM511" s="395">
        <f>SUM(M511,AG511,BA511,BU511,CO511)-SUM(O511,AI511,BC511,BW511,CQ511)-L511</f>
        <v>0</v>
      </c>
      <c r="CN511" s="29"/>
      <c r="CO511" s="5"/>
      <c r="CP511" s="5">
        <f>CO511-CN511</f>
        <v>0</v>
      </c>
      <c r="CQ511" s="240"/>
      <c r="CR511" s="240"/>
      <c r="CS511" s="35">
        <f>CN511+CQ511-CR511</f>
        <v>0</v>
      </c>
      <c r="CT511" s="121"/>
      <c r="CU511" s="6"/>
      <c r="CV511" s="35"/>
      <c r="CW511" s="612"/>
      <c r="CX511" s="121"/>
      <c r="CY511" s="6"/>
      <c r="CZ511" s="35"/>
      <c r="DA511" s="612"/>
      <c r="DB511" s="21"/>
      <c r="DC511" s="6"/>
      <c r="DD511" s="35"/>
      <c r="DE511" s="234"/>
      <c r="DF511" s="234"/>
      <c r="DG511" s="395">
        <f>SUM(M511,AG511,BA511,BU511,DI511)-SUM(O511,AI511,BC511,BW511,CQ511)-L511</f>
        <v>0</v>
      </c>
      <c r="DH511" s="29"/>
      <c r="DI511" s="5"/>
      <c r="DJ511" s="5">
        <f>DI511-DH511</f>
        <v>0</v>
      </c>
      <c r="DK511" s="240"/>
      <c r="DL511" s="240"/>
      <c r="DM511" s="35">
        <f>DH511+DK511-DL511</f>
        <v>0</v>
      </c>
    </row>
    <row r="512" spans="1:117" ht="30" x14ac:dyDescent="0.25">
      <c r="A512" s="18"/>
      <c r="B512" s="15" t="s">
        <v>148</v>
      </c>
      <c r="C512" s="18">
        <v>1</v>
      </c>
      <c r="D512" s="15"/>
      <c r="E512" s="15"/>
      <c r="F512" s="149">
        <v>17100</v>
      </c>
      <c r="G512" s="15" t="s">
        <v>649</v>
      </c>
      <c r="H512" s="25" t="s">
        <v>104</v>
      </c>
      <c r="I512" s="24"/>
      <c r="J512" s="534">
        <f>SUM(M512,AG512,BA512,BU512)-L512</f>
        <v>-5</v>
      </c>
      <c r="K512" s="395">
        <f t="shared" si="1155"/>
        <v>-5</v>
      </c>
      <c r="L512" s="544">
        <v>7</v>
      </c>
      <c r="M512" s="298">
        <f>M510</f>
        <v>2</v>
      </c>
      <c r="N512" s="5">
        <f>M512-L512</f>
        <v>-5</v>
      </c>
      <c r="O512" s="256"/>
      <c r="P512" s="303">
        <f>P510</f>
        <v>2</v>
      </c>
      <c r="Q512" s="35">
        <f>L512+O512-P512</f>
        <v>5</v>
      </c>
      <c r="R512" s="121"/>
      <c r="S512" s="6"/>
      <c r="T512" s="35"/>
      <c r="U512" s="612"/>
      <c r="V512" s="121"/>
      <c r="W512" s="6"/>
      <c r="X512" s="35"/>
      <c r="Y512" s="612"/>
      <c r="Z512" s="121"/>
      <c r="AA512" s="6"/>
      <c r="AB512" s="35"/>
      <c r="AC512" s="231"/>
      <c r="AD512" s="231"/>
      <c r="AE512" s="398">
        <f>SUM(M512,AG512)-SUM(O512,AI512)-L512</f>
        <v>-5</v>
      </c>
      <c r="AF512" s="29">
        <f>Q512</f>
        <v>5</v>
      </c>
      <c r="AG512" s="298">
        <f>AG510</f>
        <v>0</v>
      </c>
      <c r="AH512" s="5">
        <f>AG512-AF512</f>
        <v>-5</v>
      </c>
      <c r="AI512" s="256">
        <v>0</v>
      </c>
      <c r="AJ512" s="303">
        <f>AJ510</f>
        <v>0</v>
      </c>
      <c r="AK512" s="35">
        <f>AF512+AI512-AJ512</f>
        <v>5</v>
      </c>
      <c r="AL512" s="121"/>
      <c r="AM512" s="6"/>
      <c r="AN512" s="35"/>
      <c r="AO512" s="612"/>
      <c r="AP512" s="121"/>
      <c r="AQ512" s="6"/>
      <c r="AR512" s="35"/>
      <c r="AS512" s="612"/>
      <c r="AT512" s="121"/>
      <c r="AU512" s="6"/>
      <c r="AV512" s="35"/>
      <c r="AW512" s="234"/>
      <c r="AX512" s="234"/>
      <c r="AY512" s="395">
        <f>SUM(M512,AG512,BA512)-SUM(O512,AI512,BC512)-L512</f>
        <v>-5</v>
      </c>
      <c r="AZ512" s="29">
        <f>AK512</f>
        <v>5</v>
      </c>
      <c r="BA512" s="298">
        <f>BA510</f>
        <v>0</v>
      </c>
      <c r="BB512" s="5">
        <f>BA512-AZ512</f>
        <v>-5</v>
      </c>
      <c r="BC512" s="258">
        <v>0</v>
      </c>
      <c r="BD512" s="303">
        <f>BD510</f>
        <v>0</v>
      </c>
      <c r="BE512" s="35">
        <f>AZ512+BC512-BD512</f>
        <v>5</v>
      </c>
      <c r="BF512" s="121"/>
      <c r="BG512" s="6"/>
      <c r="BH512" s="35"/>
      <c r="BI512" s="612"/>
      <c r="BJ512" s="121"/>
      <c r="BK512" s="6"/>
      <c r="BL512" s="35"/>
      <c r="BM512" s="612"/>
      <c r="BN512" s="121"/>
      <c r="BO512" s="6"/>
      <c r="BP512" s="35"/>
      <c r="BQ512" s="234"/>
      <c r="BR512" s="234"/>
      <c r="BS512" s="395">
        <f>SUM(M512,AG512,BA512,BU512)-SUM(O512,AI512,BC512,BW512)-L512</f>
        <v>-5</v>
      </c>
      <c r="BT512" s="29">
        <f>BE512</f>
        <v>5</v>
      </c>
      <c r="BU512" s="298">
        <f>BU510</f>
        <v>0</v>
      </c>
      <c r="BV512" s="5">
        <f>BU512-BT512</f>
        <v>-5</v>
      </c>
      <c r="BW512" s="258">
        <v>0</v>
      </c>
      <c r="BX512" s="303">
        <f>BX510</f>
        <v>0</v>
      </c>
      <c r="BY512" s="35">
        <f>BT512+BW512-BX512</f>
        <v>5</v>
      </c>
      <c r="BZ512" s="121"/>
      <c r="CA512" s="6"/>
      <c r="CB512" s="35"/>
      <c r="CC512" s="612"/>
      <c r="CD512" s="121"/>
      <c r="CE512" s="6"/>
      <c r="CF512" s="35"/>
      <c r="CG512" s="612"/>
      <c r="CH512" s="121"/>
      <c r="CI512" s="6"/>
      <c r="CJ512" s="35"/>
      <c r="CK512" s="234"/>
      <c r="CL512" s="234"/>
      <c r="CM512" s="395">
        <f>SUM(M512,AG512,BA512,BU512,CO512)-SUM(O512,AI512,BC512,BW512,CQ512)-L512</f>
        <v>-5</v>
      </c>
      <c r="CN512" s="29">
        <f>BY512</f>
        <v>5</v>
      </c>
      <c r="CO512" s="298">
        <f>CO510</f>
        <v>0</v>
      </c>
      <c r="CP512" s="5">
        <f>CO512-CN512</f>
        <v>-5</v>
      </c>
      <c r="CQ512" s="240"/>
      <c r="CR512" s="303">
        <f>CR510</f>
        <v>0</v>
      </c>
      <c r="CS512" s="35">
        <f>CN512+CQ512-CR512</f>
        <v>5</v>
      </c>
      <c r="CT512" s="121"/>
      <c r="CU512" s="6"/>
      <c r="CV512" s="35"/>
      <c r="CW512" s="612"/>
      <c r="CX512" s="121"/>
      <c r="CY512" s="6"/>
      <c r="CZ512" s="35"/>
      <c r="DA512" s="612"/>
      <c r="DB512" s="121"/>
      <c r="DC512" s="6"/>
      <c r="DD512" s="35"/>
      <c r="DE512" s="234"/>
      <c r="DF512" s="234"/>
      <c r="DG512" s="395">
        <f>SUM(M512,AG512,BA512,BU512,DI512)-SUM(O512,AI512,BC512,BW512,CQ512)-L512</f>
        <v>-5</v>
      </c>
      <c r="DH512" s="32">
        <f t="shared" ref="DH512:DH525" si="1156">BY512</f>
        <v>5</v>
      </c>
      <c r="DI512" s="298">
        <f>DI510</f>
        <v>0</v>
      </c>
      <c r="DJ512" s="5">
        <f>DI512-DH512</f>
        <v>-5</v>
      </c>
      <c r="DK512" s="240"/>
      <c r="DL512" s="303">
        <f>DL510</f>
        <v>0</v>
      </c>
      <c r="DM512" s="35">
        <f>DH512+DK512-DL512</f>
        <v>5</v>
      </c>
    </row>
    <row r="513" spans="1:117" ht="60" x14ac:dyDescent="0.25">
      <c r="A513" s="18"/>
      <c r="B513" s="80" t="s">
        <v>383</v>
      </c>
      <c r="C513" s="18">
        <v>1</v>
      </c>
      <c r="D513" s="345" t="s">
        <v>452</v>
      </c>
      <c r="E513" s="345"/>
      <c r="F513" s="149">
        <v>66.66</v>
      </c>
      <c r="G513" s="518" t="s">
        <v>757</v>
      </c>
      <c r="H513" s="25"/>
      <c r="I513" s="24"/>
      <c r="J513" s="534">
        <f>SUM(M513,AG513,BA513,BU513)-L513</f>
        <v>-9</v>
      </c>
      <c r="K513" s="395">
        <f t="shared" si="1155"/>
        <v>-9</v>
      </c>
      <c r="L513" s="544">
        <v>11</v>
      </c>
      <c r="M513" s="298">
        <f>M510</f>
        <v>2</v>
      </c>
      <c r="N513" s="5">
        <f>M513-L513</f>
        <v>-9</v>
      </c>
      <c r="O513" s="256"/>
      <c r="P513" s="303">
        <f>P510</f>
        <v>2</v>
      </c>
      <c r="Q513" s="35">
        <f>L513+O513-P513</f>
        <v>9</v>
      </c>
      <c r="R513" s="121"/>
      <c r="S513" s="6"/>
      <c r="T513" s="35"/>
      <c r="U513" s="612"/>
      <c r="V513" s="121"/>
      <c r="W513" s="6"/>
      <c r="X513" s="35"/>
      <c r="Y513" s="612"/>
      <c r="Z513" s="21"/>
      <c r="AA513" s="6"/>
      <c r="AB513" s="35"/>
      <c r="AC513" s="231"/>
      <c r="AD513" s="231"/>
      <c r="AE513" s="398">
        <f>SUM(M513,AG513)-SUM(O513,AI513)-L513</f>
        <v>-9</v>
      </c>
      <c r="AF513" s="29">
        <f>Q513</f>
        <v>9</v>
      </c>
      <c r="AG513" s="298">
        <f>AG510</f>
        <v>0</v>
      </c>
      <c r="AH513" s="5">
        <f>AG513-AF513</f>
        <v>-9</v>
      </c>
      <c r="AI513" s="256"/>
      <c r="AJ513" s="303">
        <f>AJ510</f>
        <v>0</v>
      </c>
      <c r="AK513" s="35">
        <f>AF513+AI513-AJ513</f>
        <v>9</v>
      </c>
      <c r="AL513" s="121"/>
      <c r="AM513" s="6"/>
      <c r="AN513" s="35"/>
      <c r="AO513" s="612"/>
      <c r="AP513" s="121"/>
      <c r="AQ513" s="6"/>
      <c r="AR513" s="35"/>
      <c r="AS513" s="612"/>
      <c r="AT513" s="21"/>
      <c r="AU513" s="6"/>
      <c r="AV513" s="35"/>
      <c r="AW513" s="234"/>
      <c r="AX513" s="234"/>
      <c r="AY513" s="395">
        <f>SUM(M513,AG513,BA513)-SUM(O513,AI513,BC513)-L513</f>
        <v>-9</v>
      </c>
      <c r="AZ513" s="29">
        <f>AK513</f>
        <v>9</v>
      </c>
      <c r="BA513" s="298">
        <f>BA510</f>
        <v>0</v>
      </c>
      <c r="BB513" s="5">
        <f>BA513-AZ513</f>
        <v>-9</v>
      </c>
      <c r="BC513" s="256"/>
      <c r="BD513" s="303">
        <f>BD510</f>
        <v>0</v>
      </c>
      <c r="BE513" s="35">
        <f>AZ513+BC513-BD513</f>
        <v>9</v>
      </c>
      <c r="BF513" s="121"/>
      <c r="BG513" s="6"/>
      <c r="BH513" s="35"/>
      <c r="BI513" s="612"/>
      <c r="BJ513" s="121"/>
      <c r="BK513" s="6"/>
      <c r="BL513" s="35"/>
      <c r="BM513" s="612"/>
      <c r="BN513" s="21"/>
      <c r="BO513" s="6"/>
      <c r="BP513" s="35"/>
      <c r="BQ513" s="234"/>
      <c r="BR513" s="234"/>
      <c r="BS513" s="395">
        <f>SUM(M513,AG513,BA513,BU513)-SUM(O513,AI513,BC513,BW513)-L513</f>
        <v>-9</v>
      </c>
      <c r="BT513" s="29">
        <f>BE513</f>
        <v>9</v>
      </c>
      <c r="BU513" s="298">
        <f>BU510</f>
        <v>0</v>
      </c>
      <c r="BV513" s="5">
        <f>BU513-BT513</f>
        <v>-9</v>
      </c>
      <c r="BW513" s="258"/>
      <c r="BX513" s="303">
        <f>BX510</f>
        <v>0</v>
      </c>
      <c r="BY513" s="35">
        <f>BT513+BW513-BX513</f>
        <v>9</v>
      </c>
      <c r="BZ513" s="121"/>
      <c r="CA513" s="6"/>
      <c r="CB513" s="35"/>
      <c r="CC513" s="612"/>
      <c r="CD513" s="121"/>
      <c r="CE513" s="6"/>
      <c r="CF513" s="35"/>
      <c r="CG513" s="612"/>
      <c r="CH513" s="121"/>
      <c r="CI513" s="6"/>
      <c r="CJ513" s="35"/>
      <c r="CK513" s="234"/>
      <c r="CL513" s="234"/>
      <c r="CM513" s="395">
        <f>SUM(M513,AG513,BA513,BU513,CO513)-SUM(O513,AI513,BC513,BW513,CQ513)-L513</f>
        <v>-9</v>
      </c>
      <c r="CN513" s="29">
        <f>BY513</f>
        <v>9</v>
      </c>
      <c r="CO513" s="298">
        <f>CO510</f>
        <v>0</v>
      </c>
      <c r="CP513" s="5">
        <f>CO513-CN513</f>
        <v>-9</v>
      </c>
      <c r="CQ513" s="240"/>
      <c r="CR513" s="303">
        <f>CR510</f>
        <v>0</v>
      </c>
      <c r="CS513" s="35">
        <f>CN513+CQ513-CR513</f>
        <v>9</v>
      </c>
      <c r="CT513" s="121"/>
      <c r="CU513" s="6"/>
      <c r="CV513" s="35"/>
      <c r="CW513" s="612"/>
      <c r="CX513" s="121"/>
      <c r="CY513" s="6"/>
      <c r="CZ513" s="35"/>
      <c r="DA513" s="612"/>
      <c r="DB513" s="21"/>
      <c r="DC513" s="6"/>
      <c r="DD513" s="35"/>
      <c r="DE513" s="234"/>
      <c r="DF513" s="234"/>
      <c r="DG513" s="395">
        <f>SUM(M513,AG513,BA513,BU513,DI513)-SUM(O513,AI513,BC513,BW513,CQ513)-L513</f>
        <v>-9</v>
      </c>
      <c r="DH513" s="32">
        <f t="shared" si="1156"/>
        <v>9</v>
      </c>
      <c r="DI513" s="298">
        <f>DI510</f>
        <v>0</v>
      </c>
      <c r="DJ513" s="5">
        <f>DI513-DH513</f>
        <v>-9</v>
      </c>
      <c r="DK513" s="240"/>
      <c r="DL513" s="303">
        <f>DL510</f>
        <v>0</v>
      </c>
      <c r="DM513" s="35">
        <f>DH513+DK513-DL513</f>
        <v>9</v>
      </c>
    </row>
    <row r="514" spans="1:117" x14ac:dyDescent="0.25">
      <c r="A514" s="360"/>
      <c r="B514" s="347" t="s">
        <v>35</v>
      </c>
      <c r="C514" s="360" t="s">
        <v>51</v>
      </c>
      <c r="D514" s="373" t="s">
        <v>326</v>
      </c>
      <c r="E514" s="373"/>
      <c r="F514" s="362">
        <v>1270</v>
      </c>
      <c r="G514" s="361" t="s">
        <v>28</v>
      </c>
      <c r="H514" s="363" t="s">
        <v>29</v>
      </c>
      <c r="I514" s="363"/>
      <c r="J514" s="363"/>
      <c r="K514" s="363"/>
      <c r="L514" s="364"/>
      <c r="M514" s="374"/>
      <c r="N514" s="374"/>
      <c r="O514" s="375"/>
      <c r="P514" s="375"/>
      <c r="Q514" s="368"/>
      <c r="R514" s="366"/>
      <c r="S514" s="367"/>
      <c r="T514" s="368"/>
      <c r="U514" s="718"/>
      <c r="V514" s="366"/>
      <c r="W514" s="367"/>
      <c r="X514" s="368"/>
      <c r="Y514" s="718"/>
      <c r="Z514" s="369"/>
      <c r="AA514" s="367"/>
      <c r="AB514" s="368"/>
      <c r="AC514" s="718"/>
      <c r="AD514" s="718"/>
      <c r="AE514" s="363"/>
      <c r="AF514" s="364"/>
      <c r="AG514" s="374"/>
      <c r="AH514" s="374"/>
      <c r="AI514" s="441"/>
      <c r="AJ514" s="375"/>
      <c r="AK514" s="368"/>
      <c r="AL514" s="366"/>
      <c r="AM514" s="367"/>
      <c r="AN514" s="368"/>
      <c r="AO514" s="718"/>
      <c r="AP514" s="366"/>
      <c r="AQ514" s="367"/>
      <c r="AR514" s="368"/>
      <c r="AS514" s="718"/>
      <c r="AT514" s="369"/>
      <c r="AU514" s="367"/>
      <c r="AV514" s="368"/>
      <c r="AW514" s="718"/>
      <c r="AX514" s="718"/>
      <c r="AY514" s="363"/>
      <c r="AZ514" s="364"/>
      <c r="BA514" s="374"/>
      <c r="BB514" s="374"/>
      <c r="BC514" s="441"/>
      <c r="BD514" s="375"/>
      <c r="BE514" s="368"/>
      <c r="BF514" s="366"/>
      <c r="BG514" s="367"/>
      <c r="BH514" s="368"/>
      <c r="BI514" s="718"/>
      <c r="BJ514" s="366"/>
      <c r="BK514" s="367"/>
      <c r="BL514" s="368"/>
      <c r="BM514" s="718"/>
      <c r="BN514" s="369"/>
      <c r="BO514" s="367"/>
      <c r="BP514" s="368"/>
      <c r="BQ514" s="718"/>
      <c r="BR514" s="718"/>
      <c r="BS514" s="363"/>
      <c r="BT514" s="364"/>
      <c r="BU514" s="374"/>
      <c r="BV514" s="374"/>
      <c r="BW514" s="441"/>
      <c r="BX514" s="375"/>
      <c r="BY514" s="368"/>
      <c r="BZ514" s="366"/>
      <c r="CA514" s="367"/>
      <c r="CB514" s="368"/>
      <c r="CC514" s="718"/>
      <c r="CD514" s="366"/>
      <c r="CE514" s="367"/>
      <c r="CF514" s="368"/>
      <c r="CG514" s="718"/>
      <c r="CH514" s="369"/>
      <c r="CI514" s="367"/>
      <c r="CJ514" s="368"/>
      <c r="CK514" s="718"/>
      <c r="CL514" s="718"/>
      <c r="CM514" s="363"/>
      <c r="CN514" s="364"/>
      <c r="CO514" s="374"/>
      <c r="CP514" s="374"/>
      <c r="CQ514" s="375"/>
      <c r="CR514" s="375"/>
      <c r="CS514" s="368"/>
      <c r="CT514" s="366"/>
      <c r="CU514" s="367"/>
      <c r="CV514" s="368"/>
      <c r="CW514" s="718"/>
      <c r="CX514" s="366"/>
      <c r="CY514" s="367"/>
      <c r="CZ514" s="368"/>
      <c r="DA514" s="718"/>
      <c r="DB514" s="369"/>
      <c r="DC514" s="367"/>
      <c r="DD514" s="368"/>
      <c r="DE514" s="718"/>
      <c r="DF514" s="718"/>
      <c r="DG514" s="363"/>
      <c r="DH514" s="364"/>
      <c r="DI514" s="374"/>
      <c r="DJ514" s="374"/>
      <c r="DK514" s="375"/>
      <c r="DL514" s="375"/>
      <c r="DM514" s="368"/>
    </row>
    <row r="515" spans="1:117" x14ac:dyDescent="0.25">
      <c r="A515" s="18"/>
      <c r="B515" s="11" t="s">
        <v>327</v>
      </c>
      <c r="C515" s="18">
        <v>1</v>
      </c>
      <c r="D515" s="15"/>
      <c r="E515" s="15"/>
      <c r="F515" s="149"/>
      <c r="G515" s="11"/>
      <c r="H515" s="25"/>
      <c r="I515" s="24"/>
      <c r="J515" s="534">
        <f>SUM(M515,AG515,BA515,BU515)-L515</f>
        <v>-21</v>
      </c>
      <c r="K515" s="395">
        <f t="shared" si="1155"/>
        <v>-21</v>
      </c>
      <c r="L515" s="29">
        <v>23</v>
      </c>
      <c r="M515" s="298">
        <f>M510</f>
        <v>2</v>
      </c>
      <c r="N515" s="5">
        <f t="shared" ref="N515:N522" si="1157">M515-L515</f>
        <v>-21</v>
      </c>
      <c r="O515" s="256"/>
      <c r="P515" s="303">
        <f>P510</f>
        <v>2</v>
      </c>
      <c r="Q515" s="35">
        <f t="shared" ref="Q515:Q525" si="1158">L515+O515-P515</f>
        <v>21</v>
      </c>
      <c r="R515" s="121"/>
      <c r="S515" s="6"/>
      <c r="T515" s="35"/>
      <c r="U515" s="612"/>
      <c r="V515" s="121"/>
      <c r="W515" s="6"/>
      <c r="X515" s="35"/>
      <c r="Y515" s="612"/>
      <c r="Z515" s="21"/>
      <c r="AA515" s="6"/>
      <c r="AB515" s="35"/>
      <c r="AC515" s="231"/>
      <c r="AD515" s="231"/>
      <c r="AE515" s="398">
        <f>SUM(M515,AG515)-SUM(O515,AI515)-L515</f>
        <v>-21</v>
      </c>
      <c r="AF515" s="29">
        <f t="shared" ref="AF515:AF525" si="1159">Q515</f>
        <v>21</v>
      </c>
      <c r="AG515" s="298">
        <f>AG510</f>
        <v>0</v>
      </c>
      <c r="AH515" s="5">
        <f t="shared" ref="AH515:AH522" si="1160">AG515-AF515</f>
        <v>-21</v>
      </c>
      <c r="AI515" s="256"/>
      <c r="AJ515" s="303">
        <f>AJ510</f>
        <v>0</v>
      </c>
      <c r="AK515" s="35">
        <f t="shared" ref="AK515:AK525" si="1161">AF515+AI515-AJ515</f>
        <v>21</v>
      </c>
      <c r="AL515" s="121"/>
      <c r="AM515" s="6"/>
      <c r="AN515" s="35"/>
      <c r="AO515" s="612"/>
      <c r="AP515" s="121"/>
      <c r="AQ515" s="6"/>
      <c r="AR515" s="35"/>
      <c r="AS515" s="612"/>
      <c r="AT515" s="21"/>
      <c r="AU515" s="6"/>
      <c r="AV515" s="35"/>
      <c r="AW515" s="234"/>
      <c r="AX515" s="234"/>
      <c r="AY515" s="395">
        <f>SUM(M515,AG515,BA515)-SUM(O515,AI515,BC515)-L515</f>
        <v>-21</v>
      </c>
      <c r="AZ515" s="29">
        <f>AK515</f>
        <v>21</v>
      </c>
      <c r="BA515" s="298">
        <f>BA510</f>
        <v>0</v>
      </c>
      <c r="BB515" s="5">
        <f t="shared" ref="BB515:BB522" si="1162">BA515-AZ515</f>
        <v>-21</v>
      </c>
      <c r="BC515" s="256"/>
      <c r="BD515" s="303">
        <f>BD510</f>
        <v>0</v>
      </c>
      <c r="BE515" s="35">
        <f t="shared" ref="BE515:BE525" si="1163">AZ515+BC515-BD515</f>
        <v>21</v>
      </c>
      <c r="BF515" s="121"/>
      <c r="BG515" s="6"/>
      <c r="BH515" s="35"/>
      <c r="BI515" s="612"/>
      <c r="BJ515" s="121"/>
      <c r="BK515" s="6"/>
      <c r="BL515" s="35"/>
      <c r="BM515" s="612"/>
      <c r="BN515" s="21"/>
      <c r="BO515" s="6"/>
      <c r="BP515" s="35"/>
      <c r="BQ515" s="234"/>
      <c r="BR515" s="234"/>
      <c r="BS515" s="395">
        <f>SUM(M515,AG515,BA515,BU515)-SUM(O515,AI515,BC515,BW515)-L515</f>
        <v>-21</v>
      </c>
      <c r="BT515" s="29">
        <f>BE515</f>
        <v>21</v>
      </c>
      <c r="BU515" s="298">
        <f>BU510</f>
        <v>0</v>
      </c>
      <c r="BV515" s="5">
        <f t="shared" ref="BV515:BV522" si="1164">BU515-BT515</f>
        <v>-21</v>
      </c>
      <c r="BW515" s="256"/>
      <c r="BX515" s="303">
        <f>BX510</f>
        <v>0</v>
      </c>
      <c r="BY515" s="35">
        <f t="shared" ref="BY515:BY525" si="1165">BT515+BW515-BX515</f>
        <v>21</v>
      </c>
      <c r="BZ515" s="121"/>
      <c r="CA515" s="6"/>
      <c r="CB515" s="35"/>
      <c r="CC515" s="612"/>
      <c r="CD515" s="121"/>
      <c r="CE515" s="6"/>
      <c r="CF515" s="35"/>
      <c r="CG515" s="612"/>
      <c r="CH515" s="21"/>
      <c r="CI515" s="6"/>
      <c r="CJ515" s="35"/>
      <c r="CK515" s="234"/>
      <c r="CL515" s="234"/>
      <c r="CM515" s="395">
        <f>SUM(M515,AG515,BA515,BU515,CO515)-SUM(O515,AI515,BC515,BW515,CQ515)-L515</f>
        <v>-21</v>
      </c>
      <c r="CN515" s="29">
        <f>BY515</f>
        <v>21</v>
      </c>
      <c r="CO515" s="298">
        <f>CO510</f>
        <v>0</v>
      </c>
      <c r="CP515" s="5">
        <f t="shared" ref="CP515:CP522" si="1166">CO515-CN515</f>
        <v>-21</v>
      </c>
      <c r="CQ515" s="240"/>
      <c r="CR515" s="303">
        <f>CR510</f>
        <v>0</v>
      </c>
      <c r="CS515" s="35">
        <f t="shared" ref="CS515:CS525" si="1167">CN515+CQ515-CR515</f>
        <v>21</v>
      </c>
      <c r="CT515" s="121"/>
      <c r="CU515" s="6"/>
      <c r="CV515" s="35"/>
      <c r="CW515" s="612"/>
      <c r="CX515" s="121"/>
      <c r="CY515" s="6"/>
      <c r="CZ515" s="35"/>
      <c r="DA515" s="612"/>
      <c r="DB515" s="21"/>
      <c r="DC515" s="6"/>
      <c r="DD515" s="35"/>
      <c r="DE515" s="234"/>
      <c r="DF515" s="234"/>
      <c r="DG515" s="395">
        <f>SUM(M515,AG515,BA515,BU515,DI515)-SUM(O515,AI515,BC515,BW515,CQ515)-L515</f>
        <v>-21</v>
      </c>
      <c r="DH515" s="32">
        <f t="shared" si="1156"/>
        <v>21</v>
      </c>
      <c r="DI515" s="298">
        <f>DI510</f>
        <v>0</v>
      </c>
      <c r="DJ515" s="5">
        <f t="shared" ref="DJ515:DJ522" si="1168">DI515-DH515</f>
        <v>-21</v>
      </c>
      <c r="DK515" s="240"/>
      <c r="DL515" s="303">
        <f>DL510</f>
        <v>0</v>
      </c>
      <c r="DM515" s="35">
        <f t="shared" ref="DM515:DM525" si="1169">DH515+DK515-DL515</f>
        <v>21</v>
      </c>
    </row>
    <row r="516" spans="1:117" x14ac:dyDescent="0.25">
      <c r="A516" s="18"/>
      <c r="B516" s="11" t="s">
        <v>328</v>
      </c>
      <c r="C516" s="18">
        <v>1</v>
      </c>
      <c r="D516" s="15"/>
      <c r="E516" s="15"/>
      <c r="F516" s="149"/>
      <c r="G516" s="11"/>
      <c r="H516" s="25"/>
      <c r="I516" s="24"/>
      <c r="J516" s="534">
        <f>SUM(M516,AG516,BA516,BU516)-L516</f>
        <v>-17</v>
      </c>
      <c r="K516" s="395">
        <f t="shared" si="1155"/>
        <v>-17</v>
      </c>
      <c r="L516" s="29">
        <v>19</v>
      </c>
      <c r="M516" s="298">
        <f>M510</f>
        <v>2</v>
      </c>
      <c r="N516" s="5">
        <f t="shared" si="1157"/>
        <v>-17</v>
      </c>
      <c r="O516" s="256"/>
      <c r="P516" s="303">
        <f>P510</f>
        <v>2</v>
      </c>
      <c r="Q516" s="35">
        <f t="shared" si="1158"/>
        <v>17</v>
      </c>
      <c r="R516" s="121"/>
      <c r="S516" s="6"/>
      <c r="T516" s="35"/>
      <c r="U516" s="612"/>
      <c r="V516" s="121"/>
      <c r="W516" s="6"/>
      <c r="X516" s="35"/>
      <c r="Y516" s="612"/>
      <c r="Z516" s="21"/>
      <c r="AA516" s="6"/>
      <c r="AB516" s="35"/>
      <c r="AC516" s="231"/>
      <c r="AD516" s="231"/>
      <c r="AE516" s="398">
        <f>SUM(M516,AG516)-SUM(O516,AI516)-L516</f>
        <v>-17</v>
      </c>
      <c r="AF516" s="29">
        <f t="shared" si="1159"/>
        <v>17</v>
      </c>
      <c r="AG516" s="298">
        <f>AG510</f>
        <v>0</v>
      </c>
      <c r="AH516" s="5">
        <f t="shared" si="1160"/>
        <v>-17</v>
      </c>
      <c r="AI516" s="256"/>
      <c r="AJ516" s="303">
        <f>AJ510</f>
        <v>0</v>
      </c>
      <c r="AK516" s="35">
        <f t="shared" si="1161"/>
        <v>17</v>
      </c>
      <c r="AL516" s="121"/>
      <c r="AM516" s="6"/>
      <c r="AN516" s="35"/>
      <c r="AO516" s="612"/>
      <c r="AP516" s="121"/>
      <c r="AQ516" s="6"/>
      <c r="AR516" s="35"/>
      <c r="AS516" s="612"/>
      <c r="AT516" s="21"/>
      <c r="AU516" s="6"/>
      <c r="AV516" s="35"/>
      <c r="AW516" s="234"/>
      <c r="AX516" s="234"/>
      <c r="AY516" s="395">
        <f>SUM(M516,AG516,BA516)-SUM(O516,AI516,BC516)-L516</f>
        <v>-17</v>
      </c>
      <c r="AZ516" s="29">
        <f t="shared" ref="AZ516:AZ519" si="1170">AK516</f>
        <v>17</v>
      </c>
      <c r="BA516" s="298">
        <f>BA510</f>
        <v>0</v>
      </c>
      <c r="BB516" s="5">
        <f t="shared" si="1162"/>
        <v>-17</v>
      </c>
      <c r="BC516" s="256"/>
      <c r="BD516" s="303">
        <f>BD510</f>
        <v>0</v>
      </c>
      <c r="BE516" s="35">
        <f t="shared" si="1163"/>
        <v>17</v>
      </c>
      <c r="BF516" s="121"/>
      <c r="BG516" s="6"/>
      <c r="BH516" s="35"/>
      <c r="BI516" s="612"/>
      <c r="BJ516" s="121"/>
      <c r="BK516" s="6"/>
      <c r="BL516" s="35"/>
      <c r="BM516" s="612"/>
      <c r="BN516" s="21"/>
      <c r="BO516" s="6"/>
      <c r="BP516" s="35"/>
      <c r="BQ516" s="234"/>
      <c r="BR516" s="234"/>
      <c r="BS516" s="395">
        <f>SUM(M516,AG516,BA516,BU516)-SUM(O516,AI516,BC516,BW516)-L516</f>
        <v>-17</v>
      </c>
      <c r="BT516" s="29">
        <f t="shared" ref="BT516:BT519" si="1171">BE516</f>
        <v>17</v>
      </c>
      <c r="BU516" s="298">
        <f>BU510</f>
        <v>0</v>
      </c>
      <c r="BV516" s="5">
        <f t="shared" si="1164"/>
        <v>-17</v>
      </c>
      <c r="BW516" s="256"/>
      <c r="BX516" s="303">
        <f>BX510</f>
        <v>0</v>
      </c>
      <c r="BY516" s="35">
        <f t="shared" si="1165"/>
        <v>17</v>
      </c>
      <c r="BZ516" s="121"/>
      <c r="CA516" s="6"/>
      <c r="CB516" s="35"/>
      <c r="CC516" s="612"/>
      <c r="CD516" s="121"/>
      <c r="CE516" s="6"/>
      <c r="CF516" s="35"/>
      <c r="CG516" s="612"/>
      <c r="CH516" s="21"/>
      <c r="CI516" s="6"/>
      <c r="CJ516" s="35"/>
      <c r="CK516" s="234"/>
      <c r="CL516" s="234"/>
      <c r="CM516" s="395">
        <f>SUM(M516,AG516,BA516,BU516,CO516)-SUM(O516,AI516,BC516,BW516,CQ516)-L516</f>
        <v>-17</v>
      </c>
      <c r="CN516" s="29">
        <f t="shared" ref="CN516:CN519" si="1172">BY516</f>
        <v>17</v>
      </c>
      <c r="CO516" s="298">
        <f>CO510</f>
        <v>0</v>
      </c>
      <c r="CP516" s="5">
        <f t="shared" si="1166"/>
        <v>-17</v>
      </c>
      <c r="CQ516" s="240"/>
      <c r="CR516" s="303">
        <f>CR510</f>
        <v>0</v>
      </c>
      <c r="CS516" s="35">
        <f t="shared" si="1167"/>
        <v>17</v>
      </c>
      <c r="CT516" s="121"/>
      <c r="CU516" s="6"/>
      <c r="CV516" s="35"/>
      <c r="CW516" s="612"/>
      <c r="CX516" s="121"/>
      <c r="CY516" s="6"/>
      <c r="CZ516" s="35"/>
      <c r="DA516" s="612"/>
      <c r="DB516" s="21"/>
      <c r="DC516" s="6"/>
      <c r="DD516" s="35"/>
      <c r="DE516" s="234"/>
      <c r="DF516" s="234"/>
      <c r="DG516" s="395">
        <f>SUM(M516,AG516,BA516,BU516,DI516)-SUM(O516,AI516,BC516,BW516,CQ516)-L516</f>
        <v>-17</v>
      </c>
      <c r="DH516" s="32">
        <f t="shared" si="1156"/>
        <v>17</v>
      </c>
      <c r="DI516" s="298">
        <f>DI510</f>
        <v>0</v>
      </c>
      <c r="DJ516" s="5">
        <f t="shared" si="1168"/>
        <v>-17</v>
      </c>
      <c r="DK516" s="240"/>
      <c r="DL516" s="303">
        <f>DL510</f>
        <v>0</v>
      </c>
      <c r="DM516" s="35">
        <f t="shared" si="1169"/>
        <v>17</v>
      </c>
    </row>
    <row r="517" spans="1:117" x14ac:dyDescent="0.25">
      <c r="A517" s="18"/>
      <c r="B517" s="15" t="s">
        <v>349</v>
      </c>
      <c r="C517" s="18">
        <v>1</v>
      </c>
      <c r="D517" s="15"/>
      <c r="E517" s="15"/>
      <c r="F517" s="149"/>
      <c r="G517" s="11"/>
      <c r="H517" s="25"/>
      <c r="I517" s="24"/>
      <c r="J517" s="534">
        <f>SUM(M517,AG517,BA517,BU517)-L517</f>
        <v>-26</v>
      </c>
      <c r="K517" s="395">
        <f t="shared" si="1155"/>
        <v>-26</v>
      </c>
      <c r="L517" s="29">
        <v>28</v>
      </c>
      <c r="M517" s="298">
        <f>M510</f>
        <v>2</v>
      </c>
      <c r="N517" s="5">
        <f t="shared" si="1157"/>
        <v>-26</v>
      </c>
      <c r="O517" s="256"/>
      <c r="P517" s="303">
        <f>P510</f>
        <v>2</v>
      </c>
      <c r="Q517" s="35">
        <f t="shared" si="1158"/>
        <v>26</v>
      </c>
      <c r="R517" s="121"/>
      <c r="S517" s="6"/>
      <c r="T517" s="35"/>
      <c r="U517" s="612"/>
      <c r="V517" s="121"/>
      <c r="W517" s="6"/>
      <c r="X517" s="35"/>
      <c r="Y517" s="612"/>
      <c r="Z517" s="21"/>
      <c r="AA517" s="6"/>
      <c r="AB517" s="35"/>
      <c r="AC517" s="231"/>
      <c r="AD517" s="231"/>
      <c r="AE517" s="398">
        <f>SUM(M517,AG517)-SUM(O517,AI517)-L517</f>
        <v>-26</v>
      </c>
      <c r="AF517" s="29">
        <f t="shared" si="1159"/>
        <v>26</v>
      </c>
      <c r="AG517" s="298">
        <f>AG510</f>
        <v>0</v>
      </c>
      <c r="AH517" s="5">
        <f t="shared" si="1160"/>
        <v>-26</v>
      </c>
      <c r="AI517" s="256"/>
      <c r="AJ517" s="303">
        <f>AJ510</f>
        <v>0</v>
      </c>
      <c r="AK517" s="35">
        <f t="shared" si="1161"/>
        <v>26</v>
      </c>
      <c r="AL517" s="121"/>
      <c r="AM517" s="6"/>
      <c r="AN517" s="35"/>
      <c r="AO517" s="612"/>
      <c r="AP517" s="121"/>
      <c r="AQ517" s="6"/>
      <c r="AR517" s="35"/>
      <c r="AS517" s="612"/>
      <c r="AT517" s="21"/>
      <c r="AU517" s="6"/>
      <c r="AV517" s="35"/>
      <c r="AW517" s="234"/>
      <c r="AX517" s="234"/>
      <c r="AY517" s="395">
        <f>SUM(M517,AG517,BA517)-SUM(O517,AI517,BC517)-L517</f>
        <v>-26</v>
      </c>
      <c r="AZ517" s="29">
        <f t="shared" si="1170"/>
        <v>26</v>
      </c>
      <c r="BA517" s="298">
        <f>BA510</f>
        <v>0</v>
      </c>
      <c r="BB517" s="5">
        <f t="shared" si="1162"/>
        <v>-26</v>
      </c>
      <c r="BC517" s="256"/>
      <c r="BD517" s="303">
        <f>BD510</f>
        <v>0</v>
      </c>
      <c r="BE517" s="35">
        <f t="shared" si="1163"/>
        <v>26</v>
      </c>
      <c r="BF517" s="121"/>
      <c r="BG517" s="6"/>
      <c r="BH517" s="35"/>
      <c r="BI517" s="612"/>
      <c r="BJ517" s="121"/>
      <c r="BK517" s="6"/>
      <c r="BL517" s="35"/>
      <c r="BM517" s="612"/>
      <c r="BN517" s="21"/>
      <c r="BO517" s="6"/>
      <c r="BP517" s="35"/>
      <c r="BQ517" s="234"/>
      <c r="BR517" s="234"/>
      <c r="BS517" s="395">
        <f>SUM(M517,AG517,BA517,BU517)-SUM(O517,AI517,BC517,BW517)-L517</f>
        <v>-26</v>
      </c>
      <c r="BT517" s="29">
        <f t="shared" si="1171"/>
        <v>26</v>
      </c>
      <c r="BU517" s="298">
        <f>BU510</f>
        <v>0</v>
      </c>
      <c r="BV517" s="5">
        <f t="shared" si="1164"/>
        <v>-26</v>
      </c>
      <c r="BW517" s="256"/>
      <c r="BX517" s="303">
        <f>BX510</f>
        <v>0</v>
      </c>
      <c r="BY517" s="35">
        <f t="shared" si="1165"/>
        <v>26</v>
      </c>
      <c r="BZ517" s="121"/>
      <c r="CA517" s="6"/>
      <c r="CB517" s="35"/>
      <c r="CC517" s="612"/>
      <c r="CD517" s="121"/>
      <c r="CE517" s="6"/>
      <c r="CF517" s="35"/>
      <c r="CG517" s="612"/>
      <c r="CH517" s="21"/>
      <c r="CI517" s="6"/>
      <c r="CJ517" s="35"/>
      <c r="CK517" s="234"/>
      <c r="CL517" s="234"/>
      <c r="CM517" s="395">
        <f>SUM(M517,AG517,BA517,BU517,CO517)-SUM(O517,AI517,BC517,BW517,CQ517)-L517</f>
        <v>-26</v>
      </c>
      <c r="CN517" s="29">
        <f t="shared" si="1172"/>
        <v>26</v>
      </c>
      <c r="CO517" s="298">
        <f>CO510</f>
        <v>0</v>
      </c>
      <c r="CP517" s="5">
        <f t="shared" si="1166"/>
        <v>-26</v>
      </c>
      <c r="CQ517" s="240"/>
      <c r="CR517" s="303">
        <f>CR510</f>
        <v>0</v>
      </c>
      <c r="CS517" s="35">
        <f t="shared" si="1167"/>
        <v>26</v>
      </c>
      <c r="CT517" s="121"/>
      <c r="CU517" s="6"/>
      <c r="CV517" s="35"/>
      <c r="CW517" s="612"/>
      <c r="CX517" s="121"/>
      <c r="CY517" s="6"/>
      <c r="CZ517" s="35"/>
      <c r="DA517" s="612"/>
      <c r="DB517" s="21"/>
      <c r="DC517" s="6"/>
      <c r="DD517" s="35"/>
      <c r="DE517" s="234"/>
      <c r="DF517" s="234"/>
      <c r="DG517" s="395">
        <f>SUM(M517,AG517,BA517,BU517,DI517)-SUM(O517,AI517,BC517,BW517,CQ517)-L517</f>
        <v>-26</v>
      </c>
      <c r="DH517" s="32">
        <f t="shared" si="1156"/>
        <v>26</v>
      </c>
      <c r="DI517" s="298">
        <f>DI510</f>
        <v>0</v>
      </c>
      <c r="DJ517" s="5">
        <f t="shared" si="1168"/>
        <v>-26</v>
      </c>
      <c r="DK517" s="240"/>
      <c r="DL517" s="303">
        <f>DL510</f>
        <v>0</v>
      </c>
      <c r="DM517" s="35">
        <f t="shared" si="1169"/>
        <v>26</v>
      </c>
    </row>
    <row r="518" spans="1:117" x14ac:dyDescent="0.25">
      <c r="A518" s="18"/>
      <c r="B518" s="11" t="s">
        <v>329</v>
      </c>
      <c r="C518" s="18">
        <v>1</v>
      </c>
      <c r="D518" s="15"/>
      <c r="E518" s="15"/>
      <c r="F518" s="149"/>
      <c r="G518" s="11"/>
      <c r="H518" s="25"/>
      <c r="I518" s="24"/>
      <c r="J518" s="534">
        <f>SUM(M518,AG518,BA518,BU518)-L518</f>
        <v>-22</v>
      </c>
      <c r="K518" s="395">
        <f t="shared" si="1155"/>
        <v>-22</v>
      </c>
      <c r="L518" s="29">
        <v>24</v>
      </c>
      <c r="M518" s="298">
        <f>M510</f>
        <v>2</v>
      </c>
      <c r="N518" s="5">
        <f t="shared" si="1157"/>
        <v>-22</v>
      </c>
      <c r="O518" s="256"/>
      <c r="P518" s="303">
        <f>P510</f>
        <v>2</v>
      </c>
      <c r="Q518" s="35">
        <f t="shared" si="1158"/>
        <v>22</v>
      </c>
      <c r="R518" s="121"/>
      <c r="S518" s="6"/>
      <c r="T518" s="35"/>
      <c r="U518" s="612"/>
      <c r="V518" s="121"/>
      <c r="W518" s="6"/>
      <c r="X518" s="35"/>
      <c r="Y518" s="612"/>
      <c r="Z518" s="21"/>
      <c r="AA518" s="6"/>
      <c r="AB518" s="35"/>
      <c r="AC518" s="231"/>
      <c r="AD518" s="231"/>
      <c r="AE518" s="398">
        <f>SUM(M518,AG518)-SUM(O518,AI518)-L518</f>
        <v>-22</v>
      </c>
      <c r="AF518" s="29">
        <f t="shared" si="1159"/>
        <v>22</v>
      </c>
      <c r="AG518" s="298">
        <f>AG510</f>
        <v>0</v>
      </c>
      <c r="AH518" s="5">
        <f t="shared" si="1160"/>
        <v>-22</v>
      </c>
      <c r="AI518" s="256"/>
      <c r="AJ518" s="303">
        <f>AJ510</f>
        <v>0</v>
      </c>
      <c r="AK518" s="35">
        <f t="shared" si="1161"/>
        <v>22</v>
      </c>
      <c r="AL518" s="121"/>
      <c r="AM518" s="6"/>
      <c r="AN518" s="35"/>
      <c r="AO518" s="612"/>
      <c r="AP518" s="121"/>
      <c r="AQ518" s="6"/>
      <c r="AR518" s="35"/>
      <c r="AS518" s="612"/>
      <c r="AT518" s="21"/>
      <c r="AU518" s="6"/>
      <c r="AV518" s="35"/>
      <c r="AW518" s="234"/>
      <c r="AX518" s="234"/>
      <c r="AY518" s="395">
        <f>SUM(M518,AG518,BA518)-SUM(O518,AI518,BC518)-L518</f>
        <v>-22</v>
      </c>
      <c r="AZ518" s="29">
        <f t="shared" si="1170"/>
        <v>22</v>
      </c>
      <c r="BA518" s="298">
        <f>BA510</f>
        <v>0</v>
      </c>
      <c r="BB518" s="5">
        <f t="shared" si="1162"/>
        <v>-22</v>
      </c>
      <c r="BC518" s="256"/>
      <c r="BD518" s="303">
        <f>BD510</f>
        <v>0</v>
      </c>
      <c r="BE518" s="35">
        <f t="shared" si="1163"/>
        <v>22</v>
      </c>
      <c r="BF518" s="121"/>
      <c r="BG518" s="6"/>
      <c r="BH518" s="35"/>
      <c r="BI518" s="612"/>
      <c r="BJ518" s="121"/>
      <c r="BK518" s="6"/>
      <c r="BL518" s="35"/>
      <c r="BM518" s="612"/>
      <c r="BN518" s="21"/>
      <c r="BO518" s="6"/>
      <c r="BP518" s="35"/>
      <c r="BQ518" s="234"/>
      <c r="BR518" s="234"/>
      <c r="BS518" s="395">
        <f>SUM(M518,AG518,BA518,BU518)-SUM(O518,AI518,BC518,BW518)-L518</f>
        <v>-22</v>
      </c>
      <c r="BT518" s="29">
        <f t="shared" si="1171"/>
        <v>22</v>
      </c>
      <c r="BU518" s="298">
        <f>BU510</f>
        <v>0</v>
      </c>
      <c r="BV518" s="5">
        <f t="shared" si="1164"/>
        <v>-22</v>
      </c>
      <c r="BW518" s="256"/>
      <c r="BX518" s="303">
        <f>BX510</f>
        <v>0</v>
      </c>
      <c r="BY518" s="35">
        <f t="shared" si="1165"/>
        <v>22</v>
      </c>
      <c r="BZ518" s="121"/>
      <c r="CA518" s="6"/>
      <c r="CB518" s="35"/>
      <c r="CC518" s="612"/>
      <c r="CD518" s="121"/>
      <c r="CE518" s="6"/>
      <c r="CF518" s="35"/>
      <c r="CG518" s="612"/>
      <c r="CH518" s="21"/>
      <c r="CI518" s="6"/>
      <c r="CJ518" s="35"/>
      <c r="CK518" s="234"/>
      <c r="CL518" s="234"/>
      <c r="CM518" s="395">
        <f>SUM(M518,AG518,BA518,BU518,CO518)-SUM(O518,AI518,BC518,BW518,CQ518)-L518</f>
        <v>-22</v>
      </c>
      <c r="CN518" s="29">
        <f t="shared" si="1172"/>
        <v>22</v>
      </c>
      <c r="CO518" s="298">
        <f>CO510</f>
        <v>0</v>
      </c>
      <c r="CP518" s="5">
        <f t="shared" si="1166"/>
        <v>-22</v>
      </c>
      <c r="CQ518" s="240"/>
      <c r="CR518" s="303">
        <f>CR510</f>
        <v>0</v>
      </c>
      <c r="CS518" s="35">
        <f t="shared" si="1167"/>
        <v>22</v>
      </c>
      <c r="CT518" s="121"/>
      <c r="CU518" s="6"/>
      <c r="CV518" s="35"/>
      <c r="CW518" s="612"/>
      <c r="CX518" s="121"/>
      <c r="CY518" s="6"/>
      <c r="CZ518" s="35"/>
      <c r="DA518" s="612"/>
      <c r="DB518" s="21"/>
      <c r="DC518" s="6"/>
      <c r="DD518" s="35"/>
      <c r="DE518" s="234"/>
      <c r="DF518" s="234"/>
      <c r="DG518" s="395">
        <f>SUM(M518,AG518,BA518,BU518,DI518)-SUM(O518,AI518,BC518,BW518,CQ518)-L518</f>
        <v>-22</v>
      </c>
      <c r="DH518" s="32">
        <f t="shared" si="1156"/>
        <v>22</v>
      </c>
      <c r="DI518" s="298">
        <f>DI510</f>
        <v>0</v>
      </c>
      <c r="DJ518" s="5">
        <f t="shared" si="1168"/>
        <v>-22</v>
      </c>
      <c r="DK518" s="240"/>
      <c r="DL518" s="303">
        <f>DL510</f>
        <v>0</v>
      </c>
      <c r="DM518" s="35">
        <f t="shared" si="1169"/>
        <v>22</v>
      </c>
    </row>
    <row r="519" spans="1:117" x14ac:dyDescent="0.25">
      <c r="A519" s="18"/>
      <c r="B519" s="11" t="s">
        <v>330</v>
      </c>
      <c r="C519" s="18">
        <v>7</v>
      </c>
      <c r="D519" s="15"/>
      <c r="E519" s="15"/>
      <c r="F519" s="149"/>
      <c r="G519" s="11"/>
      <c r="H519" s="25"/>
      <c r="I519" s="24"/>
      <c r="J519" s="534">
        <f>SUM(M519,AG519,BA519,BU519)-L519</f>
        <v>-259</v>
      </c>
      <c r="K519" s="395">
        <f t="shared" si="1155"/>
        <v>-259</v>
      </c>
      <c r="L519" s="29">
        <v>273</v>
      </c>
      <c r="M519" s="298">
        <f>M510*7</f>
        <v>14</v>
      </c>
      <c r="N519" s="5">
        <f t="shared" si="1157"/>
        <v>-259</v>
      </c>
      <c r="O519" s="256"/>
      <c r="P519" s="303">
        <f>P510*7</f>
        <v>14</v>
      </c>
      <c r="Q519" s="35">
        <f t="shared" si="1158"/>
        <v>259</v>
      </c>
      <c r="R519" s="121"/>
      <c r="S519" s="6"/>
      <c r="T519" s="35"/>
      <c r="U519" s="612"/>
      <c r="V519" s="121"/>
      <c r="W519" s="6"/>
      <c r="X519" s="35"/>
      <c r="Y519" s="612"/>
      <c r="Z519" s="21"/>
      <c r="AA519" s="6"/>
      <c r="AB519" s="35"/>
      <c r="AC519" s="231"/>
      <c r="AD519" s="231"/>
      <c r="AE519" s="398">
        <f>SUM(M519,AG519)-SUM(O519,AI519)-L519</f>
        <v>-259</v>
      </c>
      <c r="AF519" s="29">
        <f t="shared" si="1159"/>
        <v>259</v>
      </c>
      <c r="AG519" s="298">
        <f>AG510*7</f>
        <v>0</v>
      </c>
      <c r="AH519" s="5">
        <f t="shared" si="1160"/>
        <v>-259</v>
      </c>
      <c r="AI519" s="256"/>
      <c r="AJ519" s="303">
        <f>AJ510*7</f>
        <v>0</v>
      </c>
      <c r="AK519" s="35">
        <f t="shared" si="1161"/>
        <v>259</v>
      </c>
      <c r="AL519" s="121"/>
      <c r="AM519" s="6"/>
      <c r="AN519" s="35"/>
      <c r="AO519" s="612"/>
      <c r="AP519" s="121"/>
      <c r="AQ519" s="6"/>
      <c r="AR519" s="35"/>
      <c r="AS519" s="612"/>
      <c r="AT519" s="21"/>
      <c r="AU519" s="6"/>
      <c r="AV519" s="35"/>
      <c r="AW519" s="234"/>
      <c r="AX519" s="234"/>
      <c r="AY519" s="395">
        <f>SUM(M519,AG519,BA519)-SUM(O519,AI519,BC519)-L519</f>
        <v>-259</v>
      </c>
      <c r="AZ519" s="29">
        <f t="shared" si="1170"/>
        <v>259</v>
      </c>
      <c r="BA519" s="298">
        <f>BA510*7</f>
        <v>0</v>
      </c>
      <c r="BB519" s="5">
        <f t="shared" si="1162"/>
        <v>-259</v>
      </c>
      <c r="BC519" s="256"/>
      <c r="BD519" s="303">
        <f>BD510*7</f>
        <v>0</v>
      </c>
      <c r="BE519" s="35">
        <f t="shared" si="1163"/>
        <v>259</v>
      </c>
      <c r="BF519" s="121"/>
      <c r="BG519" s="6"/>
      <c r="BH519" s="35"/>
      <c r="BI519" s="612"/>
      <c r="BJ519" s="121"/>
      <c r="BK519" s="6"/>
      <c r="BL519" s="35"/>
      <c r="BM519" s="612"/>
      <c r="BN519" s="21"/>
      <c r="BO519" s="6"/>
      <c r="BP519" s="35"/>
      <c r="BQ519" s="234"/>
      <c r="BR519" s="234"/>
      <c r="BS519" s="395">
        <f>SUM(M519,AG519,BA519,BU519)-SUM(O519,AI519,BC519,BW519)-L519</f>
        <v>-259</v>
      </c>
      <c r="BT519" s="29">
        <f t="shared" si="1171"/>
        <v>259</v>
      </c>
      <c r="BU519" s="298">
        <f>BU510*7</f>
        <v>0</v>
      </c>
      <c r="BV519" s="5">
        <f t="shared" si="1164"/>
        <v>-259</v>
      </c>
      <c r="BW519" s="256"/>
      <c r="BX519" s="303">
        <f>BX510*7</f>
        <v>0</v>
      </c>
      <c r="BY519" s="35">
        <f t="shared" si="1165"/>
        <v>259</v>
      </c>
      <c r="BZ519" s="121"/>
      <c r="CA519" s="6"/>
      <c r="CB519" s="35"/>
      <c r="CC519" s="612"/>
      <c r="CD519" s="121"/>
      <c r="CE519" s="6"/>
      <c r="CF519" s="35"/>
      <c r="CG519" s="612"/>
      <c r="CH519" s="21"/>
      <c r="CI519" s="6"/>
      <c r="CJ519" s="35"/>
      <c r="CK519" s="234"/>
      <c r="CL519" s="234"/>
      <c r="CM519" s="395">
        <f>SUM(M519,AG519,BA519,BU519,CO519)-SUM(O519,AI519,BC519,BW519,CQ519)-L519</f>
        <v>-259</v>
      </c>
      <c r="CN519" s="29">
        <f t="shared" si="1172"/>
        <v>259</v>
      </c>
      <c r="CO519" s="298">
        <f>CO510*7</f>
        <v>0</v>
      </c>
      <c r="CP519" s="5">
        <f t="shared" si="1166"/>
        <v>-259</v>
      </c>
      <c r="CQ519" s="240"/>
      <c r="CR519" s="303">
        <f>CR510*7</f>
        <v>0</v>
      </c>
      <c r="CS519" s="35">
        <f t="shared" si="1167"/>
        <v>259</v>
      </c>
      <c r="CT519" s="121"/>
      <c r="CU519" s="6"/>
      <c r="CV519" s="35"/>
      <c r="CW519" s="612"/>
      <c r="CX519" s="121"/>
      <c r="CY519" s="6"/>
      <c r="CZ519" s="35"/>
      <c r="DA519" s="612"/>
      <c r="DB519" s="21"/>
      <c r="DC519" s="6"/>
      <c r="DD519" s="35"/>
      <c r="DE519" s="234"/>
      <c r="DF519" s="234"/>
      <c r="DG519" s="395">
        <f>SUM(M519,AG519,BA519,BU519,DI519)-SUM(O519,AI519,BC519,BW519,CQ519)-L519</f>
        <v>-259</v>
      </c>
      <c r="DH519" s="32">
        <f t="shared" si="1156"/>
        <v>259</v>
      </c>
      <c r="DI519" s="298">
        <f>DI510*7</f>
        <v>0</v>
      </c>
      <c r="DJ519" s="5">
        <f t="shared" si="1168"/>
        <v>-259</v>
      </c>
      <c r="DK519" s="240"/>
      <c r="DL519" s="303">
        <f>DL510*7</f>
        <v>0</v>
      </c>
      <c r="DM519" s="35">
        <f t="shared" si="1169"/>
        <v>259</v>
      </c>
    </row>
    <row r="520" spans="1:117" x14ac:dyDescent="0.25">
      <c r="A520" s="360"/>
      <c r="B520" s="361" t="s">
        <v>16</v>
      </c>
      <c r="C520" s="360" t="s">
        <v>51</v>
      </c>
      <c r="D520" s="373" t="s">
        <v>178</v>
      </c>
      <c r="E520" s="373"/>
      <c r="F520" s="362">
        <v>5268</v>
      </c>
      <c r="G520" s="361" t="s">
        <v>333</v>
      </c>
      <c r="H520" s="363" t="s">
        <v>23</v>
      </c>
      <c r="I520" s="363"/>
      <c r="J520" s="363"/>
      <c r="K520" s="363"/>
      <c r="L520" s="364">
        <v>18</v>
      </c>
      <c r="M520" s="374">
        <f>M510</f>
        <v>2</v>
      </c>
      <c r="N520" s="374">
        <f t="shared" si="1157"/>
        <v>-16</v>
      </c>
      <c r="O520" s="441"/>
      <c r="P520" s="375">
        <f>P510</f>
        <v>2</v>
      </c>
      <c r="Q520" s="368">
        <f t="shared" si="1158"/>
        <v>16</v>
      </c>
      <c r="R520" s="366"/>
      <c r="S520" s="367"/>
      <c r="T520" s="368"/>
      <c r="U520" s="718"/>
      <c r="V520" s="366"/>
      <c r="W520" s="367"/>
      <c r="X520" s="368"/>
      <c r="Y520" s="718"/>
      <c r="Z520" s="369"/>
      <c r="AA520" s="367"/>
      <c r="AB520" s="368"/>
      <c r="AC520" s="718"/>
      <c r="AD520" s="718"/>
      <c r="AE520" s="363"/>
      <c r="AF520" s="364">
        <f t="shared" si="1159"/>
        <v>16</v>
      </c>
      <c r="AG520" s="374">
        <f>AG510</f>
        <v>0</v>
      </c>
      <c r="AH520" s="374">
        <f t="shared" si="1160"/>
        <v>-16</v>
      </c>
      <c r="AI520" s="441"/>
      <c r="AJ520" s="375">
        <f>AJ510</f>
        <v>0</v>
      </c>
      <c r="AK520" s="368">
        <f t="shared" si="1161"/>
        <v>16</v>
      </c>
      <c r="AL520" s="366"/>
      <c r="AM520" s="367"/>
      <c r="AN520" s="368"/>
      <c r="AO520" s="718"/>
      <c r="AP520" s="366"/>
      <c r="AQ520" s="367"/>
      <c r="AR520" s="368"/>
      <c r="AS520" s="718"/>
      <c r="AT520" s="369"/>
      <c r="AU520" s="367"/>
      <c r="AV520" s="368"/>
      <c r="AW520" s="718"/>
      <c r="AX520" s="718"/>
      <c r="AY520" s="363"/>
      <c r="AZ520" s="364">
        <f>AK520</f>
        <v>16</v>
      </c>
      <c r="BA520" s="374">
        <f>BA510</f>
        <v>0</v>
      </c>
      <c r="BB520" s="374">
        <f t="shared" si="1162"/>
        <v>-16</v>
      </c>
      <c r="BC520" s="441"/>
      <c r="BD520" s="375">
        <f>BD510</f>
        <v>0</v>
      </c>
      <c r="BE520" s="368">
        <f t="shared" si="1163"/>
        <v>16</v>
      </c>
      <c r="BF520" s="366"/>
      <c r="BG520" s="367"/>
      <c r="BH520" s="368"/>
      <c r="BI520" s="718"/>
      <c r="BJ520" s="366"/>
      <c r="BK520" s="367"/>
      <c r="BL520" s="368"/>
      <c r="BM520" s="718"/>
      <c r="BN520" s="369"/>
      <c r="BO520" s="367"/>
      <c r="BP520" s="368"/>
      <c r="BQ520" s="718"/>
      <c r="BR520" s="718"/>
      <c r="BS520" s="363"/>
      <c r="BT520" s="364">
        <f>BE520</f>
        <v>16</v>
      </c>
      <c r="BU520" s="374">
        <f>BU510</f>
        <v>0</v>
      </c>
      <c r="BV520" s="374">
        <f t="shared" si="1164"/>
        <v>-16</v>
      </c>
      <c r="BW520" s="441"/>
      <c r="BX520" s="375">
        <f>BX510</f>
        <v>0</v>
      </c>
      <c r="BY520" s="368">
        <f t="shared" si="1165"/>
        <v>16</v>
      </c>
      <c r="BZ520" s="366"/>
      <c r="CA520" s="367"/>
      <c r="CB520" s="368"/>
      <c r="CC520" s="718"/>
      <c r="CD520" s="366"/>
      <c r="CE520" s="367"/>
      <c r="CF520" s="368"/>
      <c r="CG520" s="718"/>
      <c r="CH520" s="369"/>
      <c r="CI520" s="367"/>
      <c r="CJ520" s="368"/>
      <c r="CK520" s="718"/>
      <c r="CL520" s="718"/>
      <c r="CM520" s="363"/>
      <c r="CN520" s="364">
        <f>BY520</f>
        <v>16</v>
      </c>
      <c r="CO520" s="374">
        <f>CO510</f>
        <v>0</v>
      </c>
      <c r="CP520" s="374">
        <f t="shared" si="1166"/>
        <v>-16</v>
      </c>
      <c r="CQ520" s="375"/>
      <c r="CR520" s="375">
        <f>CR510</f>
        <v>0</v>
      </c>
      <c r="CS520" s="368">
        <f t="shared" si="1167"/>
        <v>16</v>
      </c>
      <c r="CT520" s="366"/>
      <c r="CU520" s="367"/>
      <c r="CV520" s="368"/>
      <c r="CW520" s="718"/>
      <c r="CX520" s="366"/>
      <c r="CY520" s="367"/>
      <c r="CZ520" s="368"/>
      <c r="DA520" s="718"/>
      <c r="DB520" s="369"/>
      <c r="DC520" s="367"/>
      <c r="DD520" s="368"/>
      <c r="DE520" s="718"/>
      <c r="DF520" s="718"/>
      <c r="DG520" s="363"/>
      <c r="DH520" s="364">
        <f>CS520</f>
        <v>16</v>
      </c>
      <c r="DI520" s="374">
        <f>DI510</f>
        <v>0</v>
      </c>
      <c r="DJ520" s="374">
        <f t="shared" si="1168"/>
        <v>-16</v>
      </c>
      <c r="DK520" s="375"/>
      <c r="DL520" s="375">
        <f>DL510</f>
        <v>0</v>
      </c>
      <c r="DM520" s="368">
        <f t="shared" si="1169"/>
        <v>16</v>
      </c>
    </row>
    <row r="521" spans="1:117" x14ac:dyDescent="0.25">
      <c r="A521" s="18"/>
      <c r="B521" s="11" t="s">
        <v>36</v>
      </c>
      <c r="C521" s="18">
        <v>1</v>
      </c>
      <c r="D521" s="15"/>
      <c r="E521" s="15"/>
      <c r="F521" s="149">
        <v>1165</v>
      </c>
      <c r="G521" s="11" t="s">
        <v>76</v>
      </c>
      <c r="H521" s="25" t="s">
        <v>77</v>
      </c>
      <c r="I521" s="24"/>
      <c r="J521" s="534">
        <f>SUM(M521,AG521,BA521,BU521)-L521</f>
        <v>-16</v>
      </c>
      <c r="K521" s="395">
        <f t="shared" si="1155"/>
        <v>-16</v>
      </c>
      <c r="L521" s="29">
        <v>18</v>
      </c>
      <c r="M521" s="298">
        <f>M510</f>
        <v>2</v>
      </c>
      <c r="N521" s="5">
        <f t="shared" si="1157"/>
        <v>-16</v>
      </c>
      <c r="O521" s="256"/>
      <c r="P521" s="303">
        <f>P510</f>
        <v>2</v>
      </c>
      <c r="Q521" s="35">
        <f t="shared" si="1158"/>
        <v>16</v>
      </c>
      <c r="R521" s="121"/>
      <c r="S521" s="6"/>
      <c r="T521" s="35"/>
      <c r="U521" s="612"/>
      <c r="V521" s="121"/>
      <c r="W521" s="6"/>
      <c r="X521" s="35"/>
      <c r="Y521" s="612"/>
      <c r="Z521" s="21"/>
      <c r="AA521" s="6"/>
      <c r="AB521" s="35"/>
      <c r="AC521" s="231"/>
      <c r="AD521" s="231"/>
      <c r="AE521" s="398">
        <f>SUM(M521,AG521)-SUM(O521,AI521)-L521</f>
        <v>-16</v>
      </c>
      <c r="AF521" s="29">
        <f t="shared" si="1159"/>
        <v>16</v>
      </c>
      <c r="AG521" s="298">
        <f>AG510</f>
        <v>0</v>
      </c>
      <c r="AH521" s="5">
        <f t="shared" si="1160"/>
        <v>-16</v>
      </c>
      <c r="AI521" s="256"/>
      <c r="AJ521" s="303">
        <f>AJ510</f>
        <v>0</v>
      </c>
      <c r="AK521" s="35">
        <f t="shared" si="1161"/>
        <v>16</v>
      </c>
      <c r="AL521" s="121"/>
      <c r="AM521" s="6"/>
      <c r="AN521" s="35"/>
      <c r="AO521" s="612"/>
      <c r="AP521" s="121"/>
      <c r="AQ521" s="6"/>
      <c r="AR521" s="35"/>
      <c r="AS521" s="612"/>
      <c r="AT521" s="21"/>
      <c r="AU521" s="6"/>
      <c r="AV521" s="35"/>
      <c r="AW521" s="234"/>
      <c r="AX521" s="234"/>
      <c r="AY521" s="395">
        <f>SUM(M521,AG521,BA521)-SUM(O521,AI521,BC521)-L521</f>
        <v>-16</v>
      </c>
      <c r="AZ521" s="29">
        <f>AK521</f>
        <v>16</v>
      </c>
      <c r="BA521" s="298">
        <f>BA510</f>
        <v>0</v>
      </c>
      <c r="BB521" s="5">
        <f t="shared" si="1162"/>
        <v>-16</v>
      </c>
      <c r="BC521" s="256"/>
      <c r="BD521" s="303">
        <f>BD510</f>
        <v>0</v>
      </c>
      <c r="BE521" s="35">
        <f t="shared" si="1163"/>
        <v>16</v>
      </c>
      <c r="BF521" s="121"/>
      <c r="BG521" s="6"/>
      <c r="BH521" s="35"/>
      <c r="BI521" s="612"/>
      <c r="BJ521" s="121"/>
      <c r="BK521" s="6"/>
      <c r="BL521" s="35"/>
      <c r="BM521" s="612"/>
      <c r="BN521" s="21"/>
      <c r="BO521" s="6"/>
      <c r="BP521" s="35"/>
      <c r="BQ521" s="234"/>
      <c r="BR521" s="234"/>
      <c r="BS521" s="395">
        <f>SUM(M521,AG521,BA521,BU521)-SUM(O521,AI521,BC521,BW521)-L521</f>
        <v>-16</v>
      </c>
      <c r="BT521" s="29">
        <f>BE521</f>
        <v>16</v>
      </c>
      <c r="BU521" s="298">
        <f>BU510</f>
        <v>0</v>
      </c>
      <c r="BV521" s="5">
        <f t="shared" si="1164"/>
        <v>-16</v>
      </c>
      <c r="BW521" s="256"/>
      <c r="BX521" s="303">
        <f>BX510</f>
        <v>0</v>
      </c>
      <c r="BY521" s="35">
        <f t="shared" si="1165"/>
        <v>16</v>
      </c>
      <c r="BZ521" s="121"/>
      <c r="CA521" s="6"/>
      <c r="CB521" s="35"/>
      <c r="CC521" s="612"/>
      <c r="CD521" s="121"/>
      <c r="CE521" s="6"/>
      <c r="CF521" s="35"/>
      <c r="CG521" s="612"/>
      <c r="CH521" s="21"/>
      <c r="CI521" s="6"/>
      <c r="CJ521" s="35"/>
      <c r="CK521" s="234"/>
      <c r="CL521" s="234"/>
      <c r="CM521" s="395">
        <f>SUM(M521,AG521,BA521,BU521,CO521)-SUM(O521,AI521,BC521,BW521,CQ521)-L521</f>
        <v>-16</v>
      </c>
      <c r="CN521" s="29">
        <f>BY521</f>
        <v>16</v>
      </c>
      <c r="CO521" s="298">
        <f>CO510</f>
        <v>0</v>
      </c>
      <c r="CP521" s="5">
        <f t="shared" si="1166"/>
        <v>-16</v>
      </c>
      <c r="CQ521" s="240"/>
      <c r="CR521" s="303">
        <f>CR510</f>
        <v>0</v>
      </c>
      <c r="CS521" s="35">
        <f t="shared" si="1167"/>
        <v>16</v>
      </c>
      <c r="CT521" s="121"/>
      <c r="CU521" s="6"/>
      <c r="CV521" s="35"/>
      <c r="CW521" s="612"/>
      <c r="CX521" s="121"/>
      <c r="CY521" s="6"/>
      <c r="CZ521" s="35"/>
      <c r="DA521" s="612"/>
      <c r="DB521" s="21"/>
      <c r="DC521" s="6"/>
      <c r="DD521" s="35"/>
      <c r="DE521" s="234"/>
      <c r="DF521" s="234"/>
      <c r="DG521" s="395">
        <f>SUM(M521,AG521,BA521,BU521,DI521)-SUM(O521,AI521,BC521,BW521,CQ521)-L521</f>
        <v>-16</v>
      </c>
      <c r="DH521" s="32">
        <f t="shared" si="1156"/>
        <v>16</v>
      </c>
      <c r="DI521" s="298">
        <f>DI510</f>
        <v>0</v>
      </c>
      <c r="DJ521" s="5">
        <f t="shared" si="1168"/>
        <v>-16</v>
      </c>
      <c r="DK521" s="240"/>
      <c r="DL521" s="303">
        <f>DL510</f>
        <v>0</v>
      </c>
      <c r="DM521" s="35">
        <f t="shared" si="1169"/>
        <v>16</v>
      </c>
    </row>
    <row r="522" spans="1:117" x14ac:dyDescent="0.25">
      <c r="A522" s="18"/>
      <c r="B522" s="11" t="s">
        <v>78</v>
      </c>
      <c r="C522" s="18">
        <v>1</v>
      </c>
      <c r="D522" s="15" t="s">
        <v>179</v>
      </c>
      <c r="E522" s="15"/>
      <c r="F522" s="149">
        <v>1200</v>
      </c>
      <c r="G522" s="11"/>
      <c r="H522" s="27"/>
      <c r="I522" s="27"/>
      <c r="J522" s="27"/>
      <c r="K522" s="27"/>
      <c r="L522" s="29">
        <v>0</v>
      </c>
      <c r="M522" s="298">
        <f>M510+0-M510</f>
        <v>0</v>
      </c>
      <c r="N522" s="5">
        <f t="shared" si="1157"/>
        <v>0</v>
      </c>
      <c r="O522" s="256"/>
      <c r="P522" s="240"/>
      <c r="Q522" s="35">
        <f t="shared" si="1158"/>
        <v>0</v>
      </c>
      <c r="R522" s="121"/>
      <c r="S522" s="6"/>
      <c r="T522" s="35"/>
      <c r="U522" s="612"/>
      <c r="V522" s="121"/>
      <c r="W522" s="6"/>
      <c r="X522" s="35"/>
      <c r="Y522" s="612"/>
      <c r="Z522" s="21"/>
      <c r="AA522" s="6"/>
      <c r="AB522" s="35"/>
      <c r="AC522" s="612"/>
      <c r="AD522" s="612"/>
      <c r="AE522" s="27"/>
      <c r="AF522" s="29">
        <f t="shared" si="1159"/>
        <v>0</v>
      </c>
      <c r="AG522" s="298">
        <f>AG510</f>
        <v>0</v>
      </c>
      <c r="AH522" s="5">
        <f t="shared" si="1160"/>
        <v>0</v>
      </c>
      <c r="AI522" s="256"/>
      <c r="AJ522" s="240"/>
      <c r="AK522" s="35">
        <f t="shared" si="1161"/>
        <v>0</v>
      </c>
      <c r="AL522" s="121"/>
      <c r="AM522" s="6"/>
      <c r="AN522" s="35"/>
      <c r="AO522" s="612"/>
      <c r="AP522" s="121"/>
      <c r="AQ522" s="6"/>
      <c r="AR522" s="35"/>
      <c r="AS522" s="612"/>
      <c r="AT522" s="21"/>
      <c r="AU522" s="6"/>
      <c r="AV522" s="35"/>
      <c r="AW522" s="612"/>
      <c r="AX522" s="612"/>
      <c r="AY522" s="27"/>
      <c r="AZ522" s="29">
        <f t="shared" ref="AZ522:AZ525" si="1173">AK522</f>
        <v>0</v>
      </c>
      <c r="BA522" s="298">
        <f>BA510</f>
        <v>0</v>
      </c>
      <c r="BB522" s="5">
        <f t="shared" si="1162"/>
        <v>0</v>
      </c>
      <c r="BC522" s="256"/>
      <c r="BD522" s="240"/>
      <c r="BE522" s="35">
        <f t="shared" si="1163"/>
        <v>0</v>
      </c>
      <c r="BF522" s="121"/>
      <c r="BG522" s="6"/>
      <c r="BH522" s="35"/>
      <c r="BI522" s="612"/>
      <c r="BJ522" s="121"/>
      <c r="BK522" s="6"/>
      <c r="BL522" s="35"/>
      <c r="BM522" s="612"/>
      <c r="BN522" s="21"/>
      <c r="BO522" s="6"/>
      <c r="BP522" s="35"/>
      <c r="BQ522" s="612"/>
      <c r="BR522" s="612"/>
      <c r="BS522" s="27"/>
      <c r="BT522" s="29">
        <f t="shared" ref="BT522:BT525" si="1174">BE522</f>
        <v>0</v>
      </c>
      <c r="BU522" s="298">
        <f>BU510</f>
        <v>0</v>
      </c>
      <c r="BV522" s="5">
        <f t="shared" si="1164"/>
        <v>0</v>
      </c>
      <c r="BW522" s="256"/>
      <c r="BX522" s="240"/>
      <c r="BY522" s="35">
        <f t="shared" si="1165"/>
        <v>0</v>
      </c>
      <c r="BZ522" s="121"/>
      <c r="CA522" s="6"/>
      <c r="CB522" s="35"/>
      <c r="CC522" s="612"/>
      <c r="CD522" s="121"/>
      <c r="CE522" s="6"/>
      <c r="CF522" s="35"/>
      <c r="CG522" s="612"/>
      <c r="CH522" s="21"/>
      <c r="CI522" s="6"/>
      <c r="CJ522" s="35"/>
      <c r="CK522" s="612"/>
      <c r="CL522" s="612"/>
      <c r="CM522" s="27"/>
      <c r="CN522" s="29">
        <f t="shared" ref="CN522:CN525" si="1175">BY522</f>
        <v>0</v>
      </c>
      <c r="CO522" s="298">
        <f>CO510</f>
        <v>0</v>
      </c>
      <c r="CP522" s="5">
        <f t="shared" si="1166"/>
        <v>0</v>
      </c>
      <c r="CQ522" s="240"/>
      <c r="CR522" s="240"/>
      <c r="CS522" s="35">
        <f t="shared" si="1167"/>
        <v>0</v>
      </c>
      <c r="CT522" s="121"/>
      <c r="CU522" s="6"/>
      <c r="CV522" s="35"/>
      <c r="CW522" s="612"/>
      <c r="CX522" s="121"/>
      <c r="CY522" s="6"/>
      <c r="CZ522" s="35"/>
      <c r="DA522" s="612"/>
      <c r="DB522" s="21"/>
      <c r="DC522" s="6"/>
      <c r="DD522" s="35"/>
      <c r="DE522" s="612"/>
      <c r="DF522" s="612"/>
      <c r="DG522" s="27"/>
      <c r="DH522" s="32">
        <f t="shared" si="1156"/>
        <v>0</v>
      </c>
      <c r="DI522" s="298">
        <f>DI510</f>
        <v>0</v>
      </c>
      <c r="DJ522" s="5">
        <f t="shared" si="1168"/>
        <v>0</v>
      </c>
      <c r="DK522" s="240"/>
      <c r="DL522" s="240"/>
      <c r="DM522" s="35">
        <f t="shared" si="1169"/>
        <v>0</v>
      </c>
    </row>
    <row r="523" spans="1:117" x14ac:dyDescent="0.25">
      <c r="A523" s="18"/>
      <c r="B523" s="11" t="s">
        <v>81</v>
      </c>
      <c r="C523" s="18"/>
      <c r="D523" s="15"/>
      <c r="E523" s="15"/>
      <c r="F523" s="149"/>
      <c r="G523" s="11"/>
      <c r="H523" s="25"/>
      <c r="I523" s="24"/>
      <c r="J523" s="534">
        <f>SUM(M523,AG523,BA523,BU523)-L523</f>
        <v>-36</v>
      </c>
      <c r="K523" s="395">
        <f t="shared" si="1155"/>
        <v>-36</v>
      </c>
      <c r="L523" s="29">
        <v>38</v>
      </c>
      <c r="M523" s="298">
        <f>M510</f>
        <v>2</v>
      </c>
      <c r="N523" s="5">
        <f>M523-L523</f>
        <v>-36</v>
      </c>
      <c r="O523" s="256"/>
      <c r="P523" s="303">
        <f>P510</f>
        <v>2</v>
      </c>
      <c r="Q523" s="35">
        <f t="shared" si="1158"/>
        <v>36</v>
      </c>
      <c r="R523" s="121"/>
      <c r="S523" s="6"/>
      <c r="T523" s="35"/>
      <c r="U523" s="612"/>
      <c r="V523" s="121"/>
      <c r="W523" s="6"/>
      <c r="X523" s="35"/>
      <c r="Y523" s="612"/>
      <c r="Z523" s="21"/>
      <c r="AA523" s="6"/>
      <c r="AB523" s="35"/>
      <c r="AC523" s="231"/>
      <c r="AD523" s="231"/>
      <c r="AE523" s="398">
        <f>SUM(M523,AG523)-SUM(O523,AI523)-L523</f>
        <v>-36</v>
      </c>
      <c r="AF523" s="29">
        <f t="shared" si="1159"/>
        <v>36</v>
      </c>
      <c r="AG523" s="298">
        <f>AG510</f>
        <v>0</v>
      </c>
      <c r="AH523" s="5">
        <f>AG523-AF523</f>
        <v>-36</v>
      </c>
      <c r="AI523" s="256"/>
      <c r="AJ523" s="303">
        <f>AJ510</f>
        <v>0</v>
      </c>
      <c r="AK523" s="35">
        <f t="shared" si="1161"/>
        <v>36</v>
      </c>
      <c r="AL523" s="121"/>
      <c r="AM523" s="6"/>
      <c r="AN523" s="35"/>
      <c r="AO523" s="612"/>
      <c r="AP523" s="121"/>
      <c r="AQ523" s="6"/>
      <c r="AR523" s="35"/>
      <c r="AS523" s="612"/>
      <c r="AT523" s="21"/>
      <c r="AU523" s="6"/>
      <c r="AV523" s="35"/>
      <c r="AW523" s="234"/>
      <c r="AX523" s="234"/>
      <c r="AY523" s="395">
        <f>SUM(M523,AG523,BA523)-SUM(O523,AI523,BC523)-L523</f>
        <v>-36</v>
      </c>
      <c r="AZ523" s="29">
        <f t="shared" si="1173"/>
        <v>36</v>
      </c>
      <c r="BA523" s="298">
        <f>BA510</f>
        <v>0</v>
      </c>
      <c r="BB523" s="5">
        <f>BA523-AZ523</f>
        <v>-36</v>
      </c>
      <c r="BC523" s="256"/>
      <c r="BD523" s="303">
        <f>BD510</f>
        <v>0</v>
      </c>
      <c r="BE523" s="35">
        <f t="shared" si="1163"/>
        <v>36</v>
      </c>
      <c r="BF523" s="121"/>
      <c r="BG523" s="6"/>
      <c r="BH523" s="35"/>
      <c r="BI523" s="612"/>
      <c r="BJ523" s="121"/>
      <c r="BK523" s="6"/>
      <c r="BL523" s="35"/>
      <c r="BM523" s="612"/>
      <c r="BN523" s="21"/>
      <c r="BO523" s="6"/>
      <c r="BP523" s="35"/>
      <c r="BQ523" s="234"/>
      <c r="BR523" s="234"/>
      <c r="BS523" s="395">
        <f>SUM(M523,AG523,BA523,BU523)-SUM(O523,AI523,BC523,BW523)-L523</f>
        <v>-36</v>
      </c>
      <c r="BT523" s="29">
        <f t="shared" si="1174"/>
        <v>36</v>
      </c>
      <c r="BU523" s="298">
        <f>BU510</f>
        <v>0</v>
      </c>
      <c r="BV523" s="5">
        <f>BU523-BT523</f>
        <v>-36</v>
      </c>
      <c r="BW523" s="256"/>
      <c r="BX523" s="303">
        <f>BX510</f>
        <v>0</v>
      </c>
      <c r="BY523" s="35">
        <f t="shared" si="1165"/>
        <v>36</v>
      </c>
      <c r="BZ523" s="121"/>
      <c r="CA523" s="6"/>
      <c r="CB523" s="35"/>
      <c r="CC523" s="612"/>
      <c r="CD523" s="121"/>
      <c r="CE523" s="6"/>
      <c r="CF523" s="35"/>
      <c r="CG523" s="612"/>
      <c r="CH523" s="21"/>
      <c r="CI523" s="6"/>
      <c r="CJ523" s="35"/>
      <c r="CK523" s="234"/>
      <c r="CL523" s="234"/>
      <c r="CM523" s="395">
        <f>SUM(M523,AG523,BA523,BU523,CO523)-SUM(O523,AI523,BC523,BW523,CQ523)-L523</f>
        <v>-36</v>
      </c>
      <c r="CN523" s="29">
        <f t="shared" si="1175"/>
        <v>36</v>
      </c>
      <c r="CO523" s="298">
        <f>CO510</f>
        <v>0</v>
      </c>
      <c r="CP523" s="5">
        <f>CO523-CN523</f>
        <v>-36</v>
      </c>
      <c r="CQ523" s="240"/>
      <c r="CR523" s="303">
        <f>CR510</f>
        <v>0</v>
      </c>
      <c r="CS523" s="35">
        <f t="shared" si="1167"/>
        <v>36</v>
      </c>
      <c r="CT523" s="121"/>
      <c r="CU523" s="6"/>
      <c r="CV523" s="35"/>
      <c r="CW523" s="612"/>
      <c r="CX523" s="121"/>
      <c r="CY523" s="6"/>
      <c r="CZ523" s="35"/>
      <c r="DA523" s="612"/>
      <c r="DB523" s="21"/>
      <c r="DC523" s="6"/>
      <c r="DD523" s="35"/>
      <c r="DE523" s="234"/>
      <c r="DF523" s="234"/>
      <c r="DG523" s="395">
        <f>SUM(M523,AG523,BA523,BU523,DI523)-SUM(O523,AI523,BC523,BW523,CQ523)-L523</f>
        <v>-36</v>
      </c>
      <c r="DH523" s="32">
        <f t="shared" si="1156"/>
        <v>36</v>
      </c>
      <c r="DI523" s="298">
        <f>DI510</f>
        <v>0</v>
      </c>
      <c r="DJ523" s="5">
        <f>DI523-DH523</f>
        <v>-36</v>
      </c>
      <c r="DK523" s="240"/>
      <c r="DL523" s="303">
        <f>DL510</f>
        <v>0</v>
      </c>
      <c r="DM523" s="35">
        <f t="shared" si="1169"/>
        <v>36</v>
      </c>
    </row>
    <row r="524" spans="1:117" x14ac:dyDescent="0.25">
      <c r="A524" s="17"/>
      <c r="B524" s="10" t="s">
        <v>79</v>
      </c>
      <c r="C524" s="17">
        <v>1</v>
      </c>
      <c r="D524" s="80"/>
      <c r="E524" s="80"/>
      <c r="F524" s="337">
        <v>315</v>
      </c>
      <c r="G524" s="80" t="s">
        <v>33</v>
      </c>
      <c r="H524" s="24" t="s">
        <v>34</v>
      </c>
      <c r="I524" s="24"/>
      <c r="J524" s="534">
        <f>SUM(M524,AG524,BA524,BU524)-L524</f>
        <v>-25</v>
      </c>
      <c r="K524" s="395">
        <f t="shared" si="1155"/>
        <v>-25</v>
      </c>
      <c r="L524" s="29">
        <v>27</v>
      </c>
      <c r="M524" s="302">
        <f>M510</f>
        <v>2</v>
      </c>
      <c r="N524" s="7">
        <f t="shared" ref="N524:N525" si="1176">M524-L524</f>
        <v>-25</v>
      </c>
      <c r="O524" s="258"/>
      <c r="P524" s="304">
        <f>P510</f>
        <v>2</v>
      </c>
      <c r="Q524" s="34">
        <f t="shared" si="1158"/>
        <v>25</v>
      </c>
      <c r="R524" s="123"/>
      <c r="S524" s="8"/>
      <c r="T524" s="34"/>
      <c r="U524" s="713"/>
      <c r="V524" s="123"/>
      <c r="W524" s="8"/>
      <c r="X524" s="34"/>
      <c r="Y524" s="713"/>
      <c r="Z524" s="20"/>
      <c r="AA524" s="8"/>
      <c r="AB524" s="34"/>
      <c r="AC524" s="234"/>
      <c r="AD524" s="234"/>
      <c r="AE524" s="398">
        <f>SUM(M524,AG524)-SUM(O524,AI524)-L524</f>
        <v>-25</v>
      </c>
      <c r="AF524" s="29">
        <f t="shared" si="1159"/>
        <v>25</v>
      </c>
      <c r="AG524" s="302">
        <f>AG510</f>
        <v>0</v>
      </c>
      <c r="AH524" s="7">
        <f t="shared" ref="AH524:AH525" si="1177">AG524-AF524</f>
        <v>-25</v>
      </c>
      <c r="AI524" s="258"/>
      <c r="AJ524" s="304">
        <f>AJ510</f>
        <v>0</v>
      </c>
      <c r="AK524" s="34">
        <f t="shared" si="1161"/>
        <v>25</v>
      </c>
      <c r="AL524" s="123"/>
      <c r="AM524" s="8"/>
      <c r="AN524" s="34"/>
      <c r="AO524" s="713"/>
      <c r="AP524" s="123"/>
      <c r="AQ524" s="8"/>
      <c r="AR524" s="34"/>
      <c r="AS524" s="713"/>
      <c r="AT524" s="20"/>
      <c r="AU524" s="8"/>
      <c r="AV524" s="34"/>
      <c r="AW524" s="234"/>
      <c r="AX524" s="234"/>
      <c r="AY524" s="395">
        <f>SUM(M524,AG524,BA524)-SUM(O524,AI524,BC524)-L524</f>
        <v>-25</v>
      </c>
      <c r="AZ524" s="29">
        <f t="shared" si="1173"/>
        <v>25</v>
      </c>
      <c r="BA524" s="302">
        <f>BA510</f>
        <v>0</v>
      </c>
      <c r="BB524" s="7">
        <f t="shared" ref="BB524:BB525" si="1178">BA524-AZ524</f>
        <v>-25</v>
      </c>
      <c r="BC524" s="258"/>
      <c r="BD524" s="304">
        <f>BD510</f>
        <v>0</v>
      </c>
      <c r="BE524" s="34">
        <f t="shared" si="1163"/>
        <v>25</v>
      </c>
      <c r="BF524" s="123"/>
      <c r="BG524" s="8"/>
      <c r="BH524" s="34"/>
      <c r="BI524" s="713"/>
      <c r="BJ524" s="123"/>
      <c r="BK524" s="8"/>
      <c r="BL524" s="34"/>
      <c r="BM524" s="713"/>
      <c r="BN524" s="20"/>
      <c r="BO524" s="8"/>
      <c r="BP524" s="34"/>
      <c r="BQ524" s="234"/>
      <c r="BR524" s="234"/>
      <c r="BS524" s="395">
        <f>SUM(M524,AG524,BA524,BU524)-SUM(O524,AI524,BC524,BW524)-L524</f>
        <v>-25</v>
      </c>
      <c r="BT524" s="29">
        <f t="shared" si="1174"/>
        <v>25</v>
      </c>
      <c r="BU524" s="302">
        <f>BU510</f>
        <v>0</v>
      </c>
      <c r="BV524" s="7">
        <f t="shared" ref="BV524:BV525" si="1179">BU524-BT524</f>
        <v>-25</v>
      </c>
      <c r="BW524" s="258"/>
      <c r="BX524" s="304">
        <f>BX510</f>
        <v>0</v>
      </c>
      <c r="BY524" s="34">
        <f t="shared" si="1165"/>
        <v>25</v>
      </c>
      <c r="BZ524" s="123"/>
      <c r="CA524" s="8"/>
      <c r="CB524" s="34"/>
      <c r="CC524" s="713"/>
      <c r="CD524" s="123"/>
      <c r="CE524" s="8"/>
      <c r="CF524" s="34"/>
      <c r="CG524" s="713"/>
      <c r="CH524" s="20"/>
      <c r="CI524" s="8"/>
      <c r="CJ524" s="34"/>
      <c r="CK524" s="234"/>
      <c r="CL524" s="234"/>
      <c r="CM524" s="395">
        <f>SUM(M524,AG524,BA524,BU524,CO524)-SUM(O524,AI524,BC524,BW524,CQ524)-L524</f>
        <v>-25</v>
      </c>
      <c r="CN524" s="29">
        <f t="shared" si="1175"/>
        <v>25</v>
      </c>
      <c r="CO524" s="302">
        <f>CO510</f>
        <v>0</v>
      </c>
      <c r="CP524" s="7">
        <f t="shared" ref="CP524:CP525" si="1180">CO524-CN524</f>
        <v>-25</v>
      </c>
      <c r="CQ524" s="242"/>
      <c r="CR524" s="304">
        <f>CR510</f>
        <v>0</v>
      </c>
      <c r="CS524" s="34">
        <f t="shared" si="1167"/>
        <v>25</v>
      </c>
      <c r="CT524" s="123"/>
      <c r="CU524" s="8"/>
      <c r="CV524" s="34"/>
      <c r="CW524" s="713"/>
      <c r="CX524" s="123"/>
      <c r="CY524" s="8"/>
      <c r="CZ524" s="34"/>
      <c r="DA524" s="713"/>
      <c r="DB524" s="20"/>
      <c r="DC524" s="8"/>
      <c r="DD524" s="34"/>
      <c r="DE524" s="234"/>
      <c r="DF524" s="234"/>
      <c r="DG524" s="395">
        <f>SUM(M524,AG524,BA524,BU524,DI524)-SUM(O524,AI524,BC524,BW524,CQ524)-L524</f>
        <v>-25</v>
      </c>
      <c r="DH524" s="32">
        <f t="shared" si="1156"/>
        <v>25</v>
      </c>
      <c r="DI524" s="302">
        <f>DI510</f>
        <v>0</v>
      </c>
      <c r="DJ524" s="7">
        <f t="shared" ref="DJ524:DJ525" si="1181">DI524-DH524</f>
        <v>-25</v>
      </c>
      <c r="DK524" s="242"/>
      <c r="DL524" s="304">
        <f>DL510</f>
        <v>0</v>
      </c>
      <c r="DM524" s="34">
        <f t="shared" si="1169"/>
        <v>25</v>
      </c>
    </row>
    <row r="525" spans="1:117" x14ac:dyDescent="0.25">
      <c r="A525" s="18"/>
      <c r="B525" s="11" t="s">
        <v>80</v>
      </c>
      <c r="C525" s="18">
        <v>2</v>
      </c>
      <c r="D525" s="15"/>
      <c r="E525" s="15"/>
      <c r="F525" s="149">
        <v>80</v>
      </c>
      <c r="G525" s="23" t="s">
        <v>331</v>
      </c>
      <c r="H525" s="25"/>
      <c r="I525" s="24"/>
      <c r="J525" s="534">
        <f>SUM(M525,AG525,BA525,BU525)-L525</f>
        <v>-43</v>
      </c>
      <c r="K525" s="395">
        <f t="shared" si="1155"/>
        <v>-43</v>
      </c>
      <c r="L525" s="29">
        <v>47</v>
      </c>
      <c r="M525" s="298">
        <f>M510*2</f>
        <v>4</v>
      </c>
      <c r="N525" s="5">
        <f t="shared" si="1176"/>
        <v>-43</v>
      </c>
      <c r="O525" s="256"/>
      <c r="P525" s="303">
        <f>P510*2</f>
        <v>4</v>
      </c>
      <c r="Q525" s="35">
        <f t="shared" si="1158"/>
        <v>43</v>
      </c>
      <c r="R525" s="121"/>
      <c r="S525" s="6"/>
      <c r="T525" s="35"/>
      <c r="U525" s="612"/>
      <c r="V525" s="121"/>
      <c r="W525" s="6"/>
      <c r="X525" s="35"/>
      <c r="Y525" s="612"/>
      <c r="Z525" s="21"/>
      <c r="AA525" s="6"/>
      <c r="AB525" s="35"/>
      <c r="AC525" s="231"/>
      <c r="AD525" s="231"/>
      <c r="AE525" s="398">
        <f>SUM(M525,AG525)-SUM(O525,AI525)-L525</f>
        <v>-43</v>
      </c>
      <c r="AF525" s="29">
        <f t="shared" si="1159"/>
        <v>43</v>
      </c>
      <c r="AG525" s="298">
        <f>AG510*2</f>
        <v>0</v>
      </c>
      <c r="AH525" s="5">
        <f t="shared" si="1177"/>
        <v>-43</v>
      </c>
      <c r="AI525" s="256"/>
      <c r="AJ525" s="303">
        <f>AJ510*2</f>
        <v>0</v>
      </c>
      <c r="AK525" s="35">
        <f t="shared" si="1161"/>
        <v>43</v>
      </c>
      <c r="AL525" s="121"/>
      <c r="AM525" s="6"/>
      <c r="AN525" s="35"/>
      <c r="AO525" s="612"/>
      <c r="AP525" s="121"/>
      <c r="AQ525" s="6"/>
      <c r="AR525" s="35"/>
      <c r="AS525" s="612"/>
      <c r="AT525" s="21"/>
      <c r="AU525" s="6"/>
      <c r="AV525" s="35"/>
      <c r="AW525" s="234"/>
      <c r="AX525" s="234"/>
      <c r="AY525" s="395">
        <f>SUM(M525,AG525,BA525)-SUM(O525,AI525,BC525)-L525</f>
        <v>-43</v>
      </c>
      <c r="AZ525" s="29">
        <f t="shared" si="1173"/>
        <v>43</v>
      </c>
      <c r="BA525" s="298">
        <f>BA510*2</f>
        <v>0</v>
      </c>
      <c r="BB525" s="5">
        <f t="shared" si="1178"/>
        <v>-43</v>
      </c>
      <c r="BC525" s="256"/>
      <c r="BD525" s="303">
        <f>BD510*2</f>
        <v>0</v>
      </c>
      <c r="BE525" s="35">
        <f t="shared" si="1163"/>
        <v>43</v>
      </c>
      <c r="BF525" s="121"/>
      <c r="BG525" s="6"/>
      <c r="BH525" s="35"/>
      <c r="BI525" s="612"/>
      <c r="BJ525" s="121"/>
      <c r="BK525" s="6"/>
      <c r="BL525" s="35"/>
      <c r="BM525" s="612"/>
      <c r="BN525" s="21"/>
      <c r="BO525" s="6"/>
      <c r="BP525" s="35"/>
      <c r="BQ525" s="234"/>
      <c r="BR525" s="234"/>
      <c r="BS525" s="395"/>
      <c r="BT525" s="29">
        <f t="shared" si="1174"/>
        <v>43</v>
      </c>
      <c r="BU525" s="298">
        <f>BU510*2</f>
        <v>0</v>
      </c>
      <c r="BV525" s="5">
        <f t="shared" si="1179"/>
        <v>-43</v>
      </c>
      <c r="BW525" s="256"/>
      <c r="BX525" s="303">
        <f>BX510*2</f>
        <v>0</v>
      </c>
      <c r="BY525" s="35">
        <f t="shared" si="1165"/>
        <v>43</v>
      </c>
      <c r="BZ525" s="121"/>
      <c r="CA525" s="6"/>
      <c r="CB525" s="35"/>
      <c r="CC525" s="612"/>
      <c r="CD525" s="121"/>
      <c r="CE525" s="6"/>
      <c r="CF525" s="35"/>
      <c r="CG525" s="612"/>
      <c r="CH525" s="21"/>
      <c r="CI525" s="6"/>
      <c r="CJ525" s="35"/>
      <c r="CK525" s="234"/>
      <c r="CL525" s="234"/>
      <c r="CM525" s="395"/>
      <c r="CN525" s="29">
        <f t="shared" si="1175"/>
        <v>43</v>
      </c>
      <c r="CO525" s="298">
        <f>CO510*2</f>
        <v>0</v>
      </c>
      <c r="CP525" s="5">
        <f t="shared" si="1180"/>
        <v>-43</v>
      </c>
      <c r="CQ525" s="240"/>
      <c r="CR525" s="303">
        <f>CR510*2</f>
        <v>0</v>
      </c>
      <c r="CS525" s="35">
        <f t="shared" si="1167"/>
        <v>43</v>
      </c>
      <c r="CT525" s="121"/>
      <c r="CU525" s="6"/>
      <c r="CV525" s="35"/>
      <c r="CW525" s="612"/>
      <c r="CX525" s="121"/>
      <c r="CY525" s="6"/>
      <c r="CZ525" s="35"/>
      <c r="DA525" s="612"/>
      <c r="DB525" s="21"/>
      <c r="DC525" s="6"/>
      <c r="DD525" s="35"/>
      <c r="DE525" s="234"/>
      <c r="DF525" s="234"/>
      <c r="DG525" s="395"/>
      <c r="DH525" s="32">
        <f t="shared" si="1156"/>
        <v>43</v>
      </c>
      <c r="DI525" s="298">
        <f>DI510*2</f>
        <v>0</v>
      </c>
      <c r="DJ525" s="5">
        <f t="shared" si="1181"/>
        <v>-43</v>
      </c>
      <c r="DK525" s="240"/>
      <c r="DL525" s="303">
        <f>DL510*2</f>
        <v>0</v>
      </c>
      <c r="DM525" s="35">
        <f t="shared" si="1169"/>
        <v>43</v>
      </c>
    </row>
    <row r="526" spans="1:117" ht="15.75" thickBot="1" x14ac:dyDescent="0.3">
      <c r="A526" s="19"/>
      <c r="B526" s="12"/>
      <c r="C526" s="19"/>
      <c r="D526" s="60"/>
      <c r="E526" s="60"/>
      <c r="F526" s="146"/>
      <c r="G526" s="12"/>
      <c r="H526" s="28"/>
      <c r="I526" s="28"/>
      <c r="J526" s="28"/>
      <c r="K526" s="28"/>
      <c r="L526" s="30"/>
      <c r="M526" s="31"/>
      <c r="N526" s="31"/>
      <c r="O526" s="241"/>
      <c r="P526" s="241"/>
      <c r="Q526" s="36"/>
      <c r="R526" s="200"/>
      <c r="S526" s="201"/>
      <c r="T526" s="36"/>
      <c r="U526" s="220"/>
      <c r="V526" s="200"/>
      <c r="W526" s="201"/>
      <c r="X526" s="36"/>
      <c r="Y526" s="220"/>
      <c r="Z526" s="122"/>
      <c r="AA526" s="201"/>
      <c r="AB526" s="36"/>
      <c r="AC526" s="220"/>
      <c r="AD526" s="220"/>
      <c r="AE526" s="28"/>
      <c r="AF526" s="30"/>
      <c r="AG526" s="31"/>
      <c r="AH526" s="31"/>
      <c r="AI526" s="241"/>
      <c r="AJ526" s="241"/>
      <c r="AK526" s="36"/>
      <c r="AL526" s="200"/>
      <c r="AM526" s="201"/>
      <c r="AN526" s="36"/>
      <c r="AO526" s="220"/>
      <c r="AP526" s="200"/>
      <c r="AQ526" s="201"/>
      <c r="AR526" s="36"/>
      <c r="AS526" s="220"/>
      <c r="AT526" s="122"/>
      <c r="AU526" s="201"/>
      <c r="AV526" s="36"/>
      <c r="AW526" s="220"/>
      <c r="AX526" s="220"/>
      <c r="AY526" s="28"/>
      <c r="AZ526" s="30"/>
      <c r="BA526" s="31"/>
      <c r="BB526" s="31"/>
      <c r="BC526" s="241"/>
      <c r="BD526" s="241"/>
      <c r="BE526" s="36"/>
      <c r="BF526" s="200"/>
      <c r="BG526" s="201"/>
      <c r="BH526" s="36"/>
      <c r="BI526" s="220"/>
      <c r="BJ526" s="200"/>
      <c r="BK526" s="201"/>
      <c r="BL526" s="36"/>
      <c r="BM526" s="220"/>
      <c r="BN526" s="122"/>
      <c r="BO526" s="201"/>
      <c r="BP526" s="36"/>
      <c r="BQ526" s="220"/>
      <c r="BR526" s="220"/>
      <c r="BS526" s="28"/>
      <c r="BT526" s="30"/>
      <c r="BU526" s="31"/>
      <c r="BV526" s="31"/>
      <c r="BW526" s="241"/>
      <c r="BX526" s="241"/>
      <c r="BY526" s="36"/>
      <c r="BZ526" s="200"/>
      <c r="CA526" s="201"/>
      <c r="CB526" s="36"/>
      <c r="CC526" s="220"/>
      <c r="CD526" s="200"/>
      <c r="CE526" s="201"/>
      <c r="CF526" s="36"/>
      <c r="CG526" s="220"/>
      <c r="CH526" s="122"/>
      <c r="CI526" s="201"/>
      <c r="CJ526" s="36"/>
      <c r="CK526" s="220"/>
      <c r="CL526" s="220"/>
      <c r="CM526" s="28"/>
      <c r="CN526" s="30"/>
      <c r="CO526" s="31"/>
      <c r="CP526" s="31"/>
      <c r="CQ526" s="241"/>
      <c r="CR526" s="241"/>
      <c r="CS526" s="36"/>
      <c r="CT526" s="200"/>
      <c r="CU526" s="201"/>
      <c r="CV526" s="36"/>
      <c r="CW526" s="220"/>
      <c r="CX526" s="200"/>
      <c r="CY526" s="201"/>
      <c r="CZ526" s="36"/>
      <c r="DA526" s="220"/>
      <c r="DB526" s="122"/>
      <c r="DC526" s="201"/>
      <c r="DD526" s="36"/>
      <c r="DE526" s="220"/>
      <c r="DF526" s="220"/>
      <c r="DG526" s="28"/>
      <c r="DH526" s="30"/>
      <c r="DI526" s="31"/>
      <c r="DJ526" s="31"/>
      <c r="DK526" s="241"/>
      <c r="DL526" s="241"/>
      <c r="DM526" s="36"/>
    </row>
    <row r="527" spans="1:117" ht="15.75" thickBot="1" x14ac:dyDescent="0.3">
      <c r="P527" s="248"/>
      <c r="AJ527" s="248"/>
      <c r="BD527" s="248"/>
      <c r="BX527" s="248"/>
      <c r="CR527" s="248"/>
      <c r="DL527" s="248"/>
    </row>
    <row r="528" spans="1:117" ht="30" x14ac:dyDescent="0.25">
      <c r="A528" s="84"/>
      <c r="B528" s="89" t="s">
        <v>83</v>
      </c>
      <c r="C528" s="84"/>
      <c r="D528" s="90" t="s">
        <v>75</v>
      </c>
      <c r="E528" s="90"/>
      <c r="F528" s="339"/>
      <c r="G528" s="83"/>
      <c r="H528" s="85"/>
      <c r="I528" s="85"/>
      <c r="J528" s="85">
        <f>SUM(M528,AG528,BA528,BU528)</f>
        <v>0</v>
      </c>
      <c r="K528" s="84">
        <f>SUM(M528,AG528,BA528)</f>
        <v>0</v>
      </c>
      <c r="L528" s="86"/>
      <c r="M528" s="87"/>
      <c r="N528" s="87"/>
      <c r="O528" s="87"/>
      <c r="P528" s="252"/>
      <c r="Q528" s="223"/>
      <c r="R528" s="135">
        <f>SUM(R529)</f>
        <v>0</v>
      </c>
      <c r="S528" s="136">
        <f>SUM(S529)</f>
        <v>0</v>
      </c>
      <c r="T528" s="88"/>
      <c r="U528" s="223"/>
      <c r="V528" s="135">
        <f>SUM(V529)</f>
        <v>0</v>
      </c>
      <c r="W528" s="136">
        <f>SUM(W529)</f>
        <v>0</v>
      </c>
      <c r="X528" s="88"/>
      <c r="Y528" s="223"/>
      <c r="Z528" s="135">
        <f>SUM(Z529)</f>
        <v>0</v>
      </c>
      <c r="AA528" s="136">
        <f>SUM(AA529)</f>
        <v>0</v>
      </c>
      <c r="AB528" s="88"/>
      <c r="AC528" s="238"/>
      <c r="AD528" s="238"/>
      <c r="AE528" s="84">
        <f>SUM(AG528,BA528,BU528)</f>
        <v>0</v>
      </c>
      <c r="AF528" s="86"/>
      <c r="AG528" s="87"/>
      <c r="AH528" s="87"/>
      <c r="AI528" s="87"/>
      <c r="AJ528" s="252"/>
      <c r="AK528" s="223"/>
      <c r="AL528" s="135">
        <f>SUM(AL529)</f>
        <v>0</v>
      </c>
      <c r="AM528" s="136">
        <f>SUM(AM529)</f>
        <v>0</v>
      </c>
      <c r="AN528" s="88"/>
      <c r="AO528" s="223"/>
      <c r="AP528" s="135">
        <f>SUM(AP529)</f>
        <v>0</v>
      </c>
      <c r="AQ528" s="136">
        <f>SUM(AQ529)</f>
        <v>0</v>
      </c>
      <c r="AR528" s="88"/>
      <c r="AS528" s="223"/>
      <c r="AT528" s="135">
        <f>SUM(AT529)</f>
        <v>0</v>
      </c>
      <c r="AU528" s="136">
        <f>SUM(AU529)</f>
        <v>0</v>
      </c>
      <c r="AV528" s="88"/>
      <c r="AW528" s="238"/>
      <c r="AX528" s="238"/>
      <c r="AY528" s="84">
        <f>SUM(BA528,BU528)</f>
        <v>0</v>
      </c>
      <c r="AZ528" s="86"/>
      <c r="BA528" s="87"/>
      <c r="BB528" s="87"/>
      <c r="BC528" s="87"/>
      <c r="BD528" s="252"/>
      <c r="BE528" s="223"/>
      <c r="BF528" s="135">
        <f>SUM(BF529)</f>
        <v>0</v>
      </c>
      <c r="BG528" s="136">
        <f>SUM(BG529)</f>
        <v>0</v>
      </c>
      <c r="BH528" s="88"/>
      <c r="BI528" s="223"/>
      <c r="BJ528" s="135">
        <f>SUM(BJ529)</f>
        <v>0</v>
      </c>
      <c r="BK528" s="136">
        <f>SUM(BK529)</f>
        <v>0</v>
      </c>
      <c r="BL528" s="88"/>
      <c r="BM528" s="223"/>
      <c r="BN528" s="135">
        <f>SUM(BN529)</f>
        <v>0</v>
      </c>
      <c r="BO528" s="136">
        <f>SUM(BO529)</f>
        <v>0</v>
      </c>
      <c r="BP528" s="88"/>
      <c r="BQ528" s="238"/>
      <c r="BR528" s="238"/>
      <c r="BS528" s="84">
        <f>BU528</f>
        <v>0</v>
      </c>
      <c r="BT528" s="86"/>
      <c r="BU528" s="87"/>
      <c r="BV528" s="87"/>
      <c r="BW528" s="87"/>
      <c r="BX528" s="252"/>
      <c r="BY528" s="223"/>
      <c r="BZ528" s="135">
        <f>SUM(BZ529)</f>
        <v>0</v>
      </c>
      <c r="CA528" s="136">
        <f>SUM(CA529)</f>
        <v>0</v>
      </c>
      <c r="CB528" s="88"/>
      <c r="CC528" s="223"/>
      <c r="CD528" s="135">
        <f>SUM(CD529)</f>
        <v>0</v>
      </c>
      <c r="CE528" s="136">
        <f>SUM(CE529)</f>
        <v>0</v>
      </c>
      <c r="CF528" s="88"/>
      <c r="CG528" s="223"/>
      <c r="CH528" s="135">
        <f>SUM(CH529)</f>
        <v>0</v>
      </c>
      <c r="CI528" s="136">
        <f>SUM(CI529)</f>
        <v>0</v>
      </c>
      <c r="CJ528" s="88"/>
      <c r="CK528" s="238"/>
      <c r="CL528" s="238"/>
      <c r="CM528" s="84">
        <f>CO528</f>
        <v>0</v>
      </c>
      <c r="CN528" s="86"/>
      <c r="CO528" s="87"/>
      <c r="CP528" s="87"/>
      <c r="CQ528" s="87"/>
      <c r="CR528" s="252"/>
      <c r="CS528" s="238"/>
      <c r="CT528" s="135">
        <f>SUM(CT529)</f>
        <v>0</v>
      </c>
      <c r="CU528" s="136">
        <f>SUM(CU529)</f>
        <v>0</v>
      </c>
      <c r="CV528" s="88"/>
      <c r="CW528" s="223"/>
      <c r="CX528" s="135">
        <f>SUM(CX529)</f>
        <v>0</v>
      </c>
      <c r="CY528" s="136">
        <f>SUM(CY529)</f>
        <v>0</v>
      </c>
      <c r="CZ528" s="88"/>
      <c r="DA528" s="223"/>
      <c r="DB528" s="135">
        <f>SUM(DB529)</f>
        <v>0</v>
      </c>
      <c r="DC528" s="136">
        <f>SUM(DC529)</f>
        <v>0</v>
      </c>
      <c r="DD528" s="88"/>
      <c r="DE528" s="238"/>
      <c r="DF528" s="238"/>
      <c r="DG528" s="84">
        <f>DI528</f>
        <v>0</v>
      </c>
      <c r="DH528" s="86"/>
      <c r="DI528" s="87"/>
      <c r="DJ528" s="87"/>
      <c r="DK528" s="87"/>
      <c r="DL528" s="252"/>
      <c r="DM528" s="238"/>
    </row>
    <row r="529" spans="1:117" ht="15.75" thickBot="1" x14ac:dyDescent="0.3">
      <c r="A529" s="19">
        <v>2299</v>
      </c>
      <c r="B529" s="12" t="s">
        <v>84</v>
      </c>
      <c r="C529" s="19"/>
      <c r="D529" s="12" t="s">
        <v>97</v>
      </c>
      <c r="E529" s="12"/>
      <c r="F529" s="146">
        <v>4200</v>
      </c>
      <c r="G529" s="67" t="s">
        <v>331</v>
      </c>
      <c r="H529" s="28" t="s">
        <v>11</v>
      </c>
      <c r="I529" s="28"/>
      <c r="J529" s="28"/>
      <c r="K529" s="28"/>
      <c r="L529" s="30">
        <v>0</v>
      </c>
      <c r="M529" s="31">
        <v>0</v>
      </c>
      <c r="N529" s="31">
        <f>M529-L529</f>
        <v>0</v>
      </c>
      <c r="O529" s="31"/>
      <c r="P529" s="241"/>
      <c r="Q529" s="36">
        <f>L529+O529-P529</f>
        <v>0</v>
      </c>
      <c r="R529" s="200"/>
      <c r="S529" s="201"/>
      <c r="T529" s="36"/>
      <c r="U529" s="220"/>
      <c r="V529" s="200"/>
      <c r="W529" s="201"/>
      <c r="X529" s="36"/>
      <c r="Y529" s="220"/>
      <c r="Z529" s="122"/>
      <c r="AA529" s="201"/>
      <c r="AB529" s="36"/>
      <c r="AC529" s="220"/>
      <c r="AD529" s="220"/>
      <c r="AE529" s="28"/>
      <c r="AF529" s="30">
        <f>Q529</f>
        <v>0</v>
      </c>
      <c r="AG529" s="31">
        <v>0</v>
      </c>
      <c r="AH529" s="31">
        <f>AG529-AF529</f>
        <v>0</v>
      </c>
      <c r="AI529" s="31"/>
      <c r="AJ529" s="241"/>
      <c r="AK529" s="36">
        <f>AF529+AI529-AJ529</f>
        <v>0</v>
      </c>
      <c r="AL529" s="200"/>
      <c r="AM529" s="201"/>
      <c r="AN529" s="36"/>
      <c r="AO529" s="220"/>
      <c r="AP529" s="200"/>
      <c r="AQ529" s="201"/>
      <c r="AR529" s="36"/>
      <c r="AS529" s="220"/>
      <c r="AT529" s="122"/>
      <c r="AU529" s="201"/>
      <c r="AV529" s="36"/>
      <c r="AW529" s="220"/>
      <c r="AX529" s="220"/>
      <c r="AY529" s="28"/>
      <c r="AZ529" s="30">
        <f>AK529</f>
        <v>0</v>
      </c>
      <c r="BA529" s="31">
        <v>0</v>
      </c>
      <c r="BB529" s="31">
        <f>BA529-AZ529</f>
        <v>0</v>
      </c>
      <c r="BC529" s="31"/>
      <c r="BD529" s="241"/>
      <c r="BE529" s="36">
        <f>AZ529+BC529-BD529</f>
        <v>0</v>
      </c>
      <c r="BF529" s="200"/>
      <c r="BG529" s="201"/>
      <c r="BH529" s="36"/>
      <c r="BI529" s="220"/>
      <c r="BJ529" s="200"/>
      <c r="BK529" s="201"/>
      <c r="BL529" s="36"/>
      <c r="BM529" s="220"/>
      <c r="BN529" s="122"/>
      <c r="BO529" s="201"/>
      <c r="BP529" s="36"/>
      <c r="BQ529" s="220"/>
      <c r="BR529" s="220"/>
      <c r="BS529" s="28"/>
      <c r="BT529" s="30">
        <f>BE529</f>
        <v>0</v>
      </c>
      <c r="BU529" s="31">
        <v>0</v>
      </c>
      <c r="BV529" s="31">
        <f>BU529-BT529</f>
        <v>0</v>
      </c>
      <c r="BW529" s="31"/>
      <c r="BX529" s="241"/>
      <c r="BY529" s="36">
        <f>BT529+BW529-BX529</f>
        <v>0</v>
      </c>
      <c r="BZ529" s="200"/>
      <c r="CA529" s="201"/>
      <c r="CB529" s="36"/>
      <c r="CC529" s="220"/>
      <c r="CD529" s="200"/>
      <c r="CE529" s="201"/>
      <c r="CF529" s="36"/>
      <c r="CG529" s="220"/>
      <c r="CH529" s="122"/>
      <c r="CI529" s="201"/>
      <c r="CJ529" s="36"/>
      <c r="CK529" s="220"/>
      <c r="CL529" s="220"/>
      <c r="CM529" s="28"/>
      <c r="CN529" s="30">
        <f>BY529</f>
        <v>0</v>
      </c>
      <c r="CO529" s="31">
        <v>0</v>
      </c>
      <c r="CP529" s="31">
        <f>CO529-CN529</f>
        <v>0</v>
      </c>
      <c r="CQ529" s="31"/>
      <c r="CR529" s="241"/>
      <c r="CS529" s="36">
        <f>CN529+CQ529-CR529</f>
        <v>0</v>
      </c>
      <c r="CT529" s="200"/>
      <c r="CU529" s="201"/>
      <c r="CV529" s="36"/>
      <c r="CW529" s="220"/>
      <c r="CX529" s="200"/>
      <c r="CY529" s="201"/>
      <c r="CZ529" s="36"/>
      <c r="DA529" s="220"/>
      <c r="DB529" s="122"/>
      <c r="DC529" s="201"/>
      <c r="DD529" s="36"/>
      <c r="DE529" s="220"/>
      <c r="DF529" s="220"/>
      <c r="DG529" s="28"/>
      <c r="DH529" s="30">
        <f>CS529</f>
        <v>0</v>
      </c>
      <c r="DI529" s="31">
        <v>0</v>
      </c>
      <c r="DJ529" s="31">
        <f>DI529-DH529</f>
        <v>0</v>
      </c>
      <c r="DK529" s="31"/>
      <c r="DL529" s="241"/>
      <c r="DM529" s="36">
        <f>DH529+DK529-DL529</f>
        <v>0</v>
      </c>
    </row>
    <row r="530" spans="1:117" ht="15.75" thickBot="1" x14ac:dyDescent="0.3">
      <c r="P530" s="248"/>
      <c r="AJ530" s="248"/>
      <c r="BD530" s="248"/>
      <c r="BX530" s="248"/>
      <c r="CR530" s="248"/>
      <c r="DL530" s="248"/>
    </row>
    <row r="531" spans="1:117" ht="15.75" thickBot="1" x14ac:dyDescent="0.3">
      <c r="A531" s="456"/>
      <c r="B531" s="457" t="s">
        <v>414</v>
      </c>
      <c r="C531" s="456"/>
      <c r="D531" s="458"/>
      <c r="E531" s="458"/>
      <c r="F531" s="562"/>
      <c r="G531" s="459"/>
      <c r="H531" s="454"/>
      <c r="I531" s="454"/>
      <c r="J531" s="456">
        <f>SUM(M531,AG531,BA531,BU531)</f>
        <v>4</v>
      </c>
      <c r="K531" s="456"/>
      <c r="L531" s="460"/>
      <c r="M531" s="461">
        <f>0+1-0</f>
        <v>1</v>
      </c>
      <c r="N531" s="461"/>
      <c r="O531" s="461"/>
      <c r="P531" s="462">
        <f>1</f>
        <v>1</v>
      </c>
      <c r="Q531" s="463"/>
      <c r="R531" s="464"/>
      <c r="S531" s="465"/>
      <c r="T531" s="463"/>
      <c r="U531" s="675"/>
      <c r="V531" s="464"/>
      <c r="W531" s="465"/>
      <c r="X531" s="463"/>
      <c r="Y531" s="675"/>
      <c r="Z531" s="464"/>
      <c r="AA531" s="465"/>
      <c r="AB531" s="463"/>
      <c r="AC531" s="455"/>
      <c r="AD531" s="455"/>
      <c r="AE531" s="456">
        <f>SUM(AG531,BA531,BU531)</f>
        <v>3</v>
      </c>
      <c r="AF531" s="460"/>
      <c r="AG531" s="461">
        <v>1</v>
      </c>
      <c r="AH531" s="461"/>
      <c r="AI531" s="461"/>
      <c r="AJ531" s="462"/>
      <c r="AK531" s="463"/>
      <c r="AL531" s="464"/>
      <c r="AM531" s="465"/>
      <c r="AN531" s="463"/>
      <c r="AO531" s="675"/>
      <c r="AP531" s="464"/>
      <c r="AQ531" s="465"/>
      <c r="AR531" s="463"/>
      <c r="AS531" s="675"/>
      <c r="AT531" s="464"/>
      <c r="AU531" s="465"/>
      <c r="AV531" s="463"/>
      <c r="AW531" s="455"/>
      <c r="AX531" s="455"/>
      <c r="AY531" s="456">
        <f>SUM(BA531,BU531)</f>
        <v>2</v>
      </c>
      <c r="AZ531" s="460"/>
      <c r="BA531" s="461">
        <f>1</f>
        <v>1</v>
      </c>
      <c r="BB531" s="461"/>
      <c r="BC531" s="461"/>
      <c r="BD531" s="462"/>
      <c r="BE531" s="463"/>
      <c r="BF531" s="464"/>
      <c r="BG531" s="465"/>
      <c r="BH531" s="463"/>
      <c r="BI531" s="675"/>
      <c r="BJ531" s="464"/>
      <c r="BK531" s="465"/>
      <c r="BL531" s="463"/>
      <c r="BM531" s="675"/>
      <c r="BN531" s="464"/>
      <c r="BO531" s="465"/>
      <c r="BP531" s="463"/>
      <c r="BQ531" s="455"/>
      <c r="BR531" s="455"/>
      <c r="BS531" s="456">
        <f>BU531</f>
        <v>1</v>
      </c>
      <c r="BT531" s="460"/>
      <c r="BU531" s="461">
        <v>1</v>
      </c>
      <c r="BV531" s="461"/>
      <c r="BW531" s="461"/>
      <c r="BX531" s="462"/>
      <c r="BY531" s="463"/>
      <c r="BZ531" s="464"/>
      <c r="CA531" s="465"/>
      <c r="CB531" s="463"/>
      <c r="CC531" s="675"/>
      <c r="CD531" s="464"/>
      <c r="CE531" s="465"/>
      <c r="CF531" s="463"/>
      <c r="CG531" s="675"/>
      <c r="CH531" s="464"/>
      <c r="CI531" s="465"/>
      <c r="CJ531" s="463"/>
      <c r="CK531" s="455"/>
      <c r="CL531" s="455"/>
      <c r="CM531" s="456">
        <f>CO531</f>
        <v>0</v>
      </c>
      <c r="CN531" s="460"/>
      <c r="CO531" s="462"/>
      <c r="CP531" s="461"/>
      <c r="CQ531" s="461"/>
      <c r="CR531" s="462"/>
      <c r="CS531" s="463"/>
      <c r="CT531" s="464"/>
      <c r="CU531" s="465"/>
      <c r="CV531" s="463"/>
      <c r="CW531" s="675"/>
      <c r="CX531" s="464"/>
      <c r="CY531" s="465"/>
      <c r="CZ531" s="463"/>
      <c r="DA531" s="675"/>
      <c r="DB531" s="464"/>
      <c r="DC531" s="465"/>
      <c r="DD531" s="463"/>
      <c r="DE531" s="455"/>
      <c r="DF531" s="455"/>
      <c r="DG531" s="456">
        <f>DI531</f>
        <v>0</v>
      </c>
      <c r="DH531" s="460"/>
      <c r="DI531" s="462"/>
      <c r="DJ531" s="461"/>
      <c r="DK531" s="461"/>
      <c r="DL531" s="462"/>
      <c r="DM531" s="463"/>
    </row>
    <row r="532" spans="1:117" ht="75" x14ac:dyDescent="0.25">
      <c r="A532" s="84"/>
      <c r="B532" s="89" t="s">
        <v>404</v>
      </c>
      <c r="C532" s="84">
        <v>1</v>
      </c>
      <c r="D532" s="90" t="s">
        <v>719</v>
      </c>
      <c r="E532" s="90"/>
      <c r="F532" s="339"/>
      <c r="G532" s="83"/>
      <c r="H532" s="85"/>
      <c r="I532" s="85"/>
      <c r="J532" s="84">
        <f>SUM(M532,AG532,BA532,BU532)</f>
        <v>25</v>
      </c>
      <c r="K532" s="84"/>
      <c r="L532" s="86"/>
      <c r="M532" s="306">
        <f>(M266+M274+M275+M441)+2-(M266+M274+M275+M441)</f>
        <v>2</v>
      </c>
      <c r="N532" s="87"/>
      <c r="O532" s="87"/>
      <c r="P532" s="252">
        <f>1+1</f>
        <v>2</v>
      </c>
      <c r="Q532" s="88"/>
      <c r="R532" s="135">
        <f>SUM(R533:R543)</f>
        <v>0</v>
      </c>
      <c r="S532" s="136">
        <f>SUM(S533:S543)</f>
        <v>0</v>
      </c>
      <c r="T532" s="88"/>
      <c r="U532" s="223"/>
      <c r="V532" s="135">
        <f>SUM(V533:V543)</f>
        <v>0</v>
      </c>
      <c r="W532" s="136">
        <f>SUM(W533:W543)</f>
        <v>0</v>
      </c>
      <c r="X532" s="88"/>
      <c r="Y532" s="223"/>
      <c r="Z532" s="135">
        <f>SUM(Z533:Z543)</f>
        <v>0</v>
      </c>
      <c r="AA532" s="136">
        <f>SUM(AA533:AA543)</f>
        <v>0</v>
      </c>
      <c r="AB532" s="88"/>
      <c r="AC532" s="238"/>
      <c r="AD532" s="238"/>
      <c r="AE532" s="84">
        <f>SUM(AG532,BA532,BU532)</f>
        <v>23</v>
      </c>
      <c r="AF532" s="86"/>
      <c r="AG532" s="306">
        <f>AG266+AG274+AG275+AG441</f>
        <v>1</v>
      </c>
      <c r="AH532" s="87"/>
      <c r="AI532" s="87"/>
      <c r="AJ532" s="252">
        <f>1+1+1+1+1+1</f>
        <v>6</v>
      </c>
      <c r="AK532" s="88"/>
      <c r="AL532" s="135">
        <f>SUM(AL533:AL543)</f>
        <v>0</v>
      </c>
      <c r="AM532" s="136">
        <f>SUM(AM533:AM543)</f>
        <v>0</v>
      </c>
      <c r="AN532" s="88"/>
      <c r="AO532" s="223"/>
      <c r="AP532" s="135">
        <f>SUM(AP533:AP543)</f>
        <v>0</v>
      </c>
      <c r="AQ532" s="136">
        <f>SUM(AQ533:AQ543)</f>
        <v>0</v>
      </c>
      <c r="AR532" s="88"/>
      <c r="AS532" s="223"/>
      <c r="AT532" s="135">
        <f>SUM(AT533:AT543)</f>
        <v>0</v>
      </c>
      <c r="AU532" s="136">
        <f>SUM(AU533:AU543)</f>
        <v>0</v>
      </c>
      <c r="AV532" s="88"/>
      <c r="AW532" s="238"/>
      <c r="AX532" s="238"/>
      <c r="AY532" s="84">
        <f>SUM(BA532,BU532)</f>
        <v>22</v>
      </c>
      <c r="AZ532" s="86"/>
      <c r="BA532" s="306">
        <f>BA266+BA274+BA275+BA441</f>
        <v>9</v>
      </c>
      <c r="BB532" s="87"/>
      <c r="BC532" s="87"/>
      <c r="BD532" s="252">
        <f>1+1+1+1+1+1+1+1+1</f>
        <v>9</v>
      </c>
      <c r="BE532" s="88"/>
      <c r="BF532" s="135">
        <f>SUM(BF533:BF543)</f>
        <v>0</v>
      </c>
      <c r="BG532" s="136">
        <f>SUM(BG533:BG543)</f>
        <v>0</v>
      </c>
      <c r="BH532" s="88"/>
      <c r="BI532" s="223"/>
      <c r="BJ532" s="135">
        <f>SUM(BJ533:BJ543)</f>
        <v>0</v>
      </c>
      <c r="BK532" s="136">
        <f>SUM(BK533:BK543)</f>
        <v>0</v>
      </c>
      <c r="BL532" s="88"/>
      <c r="BM532" s="223"/>
      <c r="BN532" s="135">
        <f>SUM(BN533:BN543)</f>
        <v>0</v>
      </c>
      <c r="BO532" s="136">
        <f>SUM(BO533:BO543)</f>
        <v>0</v>
      </c>
      <c r="BP532" s="88"/>
      <c r="BQ532" s="238"/>
      <c r="BR532" s="238"/>
      <c r="BS532" s="84">
        <f>BU532</f>
        <v>13</v>
      </c>
      <c r="BT532" s="86"/>
      <c r="BU532" s="306">
        <f>BU266+BU274+BU275+BU441</f>
        <v>13</v>
      </c>
      <c r="BV532" s="87"/>
      <c r="BW532" s="87"/>
      <c r="BX532" s="252">
        <f>4+1+1+1+1+1+1</f>
        <v>10</v>
      </c>
      <c r="BY532" s="88"/>
      <c r="BZ532" s="135">
        <f>SUM(BZ533:BZ543)</f>
        <v>0</v>
      </c>
      <c r="CA532" s="136">
        <f>SUM(CA533:CA543)</f>
        <v>0</v>
      </c>
      <c r="CB532" s="88"/>
      <c r="CC532" s="223"/>
      <c r="CD532" s="135">
        <f>SUM(CD533:CD543)</f>
        <v>120000</v>
      </c>
      <c r="CE532" s="136">
        <f>SUM(CE533:CE543)</f>
        <v>10042.92</v>
      </c>
      <c r="CF532" s="88"/>
      <c r="CG532" s="223"/>
      <c r="CH532" s="135">
        <f>SUM(CH533:CH543)</f>
        <v>21900</v>
      </c>
      <c r="CI532" s="136">
        <f>SUM(CI533:CI543)</f>
        <v>0</v>
      </c>
      <c r="CJ532" s="88"/>
      <c r="CK532" s="238"/>
      <c r="CL532" s="238"/>
      <c r="CM532" s="84">
        <f>CO532</f>
        <v>0</v>
      </c>
      <c r="CN532" s="86"/>
      <c r="CO532" s="306">
        <f>CO266+CO274+CO275+CO441</f>
        <v>0</v>
      </c>
      <c r="CP532" s="87"/>
      <c r="CQ532" s="87"/>
      <c r="CR532" s="252"/>
      <c r="CS532" s="88"/>
      <c r="CT532" s="135">
        <f>SUM(CT533:CT543)</f>
        <v>0</v>
      </c>
      <c r="CU532" s="136">
        <f>SUM(CU533:CU543)</f>
        <v>21900</v>
      </c>
      <c r="CV532" s="88"/>
      <c r="CW532" s="223"/>
      <c r="CX532" s="135">
        <f>SUM(CX533:CX543)</f>
        <v>0</v>
      </c>
      <c r="CY532" s="136">
        <f>SUM(CY533:CY543)</f>
        <v>0</v>
      </c>
      <c r="CZ532" s="88"/>
      <c r="DA532" s="223"/>
      <c r="DB532" s="135">
        <f>SUM(DB533:DB543)</f>
        <v>0</v>
      </c>
      <c r="DC532" s="136">
        <f>SUM(DC533:DC543)</f>
        <v>120000</v>
      </c>
      <c r="DD532" s="88"/>
      <c r="DE532" s="238"/>
      <c r="DF532" s="238"/>
      <c r="DG532" s="84">
        <f>DI532</f>
        <v>0</v>
      </c>
      <c r="DH532" s="86"/>
      <c r="DI532" s="306">
        <f>DI266+DI274+DI275+DI441</f>
        <v>0</v>
      </c>
      <c r="DJ532" s="87"/>
      <c r="DK532" s="87"/>
      <c r="DL532" s="252"/>
      <c r="DM532" s="88"/>
    </row>
    <row r="533" spans="1:117" x14ac:dyDescent="0.25">
      <c r="A533" s="18"/>
      <c r="B533" s="15" t="s">
        <v>215</v>
      </c>
      <c r="C533" s="18">
        <v>1</v>
      </c>
      <c r="D533" s="15"/>
      <c r="E533" s="15"/>
      <c r="F533" s="149"/>
      <c r="G533" s="15" t="s">
        <v>198</v>
      </c>
      <c r="H533" s="25"/>
      <c r="I533" s="24"/>
      <c r="J533" s="534">
        <f t="shared" ref="J533:J542" si="1182">SUM(M533,AG533,BA533,BU533)-L533</f>
        <v>4</v>
      </c>
      <c r="K533" s="395">
        <f t="shared" ref="K533:K542" si="1183">M533-O533-L533</f>
        <v>-22</v>
      </c>
      <c r="L533" s="544">
        <v>25</v>
      </c>
      <c r="M533" s="344">
        <f>SUM(M531:M532)</f>
        <v>3</v>
      </c>
      <c r="N533" s="5">
        <f>M533-L533</f>
        <v>-22</v>
      </c>
      <c r="O533" s="256"/>
      <c r="P533" s="303">
        <f>SUM(P531:P532)</f>
        <v>3</v>
      </c>
      <c r="Q533" s="35">
        <f>L533+O533-P533</f>
        <v>22</v>
      </c>
      <c r="R533" s="121"/>
      <c r="S533" s="6"/>
      <c r="T533" s="35"/>
      <c r="U533" s="612"/>
      <c r="V533" s="121"/>
      <c r="W533" s="6"/>
      <c r="X533" s="35"/>
      <c r="Y533" s="612"/>
      <c r="Z533" s="21"/>
      <c r="AA533" s="6"/>
      <c r="AB533" s="35"/>
      <c r="AC533" s="231"/>
      <c r="AD533" s="231"/>
      <c r="AE533" s="398">
        <f t="shared" ref="AE533:AE542" si="1184">SUM(M533,AG533)-SUM(O533,AI533)-L533</f>
        <v>-20</v>
      </c>
      <c r="AF533" s="29">
        <f t="shared" ref="AF533:AF542" si="1185">Q533</f>
        <v>22</v>
      </c>
      <c r="AG533" s="344">
        <f>SUM(AG531:AG532)</f>
        <v>2</v>
      </c>
      <c r="AH533" s="5">
        <f>AG533-AF533</f>
        <v>-20</v>
      </c>
      <c r="AI533" s="256"/>
      <c r="AJ533" s="303">
        <f>SUM(AJ531:AJ532)</f>
        <v>6</v>
      </c>
      <c r="AK533" s="35">
        <f>AF533+AI533-AJ533</f>
        <v>16</v>
      </c>
      <c r="AL533" s="121"/>
      <c r="AM533" s="6"/>
      <c r="AN533" s="35"/>
      <c r="AO533" s="612"/>
      <c r="AP533" s="121"/>
      <c r="AQ533" s="6"/>
      <c r="AR533" s="35"/>
      <c r="AS533" s="612"/>
      <c r="AT533" s="21"/>
      <c r="AU533" s="6"/>
      <c r="AV533" s="35"/>
      <c r="AW533" s="234"/>
      <c r="AX533" s="234"/>
      <c r="AY533" s="395">
        <f t="shared" ref="AY533:AY542" si="1186">SUM(M533,AG533,BA533)-SUM(O533,AI533,BC533)-L533</f>
        <v>-10</v>
      </c>
      <c r="AZ533" s="29">
        <f>AK533</f>
        <v>16</v>
      </c>
      <c r="BA533" s="344">
        <f>SUM(BA531:BA532)</f>
        <v>10</v>
      </c>
      <c r="BB533" s="5">
        <f>BA533-AZ533</f>
        <v>-6</v>
      </c>
      <c r="BC533" s="242"/>
      <c r="BD533" s="303">
        <f>SUM(BD531:BD532)</f>
        <v>9</v>
      </c>
      <c r="BE533" s="35">
        <f>AZ533+BC533-BD533</f>
        <v>7</v>
      </c>
      <c r="BF533" s="121"/>
      <c r="BG533" s="6"/>
      <c r="BH533" s="35"/>
      <c r="BI533" s="612"/>
      <c r="BJ533" s="121"/>
      <c r="BK533" s="6"/>
      <c r="BL533" s="35"/>
      <c r="BM533" s="612"/>
      <c r="BN533" s="21"/>
      <c r="BO533" s="6"/>
      <c r="BP533" s="35"/>
      <c r="BQ533" s="234"/>
      <c r="BR533" s="234"/>
      <c r="BS533" s="395">
        <f t="shared" ref="BS533:BS542" si="1187">SUM(M533,AG533,BA533,BU533)-SUM(O533,AI533,BC533,BW533)-L533</f>
        <v>-21</v>
      </c>
      <c r="BT533" s="29">
        <f>BE533</f>
        <v>7</v>
      </c>
      <c r="BU533" s="344">
        <f>SUM(BU531:BU532)</f>
        <v>14</v>
      </c>
      <c r="BV533" s="5">
        <f>BU533-BT533</f>
        <v>7</v>
      </c>
      <c r="BW533" s="623">
        <v>25</v>
      </c>
      <c r="BX533" s="303">
        <f>SUM(BX531:BX532)</f>
        <v>10</v>
      </c>
      <c r="BY533" s="35">
        <f>BT533+BW533-BX533</f>
        <v>22</v>
      </c>
      <c r="BZ533" s="121"/>
      <c r="CA533" s="6"/>
      <c r="CB533" s="35"/>
      <c r="CC533" s="612"/>
      <c r="CD533" s="121"/>
      <c r="CE533" s="6"/>
      <c r="CF533" s="625" t="s">
        <v>908</v>
      </c>
      <c r="CG533" s="787"/>
      <c r="CH533" s="21"/>
      <c r="CI533" s="6"/>
      <c r="CJ533" s="35"/>
      <c r="CK533" s="234"/>
      <c r="CL533" s="234"/>
      <c r="CM533" s="395">
        <f t="shared" ref="CM533:CM542" si="1188">SUM(M533,AG533,BA533,BU533,CO533)-SUM(O533,AI533,BC533,BW533,CQ533)-L533</f>
        <v>-21</v>
      </c>
      <c r="CN533" s="29">
        <f>BY533</f>
        <v>22</v>
      </c>
      <c r="CO533" s="344">
        <f>SUM(CO531:CO532)</f>
        <v>0</v>
      </c>
      <c r="CP533" s="5">
        <f>CO533-CN533</f>
        <v>-22</v>
      </c>
      <c r="CQ533" s="256"/>
      <c r="CR533" s="303">
        <f>SUM(CR531:CR532)</f>
        <v>0</v>
      </c>
      <c r="CS533" s="35">
        <f>CN533+CQ533-CR533</f>
        <v>22</v>
      </c>
      <c r="CT533" s="121"/>
      <c r="CU533" s="6"/>
      <c r="CV533" s="35"/>
      <c r="CW533" s="612"/>
      <c r="CX533" s="121"/>
      <c r="CY533" s="6"/>
      <c r="CZ533" s="35"/>
      <c r="DA533" s="612"/>
      <c r="DB533" s="21"/>
      <c r="DC533" s="6"/>
      <c r="DD533" s="35"/>
      <c r="DE533" s="234"/>
      <c r="DF533" s="234"/>
      <c r="DG533" s="395">
        <f t="shared" ref="DG533:DG542" si="1189">SUM(M533,AG533,BA533,BU533,DI533)-SUM(O533,AI533,BC533,BW533,CQ533)-L533</f>
        <v>-21</v>
      </c>
      <c r="DH533" s="32">
        <f t="shared" ref="DH533:DH542" si="1190">BY533</f>
        <v>22</v>
      </c>
      <c r="DI533" s="344">
        <f>SUM(DI531:DI532)</f>
        <v>0</v>
      </c>
      <c r="DJ533" s="5">
        <f>DI533-DH533</f>
        <v>-22</v>
      </c>
      <c r="DK533" s="256"/>
      <c r="DL533" s="303">
        <f>SUM(DL531:DL532)</f>
        <v>0</v>
      </c>
      <c r="DM533" s="35">
        <f>DH533+DK533-DL533</f>
        <v>22</v>
      </c>
    </row>
    <row r="534" spans="1:117" ht="30" x14ac:dyDescent="0.25">
      <c r="A534" s="18"/>
      <c r="B534" s="15" t="s">
        <v>470</v>
      </c>
      <c r="C534" s="18">
        <v>1</v>
      </c>
      <c r="D534" s="15"/>
      <c r="E534" s="15"/>
      <c r="F534" s="149"/>
      <c r="G534" s="15" t="s">
        <v>198</v>
      </c>
      <c r="H534" s="25"/>
      <c r="I534" s="24"/>
      <c r="J534" s="534">
        <f t="shared" si="1182"/>
        <v>5</v>
      </c>
      <c r="K534" s="395">
        <f t="shared" si="1183"/>
        <v>-21</v>
      </c>
      <c r="L534" s="544">
        <v>24</v>
      </c>
      <c r="M534" s="344">
        <f>SUM(M531:M532)</f>
        <v>3</v>
      </c>
      <c r="N534" s="5">
        <f>M534-L534</f>
        <v>-21</v>
      </c>
      <c r="O534" s="240"/>
      <c r="P534" s="303">
        <f>SUM(P531:P532)</f>
        <v>3</v>
      </c>
      <c r="Q534" s="35">
        <f>L534+O534-P534</f>
        <v>21</v>
      </c>
      <c r="R534" s="121"/>
      <c r="S534" s="6"/>
      <c r="T534" s="35"/>
      <c r="U534" s="612"/>
      <c r="V534" s="121"/>
      <c r="W534" s="6"/>
      <c r="X534" s="35"/>
      <c r="Y534" s="612"/>
      <c r="Z534" s="21"/>
      <c r="AA534" s="6"/>
      <c r="AB534" s="35"/>
      <c r="AC534" s="231"/>
      <c r="AD534" s="231"/>
      <c r="AE534" s="398">
        <f t="shared" si="1184"/>
        <v>-19</v>
      </c>
      <c r="AF534" s="29">
        <f t="shared" si="1185"/>
        <v>21</v>
      </c>
      <c r="AG534" s="344">
        <f>SUM(AG531:AG532)</f>
        <v>2</v>
      </c>
      <c r="AH534" s="5">
        <f>AG534-AF534</f>
        <v>-19</v>
      </c>
      <c r="AI534" s="258"/>
      <c r="AJ534" s="303">
        <f>SUM(AJ531:AJ532)</f>
        <v>6</v>
      </c>
      <c r="AK534" s="35">
        <f>AF534+AI534-AJ534</f>
        <v>15</v>
      </c>
      <c r="AL534" s="121"/>
      <c r="AM534" s="6"/>
      <c r="AN534" s="35"/>
      <c r="AO534" s="612"/>
      <c r="AP534" s="121"/>
      <c r="AQ534" s="6"/>
      <c r="AR534" s="35"/>
      <c r="AS534" s="612"/>
      <c r="AT534" s="21"/>
      <c r="AU534" s="6"/>
      <c r="AV534" s="35"/>
      <c r="AW534" s="234"/>
      <c r="AX534" s="234"/>
      <c r="AY534" s="395">
        <f t="shared" si="1186"/>
        <v>-9</v>
      </c>
      <c r="AZ534" s="29">
        <f>AK534</f>
        <v>15</v>
      </c>
      <c r="BA534" s="344">
        <f>SUM(BA531:BA532)</f>
        <v>10</v>
      </c>
      <c r="BB534" s="5">
        <f>BA534-AZ534</f>
        <v>-5</v>
      </c>
      <c r="BC534" s="240"/>
      <c r="BD534" s="303">
        <f>SUM(BD531:BD532)</f>
        <v>9</v>
      </c>
      <c r="BE534" s="35">
        <f>AZ534+BC534-BD534</f>
        <v>6</v>
      </c>
      <c r="BF534" s="121"/>
      <c r="BG534" s="6"/>
      <c r="BH534" s="35"/>
      <c r="BI534" s="612"/>
      <c r="BJ534" s="121"/>
      <c r="BK534" s="6"/>
      <c r="BL534" s="35"/>
      <c r="BM534" s="612"/>
      <c r="BN534" s="21"/>
      <c r="BO534" s="6"/>
      <c r="BP534" s="35"/>
      <c r="BQ534" s="234"/>
      <c r="BR534" s="234"/>
      <c r="BS534" s="395">
        <f t="shared" si="1187"/>
        <v>-20</v>
      </c>
      <c r="BT534" s="29">
        <f>BE534</f>
        <v>6</v>
      </c>
      <c r="BU534" s="344">
        <f>SUM(BU531:BU532)</f>
        <v>14</v>
      </c>
      <c r="BV534" s="5">
        <f>BU534-BT534</f>
        <v>8</v>
      </c>
      <c r="BW534" s="621">
        <v>25</v>
      </c>
      <c r="BX534" s="303">
        <f>SUM(BX531:BX532)</f>
        <v>10</v>
      </c>
      <c r="BY534" s="35">
        <f>BT534+BW534-BX534</f>
        <v>21</v>
      </c>
      <c r="BZ534" s="121"/>
      <c r="CA534" s="6"/>
      <c r="CB534" s="35"/>
      <c r="CC534" s="612"/>
      <c r="CD534" s="121"/>
      <c r="CE534" s="6"/>
      <c r="CF534" s="625" t="s">
        <v>908</v>
      </c>
      <c r="CG534" s="787"/>
      <c r="CH534" s="21"/>
      <c r="CI534" s="6"/>
      <c r="CJ534" s="35"/>
      <c r="CK534" s="234"/>
      <c r="CL534" s="234"/>
      <c r="CM534" s="395">
        <f t="shared" si="1188"/>
        <v>-20</v>
      </c>
      <c r="CN534" s="29">
        <f>BY534</f>
        <v>21</v>
      </c>
      <c r="CO534" s="344">
        <f>SUM(CO531:CO532)</f>
        <v>0</v>
      </c>
      <c r="CP534" s="5">
        <f>CO534-CN534</f>
        <v>-21</v>
      </c>
      <c r="CQ534" s="256"/>
      <c r="CR534" s="303">
        <f>SUM(CR531:CR532)</f>
        <v>0</v>
      </c>
      <c r="CS534" s="35">
        <f>CN534+CQ534-CR534</f>
        <v>21</v>
      </c>
      <c r="CT534" s="121"/>
      <c r="CU534" s="6"/>
      <c r="CV534" s="35"/>
      <c r="CW534" s="612"/>
      <c r="CX534" s="121"/>
      <c r="CY534" s="6"/>
      <c r="CZ534" s="35"/>
      <c r="DA534" s="612"/>
      <c r="DB534" s="21"/>
      <c r="DC534" s="6"/>
      <c r="DD534" s="35"/>
      <c r="DE534" s="234"/>
      <c r="DF534" s="234"/>
      <c r="DG534" s="395">
        <f t="shared" si="1189"/>
        <v>-20</v>
      </c>
      <c r="DH534" s="32">
        <f t="shared" si="1190"/>
        <v>21</v>
      </c>
      <c r="DI534" s="344">
        <f>SUM(DI531:DI532)</f>
        <v>0</v>
      </c>
      <c r="DJ534" s="5">
        <f>DI534-DH534</f>
        <v>-21</v>
      </c>
      <c r="DK534" s="256"/>
      <c r="DL534" s="303">
        <f>SUM(DL531:DL532)</f>
        <v>0</v>
      </c>
      <c r="DM534" s="35">
        <f>DH534+DK534-DL534</f>
        <v>21</v>
      </c>
    </row>
    <row r="535" spans="1:117" x14ac:dyDescent="0.25">
      <c r="A535" s="18"/>
      <c r="B535" s="15" t="s">
        <v>408</v>
      </c>
      <c r="C535" s="18" t="s">
        <v>51</v>
      </c>
      <c r="D535" s="15" t="s">
        <v>180</v>
      </c>
      <c r="E535" s="15"/>
      <c r="F535" s="149">
        <v>878</v>
      </c>
      <c r="G535" s="80" t="s">
        <v>33</v>
      </c>
      <c r="H535" s="25"/>
      <c r="I535" s="24"/>
      <c r="J535" s="534">
        <f t="shared" si="1182"/>
        <v>4</v>
      </c>
      <c r="K535" s="395">
        <f t="shared" si="1183"/>
        <v>-22</v>
      </c>
      <c r="L535" s="544">
        <v>25</v>
      </c>
      <c r="M535" s="344">
        <f>SUM(M531:M532)</f>
        <v>3</v>
      </c>
      <c r="N535" s="5">
        <f>M535-L535</f>
        <v>-22</v>
      </c>
      <c r="O535" s="258"/>
      <c r="P535" s="303">
        <f>SUM(P531:P532)</f>
        <v>3</v>
      </c>
      <c r="Q535" s="35">
        <f>L535+O535-P535</f>
        <v>22</v>
      </c>
      <c r="R535" s="121"/>
      <c r="S535" s="6"/>
      <c r="T535" s="34"/>
      <c r="U535" s="713"/>
      <c r="V535" s="121"/>
      <c r="W535" s="6"/>
      <c r="X535" s="34"/>
      <c r="Y535" s="713"/>
      <c r="Z535" s="121"/>
      <c r="AA535" s="6"/>
      <c r="AB535" s="34"/>
      <c r="AC535" s="234"/>
      <c r="AD535" s="234"/>
      <c r="AE535" s="398">
        <f t="shared" si="1184"/>
        <v>-20</v>
      </c>
      <c r="AF535" s="29">
        <f t="shared" si="1185"/>
        <v>22</v>
      </c>
      <c r="AG535" s="344">
        <f>SUM(AG531:AG532)</f>
        <v>2</v>
      </c>
      <c r="AH535" s="5">
        <f>AG535-AF535</f>
        <v>-20</v>
      </c>
      <c r="AI535" s="256"/>
      <c r="AJ535" s="303">
        <f>SUM(AJ531:AJ532)</f>
        <v>6</v>
      </c>
      <c r="AK535" s="35">
        <f>AF535+AI535-AJ535</f>
        <v>16</v>
      </c>
      <c r="AL535" s="121"/>
      <c r="AM535" s="6"/>
      <c r="AN535" s="34"/>
      <c r="AO535" s="713"/>
      <c r="AP535" s="121"/>
      <c r="AQ535" s="6"/>
      <c r="AR535" s="35"/>
      <c r="AS535" s="612"/>
      <c r="AT535" s="121"/>
      <c r="AU535" s="6"/>
      <c r="AV535" s="35"/>
      <c r="AW535" s="234"/>
      <c r="AX535" s="234"/>
      <c r="AY535" s="395">
        <f t="shared" si="1186"/>
        <v>-10</v>
      </c>
      <c r="AZ535" s="29">
        <f>AK535</f>
        <v>16</v>
      </c>
      <c r="BA535" s="344">
        <f>SUM(BA531:BA532)</f>
        <v>10</v>
      </c>
      <c r="BB535" s="5">
        <f>BA535-AZ535</f>
        <v>-6</v>
      </c>
      <c r="BC535" s="242"/>
      <c r="BD535" s="303">
        <f>SUM(BD531:BD532)</f>
        <v>9</v>
      </c>
      <c r="BE535" s="35">
        <f>AZ535+BC535-BD535</f>
        <v>7</v>
      </c>
      <c r="BF535" s="121"/>
      <c r="BG535" s="6"/>
      <c r="BH535" s="35"/>
      <c r="BI535" s="612"/>
      <c r="BJ535" s="121"/>
      <c r="BK535" s="6"/>
      <c r="BL535" s="257"/>
      <c r="BM535" s="730"/>
      <c r="BN535" s="21"/>
      <c r="BO535" s="6"/>
      <c r="BP535" s="35"/>
      <c r="BQ535" s="234"/>
      <c r="BR535" s="234"/>
      <c r="BS535" s="395">
        <f t="shared" si="1187"/>
        <v>-21</v>
      </c>
      <c r="BT535" s="29">
        <f>BE535</f>
        <v>7</v>
      </c>
      <c r="BU535" s="344">
        <f>SUM(BU531:BU532)</f>
        <v>14</v>
      </c>
      <c r="BV535" s="5">
        <f>BU535-BT535</f>
        <v>7</v>
      </c>
      <c r="BW535" s="242">
        <v>25</v>
      </c>
      <c r="BX535" s="303">
        <f>SUM(BX531:BX532)</f>
        <v>10</v>
      </c>
      <c r="BY535" s="35">
        <f>BT535+BW535-BX535</f>
        <v>22</v>
      </c>
      <c r="BZ535" s="121"/>
      <c r="CA535" s="6"/>
      <c r="CB535" s="257"/>
      <c r="CC535" s="730"/>
      <c r="CD535" s="121"/>
      <c r="CE535" s="6"/>
      <c r="CF535" s="35"/>
      <c r="CG535" s="226"/>
      <c r="CH535" s="199">
        <v>10975</v>
      </c>
      <c r="CI535" s="199"/>
      <c r="CJ535" s="148" t="s">
        <v>825</v>
      </c>
      <c r="CK535" s="807"/>
      <c r="CL535" s="807"/>
      <c r="CM535" s="395">
        <f t="shared" si="1188"/>
        <v>-21</v>
      </c>
      <c r="CN535" s="29">
        <f t="shared" ref="CN535:CN542" si="1191">BY535</f>
        <v>22</v>
      </c>
      <c r="CO535" s="344">
        <f>SUM(CO531:CO532)</f>
        <v>0</v>
      </c>
      <c r="CP535" s="5">
        <f>CO535-CN535</f>
        <v>-22</v>
      </c>
      <c r="CQ535" s="256"/>
      <c r="CR535" s="303">
        <f>SUM(CR531:CR532)</f>
        <v>0</v>
      </c>
      <c r="CS535" s="35">
        <f>CN535+CQ535-CR535</f>
        <v>22</v>
      </c>
      <c r="CT535" s="121"/>
      <c r="CU535" s="199">
        <v>10975</v>
      </c>
      <c r="CV535" s="148" t="s">
        <v>986</v>
      </c>
      <c r="CW535" s="711"/>
      <c r="CX535" s="121"/>
      <c r="CY535" s="6"/>
      <c r="CZ535" s="35"/>
      <c r="DA535" s="612"/>
      <c r="DB535" s="121"/>
      <c r="DC535" s="6"/>
      <c r="DD535" s="35"/>
      <c r="DE535" s="234"/>
      <c r="DF535" s="234"/>
      <c r="DG535" s="395">
        <f t="shared" si="1189"/>
        <v>-21</v>
      </c>
      <c r="DH535" s="32">
        <f t="shared" si="1190"/>
        <v>22</v>
      </c>
      <c r="DI535" s="344">
        <f>SUM(DI531:DI532)</f>
        <v>0</v>
      </c>
      <c r="DJ535" s="5">
        <f>DI535-DH535</f>
        <v>-22</v>
      </c>
      <c r="DK535" s="256"/>
      <c r="DL535" s="303">
        <f>SUM(DL531:DL532)</f>
        <v>0</v>
      </c>
      <c r="DM535" s="35">
        <f>DH535+DK535-DL535</f>
        <v>22</v>
      </c>
    </row>
    <row r="536" spans="1:117" x14ac:dyDescent="0.25">
      <c r="A536" s="18"/>
      <c r="B536" s="80" t="s">
        <v>405</v>
      </c>
      <c r="C536" s="18">
        <v>1</v>
      </c>
      <c r="D536" s="345"/>
      <c r="E536" s="345"/>
      <c r="F536" s="149"/>
      <c r="G536" s="80" t="s">
        <v>33</v>
      </c>
      <c r="H536" s="25"/>
      <c r="I536" s="24"/>
      <c r="J536" s="534">
        <f t="shared" si="1182"/>
        <v>4</v>
      </c>
      <c r="K536" s="395">
        <f t="shared" si="1183"/>
        <v>-22</v>
      </c>
      <c r="L536" s="544">
        <v>25</v>
      </c>
      <c r="M536" s="344">
        <f>SUM(M531:M532)</f>
        <v>3</v>
      </c>
      <c r="N536" s="5">
        <f>M536-L536</f>
        <v>-22</v>
      </c>
      <c r="O536" s="258"/>
      <c r="P536" s="303">
        <f>SUM(P531:P532)</f>
        <v>3</v>
      </c>
      <c r="Q536" s="35">
        <f>L536+O536-P536</f>
        <v>22</v>
      </c>
      <c r="R536" s="121"/>
      <c r="S536" s="6"/>
      <c r="T536" s="35"/>
      <c r="U536" s="612"/>
      <c r="V536" s="121"/>
      <c r="W536" s="6"/>
      <c r="X536" s="35"/>
      <c r="Y536" s="612"/>
      <c r="Z536" s="21"/>
      <c r="AA536" s="6"/>
      <c r="AB536" s="35"/>
      <c r="AC536" s="231"/>
      <c r="AD536" s="231"/>
      <c r="AE536" s="398">
        <f t="shared" si="1184"/>
        <v>-20</v>
      </c>
      <c r="AF536" s="29">
        <f t="shared" si="1185"/>
        <v>22</v>
      </c>
      <c r="AG536" s="344">
        <f>SUM(AG531:AG532)</f>
        <v>2</v>
      </c>
      <c r="AH536" s="5">
        <f>AG536-AF536</f>
        <v>-20</v>
      </c>
      <c r="AI536" s="256"/>
      <c r="AJ536" s="303">
        <f>SUM(AJ531:AJ532)</f>
        <v>6</v>
      </c>
      <c r="AK536" s="35">
        <f>AF536+AI536-AJ536</f>
        <v>16</v>
      </c>
      <c r="AL536" s="121"/>
      <c r="AM536" s="6"/>
      <c r="AN536" s="35"/>
      <c r="AO536" s="612"/>
      <c r="AP536" s="121"/>
      <c r="AQ536" s="6"/>
      <c r="AR536" s="35"/>
      <c r="AS536" s="612"/>
      <c r="AT536" s="21"/>
      <c r="AU536" s="6"/>
      <c r="AV536" s="35"/>
      <c r="AW536" s="234"/>
      <c r="AX536" s="234"/>
      <c r="AY536" s="395">
        <f t="shared" si="1186"/>
        <v>-10</v>
      </c>
      <c r="AZ536" s="29">
        <f>AK536</f>
        <v>16</v>
      </c>
      <c r="BA536" s="344">
        <f>SUM(BA531:BA532)</f>
        <v>10</v>
      </c>
      <c r="BB536" s="5">
        <f>BA536-AZ536</f>
        <v>-6</v>
      </c>
      <c r="BC536" s="242"/>
      <c r="BD536" s="303">
        <f>SUM(BD531:BD532)</f>
        <v>9</v>
      </c>
      <c r="BE536" s="35">
        <f>AZ536+BC536-BD536</f>
        <v>7</v>
      </c>
      <c r="BF536" s="121"/>
      <c r="BG536" s="6"/>
      <c r="BH536" s="35"/>
      <c r="BI536" s="612"/>
      <c r="BJ536" s="121"/>
      <c r="BK536" s="6"/>
      <c r="BL536" s="35"/>
      <c r="BM536" s="612"/>
      <c r="BN536" s="21"/>
      <c r="BO536" s="6"/>
      <c r="BP536" s="35"/>
      <c r="BQ536" s="234"/>
      <c r="BR536" s="234"/>
      <c r="BS536" s="395">
        <f t="shared" si="1187"/>
        <v>-21</v>
      </c>
      <c r="BT536" s="29">
        <f>BE536</f>
        <v>7</v>
      </c>
      <c r="BU536" s="344">
        <f>SUM(BU531:BU532)</f>
        <v>14</v>
      </c>
      <c r="BV536" s="5">
        <f>BU536-BT536</f>
        <v>7</v>
      </c>
      <c r="BW536" s="242">
        <v>25</v>
      </c>
      <c r="BX536" s="303">
        <f>SUM(BX531:BX532)</f>
        <v>10</v>
      </c>
      <c r="BY536" s="35">
        <f>BT536+BW536-BX536</f>
        <v>22</v>
      </c>
      <c r="BZ536" s="121"/>
      <c r="CA536" s="6"/>
      <c r="CB536" s="35"/>
      <c r="CC536" s="612"/>
      <c r="CD536" s="121"/>
      <c r="CE536" s="6"/>
      <c r="CF536" s="35"/>
      <c r="CG536" s="226"/>
      <c r="CH536" s="199">
        <v>0</v>
      </c>
      <c r="CI536" s="199"/>
      <c r="CJ536" s="148" t="s">
        <v>825</v>
      </c>
      <c r="CK536" s="807"/>
      <c r="CL536" s="807"/>
      <c r="CM536" s="395">
        <f t="shared" si="1188"/>
        <v>-21</v>
      </c>
      <c r="CN536" s="29">
        <f t="shared" si="1191"/>
        <v>22</v>
      </c>
      <c r="CO536" s="344">
        <f>SUM(CO531:CO532)</f>
        <v>0</v>
      </c>
      <c r="CP536" s="5">
        <f>CO536-CN536</f>
        <v>-22</v>
      </c>
      <c r="CQ536" s="256"/>
      <c r="CR536" s="303">
        <f>SUM(CR531:CR532)</f>
        <v>0</v>
      </c>
      <c r="CS536" s="35">
        <f>CN536+CQ536-CR536</f>
        <v>22</v>
      </c>
      <c r="CT536" s="121"/>
      <c r="CU536" s="199">
        <v>0</v>
      </c>
      <c r="CV536" s="148"/>
      <c r="CW536" s="711"/>
      <c r="CX536" s="121"/>
      <c r="CY536" s="6"/>
      <c r="CZ536" s="35"/>
      <c r="DA536" s="612"/>
      <c r="DB536" s="21"/>
      <c r="DC536" s="6"/>
      <c r="DD536" s="35"/>
      <c r="DE536" s="234"/>
      <c r="DF536" s="234"/>
      <c r="DG536" s="395">
        <f t="shared" si="1189"/>
        <v>-21</v>
      </c>
      <c r="DH536" s="32">
        <f t="shared" si="1190"/>
        <v>22</v>
      </c>
      <c r="DI536" s="344">
        <f>SUM(DI531:DI532)</f>
        <v>0</v>
      </c>
      <c r="DJ536" s="5">
        <f>DI536-DH536</f>
        <v>-22</v>
      </c>
      <c r="DK536" s="256"/>
      <c r="DL536" s="303">
        <f>SUM(DL531:DL532)</f>
        <v>0</v>
      </c>
      <c r="DM536" s="35">
        <f>DH536+DK536-DL536</f>
        <v>22</v>
      </c>
    </row>
    <row r="537" spans="1:117" ht="45" x14ac:dyDescent="0.25">
      <c r="A537" s="18"/>
      <c r="B537" s="11" t="s">
        <v>406</v>
      </c>
      <c r="C537" s="18">
        <v>1</v>
      </c>
      <c r="D537" s="345" t="s">
        <v>925</v>
      </c>
      <c r="E537" s="345"/>
      <c r="F537" s="149">
        <v>374</v>
      </c>
      <c r="G537" s="80" t="s">
        <v>33</v>
      </c>
      <c r="H537" s="25"/>
      <c r="I537" s="24"/>
      <c r="J537" s="534">
        <f t="shared" si="1182"/>
        <v>4</v>
      </c>
      <c r="K537" s="395">
        <f t="shared" si="1183"/>
        <v>-22</v>
      </c>
      <c r="L537" s="544">
        <v>25</v>
      </c>
      <c r="M537" s="344">
        <f>SUM(M531:M532)</f>
        <v>3</v>
      </c>
      <c r="N537" s="5">
        <f t="shared" ref="N537:N541" si="1192">M537-L537</f>
        <v>-22</v>
      </c>
      <c r="O537" s="258"/>
      <c r="P537" s="303">
        <f>SUM(P531:P532)</f>
        <v>3</v>
      </c>
      <c r="Q537" s="35">
        <f t="shared" ref="Q537:Q542" si="1193">L537+O537-P537</f>
        <v>22</v>
      </c>
      <c r="R537" s="121"/>
      <c r="S537" s="6"/>
      <c r="T537" s="34"/>
      <c r="U537" s="713"/>
      <c r="V537" s="121"/>
      <c r="W537" s="6"/>
      <c r="X537" s="34"/>
      <c r="Y537" s="713"/>
      <c r="Z537" s="21"/>
      <c r="AA537" s="6"/>
      <c r="AB537" s="34"/>
      <c r="AC537" s="234"/>
      <c r="AD537" s="234"/>
      <c r="AE537" s="398">
        <f t="shared" si="1184"/>
        <v>-20</v>
      </c>
      <c r="AF537" s="29">
        <f t="shared" si="1185"/>
        <v>22</v>
      </c>
      <c r="AG537" s="344">
        <f>SUM(AG531:AG532)</f>
        <v>2</v>
      </c>
      <c r="AH537" s="5">
        <f t="shared" ref="AH537" si="1194">AG537-AF537</f>
        <v>-20</v>
      </c>
      <c r="AI537" s="256"/>
      <c r="AJ537" s="303">
        <f>SUM(AJ531:AJ532)</f>
        <v>6</v>
      </c>
      <c r="AK537" s="35">
        <f t="shared" ref="AK537" si="1195">AF537+AI537-AJ537</f>
        <v>16</v>
      </c>
      <c r="AL537" s="121"/>
      <c r="AM537" s="6"/>
      <c r="AN537" s="34"/>
      <c r="AO537" s="713"/>
      <c r="AP537" s="121"/>
      <c r="AQ537" s="6"/>
      <c r="AR537" s="35"/>
      <c r="AS537" s="612"/>
      <c r="AT537" s="21"/>
      <c r="AU537" s="6"/>
      <c r="AV537" s="35"/>
      <c r="AW537" s="234"/>
      <c r="AX537" s="234"/>
      <c r="AY537" s="395">
        <f t="shared" si="1186"/>
        <v>-10</v>
      </c>
      <c r="AZ537" s="29">
        <f t="shared" ref="AZ537" si="1196">AK537</f>
        <v>16</v>
      </c>
      <c r="BA537" s="344">
        <f>SUM(BA531:BA532)</f>
        <v>10</v>
      </c>
      <c r="BB537" s="5">
        <f t="shared" ref="BB537" si="1197">BA537-AZ537</f>
        <v>-6</v>
      </c>
      <c r="BC537" s="242"/>
      <c r="BD537" s="303">
        <f>SUM(BD531:BD532)</f>
        <v>9</v>
      </c>
      <c r="BE537" s="35">
        <f t="shared" ref="BE537" si="1198">AZ537+BC537-BD537</f>
        <v>7</v>
      </c>
      <c r="BF537" s="121"/>
      <c r="BG537" s="6"/>
      <c r="BH537" s="35"/>
      <c r="BI537" s="612"/>
      <c r="BJ537" s="121"/>
      <c r="BK537" s="6"/>
      <c r="BL537" s="257"/>
      <c r="BM537" s="730"/>
      <c r="BN537" s="21"/>
      <c r="BO537" s="6"/>
      <c r="BP537" s="35"/>
      <c r="BQ537" s="234"/>
      <c r="BR537" s="234"/>
      <c r="BS537" s="395">
        <f t="shared" si="1187"/>
        <v>-21</v>
      </c>
      <c r="BT537" s="29">
        <f t="shared" ref="BT537" si="1199">BE537</f>
        <v>7</v>
      </c>
      <c r="BU537" s="344">
        <f>SUM(BU531:BU532)</f>
        <v>14</v>
      </c>
      <c r="BV537" s="5">
        <f t="shared" ref="BV537" si="1200">BU537-BT537</f>
        <v>7</v>
      </c>
      <c r="BW537" s="242">
        <v>25</v>
      </c>
      <c r="BX537" s="303">
        <f>SUM(BX531:BX532)</f>
        <v>10</v>
      </c>
      <c r="BY537" s="35">
        <f t="shared" ref="BY537" si="1201">BT537+BW537-BX537</f>
        <v>22</v>
      </c>
      <c r="BZ537" s="121"/>
      <c r="CA537" s="6"/>
      <c r="CB537" s="257"/>
      <c r="CC537" s="730"/>
      <c r="CD537" s="121"/>
      <c r="CE537" s="6"/>
      <c r="CF537" s="35"/>
      <c r="CG537" s="226"/>
      <c r="CH537" s="199">
        <v>4675</v>
      </c>
      <c r="CI537" s="199"/>
      <c r="CJ537" s="148" t="s">
        <v>825</v>
      </c>
      <c r="CK537" s="807"/>
      <c r="CL537" s="807"/>
      <c r="CM537" s="395">
        <f t="shared" si="1188"/>
        <v>-21</v>
      </c>
      <c r="CN537" s="29">
        <f t="shared" si="1191"/>
        <v>22</v>
      </c>
      <c r="CO537" s="344">
        <f>SUM(CO531:CO532)</f>
        <v>0</v>
      </c>
      <c r="CP537" s="5">
        <f t="shared" ref="CP537" si="1202">CO537-CN537</f>
        <v>-22</v>
      </c>
      <c r="CQ537" s="256"/>
      <c r="CR537" s="303">
        <f>SUM(CR531:CR532)</f>
        <v>0</v>
      </c>
      <c r="CS537" s="35">
        <f t="shared" ref="CS537" si="1203">CN537+CQ537-CR537</f>
        <v>22</v>
      </c>
      <c r="CT537" s="121"/>
      <c r="CU537" s="199">
        <v>4675</v>
      </c>
      <c r="CV537" s="148"/>
      <c r="CW537" s="711"/>
      <c r="CX537" s="121"/>
      <c r="CY537" s="6"/>
      <c r="CZ537" s="35"/>
      <c r="DA537" s="612"/>
      <c r="DB537" s="21"/>
      <c r="DC537" s="6"/>
      <c r="DD537" s="35"/>
      <c r="DE537" s="234"/>
      <c r="DF537" s="234"/>
      <c r="DG537" s="395">
        <f t="shared" si="1189"/>
        <v>-21</v>
      </c>
      <c r="DH537" s="32">
        <f t="shared" si="1190"/>
        <v>22</v>
      </c>
      <c r="DI537" s="344">
        <f>SUM(DI531:DI532)</f>
        <v>0</v>
      </c>
      <c r="DJ537" s="5">
        <f t="shared" ref="DJ537" si="1204">DI537-DH537</f>
        <v>-22</v>
      </c>
      <c r="DK537" s="256"/>
      <c r="DL537" s="303">
        <f>SUM(DL531:DL532)</f>
        <v>0</v>
      </c>
      <c r="DM537" s="35">
        <f t="shared" ref="DM537" si="1205">DH537+DK537-DL537</f>
        <v>22</v>
      </c>
    </row>
    <row r="538" spans="1:117" x14ac:dyDescent="0.25">
      <c r="A538" s="17"/>
      <c r="B538" s="10" t="s">
        <v>407</v>
      </c>
      <c r="C538" s="17">
        <v>1</v>
      </c>
      <c r="D538" s="80"/>
      <c r="E538" s="80"/>
      <c r="F538" s="337">
        <v>500</v>
      </c>
      <c r="G538" s="80" t="s">
        <v>33</v>
      </c>
      <c r="H538" s="24"/>
      <c r="I538" s="24"/>
      <c r="J538" s="534">
        <f t="shared" si="1182"/>
        <v>2</v>
      </c>
      <c r="K538" s="395">
        <f t="shared" si="1183"/>
        <v>-24</v>
      </c>
      <c r="L538" s="544">
        <v>27</v>
      </c>
      <c r="M538" s="424">
        <f>SUM(M531:M532)</f>
        <v>3</v>
      </c>
      <c r="N538" s="7">
        <f>M538-L538</f>
        <v>-24</v>
      </c>
      <c r="O538" s="258"/>
      <c r="P538" s="304">
        <f>SUM(P531:P532)</f>
        <v>3</v>
      </c>
      <c r="Q538" s="34">
        <f>L538+O538-P538</f>
        <v>24</v>
      </c>
      <c r="R538" s="123"/>
      <c r="S538" s="8"/>
      <c r="T538" s="34"/>
      <c r="U538" s="713"/>
      <c r="V538" s="123"/>
      <c r="W538" s="8"/>
      <c r="X538" s="34"/>
      <c r="Y538" s="713"/>
      <c r="Z538" s="20"/>
      <c r="AA538" s="8"/>
      <c r="AB538" s="34"/>
      <c r="AC538" s="234"/>
      <c r="AD538" s="234"/>
      <c r="AE538" s="398">
        <f t="shared" si="1184"/>
        <v>-22</v>
      </c>
      <c r="AF538" s="29">
        <f t="shared" si="1185"/>
        <v>24</v>
      </c>
      <c r="AG538" s="424">
        <f>SUM(AG531:AG532)</f>
        <v>2</v>
      </c>
      <c r="AH538" s="7">
        <f>AG538-AF538</f>
        <v>-22</v>
      </c>
      <c r="AI538" s="258"/>
      <c r="AJ538" s="304">
        <f>SUM(AJ531:AJ532)</f>
        <v>6</v>
      </c>
      <c r="AK538" s="34">
        <f>AF538+AI538-AJ538</f>
        <v>18</v>
      </c>
      <c r="AL538" s="123"/>
      <c r="AM538" s="8"/>
      <c r="AN538" s="34"/>
      <c r="AO538" s="713"/>
      <c r="AP538" s="123"/>
      <c r="AQ538" s="8"/>
      <c r="AR538" s="34"/>
      <c r="AS538" s="713"/>
      <c r="AT538" s="20"/>
      <c r="AU538" s="8"/>
      <c r="AV538" s="34"/>
      <c r="AW538" s="234"/>
      <c r="AX538" s="234"/>
      <c r="AY538" s="395">
        <f t="shared" si="1186"/>
        <v>-12</v>
      </c>
      <c r="AZ538" s="29">
        <f>AK538</f>
        <v>18</v>
      </c>
      <c r="BA538" s="424">
        <f>SUM(BA531:BA532)</f>
        <v>10</v>
      </c>
      <c r="BB538" s="7">
        <f>BA538-AZ538</f>
        <v>-8</v>
      </c>
      <c r="BC538" s="242"/>
      <c r="BD538" s="304">
        <f>SUM(BD531:BD532)</f>
        <v>9</v>
      </c>
      <c r="BE538" s="34">
        <f>AZ538+BC538-BD538</f>
        <v>9</v>
      </c>
      <c r="BF538" s="121"/>
      <c r="BG538" s="6"/>
      <c r="BH538" s="35"/>
      <c r="BI538" s="612"/>
      <c r="BJ538" s="121"/>
      <c r="BK538" s="6"/>
      <c r="BL538" s="257"/>
      <c r="BM538" s="730"/>
      <c r="BN538" s="21"/>
      <c r="BO538" s="6"/>
      <c r="BP538" s="35"/>
      <c r="BQ538" s="234"/>
      <c r="BR538" s="234"/>
      <c r="BS538" s="395">
        <f t="shared" si="1187"/>
        <v>-23</v>
      </c>
      <c r="BT538" s="29">
        <f>BE538</f>
        <v>9</v>
      </c>
      <c r="BU538" s="424">
        <f>SUM(BU531:BU532)</f>
        <v>14</v>
      </c>
      <c r="BV538" s="7">
        <f>BU538-BT538</f>
        <v>5</v>
      </c>
      <c r="BW538" s="242">
        <v>25</v>
      </c>
      <c r="BX538" s="304">
        <f>SUM(BX531:BX532)</f>
        <v>10</v>
      </c>
      <c r="BY538" s="34">
        <f>BT538+BW538-BX538</f>
        <v>24</v>
      </c>
      <c r="BZ538" s="123"/>
      <c r="CA538" s="6"/>
      <c r="CB538" s="257"/>
      <c r="CC538" s="728"/>
      <c r="CD538" s="123"/>
      <c r="CE538" s="8"/>
      <c r="CF538" s="35"/>
      <c r="CG538" s="761"/>
      <c r="CH538" s="213">
        <v>6250</v>
      </c>
      <c r="CI538" s="213"/>
      <c r="CJ538" s="148" t="s">
        <v>825</v>
      </c>
      <c r="CK538" s="807"/>
      <c r="CL538" s="807"/>
      <c r="CM538" s="395">
        <f t="shared" si="1188"/>
        <v>-23</v>
      </c>
      <c r="CN538" s="29">
        <f t="shared" si="1191"/>
        <v>24</v>
      </c>
      <c r="CO538" s="424">
        <f>SUM(CO531:CO532)</f>
        <v>0</v>
      </c>
      <c r="CP538" s="7">
        <f>CO538-CN538</f>
        <v>-24</v>
      </c>
      <c r="CQ538" s="258"/>
      <c r="CR538" s="304">
        <f>SUM(CR531:CR532)</f>
        <v>0</v>
      </c>
      <c r="CS538" s="34">
        <f>CN538+CQ538-CR538</f>
        <v>24</v>
      </c>
      <c r="CT538" s="123"/>
      <c r="CU538" s="213">
        <v>6250</v>
      </c>
      <c r="CV538" s="212"/>
      <c r="CW538" s="797"/>
      <c r="CX538" s="123"/>
      <c r="CY538" s="8"/>
      <c r="CZ538" s="34"/>
      <c r="DA538" s="713"/>
      <c r="DB538" s="20"/>
      <c r="DC538" s="8"/>
      <c r="DD538" s="34"/>
      <c r="DE538" s="234"/>
      <c r="DF538" s="234"/>
      <c r="DG538" s="395">
        <f t="shared" si="1189"/>
        <v>-23</v>
      </c>
      <c r="DH538" s="32">
        <f t="shared" si="1190"/>
        <v>24</v>
      </c>
      <c r="DI538" s="424">
        <f>SUM(DI531:DI532)</f>
        <v>0</v>
      </c>
      <c r="DJ538" s="7">
        <f>DI538-DH538</f>
        <v>-24</v>
      </c>
      <c r="DK538" s="258"/>
      <c r="DL538" s="304">
        <f>SUM(DL531:DL532)</f>
        <v>0</v>
      </c>
      <c r="DM538" s="34">
        <f>DH538+DK538-DL538</f>
        <v>24</v>
      </c>
    </row>
    <row r="539" spans="1:117" x14ac:dyDescent="0.25">
      <c r="A539" s="18"/>
      <c r="B539" s="11" t="s">
        <v>562</v>
      </c>
      <c r="C539" s="18">
        <v>1</v>
      </c>
      <c r="D539" s="15"/>
      <c r="E539" s="15"/>
      <c r="F539" s="568">
        <v>9600</v>
      </c>
      <c r="G539" s="11" t="s">
        <v>211</v>
      </c>
      <c r="H539" s="25" t="s">
        <v>844</v>
      </c>
      <c r="I539" s="24"/>
      <c r="J539" s="534">
        <f t="shared" si="1182"/>
        <v>4</v>
      </c>
      <c r="K539" s="395">
        <f t="shared" si="1183"/>
        <v>-22</v>
      </c>
      <c r="L539" s="544">
        <v>25</v>
      </c>
      <c r="M539" s="344">
        <f>SUM(M531:M532)</f>
        <v>3</v>
      </c>
      <c r="N539" s="5">
        <f t="shared" si="1192"/>
        <v>-22</v>
      </c>
      <c r="O539" s="240"/>
      <c r="P539" s="303">
        <f>SUM(P531:P532)</f>
        <v>3</v>
      </c>
      <c r="Q539" s="35">
        <f t="shared" si="1193"/>
        <v>22</v>
      </c>
      <c r="R539" s="121"/>
      <c r="S539" s="6"/>
      <c r="T539" s="35"/>
      <c r="U539" s="612"/>
      <c r="V539" s="121"/>
      <c r="W539" s="6"/>
      <c r="X539" s="35"/>
      <c r="Y539" s="612"/>
      <c r="Z539" s="21"/>
      <c r="AA539" s="6"/>
      <c r="AB539" s="35"/>
      <c r="AC539" s="231"/>
      <c r="AD539" s="231"/>
      <c r="AE539" s="398">
        <f t="shared" si="1184"/>
        <v>-20</v>
      </c>
      <c r="AF539" s="29">
        <f t="shared" si="1185"/>
        <v>22</v>
      </c>
      <c r="AG539" s="344">
        <f>SUM(AG531:AG532)</f>
        <v>2</v>
      </c>
      <c r="AH539" s="5">
        <f t="shared" ref="AH539:AH542" si="1206">AG539-AF539</f>
        <v>-20</v>
      </c>
      <c r="AI539" s="256"/>
      <c r="AJ539" s="303">
        <f>SUM(AJ531:AJ532)</f>
        <v>6</v>
      </c>
      <c r="AK539" s="35">
        <f t="shared" ref="AK539:AK542" si="1207">AF539+AI539-AJ539</f>
        <v>16</v>
      </c>
      <c r="AL539" s="121"/>
      <c r="AM539" s="6"/>
      <c r="AN539" s="35"/>
      <c r="AO539" s="612"/>
      <c r="AP539" s="121"/>
      <c r="AQ539" s="6"/>
      <c r="AR539" s="35"/>
      <c r="AS539" s="612"/>
      <c r="AT539" s="21"/>
      <c r="AU539" s="6"/>
      <c r="AV539" s="35"/>
      <c r="AW539" s="234"/>
      <c r="AX539" s="234"/>
      <c r="AY539" s="395">
        <f t="shared" si="1186"/>
        <v>-10</v>
      </c>
      <c r="AZ539" s="29">
        <f>AK539</f>
        <v>16</v>
      </c>
      <c r="BA539" s="344">
        <f>SUM(BA531:BA532)</f>
        <v>10</v>
      </c>
      <c r="BB539" s="5">
        <f t="shared" ref="BB539:BB542" si="1208">BA539-AZ539</f>
        <v>-6</v>
      </c>
      <c r="BC539" s="242"/>
      <c r="BD539" s="303">
        <f>SUM(BD531:BD532)</f>
        <v>9</v>
      </c>
      <c r="BE539" s="35">
        <f t="shared" ref="BE539:BE542" si="1209">AZ539+BC539-BD539</f>
        <v>7</v>
      </c>
      <c r="BF539" s="21"/>
      <c r="BG539" s="6"/>
      <c r="BH539" s="35"/>
      <c r="BI539" s="612"/>
      <c r="BJ539" s="121"/>
      <c r="BK539" s="6"/>
      <c r="BL539" s="35"/>
      <c r="BM539" s="612"/>
      <c r="BN539" s="21"/>
      <c r="BO539" s="6"/>
      <c r="BP539" s="35"/>
      <c r="BQ539" s="234"/>
      <c r="BR539" s="234"/>
      <c r="BS539" s="395">
        <f t="shared" si="1187"/>
        <v>-21</v>
      </c>
      <c r="BT539" s="29">
        <f>BE539</f>
        <v>7</v>
      </c>
      <c r="BU539" s="344">
        <f>SUM(BU531:BU532)</f>
        <v>14</v>
      </c>
      <c r="BV539" s="5">
        <f t="shared" ref="BV539:BV542" si="1210">BU539-BT539</f>
        <v>7</v>
      </c>
      <c r="BW539" s="623">
        <v>25</v>
      </c>
      <c r="BX539" s="303">
        <f>SUM(BX531:BX532)</f>
        <v>10</v>
      </c>
      <c r="BY539" s="35">
        <f t="shared" ref="BY539:BY542" si="1211">BT539+BW539-BX539</f>
        <v>22</v>
      </c>
      <c r="BZ539" s="121"/>
      <c r="CA539" s="6"/>
      <c r="CB539" s="35"/>
      <c r="CC539" s="612"/>
      <c r="CD539" s="668">
        <f>F539*BW539/2</f>
        <v>120000</v>
      </c>
      <c r="CE539" s="663"/>
      <c r="CF539" s="664" t="s">
        <v>902</v>
      </c>
      <c r="CG539" s="773"/>
      <c r="CH539" s="21"/>
      <c r="CI539" s="6"/>
      <c r="CJ539" s="35"/>
      <c r="CK539" s="234"/>
      <c r="CL539" s="234"/>
      <c r="CM539" s="395">
        <f t="shared" si="1188"/>
        <v>-21</v>
      </c>
      <c r="CN539" s="29">
        <f t="shared" si="1191"/>
        <v>22</v>
      </c>
      <c r="CO539" s="344">
        <f>SUM(CO531:CO532)</f>
        <v>0</v>
      </c>
      <c r="CP539" s="5">
        <f t="shared" ref="CP539:CP542" si="1212">CO539-CN539</f>
        <v>-22</v>
      </c>
      <c r="CQ539" s="256"/>
      <c r="CR539" s="303">
        <f>SUM(CR531:CR532)</f>
        <v>0</v>
      </c>
      <c r="CS539" s="35">
        <f t="shared" ref="CS539:CS542" si="1213">CN539+CQ539-CR539</f>
        <v>22</v>
      </c>
      <c r="CT539" s="121"/>
      <c r="CU539" s="6"/>
      <c r="CV539" s="35"/>
      <c r="CW539" s="612"/>
      <c r="CX539" s="121"/>
      <c r="CY539" s="6"/>
      <c r="CZ539" s="35"/>
      <c r="DA539" s="612"/>
      <c r="DB539" s="21"/>
      <c r="DC539" s="121">
        <v>120000</v>
      </c>
      <c r="DD539" s="35" t="s">
        <v>906</v>
      </c>
      <c r="DE539" s="234"/>
      <c r="DF539" s="234"/>
      <c r="DG539" s="395">
        <f t="shared" si="1189"/>
        <v>-21</v>
      </c>
      <c r="DH539" s="32">
        <f t="shared" si="1190"/>
        <v>22</v>
      </c>
      <c r="DI539" s="344">
        <f>SUM(DI531:DI532)</f>
        <v>0</v>
      </c>
      <c r="DJ539" s="5">
        <f t="shared" ref="DJ539:DJ542" si="1214">DI539-DH539</f>
        <v>-22</v>
      </c>
      <c r="DK539" s="256"/>
      <c r="DL539" s="303">
        <f>SUM(DL531:DL532)</f>
        <v>0</v>
      </c>
      <c r="DM539" s="35">
        <f t="shared" ref="DM539:DM542" si="1215">DH539+DK539-DL539</f>
        <v>22</v>
      </c>
    </row>
    <row r="540" spans="1:117" x14ac:dyDescent="0.25">
      <c r="A540" s="18"/>
      <c r="B540" s="11" t="s">
        <v>563</v>
      </c>
      <c r="C540" s="18">
        <v>1</v>
      </c>
      <c r="D540" s="15"/>
      <c r="E540" s="15"/>
      <c r="F540" s="149"/>
      <c r="G540" s="11" t="s">
        <v>211</v>
      </c>
      <c r="H540" s="25"/>
      <c r="I540" s="24"/>
      <c r="J540" s="534">
        <f t="shared" si="1182"/>
        <v>4</v>
      </c>
      <c r="K540" s="395">
        <f t="shared" si="1183"/>
        <v>-22</v>
      </c>
      <c r="L540" s="544">
        <v>25</v>
      </c>
      <c r="M540" s="344">
        <f>SUM(M531:M532)</f>
        <v>3</v>
      </c>
      <c r="N540" s="5">
        <f t="shared" si="1192"/>
        <v>-22</v>
      </c>
      <c r="O540" s="240"/>
      <c r="P540" s="303">
        <f>SUM(P531:P532)</f>
        <v>3</v>
      </c>
      <c r="Q540" s="35">
        <f t="shared" si="1193"/>
        <v>22</v>
      </c>
      <c r="R540" s="121"/>
      <c r="S540" s="6"/>
      <c r="T540" s="35"/>
      <c r="U540" s="612"/>
      <c r="V540" s="121"/>
      <c r="W540" s="6"/>
      <c r="X540" s="35"/>
      <c r="Y540" s="612"/>
      <c r="Z540" s="21"/>
      <c r="AA540" s="6"/>
      <c r="AB540" s="35"/>
      <c r="AC540" s="231"/>
      <c r="AD540" s="231"/>
      <c r="AE540" s="398">
        <f t="shared" si="1184"/>
        <v>-20</v>
      </c>
      <c r="AF540" s="29">
        <f t="shared" si="1185"/>
        <v>22</v>
      </c>
      <c r="AG540" s="344">
        <f>SUM(AG531:AG532)</f>
        <v>2</v>
      </c>
      <c r="AH540" s="5">
        <f t="shared" si="1206"/>
        <v>-20</v>
      </c>
      <c r="AI540" s="256"/>
      <c r="AJ540" s="303">
        <f>SUM(AJ531:AJ532)</f>
        <v>6</v>
      </c>
      <c r="AK540" s="35">
        <f t="shared" si="1207"/>
        <v>16</v>
      </c>
      <c r="AL540" s="121"/>
      <c r="AM540" s="6"/>
      <c r="AN540" s="35"/>
      <c r="AO540" s="612"/>
      <c r="AP540" s="121"/>
      <c r="AQ540" s="6"/>
      <c r="AR540" s="35"/>
      <c r="AS540" s="612"/>
      <c r="AT540" s="21"/>
      <c r="AU540" s="6"/>
      <c r="AV540" s="35"/>
      <c r="AW540" s="234"/>
      <c r="AX540" s="234"/>
      <c r="AY540" s="395">
        <f t="shared" si="1186"/>
        <v>-10</v>
      </c>
      <c r="AZ540" s="29">
        <f t="shared" ref="AZ540:AZ542" si="1216">AK540</f>
        <v>16</v>
      </c>
      <c r="BA540" s="344">
        <f>SUM(BA531:BA532)</f>
        <v>10</v>
      </c>
      <c r="BB540" s="5">
        <f t="shared" si="1208"/>
        <v>-6</v>
      </c>
      <c r="BC540" s="242"/>
      <c r="BD540" s="303">
        <f>SUM(BD531:BD532)</f>
        <v>9</v>
      </c>
      <c r="BE540" s="35">
        <f t="shared" si="1209"/>
        <v>7</v>
      </c>
      <c r="BF540" s="121"/>
      <c r="BG540" s="6"/>
      <c r="BH540" s="35"/>
      <c r="BI540" s="612"/>
      <c r="BJ540" s="121"/>
      <c r="BK540" s="6"/>
      <c r="BL540" s="35"/>
      <c r="BM540" s="612"/>
      <c r="BN540" s="21"/>
      <c r="BO540" s="6"/>
      <c r="BP540" s="35"/>
      <c r="BQ540" s="234"/>
      <c r="BR540" s="234"/>
      <c r="BS540" s="395">
        <f t="shared" si="1187"/>
        <v>-21</v>
      </c>
      <c r="BT540" s="29">
        <f t="shared" ref="BT540:BT542" si="1217">BE540</f>
        <v>7</v>
      </c>
      <c r="BU540" s="344">
        <f>SUM(BU531:BU532)</f>
        <v>14</v>
      </c>
      <c r="BV540" s="5">
        <f t="shared" si="1210"/>
        <v>7</v>
      </c>
      <c r="BW540" s="242">
        <v>25</v>
      </c>
      <c r="BX540" s="303">
        <f>SUM(BX531:BX532)</f>
        <v>10</v>
      </c>
      <c r="BY540" s="35">
        <f t="shared" si="1211"/>
        <v>22</v>
      </c>
      <c r="BZ540" s="121"/>
      <c r="CA540" s="6"/>
      <c r="CB540" s="35"/>
      <c r="CC540" s="612"/>
      <c r="CD540" s="121"/>
      <c r="CE540" s="6"/>
      <c r="CF540" s="35"/>
      <c r="CG540" s="612"/>
      <c r="CH540" s="21"/>
      <c r="CI540" s="6"/>
      <c r="CJ540" s="35"/>
      <c r="CK540" s="234"/>
      <c r="CL540" s="234"/>
      <c r="CM540" s="395">
        <f t="shared" si="1188"/>
        <v>-21</v>
      </c>
      <c r="CN540" s="29">
        <f t="shared" si="1191"/>
        <v>22</v>
      </c>
      <c r="CO540" s="344">
        <f>SUM(CO531:CO532)</f>
        <v>0</v>
      </c>
      <c r="CP540" s="5">
        <f t="shared" si="1212"/>
        <v>-22</v>
      </c>
      <c r="CQ540" s="256"/>
      <c r="CR540" s="303">
        <f>SUM(CR531:CR532)</f>
        <v>0</v>
      </c>
      <c r="CS540" s="35">
        <f t="shared" si="1213"/>
        <v>22</v>
      </c>
      <c r="CT540" s="121"/>
      <c r="CU540" s="6"/>
      <c r="CV540" s="35"/>
      <c r="CW540" s="612"/>
      <c r="CX540" s="121"/>
      <c r="CY540" s="6"/>
      <c r="CZ540" s="35"/>
      <c r="DA540" s="612"/>
      <c r="DB540" s="21"/>
      <c r="DC540" s="6"/>
      <c r="DD540" s="35"/>
      <c r="DE540" s="234"/>
      <c r="DF540" s="234"/>
      <c r="DG540" s="395">
        <f t="shared" si="1189"/>
        <v>-21</v>
      </c>
      <c r="DH540" s="32">
        <f t="shared" si="1190"/>
        <v>22</v>
      </c>
      <c r="DI540" s="344">
        <f>SUM(DI531:DI532)</f>
        <v>0</v>
      </c>
      <c r="DJ540" s="5">
        <f t="shared" si="1214"/>
        <v>-22</v>
      </c>
      <c r="DK540" s="256"/>
      <c r="DL540" s="303">
        <f>SUM(DL531:DL532)</f>
        <v>0</v>
      </c>
      <c r="DM540" s="35">
        <f t="shared" si="1215"/>
        <v>22</v>
      </c>
    </row>
    <row r="541" spans="1:117" x14ac:dyDescent="0.25">
      <c r="A541" s="17"/>
      <c r="B541" s="10" t="s">
        <v>409</v>
      </c>
      <c r="C541" s="17">
        <v>2</v>
      </c>
      <c r="D541" s="80"/>
      <c r="E541" s="80"/>
      <c r="F541" s="337"/>
      <c r="G541" s="80" t="s">
        <v>317</v>
      </c>
      <c r="H541" s="24"/>
      <c r="I541" s="24"/>
      <c r="J541" s="534">
        <f t="shared" si="1182"/>
        <v>-482</v>
      </c>
      <c r="K541" s="395">
        <f t="shared" si="1183"/>
        <v>-534</v>
      </c>
      <c r="L541" s="544">
        <v>540</v>
      </c>
      <c r="M541" s="424">
        <f>SUM(M531:M532)*2</f>
        <v>6</v>
      </c>
      <c r="N541" s="5">
        <f t="shared" si="1192"/>
        <v>-534</v>
      </c>
      <c r="O541" s="258"/>
      <c r="P541" s="304">
        <f>SUM(P531:P532)*2</f>
        <v>6</v>
      </c>
      <c r="Q541" s="34">
        <f t="shared" si="1193"/>
        <v>534</v>
      </c>
      <c r="R541" s="123"/>
      <c r="S541" s="8"/>
      <c r="T541" s="34"/>
      <c r="U541" s="713"/>
      <c r="V541" s="123"/>
      <c r="W541" s="8"/>
      <c r="X541" s="34"/>
      <c r="Y541" s="713"/>
      <c r="Z541" s="20"/>
      <c r="AA541" s="8"/>
      <c r="AB541" s="34"/>
      <c r="AC541" s="234"/>
      <c r="AD541" s="234"/>
      <c r="AE541" s="398">
        <f t="shared" si="1184"/>
        <v>-530</v>
      </c>
      <c r="AF541" s="29">
        <f t="shared" si="1185"/>
        <v>534</v>
      </c>
      <c r="AG541" s="424">
        <f>SUM(AG531:AG532)*2</f>
        <v>4</v>
      </c>
      <c r="AH541" s="5">
        <f t="shared" si="1206"/>
        <v>-530</v>
      </c>
      <c r="AI541" s="258"/>
      <c r="AJ541" s="304">
        <f>SUM(AJ531:AJ532)*2</f>
        <v>12</v>
      </c>
      <c r="AK541" s="34">
        <f t="shared" si="1207"/>
        <v>522</v>
      </c>
      <c r="AL541" s="123"/>
      <c r="AM541" s="8"/>
      <c r="AN541" s="34"/>
      <c r="AO541" s="713"/>
      <c r="AP541" s="123"/>
      <c r="AQ541" s="8"/>
      <c r="AR541" s="34"/>
      <c r="AS541" s="713"/>
      <c r="AT541" s="20"/>
      <c r="AU541" s="8"/>
      <c r="AV541" s="34"/>
      <c r="AW541" s="234"/>
      <c r="AX541" s="234"/>
      <c r="AY541" s="395">
        <f t="shared" si="1186"/>
        <v>-510</v>
      </c>
      <c r="AZ541" s="29">
        <f t="shared" si="1216"/>
        <v>522</v>
      </c>
      <c r="BA541" s="424">
        <f>SUM(BA531:BA532)*2</f>
        <v>20</v>
      </c>
      <c r="BB541" s="5">
        <f t="shared" si="1208"/>
        <v>-502</v>
      </c>
      <c r="BC541" s="242"/>
      <c r="BD541" s="304">
        <f>SUM(BD531:BD532)*2</f>
        <v>18</v>
      </c>
      <c r="BE541" s="34">
        <f t="shared" si="1209"/>
        <v>504</v>
      </c>
      <c r="BF541" s="123"/>
      <c r="BG541" s="8"/>
      <c r="BH541" s="34"/>
      <c r="BI541" s="713"/>
      <c r="BJ541" s="123"/>
      <c r="BK541" s="8"/>
      <c r="BL541" s="34"/>
      <c r="BM541" s="713"/>
      <c r="BN541" s="21"/>
      <c r="BO541" s="8"/>
      <c r="BP541" s="35"/>
      <c r="BQ541" s="234"/>
      <c r="BR541" s="234"/>
      <c r="BS541" s="395">
        <f t="shared" si="1187"/>
        <v>-507</v>
      </c>
      <c r="BT541" s="29">
        <f t="shared" si="1217"/>
        <v>504</v>
      </c>
      <c r="BU541" s="424">
        <f>SUM(BU531:BU532)*2</f>
        <v>28</v>
      </c>
      <c r="BV541" s="5">
        <f t="shared" si="1210"/>
        <v>-476</v>
      </c>
      <c r="BW541" s="242">
        <v>25</v>
      </c>
      <c r="BX541" s="304">
        <f>SUM(BX531:BX532)*2</f>
        <v>20</v>
      </c>
      <c r="BY541" s="34">
        <f t="shared" si="1211"/>
        <v>509</v>
      </c>
      <c r="BZ541" s="123"/>
      <c r="CA541" s="8"/>
      <c r="CB541" s="34"/>
      <c r="CC541" s="713"/>
      <c r="CD541" s="123"/>
      <c r="CE541" s="8"/>
      <c r="CF541" s="35"/>
      <c r="CG541" s="713"/>
      <c r="CH541" s="20"/>
      <c r="CI541" s="8"/>
      <c r="CJ541" s="34"/>
      <c r="CK541" s="234"/>
      <c r="CL541" s="234"/>
      <c r="CM541" s="395">
        <f t="shared" si="1188"/>
        <v>-507</v>
      </c>
      <c r="CN541" s="29">
        <f t="shared" si="1191"/>
        <v>509</v>
      </c>
      <c r="CO541" s="424">
        <f>SUM(CO531:CO532)*2</f>
        <v>0</v>
      </c>
      <c r="CP541" s="5">
        <f t="shared" si="1212"/>
        <v>-509</v>
      </c>
      <c r="CQ541" s="258"/>
      <c r="CR541" s="304">
        <f>SUM(CR531:CR532)*2</f>
        <v>0</v>
      </c>
      <c r="CS541" s="34">
        <f t="shared" si="1213"/>
        <v>509</v>
      </c>
      <c r="CT541" s="123"/>
      <c r="CU541" s="8"/>
      <c r="CV541" s="34"/>
      <c r="CW541" s="713"/>
      <c r="CX541" s="123"/>
      <c r="CY541" s="8"/>
      <c r="CZ541" s="34"/>
      <c r="DA541" s="713"/>
      <c r="DB541" s="20"/>
      <c r="DC541" s="8"/>
      <c r="DD541" s="34"/>
      <c r="DE541" s="234"/>
      <c r="DF541" s="234"/>
      <c r="DG541" s="395">
        <f t="shared" si="1189"/>
        <v>-507</v>
      </c>
      <c r="DH541" s="32">
        <f t="shared" si="1190"/>
        <v>509</v>
      </c>
      <c r="DI541" s="424">
        <f>SUM(DI531:DI532)*2</f>
        <v>0</v>
      </c>
      <c r="DJ541" s="5">
        <f t="shared" si="1214"/>
        <v>-509</v>
      </c>
      <c r="DK541" s="258"/>
      <c r="DL541" s="304">
        <f>SUM(DL531:DL532)*2</f>
        <v>0</v>
      </c>
      <c r="DM541" s="34">
        <f t="shared" si="1215"/>
        <v>509</v>
      </c>
    </row>
    <row r="542" spans="1:117" x14ac:dyDescent="0.25">
      <c r="A542" s="18"/>
      <c r="B542" s="11" t="s">
        <v>632</v>
      </c>
      <c r="C542" s="18">
        <v>1</v>
      </c>
      <c r="D542" s="15"/>
      <c r="E542" s="15"/>
      <c r="F542" s="149">
        <v>40</v>
      </c>
      <c r="G542" s="518" t="s">
        <v>647</v>
      </c>
      <c r="H542" s="25"/>
      <c r="I542" s="24"/>
      <c r="J542" s="534">
        <f t="shared" si="1182"/>
        <v>-6</v>
      </c>
      <c r="K542" s="395">
        <f t="shared" si="1183"/>
        <v>-32</v>
      </c>
      <c r="L542" s="544">
        <v>35</v>
      </c>
      <c r="M542" s="344">
        <f>SUM(M531:M532)</f>
        <v>3</v>
      </c>
      <c r="N542" s="5">
        <f t="shared" ref="N542" si="1218">M542-L542</f>
        <v>-32</v>
      </c>
      <c r="O542" s="258"/>
      <c r="P542" s="303">
        <f>SUM(P531:P532)</f>
        <v>3</v>
      </c>
      <c r="Q542" s="35">
        <f t="shared" si="1193"/>
        <v>32</v>
      </c>
      <c r="R542" s="121"/>
      <c r="S542" s="6"/>
      <c r="T542" s="35"/>
      <c r="U542" s="612"/>
      <c r="V542" s="121"/>
      <c r="W542" s="6"/>
      <c r="X542" s="35"/>
      <c r="Y542" s="612"/>
      <c r="Z542" s="21"/>
      <c r="AA542" s="6"/>
      <c r="AB542" s="35"/>
      <c r="AC542" s="231"/>
      <c r="AD542" s="231"/>
      <c r="AE542" s="398">
        <f t="shared" si="1184"/>
        <v>-30</v>
      </c>
      <c r="AF542" s="29">
        <f t="shared" si="1185"/>
        <v>32</v>
      </c>
      <c r="AG542" s="344">
        <f>SUM(AG531:AG532)</f>
        <v>2</v>
      </c>
      <c r="AH542" s="5">
        <f t="shared" si="1206"/>
        <v>-30</v>
      </c>
      <c r="AI542" s="256"/>
      <c r="AJ542" s="303">
        <f>SUM(AJ531:AJ532)</f>
        <v>6</v>
      </c>
      <c r="AK542" s="35">
        <f t="shared" si="1207"/>
        <v>26</v>
      </c>
      <c r="AL542" s="121"/>
      <c r="AM542" s="6"/>
      <c r="AN542" s="35"/>
      <c r="AO542" s="612"/>
      <c r="AP542" s="121"/>
      <c r="AQ542" s="6"/>
      <c r="AR542" s="35"/>
      <c r="AS542" s="612"/>
      <c r="AT542" s="21"/>
      <c r="AU542" s="6"/>
      <c r="AV542" s="35"/>
      <c r="AW542" s="234"/>
      <c r="AX542" s="234"/>
      <c r="AY542" s="395">
        <f t="shared" si="1186"/>
        <v>-20</v>
      </c>
      <c r="AZ542" s="29">
        <f t="shared" si="1216"/>
        <v>26</v>
      </c>
      <c r="BA542" s="344">
        <f>SUM(BA531:BA532)</f>
        <v>10</v>
      </c>
      <c r="BB542" s="5">
        <f t="shared" si="1208"/>
        <v>-16</v>
      </c>
      <c r="BC542" s="240"/>
      <c r="BD542" s="303">
        <f>SUM(BD531:BD532)</f>
        <v>9</v>
      </c>
      <c r="BE542" s="35">
        <f t="shared" si="1209"/>
        <v>17</v>
      </c>
      <c r="BF542" s="121"/>
      <c r="BG542" s="6"/>
      <c r="BH542" s="35"/>
      <c r="BI542" s="612"/>
      <c r="BJ542" s="121"/>
      <c r="BK542" s="6"/>
      <c r="BL542" s="35"/>
      <c r="BM542" s="612"/>
      <c r="BN542" s="21"/>
      <c r="BO542" s="6"/>
      <c r="BP542" s="35"/>
      <c r="BQ542" s="234"/>
      <c r="BR542" s="234"/>
      <c r="BS542" s="395">
        <f t="shared" si="1187"/>
        <v>-6</v>
      </c>
      <c r="BT542" s="29">
        <f t="shared" si="1217"/>
        <v>17</v>
      </c>
      <c r="BU542" s="344">
        <f>SUM(BU531:BU532)</f>
        <v>14</v>
      </c>
      <c r="BV542" s="5">
        <f t="shared" si="1210"/>
        <v>-3</v>
      </c>
      <c r="BW542" s="445"/>
      <c r="BX542" s="303">
        <f>SUM(BX531:BX532)</f>
        <v>10</v>
      </c>
      <c r="BY542" s="35">
        <f t="shared" si="1211"/>
        <v>7</v>
      </c>
      <c r="BZ542" s="121"/>
      <c r="CA542" s="6"/>
      <c r="CB542" s="35"/>
      <c r="CC542" s="612"/>
      <c r="CD542" s="121"/>
      <c r="CE542" s="6"/>
      <c r="CF542" s="35"/>
      <c r="CG542" s="612"/>
      <c r="CH542" s="21"/>
      <c r="CI542" s="6"/>
      <c r="CJ542" s="35"/>
      <c r="CK542" s="234"/>
      <c r="CL542" s="234"/>
      <c r="CM542" s="395">
        <f t="shared" si="1188"/>
        <v>-6</v>
      </c>
      <c r="CN542" s="29">
        <f t="shared" si="1191"/>
        <v>7</v>
      </c>
      <c r="CO542" s="344">
        <f>SUM(CO531:CO532)</f>
        <v>0</v>
      </c>
      <c r="CP542" s="5">
        <f t="shared" si="1212"/>
        <v>-7</v>
      </c>
      <c r="CQ542" s="256"/>
      <c r="CR542" s="303">
        <f>SUM(CR531:CR532)</f>
        <v>0</v>
      </c>
      <c r="CS542" s="35">
        <f t="shared" si="1213"/>
        <v>7</v>
      </c>
      <c r="CT542" s="121"/>
      <c r="CU542" s="6"/>
      <c r="CV542" s="35"/>
      <c r="CW542" s="612"/>
      <c r="CX542" s="121"/>
      <c r="CY542" s="6"/>
      <c r="CZ542" s="35"/>
      <c r="DA542" s="612"/>
      <c r="DB542" s="21"/>
      <c r="DC542" s="6"/>
      <c r="DD542" s="35"/>
      <c r="DE542" s="234"/>
      <c r="DF542" s="234"/>
      <c r="DG542" s="395">
        <f t="shared" si="1189"/>
        <v>-6</v>
      </c>
      <c r="DH542" s="32">
        <f t="shared" si="1190"/>
        <v>7</v>
      </c>
      <c r="DI542" s="344">
        <f>SUM(DI531:DI532)</f>
        <v>0</v>
      </c>
      <c r="DJ542" s="5">
        <f t="shared" si="1214"/>
        <v>-7</v>
      </c>
      <c r="DK542" s="256"/>
      <c r="DL542" s="303">
        <f>SUM(DL531:DL532)</f>
        <v>0</v>
      </c>
      <c r="DM542" s="35">
        <f t="shared" si="1215"/>
        <v>7</v>
      </c>
    </row>
    <row r="543" spans="1:117" ht="15.75" thickBot="1" x14ac:dyDescent="0.3">
      <c r="A543" s="19"/>
      <c r="B543" s="11" t="s">
        <v>562</v>
      </c>
      <c r="C543" s="19">
        <v>1</v>
      </c>
      <c r="D543" s="60"/>
      <c r="E543" s="60"/>
      <c r="F543" s="146"/>
      <c r="G543" s="12" t="s">
        <v>954</v>
      </c>
      <c r="H543" s="28"/>
      <c r="I543" s="28"/>
      <c r="J543" s="28"/>
      <c r="K543" s="28"/>
      <c r="L543" s="30"/>
      <c r="M543" s="31"/>
      <c r="N543" s="31"/>
      <c r="O543" s="241"/>
      <c r="P543" s="241"/>
      <c r="Q543" s="36"/>
      <c r="R543" s="200"/>
      <c r="S543" s="201"/>
      <c r="T543" s="36"/>
      <c r="U543" s="220"/>
      <c r="V543" s="200"/>
      <c r="W543" s="201"/>
      <c r="X543" s="36"/>
      <c r="Y543" s="220"/>
      <c r="Z543" s="122"/>
      <c r="AA543" s="201"/>
      <c r="AB543" s="36"/>
      <c r="AC543" s="220"/>
      <c r="AD543" s="220"/>
      <c r="AE543" s="28"/>
      <c r="AF543" s="30"/>
      <c r="AG543" s="31"/>
      <c r="AH543" s="31"/>
      <c r="AI543" s="241"/>
      <c r="AJ543" s="241"/>
      <c r="AK543" s="36"/>
      <c r="AL543" s="200"/>
      <c r="AM543" s="201"/>
      <c r="AN543" s="36"/>
      <c r="AO543" s="220"/>
      <c r="AP543" s="200"/>
      <c r="AQ543" s="201"/>
      <c r="AR543" s="36"/>
      <c r="AS543" s="220"/>
      <c r="AT543" s="122"/>
      <c r="AU543" s="201"/>
      <c r="AV543" s="36"/>
      <c r="AW543" s="220"/>
      <c r="AX543" s="220"/>
      <c r="AY543" s="28"/>
      <c r="AZ543" s="30"/>
      <c r="BA543" s="31"/>
      <c r="BB543" s="31"/>
      <c r="BC543" s="241"/>
      <c r="BD543" s="241"/>
      <c r="BE543" s="36"/>
      <c r="BF543" s="200"/>
      <c r="BG543" s="201"/>
      <c r="BH543" s="36"/>
      <c r="BI543" s="220"/>
      <c r="BJ543" s="200"/>
      <c r="BK543" s="201"/>
      <c r="BL543" s="36"/>
      <c r="BM543" s="220"/>
      <c r="BN543" s="122"/>
      <c r="BO543" s="201"/>
      <c r="BP543" s="36"/>
      <c r="BQ543" s="220"/>
      <c r="BR543" s="220"/>
      <c r="BS543" s="28"/>
      <c r="BT543" s="30"/>
      <c r="BU543" s="31"/>
      <c r="BV543" s="31"/>
      <c r="BW543" s="622">
        <v>6</v>
      </c>
      <c r="BX543" s="241"/>
      <c r="BY543" s="36"/>
      <c r="BZ543" s="200"/>
      <c r="CA543" s="201"/>
      <c r="CB543" s="36"/>
      <c r="CC543" s="220"/>
      <c r="CD543" s="200"/>
      <c r="CE543" s="647">
        <v>10042.92</v>
      </c>
      <c r="CF543" s="648" t="s">
        <v>955</v>
      </c>
      <c r="CG543" s="798"/>
      <c r="CH543" s="122"/>
      <c r="CI543" s="201"/>
      <c r="CJ543" s="36"/>
      <c r="CK543" s="220"/>
      <c r="CL543" s="220"/>
      <c r="CM543" s="28"/>
      <c r="CN543" s="30"/>
      <c r="CO543" s="31"/>
      <c r="CP543" s="31"/>
      <c r="CQ543" s="241"/>
      <c r="CR543" s="241"/>
      <c r="CS543" s="36"/>
      <c r="CT543" s="200"/>
      <c r="CU543" s="201"/>
      <c r="CV543" s="36"/>
      <c r="CW543" s="220"/>
      <c r="CX543" s="200"/>
      <c r="CY543" s="201"/>
      <c r="CZ543" s="36"/>
      <c r="DA543" s="220"/>
      <c r="DB543" s="122"/>
      <c r="DC543" s="201"/>
      <c r="DD543" s="36"/>
      <c r="DE543" s="220"/>
      <c r="DF543" s="220"/>
      <c r="DG543" s="28"/>
      <c r="DH543" s="30"/>
      <c r="DI543" s="31"/>
      <c r="DJ543" s="31"/>
      <c r="DK543" s="241"/>
      <c r="DL543" s="241"/>
      <c r="DM543" s="36"/>
    </row>
    <row r="544" spans="1:117" ht="15.75" thickBot="1" x14ac:dyDescent="0.3">
      <c r="P544" s="248"/>
      <c r="AJ544" s="248"/>
      <c r="BD544" s="248"/>
      <c r="BX544" s="248"/>
      <c r="CR544" s="248"/>
      <c r="DL544" s="248"/>
    </row>
    <row r="545" spans="1:117" ht="45" x14ac:dyDescent="0.25">
      <c r="A545" s="84"/>
      <c r="B545" s="89" t="s">
        <v>86</v>
      </c>
      <c r="C545" s="84"/>
      <c r="D545" s="90" t="s">
        <v>654</v>
      </c>
      <c r="E545" s="90"/>
      <c r="F545" s="339"/>
      <c r="G545" s="83"/>
      <c r="H545" s="85"/>
      <c r="I545" s="85"/>
      <c r="J545" s="84">
        <f>SUM(M545,AG545,BA545,BU545)</f>
        <v>2</v>
      </c>
      <c r="K545" s="84"/>
      <c r="L545" s="86"/>
      <c r="M545" s="306">
        <f>M273+M385+M432</f>
        <v>2</v>
      </c>
      <c r="N545" s="87"/>
      <c r="O545" s="87"/>
      <c r="P545" s="252">
        <f>1+1</f>
        <v>2</v>
      </c>
      <c r="Q545" s="238"/>
      <c r="R545" s="135">
        <f>SUM(R546:R549)</f>
        <v>0</v>
      </c>
      <c r="S545" s="136">
        <f>SUM(S546:S549)</f>
        <v>0</v>
      </c>
      <c r="T545" s="88"/>
      <c r="U545" s="223"/>
      <c r="V545" s="135">
        <f>SUM(V546:V549)</f>
        <v>0</v>
      </c>
      <c r="W545" s="136">
        <f>SUM(W546:W549)</f>
        <v>0</v>
      </c>
      <c r="X545" s="88"/>
      <c r="Y545" s="223"/>
      <c r="Z545" s="135">
        <f>SUM(Z546:Z549)</f>
        <v>0</v>
      </c>
      <c r="AA545" s="136">
        <f>SUM(AA546:AA549)</f>
        <v>0</v>
      </c>
      <c r="AB545" s="88"/>
      <c r="AC545" s="238"/>
      <c r="AD545" s="238"/>
      <c r="AE545" s="84">
        <f>SUM(AG545,BA545,BU545)</f>
        <v>0</v>
      </c>
      <c r="AF545" s="86"/>
      <c r="AG545" s="306">
        <f>AG273+AG385+AG432</f>
        <v>0</v>
      </c>
      <c r="AH545" s="87"/>
      <c r="AI545" s="87"/>
      <c r="AJ545" s="252"/>
      <c r="AK545" s="238"/>
      <c r="AL545" s="135">
        <f>SUM(AL546:AL549)</f>
        <v>0</v>
      </c>
      <c r="AM545" s="136">
        <f>SUM(AM546:AM549)</f>
        <v>0</v>
      </c>
      <c r="AN545" s="88"/>
      <c r="AO545" s="223"/>
      <c r="AP545" s="135">
        <f>SUM(AP546:AP549)</f>
        <v>0</v>
      </c>
      <c r="AQ545" s="136">
        <f>SUM(AQ546:AQ549)</f>
        <v>0</v>
      </c>
      <c r="AR545" s="88"/>
      <c r="AS545" s="223"/>
      <c r="AT545" s="135">
        <f>SUM(AT546:AT549)</f>
        <v>0</v>
      </c>
      <c r="AU545" s="136">
        <f>SUM(AU546:AU549)</f>
        <v>0</v>
      </c>
      <c r="AV545" s="88"/>
      <c r="AW545" s="238"/>
      <c r="AX545" s="238"/>
      <c r="AY545" s="84">
        <f>SUM(BA545,BU545)</f>
        <v>0</v>
      </c>
      <c r="AZ545" s="86"/>
      <c r="BA545" s="306">
        <f>BA273+BA385+BA432</f>
        <v>0</v>
      </c>
      <c r="BB545" s="87"/>
      <c r="BC545" s="87"/>
      <c r="BD545" s="252"/>
      <c r="BE545" s="238"/>
      <c r="BF545" s="135">
        <f>SUM(BF546:BF549)</f>
        <v>0</v>
      </c>
      <c r="BG545" s="136">
        <f>SUM(BG546:BG549)</f>
        <v>0</v>
      </c>
      <c r="BH545" s="88"/>
      <c r="BI545" s="223"/>
      <c r="BJ545" s="135">
        <f>SUM(BJ546:BJ549)</f>
        <v>0</v>
      </c>
      <c r="BK545" s="136">
        <f>SUM(BK546:BK549)</f>
        <v>0</v>
      </c>
      <c r="BL545" s="88"/>
      <c r="BM545" s="223"/>
      <c r="BN545" s="135">
        <f>SUM(BN546:BN549)</f>
        <v>0</v>
      </c>
      <c r="BO545" s="136">
        <f>SUM(BO546:BO549)</f>
        <v>0</v>
      </c>
      <c r="BP545" s="88"/>
      <c r="BQ545" s="238"/>
      <c r="BR545" s="238"/>
      <c r="BS545" s="84">
        <f>BU545</f>
        <v>0</v>
      </c>
      <c r="BT545" s="86"/>
      <c r="BU545" s="306">
        <f>BU273+BU385+BU432</f>
        <v>0</v>
      </c>
      <c r="BV545" s="87"/>
      <c r="BW545" s="87"/>
      <c r="BX545" s="252"/>
      <c r="BY545" s="238"/>
      <c r="BZ545" s="135">
        <f>SUM(BZ546:BZ549)</f>
        <v>0</v>
      </c>
      <c r="CA545" s="136">
        <f>SUM(CA546:CA549)</f>
        <v>0</v>
      </c>
      <c r="CB545" s="88"/>
      <c r="CC545" s="223"/>
      <c r="CD545" s="135">
        <f>SUM(CD546:CD549)</f>
        <v>0</v>
      </c>
      <c r="CE545" s="136">
        <f>SUM(CE546:CE549)</f>
        <v>0</v>
      </c>
      <c r="CF545" s="88"/>
      <c r="CG545" s="223"/>
      <c r="CH545" s="135">
        <f>SUM(CH546:CH549)</f>
        <v>0</v>
      </c>
      <c r="CI545" s="136">
        <f>SUM(CI546:CI549)</f>
        <v>0</v>
      </c>
      <c r="CJ545" s="88"/>
      <c r="CK545" s="238"/>
      <c r="CL545" s="238"/>
      <c r="CM545" s="84">
        <f>CO545</f>
        <v>0</v>
      </c>
      <c r="CN545" s="86"/>
      <c r="CO545" s="306">
        <f>CO273+CO385+CO432</f>
        <v>0</v>
      </c>
      <c r="CP545" s="87"/>
      <c r="CQ545" s="87"/>
      <c r="CR545" s="252"/>
      <c r="CS545" s="238"/>
      <c r="CT545" s="135">
        <f>SUM(CT546:CT549)</f>
        <v>0</v>
      </c>
      <c r="CU545" s="136">
        <f>SUM(CU546:CU549)</f>
        <v>0</v>
      </c>
      <c r="CV545" s="88"/>
      <c r="CW545" s="223"/>
      <c r="CX545" s="135">
        <f>SUM(CX546:CX549)</f>
        <v>0</v>
      </c>
      <c r="CY545" s="136">
        <f>SUM(CY546:CY549)</f>
        <v>0</v>
      </c>
      <c r="CZ545" s="88"/>
      <c r="DA545" s="223"/>
      <c r="DB545" s="135">
        <f>SUM(DB546:DB549)</f>
        <v>0</v>
      </c>
      <c r="DC545" s="136">
        <f>SUM(DC546:DC549)</f>
        <v>0</v>
      </c>
      <c r="DD545" s="88"/>
      <c r="DE545" s="238"/>
      <c r="DF545" s="238"/>
      <c r="DG545" s="84">
        <f>DI545</f>
        <v>0</v>
      </c>
      <c r="DH545" s="86"/>
      <c r="DI545" s="306">
        <f>DI273+DI385+DI432</f>
        <v>0</v>
      </c>
      <c r="DJ545" s="87"/>
      <c r="DK545" s="87"/>
      <c r="DL545" s="252"/>
      <c r="DM545" s="238"/>
    </row>
    <row r="546" spans="1:117" x14ac:dyDescent="0.25">
      <c r="A546" s="17"/>
      <c r="B546" s="11" t="s">
        <v>216</v>
      </c>
      <c r="C546" s="17"/>
      <c r="D546" s="80"/>
      <c r="E546" s="80"/>
      <c r="F546" s="337"/>
      <c r="G546" s="10"/>
      <c r="H546" s="24"/>
      <c r="I546" s="24"/>
      <c r="J546" s="17"/>
      <c r="K546" s="17"/>
      <c r="L546" s="32"/>
      <c r="M546" s="7"/>
      <c r="N546" s="7"/>
      <c r="O546" s="7"/>
      <c r="P546" s="242"/>
      <c r="Q546" s="234"/>
      <c r="R546" s="123"/>
      <c r="S546" s="8"/>
      <c r="T546" s="34"/>
      <c r="U546" s="713"/>
      <c r="V546" s="123"/>
      <c r="W546" s="8"/>
      <c r="X546" s="34"/>
      <c r="Y546" s="713"/>
      <c r="Z546" s="20"/>
      <c r="AA546" s="8"/>
      <c r="AB546" s="34"/>
      <c r="AC546" s="234"/>
      <c r="AD546" s="234"/>
      <c r="AE546" s="17"/>
      <c r="AF546" s="32"/>
      <c r="AG546" s="7"/>
      <c r="AH546" s="7"/>
      <c r="AI546" s="7"/>
      <c r="AJ546" s="242"/>
      <c r="AK546" s="234"/>
      <c r="AL546" s="123"/>
      <c r="AM546" s="8"/>
      <c r="AN546" s="34"/>
      <c r="AO546" s="713"/>
      <c r="AP546" s="123"/>
      <c r="AQ546" s="8"/>
      <c r="AR546" s="34"/>
      <c r="AS546" s="713"/>
      <c r="AT546" s="20"/>
      <c r="AU546" s="8"/>
      <c r="AV546" s="34"/>
      <c r="AW546" s="234"/>
      <c r="AX546" s="234"/>
      <c r="AY546" s="17"/>
      <c r="AZ546" s="32"/>
      <c r="BA546" s="7"/>
      <c r="BB546" s="7"/>
      <c r="BC546" s="7"/>
      <c r="BD546" s="242"/>
      <c r="BE546" s="234"/>
      <c r="BF546" s="123"/>
      <c r="BG546" s="8"/>
      <c r="BH546" s="34"/>
      <c r="BI546" s="713"/>
      <c r="BJ546" s="123"/>
      <c r="BK546" s="8"/>
      <c r="BL546" s="34"/>
      <c r="BM546" s="713"/>
      <c r="BN546" s="20"/>
      <c r="BO546" s="8"/>
      <c r="BP546" s="34"/>
      <c r="BQ546" s="234"/>
      <c r="BR546" s="234"/>
      <c r="BS546" s="17"/>
      <c r="BT546" s="32"/>
      <c r="BU546" s="7"/>
      <c r="BV546" s="7"/>
      <c r="BW546" s="7"/>
      <c r="BX546" s="242"/>
      <c r="BY546" s="234"/>
      <c r="BZ546" s="123"/>
      <c r="CA546" s="8"/>
      <c r="CB546" s="34"/>
      <c r="CC546" s="713"/>
      <c r="CD546" s="123"/>
      <c r="CE546" s="8"/>
      <c r="CF546" s="34"/>
      <c r="CG546" s="713"/>
      <c r="CH546" s="20"/>
      <c r="CI546" s="8"/>
      <c r="CJ546" s="34"/>
      <c r="CK546" s="234"/>
      <c r="CL546" s="234"/>
      <c r="CM546" s="17"/>
      <c r="CN546" s="32"/>
      <c r="CO546" s="7"/>
      <c r="CP546" s="7"/>
      <c r="CQ546" s="7"/>
      <c r="CR546" s="242"/>
      <c r="CS546" s="234"/>
      <c r="CT546" s="123"/>
      <c r="CU546" s="8"/>
      <c r="CV546" s="34"/>
      <c r="CW546" s="713"/>
      <c r="CX546" s="123"/>
      <c r="CY546" s="8"/>
      <c r="CZ546" s="34"/>
      <c r="DA546" s="713"/>
      <c r="DB546" s="20"/>
      <c r="DC546" s="8"/>
      <c r="DD546" s="34"/>
      <c r="DE546" s="234"/>
      <c r="DF546" s="234"/>
      <c r="DG546" s="17"/>
      <c r="DH546" s="32"/>
      <c r="DI546" s="7"/>
      <c r="DJ546" s="7"/>
      <c r="DK546" s="7"/>
      <c r="DL546" s="242"/>
      <c r="DM546" s="234"/>
    </row>
    <row r="547" spans="1:117" x14ac:dyDescent="0.25">
      <c r="A547" s="17"/>
      <c r="B547" s="11" t="s">
        <v>623</v>
      </c>
      <c r="C547" s="17">
        <v>1</v>
      </c>
      <c r="D547" s="80" t="s">
        <v>86</v>
      </c>
      <c r="E547" s="80"/>
      <c r="F547" s="337">
        <v>60</v>
      </c>
      <c r="G547" s="518" t="s">
        <v>757</v>
      </c>
      <c r="H547" s="24"/>
      <c r="I547" s="24"/>
      <c r="J547" s="534">
        <f>SUM(M547,AG547,BA547,BU547)-L547</f>
        <v>-11</v>
      </c>
      <c r="K547" s="395">
        <f t="shared" ref="K547:K549" si="1219">M547-O547-L547</f>
        <v>-11</v>
      </c>
      <c r="L547" s="515">
        <v>13</v>
      </c>
      <c r="M547" s="302">
        <f>M545</f>
        <v>2</v>
      </c>
      <c r="N547" s="5">
        <f>M547-L547</f>
        <v>-11</v>
      </c>
      <c r="O547" s="256"/>
      <c r="P547" s="304">
        <f>P545</f>
        <v>2</v>
      </c>
      <c r="Q547" s="35">
        <f>L547+O547-P547</f>
        <v>11</v>
      </c>
      <c r="R547" s="20"/>
      <c r="S547" s="8"/>
      <c r="T547" s="34"/>
      <c r="U547" s="713"/>
      <c r="V547" s="20"/>
      <c r="W547" s="8"/>
      <c r="X547" s="34"/>
      <c r="Y547" s="713"/>
      <c r="Z547" s="20"/>
      <c r="AA547" s="8"/>
      <c r="AB547" s="34"/>
      <c r="AC547" s="234"/>
      <c r="AD547" s="234"/>
      <c r="AE547" s="398">
        <f>SUM(M547,AG547)-SUM(O547,AI547)-L547</f>
        <v>-11</v>
      </c>
      <c r="AF547" s="29">
        <f>Q547</f>
        <v>11</v>
      </c>
      <c r="AG547" s="302">
        <f>AG545</f>
        <v>0</v>
      </c>
      <c r="AH547" s="5">
        <f>AG547-AF547</f>
        <v>-11</v>
      </c>
      <c r="AI547" s="258"/>
      <c r="AJ547" s="304">
        <f>AJ545</f>
        <v>0</v>
      </c>
      <c r="AK547" s="35">
        <f>AF547+AI547-AJ547</f>
        <v>11</v>
      </c>
      <c r="AL547" s="20"/>
      <c r="AM547" s="8"/>
      <c r="AN547" s="34"/>
      <c r="AO547" s="713"/>
      <c r="AP547" s="20"/>
      <c r="AQ547" s="8"/>
      <c r="AR547" s="34"/>
      <c r="AS547" s="713"/>
      <c r="AT547" s="20"/>
      <c r="AU547" s="8"/>
      <c r="AV547" s="34"/>
      <c r="AW547" s="234"/>
      <c r="AX547" s="234"/>
      <c r="AY547" s="395">
        <f>SUM(M547,AG547,BA547)-SUM(O547,AI547,BC547)-L547</f>
        <v>-11</v>
      </c>
      <c r="AZ547" s="29">
        <f>AK547</f>
        <v>11</v>
      </c>
      <c r="BA547" s="302">
        <f>BA545</f>
        <v>0</v>
      </c>
      <c r="BB547" s="5">
        <f>BA547-AZ547</f>
        <v>-11</v>
      </c>
      <c r="BC547" s="258"/>
      <c r="BD547" s="304">
        <f>BD545</f>
        <v>0</v>
      </c>
      <c r="BE547" s="35">
        <f>AZ547+BC547-BD547</f>
        <v>11</v>
      </c>
      <c r="BF547" s="20"/>
      <c r="BG547" s="8"/>
      <c r="BH547" s="34"/>
      <c r="BI547" s="713"/>
      <c r="BJ547" s="20"/>
      <c r="BK547" s="8"/>
      <c r="BL547" s="34"/>
      <c r="BM547" s="713"/>
      <c r="BN547" s="20"/>
      <c r="BO547" s="8"/>
      <c r="BP547" s="34"/>
      <c r="BQ547" s="234"/>
      <c r="BR547" s="234"/>
      <c r="BS547" s="395">
        <f>SUM(M547,AG547,BA547,BU547)-SUM(O547,AI547,BC547,BW547)-L547</f>
        <v>-11</v>
      </c>
      <c r="BT547" s="29">
        <f>BE547</f>
        <v>11</v>
      </c>
      <c r="BU547" s="302">
        <f>BU545</f>
        <v>0</v>
      </c>
      <c r="BV547" s="5">
        <f>BU547-BT547</f>
        <v>-11</v>
      </c>
      <c r="BW547" s="258"/>
      <c r="BX547" s="304">
        <f>BX545</f>
        <v>0</v>
      </c>
      <c r="BY547" s="35">
        <f>BT547+BW547-BX547</f>
        <v>11</v>
      </c>
      <c r="BZ547" s="20"/>
      <c r="CA547" s="8"/>
      <c r="CB547" s="34"/>
      <c r="CC547" s="713"/>
      <c r="CD547" s="20"/>
      <c r="CE547" s="8"/>
      <c r="CF547" s="34"/>
      <c r="CG547" s="713"/>
      <c r="CH547" s="20"/>
      <c r="CI547" s="8"/>
      <c r="CJ547" s="34"/>
      <c r="CK547" s="234"/>
      <c r="CL547" s="234"/>
      <c r="CM547" s="395">
        <f>SUM(M547,AG547,BA547,BU547,CO547)-SUM(O547,AI547,BC547,BW547,CQ547)-L547</f>
        <v>-11</v>
      </c>
      <c r="CN547" s="29">
        <f>BY547</f>
        <v>11</v>
      </c>
      <c r="CO547" s="302">
        <f>CO545</f>
        <v>0</v>
      </c>
      <c r="CP547" s="5">
        <f>CO547-CN547</f>
        <v>-11</v>
      </c>
      <c r="CQ547" s="242"/>
      <c r="CR547" s="304">
        <f>CR545</f>
        <v>0</v>
      </c>
      <c r="CS547" s="35">
        <f>CN547+CQ547-CR547</f>
        <v>11</v>
      </c>
      <c r="CT547" s="20"/>
      <c r="CU547" s="8"/>
      <c r="CV547" s="34"/>
      <c r="CW547" s="713"/>
      <c r="CX547" s="20"/>
      <c r="CY547" s="8"/>
      <c r="CZ547" s="34"/>
      <c r="DA547" s="713"/>
      <c r="DB547" s="20"/>
      <c r="DC547" s="8"/>
      <c r="DD547" s="34"/>
      <c r="DE547" s="234"/>
      <c r="DF547" s="234"/>
      <c r="DG547" s="395">
        <f>SUM(M547,AG547,BA547,BU547,DI547)-SUM(O547,AI547,BC547,BW547,CQ547)-L547</f>
        <v>-11</v>
      </c>
      <c r="DH547" s="32">
        <f t="shared" ref="DH547:DH549" si="1220">BY547</f>
        <v>11</v>
      </c>
      <c r="DI547" s="302">
        <f>DI545</f>
        <v>0</v>
      </c>
      <c r="DJ547" s="5">
        <f>DI547-DH547</f>
        <v>-11</v>
      </c>
      <c r="DK547" s="242"/>
      <c r="DL547" s="304">
        <f>DL545</f>
        <v>0</v>
      </c>
      <c r="DM547" s="35">
        <f>DH547+DK547-DL547</f>
        <v>11</v>
      </c>
    </row>
    <row r="548" spans="1:117" ht="45" x14ac:dyDescent="0.25">
      <c r="A548" s="18">
        <v>2298</v>
      </c>
      <c r="B548" s="15" t="s">
        <v>477</v>
      </c>
      <c r="C548" s="18">
        <v>1</v>
      </c>
      <c r="D548" s="15" t="s">
        <v>666</v>
      </c>
      <c r="E548" s="15"/>
      <c r="F548" s="149">
        <v>15500</v>
      </c>
      <c r="G548" s="23" t="s">
        <v>331</v>
      </c>
      <c r="H548" s="25" t="s">
        <v>77</v>
      </c>
      <c r="I548" s="24"/>
      <c r="J548" s="534">
        <f>SUM(M548,AG548,BA548,BU548)-L548</f>
        <v>2</v>
      </c>
      <c r="K548" s="395">
        <f t="shared" si="1219"/>
        <v>2</v>
      </c>
      <c r="L548" s="544">
        <v>0</v>
      </c>
      <c r="M548" s="298">
        <f>M545</f>
        <v>2</v>
      </c>
      <c r="N548" s="5">
        <f>M548-L548</f>
        <v>2</v>
      </c>
      <c r="O548" s="256"/>
      <c r="P548" s="486"/>
      <c r="Q548" s="35">
        <f>L548+O548-P548</f>
        <v>0</v>
      </c>
      <c r="R548" s="236"/>
      <c r="S548" s="210"/>
      <c r="T548" s="216"/>
      <c r="U548" s="707"/>
      <c r="V548" s="236"/>
      <c r="W548" s="210"/>
      <c r="X548" s="216"/>
      <c r="Y548" s="707"/>
      <c r="Z548" s="236"/>
      <c r="AA548" s="210"/>
      <c r="AB548" s="216"/>
      <c r="AC548" s="738"/>
      <c r="AD548" s="738"/>
      <c r="AE548" s="398">
        <f>SUM(M548,AG548)-SUM(O548,AI548)-L548</f>
        <v>2</v>
      </c>
      <c r="AF548" s="29">
        <f>Q548</f>
        <v>0</v>
      </c>
      <c r="AG548" s="298">
        <f>AG545</f>
        <v>0</v>
      </c>
      <c r="AH548" s="5">
        <f>AG548-AF548</f>
        <v>0</v>
      </c>
      <c r="AI548" s="256"/>
      <c r="AJ548" s="486"/>
      <c r="AK548" s="35">
        <f>AF548+AI548-AJ548</f>
        <v>0</v>
      </c>
      <c r="AL548" s="235"/>
      <c r="AM548" s="6"/>
      <c r="AN548" s="148"/>
      <c r="AO548" s="711"/>
      <c r="AP548" s="235"/>
      <c r="AQ548" s="6"/>
      <c r="AR548" s="148"/>
      <c r="AS548" s="711"/>
      <c r="AT548" s="21"/>
      <c r="AU548" s="6"/>
      <c r="AV548" s="35"/>
      <c r="AW548" s="234"/>
      <c r="AX548" s="234"/>
      <c r="AY548" s="395">
        <f>SUM(M548,AG548,BA548)-SUM(O548,AI548,BC548)-L548</f>
        <v>2</v>
      </c>
      <c r="AZ548" s="29">
        <f>AK548</f>
        <v>0</v>
      </c>
      <c r="BA548" s="298">
        <f>BA545</f>
        <v>0</v>
      </c>
      <c r="BB548" s="5">
        <f>BA548-AZ548</f>
        <v>0</v>
      </c>
      <c r="BC548" s="256"/>
      <c r="BD548" s="486"/>
      <c r="BE548" s="35">
        <f>AZ548+BC548-BD548</f>
        <v>0</v>
      </c>
      <c r="BF548" s="236"/>
      <c r="BG548" s="6"/>
      <c r="BH548" s="216"/>
      <c r="BI548" s="707"/>
      <c r="BJ548" s="235"/>
      <c r="BK548" s="6"/>
      <c r="BL548" s="148"/>
      <c r="BM548" s="711"/>
      <c r="BN548" s="21"/>
      <c r="BO548" s="6"/>
      <c r="BP548" s="35"/>
      <c r="BQ548" s="234"/>
      <c r="BR548" s="234"/>
      <c r="BS548" s="395">
        <f>SUM(M548,AG548,BA548,BU548)-SUM(O548,AI548,BC548,BW548)-L548</f>
        <v>2</v>
      </c>
      <c r="BT548" s="29">
        <f>BE548</f>
        <v>0</v>
      </c>
      <c r="BU548" s="298">
        <f>BU545</f>
        <v>0</v>
      </c>
      <c r="BV548" s="5">
        <f>BU548-BT548</f>
        <v>0</v>
      </c>
      <c r="BW548" s="240"/>
      <c r="BX548" s="486"/>
      <c r="BY548" s="35">
        <f>BT548+BW548-BX548</f>
        <v>0</v>
      </c>
      <c r="BZ548" s="235"/>
      <c r="CA548" s="6"/>
      <c r="CB548" s="148"/>
      <c r="CC548" s="711"/>
      <c r="CD548" s="235"/>
      <c r="CE548" s="6"/>
      <c r="CF548" s="148"/>
      <c r="CG548" s="711"/>
      <c r="CH548" s="21"/>
      <c r="CI548" s="6"/>
      <c r="CJ548" s="35"/>
      <c r="CK548" s="234"/>
      <c r="CL548" s="234"/>
      <c r="CM548" s="395">
        <f>SUM(M548,AG548,BA548,BU548,CO548)-SUM(O548,AI548,BC548,BW548,CQ548)-L548</f>
        <v>2</v>
      </c>
      <c r="CN548" s="29">
        <f>BY548</f>
        <v>0</v>
      </c>
      <c r="CO548" s="298">
        <f>CO545</f>
        <v>0</v>
      </c>
      <c r="CP548" s="5">
        <f>CO548-CN548</f>
        <v>0</v>
      </c>
      <c r="CQ548" s="240"/>
      <c r="CR548" s="486"/>
      <c r="CS548" s="35">
        <f>CN548+CQ548-CR548</f>
        <v>0</v>
      </c>
      <c r="CT548" s="235"/>
      <c r="CU548" s="6"/>
      <c r="CV548" s="148"/>
      <c r="CW548" s="711"/>
      <c r="CX548" s="235"/>
      <c r="CY548" s="6"/>
      <c r="CZ548" s="148"/>
      <c r="DA548" s="711"/>
      <c r="DB548" s="21"/>
      <c r="DC548" s="6"/>
      <c r="DD548" s="35"/>
      <c r="DE548" s="234"/>
      <c r="DF548" s="234"/>
      <c r="DG548" s="395">
        <f>SUM(M548,AG548,BA548,BU548,DI548)-SUM(O548,AI548,BC548,BW548,CQ548)-L548</f>
        <v>2</v>
      </c>
      <c r="DH548" s="32">
        <f t="shared" si="1220"/>
        <v>0</v>
      </c>
      <c r="DI548" s="298">
        <f>DI545</f>
        <v>0</v>
      </c>
      <c r="DJ548" s="5">
        <f>DI548-DH548</f>
        <v>0</v>
      </c>
      <c r="DK548" s="240"/>
      <c r="DL548" s="486"/>
      <c r="DM548" s="35">
        <f>DH548+DK548-DL548</f>
        <v>0</v>
      </c>
    </row>
    <row r="549" spans="1:117" ht="45.75" thickBot="1" x14ac:dyDescent="0.3">
      <c r="A549" s="19">
        <v>8426</v>
      </c>
      <c r="B549" s="60" t="s">
        <v>411</v>
      </c>
      <c r="C549" s="19">
        <v>1</v>
      </c>
      <c r="D549" s="60" t="s">
        <v>665</v>
      </c>
      <c r="E549" s="60"/>
      <c r="F549" s="146">
        <v>17395</v>
      </c>
      <c r="G549" s="12" t="s">
        <v>10</v>
      </c>
      <c r="H549" s="28" t="s">
        <v>88</v>
      </c>
      <c r="I549" s="311"/>
      <c r="J549" s="533">
        <f>SUM(M549,AG549,BA549,BU549)-L549</f>
        <v>-1</v>
      </c>
      <c r="K549" s="396">
        <f t="shared" si="1219"/>
        <v>-1</v>
      </c>
      <c r="L549" s="545">
        <v>1</v>
      </c>
      <c r="M549" s="301">
        <f>M273+M385</f>
        <v>0</v>
      </c>
      <c r="N549" s="31">
        <f>M549-L549</f>
        <v>-1</v>
      </c>
      <c r="O549" s="284"/>
      <c r="P549" s="241"/>
      <c r="Q549" s="36">
        <f>L549+O549-P549</f>
        <v>1</v>
      </c>
      <c r="R549" s="314"/>
      <c r="S549" s="408"/>
      <c r="T549" s="321"/>
      <c r="U549" s="710"/>
      <c r="V549" s="314"/>
      <c r="W549" s="408"/>
      <c r="X549" s="321"/>
      <c r="Y549" s="710"/>
      <c r="Z549" s="122"/>
      <c r="AA549" s="201"/>
      <c r="AB549" s="321"/>
      <c r="AC549" s="741"/>
      <c r="AD549" s="741"/>
      <c r="AE549" s="399">
        <f>SUM(M549,AG549)-SUM(O549,AI549)-L549</f>
        <v>-1</v>
      </c>
      <c r="AF549" s="30">
        <f>Q549</f>
        <v>1</v>
      </c>
      <c r="AG549" s="301">
        <f>AG273+AG385</f>
        <v>0</v>
      </c>
      <c r="AH549" s="31">
        <f>AG549-AF549</f>
        <v>-1</v>
      </c>
      <c r="AI549" s="241"/>
      <c r="AJ549" s="241"/>
      <c r="AK549" s="36">
        <f>AF549+AI549-AJ549</f>
        <v>1</v>
      </c>
      <c r="AL549" s="122"/>
      <c r="AM549" s="201"/>
      <c r="AN549" s="321"/>
      <c r="AO549" s="710"/>
      <c r="AP549" s="272"/>
      <c r="AQ549" s="201"/>
      <c r="AR549" s="273"/>
      <c r="AS549" s="714"/>
      <c r="AT549" s="122"/>
      <c r="AU549" s="201"/>
      <c r="AV549" s="36"/>
      <c r="AW549" s="297"/>
      <c r="AX549" s="297"/>
      <c r="AY549" s="396">
        <f>SUM(M549,AG549,BA549)-SUM(O549,AI549,BC549)-L549</f>
        <v>-1</v>
      </c>
      <c r="AZ549" s="30">
        <f t="shared" ref="AZ549" si="1221">AK549</f>
        <v>1</v>
      </c>
      <c r="BA549" s="301">
        <f>BA273+BA385</f>
        <v>0</v>
      </c>
      <c r="BB549" s="31">
        <f>BA549-AZ549</f>
        <v>-1</v>
      </c>
      <c r="BC549" s="241"/>
      <c r="BD549" s="241"/>
      <c r="BE549" s="36">
        <f>AZ549+BC549-BD549</f>
        <v>1</v>
      </c>
      <c r="BF549" s="272"/>
      <c r="BG549" s="201"/>
      <c r="BH549" s="273"/>
      <c r="BI549" s="714"/>
      <c r="BJ549" s="272"/>
      <c r="BK549" s="201"/>
      <c r="BL549" s="321"/>
      <c r="BM549" s="710"/>
      <c r="BN549" s="272"/>
      <c r="BO549" s="201"/>
      <c r="BP549" s="321"/>
      <c r="BQ549" s="740"/>
      <c r="BR549" s="740"/>
      <c r="BS549" s="396">
        <f>SUM(M549,AG549,BA549,BU549)-SUM(O549,AI549,BC549,BW549)-L549</f>
        <v>-1</v>
      </c>
      <c r="BT549" s="30">
        <f t="shared" ref="BT549" si="1222">BE549</f>
        <v>1</v>
      </c>
      <c r="BU549" s="301">
        <f>BU273+BU385</f>
        <v>0</v>
      </c>
      <c r="BV549" s="31">
        <f>BU549-BT549</f>
        <v>-1</v>
      </c>
      <c r="BW549" s="284"/>
      <c r="BX549" s="241"/>
      <c r="BY549" s="36">
        <f>BT549+BW549-BX549</f>
        <v>1</v>
      </c>
      <c r="BZ549" s="272"/>
      <c r="CA549" s="201"/>
      <c r="CB549" s="321"/>
      <c r="CC549" s="710"/>
      <c r="CD549" s="272"/>
      <c r="CE549" s="201"/>
      <c r="CF549" s="273"/>
      <c r="CG549" s="714"/>
      <c r="CH549" s="122"/>
      <c r="CI549" s="201"/>
      <c r="CJ549" s="36"/>
      <c r="CK549" s="297"/>
      <c r="CL549" s="297"/>
      <c r="CM549" s="396">
        <f>SUM(M549,AG549,BA549,BU549,CO549)-SUM(O549,AI549,BC549,BW549,CQ549)-L549</f>
        <v>-1</v>
      </c>
      <c r="CN549" s="30">
        <f t="shared" ref="CN549" si="1223">BY549</f>
        <v>1</v>
      </c>
      <c r="CO549" s="301">
        <f>CO273+CO385</f>
        <v>0</v>
      </c>
      <c r="CP549" s="31">
        <f>CO549-CN549</f>
        <v>-1</v>
      </c>
      <c r="CQ549" s="241"/>
      <c r="CR549" s="241"/>
      <c r="CS549" s="36">
        <f>CN549+CQ549-CR549</f>
        <v>1</v>
      </c>
      <c r="CT549" s="272"/>
      <c r="CU549" s="201"/>
      <c r="CV549" s="273"/>
      <c r="CW549" s="714"/>
      <c r="CX549" s="272"/>
      <c r="CY549" s="201"/>
      <c r="CZ549" s="273"/>
      <c r="DA549" s="714"/>
      <c r="DB549" s="122"/>
      <c r="DC549" s="201"/>
      <c r="DD549" s="36"/>
      <c r="DE549" s="297"/>
      <c r="DF549" s="297"/>
      <c r="DG549" s="396">
        <f>SUM(M549,AG549,BA549,BU549,DI549)-SUM(O549,AI549,BC549,BW549,CQ549)-L549</f>
        <v>-1</v>
      </c>
      <c r="DH549" s="296">
        <f t="shared" si="1220"/>
        <v>1</v>
      </c>
      <c r="DI549" s="301">
        <f>DI273+DI385</f>
        <v>0</v>
      </c>
      <c r="DJ549" s="31">
        <f>DI549-DH549</f>
        <v>-1</v>
      </c>
      <c r="DK549" s="241"/>
      <c r="DL549" s="241"/>
      <c r="DM549" s="36">
        <f>DH549+DK549-DL549</f>
        <v>1</v>
      </c>
    </row>
    <row r="550" spans="1:117" ht="15.75" thickBot="1" x14ac:dyDescent="0.3">
      <c r="P550" s="248"/>
      <c r="AJ550" s="248"/>
      <c r="BD550" s="248"/>
      <c r="BX550" s="248"/>
      <c r="CR550" s="248"/>
      <c r="DL550" s="248"/>
    </row>
    <row r="551" spans="1:117" ht="15.75" thickBot="1" x14ac:dyDescent="0.3">
      <c r="A551" s="456"/>
      <c r="B551" s="457" t="s">
        <v>415</v>
      </c>
      <c r="C551" s="456"/>
      <c r="D551" s="458"/>
      <c r="E551" s="458"/>
      <c r="F551" s="562"/>
      <c r="G551" s="459"/>
      <c r="H551" s="454"/>
      <c r="I551" s="454"/>
      <c r="J551" s="456">
        <f>SUM(M551,AG551,BA551,BU551)</f>
        <v>3</v>
      </c>
      <c r="K551" s="456"/>
      <c r="L551" s="460"/>
      <c r="M551" s="461">
        <v>0</v>
      </c>
      <c r="N551" s="461"/>
      <c r="O551" s="461"/>
      <c r="P551" s="462"/>
      <c r="Q551" s="455"/>
      <c r="R551" s="464"/>
      <c r="S551" s="465"/>
      <c r="T551" s="463"/>
      <c r="U551" s="675"/>
      <c r="V551" s="464"/>
      <c r="W551" s="465"/>
      <c r="X551" s="463"/>
      <c r="Y551" s="675"/>
      <c r="Z551" s="464"/>
      <c r="AA551" s="465"/>
      <c r="AB551" s="463"/>
      <c r="AC551" s="455"/>
      <c r="AD551" s="455"/>
      <c r="AE551" s="456">
        <f>SUM(AG551,BA551,BU551)</f>
        <v>3</v>
      </c>
      <c r="AF551" s="460"/>
      <c r="AG551" s="461">
        <v>1</v>
      </c>
      <c r="AH551" s="461"/>
      <c r="AI551" s="461"/>
      <c r="AJ551" s="462"/>
      <c r="AK551" s="455"/>
      <c r="AL551" s="464"/>
      <c r="AM551" s="465"/>
      <c r="AN551" s="463"/>
      <c r="AO551" s="675"/>
      <c r="AP551" s="464"/>
      <c r="AQ551" s="465"/>
      <c r="AR551" s="463"/>
      <c r="AS551" s="675"/>
      <c r="AT551" s="464"/>
      <c r="AU551" s="465"/>
      <c r="AV551" s="463"/>
      <c r="AW551" s="455"/>
      <c r="AX551" s="455"/>
      <c r="AY551" s="456">
        <f>SUM(BA551,BU551)</f>
        <v>2</v>
      </c>
      <c r="AZ551" s="460"/>
      <c r="BA551" s="461">
        <v>1</v>
      </c>
      <c r="BB551" s="461"/>
      <c r="BC551" s="461"/>
      <c r="BD551" s="462"/>
      <c r="BE551" s="455"/>
      <c r="BF551" s="464"/>
      <c r="BG551" s="465"/>
      <c r="BH551" s="463"/>
      <c r="BI551" s="675"/>
      <c r="BJ551" s="464"/>
      <c r="BK551" s="465"/>
      <c r="BL551" s="463"/>
      <c r="BM551" s="675"/>
      <c r="BN551" s="464"/>
      <c r="BO551" s="465"/>
      <c r="BP551" s="463"/>
      <c r="BQ551" s="455"/>
      <c r="BR551" s="455"/>
      <c r="BS551" s="456">
        <f>BU551</f>
        <v>1</v>
      </c>
      <c r="BT551" s="460"/>
      <c r="BU551" s="461">
        <v>1</v>
      </c>
      <c r="BV551" s="461"/>
      <c r="BW551" s="461"/>
      <c r="BX551" s="462">
        <f>4+1+1+1+1+1+1+1</f>
        <v>11</v>
      </c>
      <c r="BY551" s="455"/>
      <c r="BZ551" s="464"/>
      <c r="CA551" s="465"/>
      <c r="CB551" s="463"/>
      <c r="CC551" s="675"/>
      <c r="CD551" s="464"/>
      <c r="CE551" s="465"/>
      <c r="CF551" s="463"/>
      <c r="CG551" s="675"/>
      <c r="CH551" s="464"/>
      <c r="CI551" s="465"/>
      <c r="CJ551" s="463"/>
      <c r="CK551" s="455"/>
      <c r="CL551" s="455"/>
      <c r="CM551" s="456">
        <f>CO551</f>
        <v>0</v>
      </c>
      <c r="CN551" s="460"/>
      <c r="CO551" s="462"/>
      <c r="CP551" s="461"/>
      <c r="CQ551" s="461"/>
      <c r="CR551" s="462"/>
      <c r="CS551" s="455"/>
      <c r="CT551" s="464"/>
      <c r="CU551" s="465"/>
      <c r="CV551" s="463"/>
      <c r="CW551" s="675"/>
      <c r="CX551" s="464"/>
      <c r="CY551" s="465"/>
      <c r="CZ551" s="463"/>
      <c r="DA551" s="675"/>
      <c r="DB551" s="464"/>
      <c r="DC551" s="465"/>
      <c r="DD551" s="463"/>
      <c r="DE551" s="455"/>
      <c r="DF551" s="455"/>
      <c r="DG551" s="456">
        <f>DI551</f>
        <v>0</v>
      </c>
      <c r="DH551" s="460"/>
      <c r="DI551" s="462"/>
      <c r="DJ551" s="461"/>
      <c r="DK551" s="461"/>
      <c r="DL551" s="462"/>
      <c r="DM551" s="455"/>
    </row>
    <row r="552" spans="1:117" ht="90" x14ac:dyDescent="0.25">
      <c r="A552" s="84">
        <v>22892</v>
      </c>
      <c r="B552" s="89" t="s">
        <v>370</v>
      </c>
      <c r="C552" s="84"/>
      <c r="D552" s="90" t="s">
        <v>720</v>
      </c>
      <c r="E552" s="90"/>
      <c r="F552" s="339"/>
      <c r="G552" s="83"/>
      <c r="H552" s="85"/>
      <c r="I552" s="85"/>
      <c r="J552" s="84">
        <f>SUM(M552,AG552,BA552,BU552)</f>
        <v>25</v>
      </c>
      <c r="K552" s="84"/>
      <c r="L552" s="86"/>
      <c r="M552" s="306">
        <f>SUM(M266,M274,M275,M441)+2-SUM(M266,M274,M275,M441)</f>
        <v>2</v>
      </c>
      <c r="N552" s="87"/>
      <c r="O552" s="87"/>
      <c r="P552" s="252">
        <f>1+1</f>
        <v>2</v>
      </c>
      <c r="Q552" s="238"/>
      <c r="R552" s="135">
        <f>SUM(R553:R555)</f>
        <v>0</v>
      </c>
      <c r="S552" s="136">
        <f>SUM(S553:S555)</f>
        <v>0</v>
      </c>
      <c r="T552" s="88"/>
      <c r="U552" s="223"/>
      <c r="V552" s="135">
        <f>SUM(V553:V555)</f>
        <v>0</v>
      </c>
      <c r="W552" s="136">
        <f>SUM(W553:W555)</f>
        <v>0</v>
      </c>
      <c r="X552" s="88"/>
      <c r="Y552" s="223"/>
      <c r="Z552" s="135">
        <f>SUM(Z553:Z555)</f>
        <v>0</v>
      </c>
      <c r="AA552" s="136">
        <f>SUM(AA553:AA555)</f>
        <v>0</v>
      </c>
      <c r="AB552" s="88"/>
      <c r="AC552" s="238"/>
      <c r="AD552" s="238"/>
      <c r="AE552" s="84">
        <f>SUM(AG552,BA552,BU552)</f>
        <v>23</v>
      </c>
      <c r="AF552" s="86"/>
      <c r="AG552" s="306">
        <f>SUM(AG266,AG274,AG275,AG441)</f>
        <v>1</v>
      </c>
      <c r="AH552" s="87"/>
      <c r="AI552" s="87"/>
      <c r="AJ552" s="252">
        <f>1+1+1+1+1+1</f>
        <v>6</v>
      </c>
      <c r="AK552" s="238"/>
      <c r="AL552" s="135">
        <f>SUM(AL553:AL555)</f>
        <v>0</v>
      </c>
      <c r="AM552" s="136">
        <f>SUM(AM553:AM555)</f>
        <v>0</v>
      </c>
      <c r="AN552" s="88"/>
      <c r="AO552" s="223"/>
      <c r="AP552" s="135">
        <f>SUM(AP553:AP555)</f>
        <v>0</v>
      </c>
      <c r="AQ552" s="136">
        <f>SUM(AQ553:AQ555)</f>
        <v>0</v>
      </c>
      <c r="AR552" s="88"/>
      <c r="AS552" s="223"/>
      <c r="AT552" s="135">
        <f>SUM(AT553:AT555)</f>
        <v>0</v>
      </c>
      <c r="AU552" s="136">
        <f>SUM(AU553:AU555)</f>
        <v>0</v>
      </c>
      <c r="AV552" s="88"/>
      <c r="AW552" s="238"/>
      <c r="AX552" s="238"/>
      <c r="AY552" s="84">
        <f>SUM(BA552,BU552)</f>
        <v>22</v>
      </c>
      <c r="AZ552" s="86"/>
      <c r="BA552" s="306">
        <f>SUM(BA266,BA274,BA275,BA441)</f>
        <v>9</v>
      </c>
      <c r="BB552" s="87"/>
      <c r="BC552" s="87"/>
      <c r="BD552" s="252">
        <f>1+1+1+1+1+1+1+1</f>
        <v>8</v>
      </c>
      <c r="BE552" s="238"/>
      <c r="BF552" s="135">
        <f>SUM(BF553:BF555)</f>
        <v>0</v>
      </c>
      <c r="BG552" s="136">
        <f>SUM(BG553:BG555)</f>
        <v>0</v>
      </c>
      <c r="BH552" s="88"/>
      <c r="BI552" s="223"/>
      <c r="BJ552" s="135">
        <f>SUM(BJ553:BJ555)</f>
        <v>0</v>
      </c>
      <c r="BK552" s="136">
        <f>SUM(BK553:BK555)</f>
        <v>0</v>
      </c>
      <c r="BL552" s="88"/>
      <c r="BM552" s="223"/>
      <c r="BN552" s="135">
        <f>SUM(BN553:BN555)</f>
        <v>293802.59999999998</v>
      </c>
      <c r="BO552" s="136">
        <f>SUM(BO553:BO555)</f>
        <v>0</v>
      </c>
      <c r="BP552" s="88"/>
      <c r="BQ552" s="238"/>
      <c r="BR552" s="238"/>
      <c r="BS552" s="84">
        <f>BU552</f>
        <v>13</v>
      </c>
      <c r="BT552" s="86"/>
      <c r="BU552" s="306">
        <f>SUM(BU266,BU274,BU275,BU441)</f>
        <v>13</v>
      </c>
      <c r="BV552" s="87"/>
      <c r="BW552" s="87"/>
      <c r="BX552" s="252"/>
      <c r="BY552" s="238"/>
      <c r="BZ552" s="135">
        <f>SUM(BZ553:BZ555)</f>
        <v>0</v>
      </c>
      <c r="CA552" s="136">
        <f>SUM(CA553:CA555)</f>
        <v>0</v>
      </c>
      <c r="CB552" s="88"/>
      <c r="CC552" s="223"/>
      <c r="CD552" s="135">
        <f>SUM(CD553:CD555)</f>
        <v>107727.5</v>
      </c>
      <c r="CE552" s="136">
        <f>SUM(CE553:CE555)</f>
        <v>430910</v>
      </c>
      <c r="CF552" s="88"/>
      <c r="CG552" s="223"/>
      <c r="CH552" s="135">
        <f>SUM(CH553:CH555)</f>
        <v>0</v>
      </c>
      <c r="CI552" s="136">
        <f>SUM(CI553:CI555)</f>
        <v>0</v>
      </c>
      <c r="CJ552" s="88"/>
      <c r="CK552" s="238"/>
      <c r="CL552" s="238"/>
      <c r="CM552" s="84">
        <f>CO552</f>
        <v>0</v>
      </c>
      <c r="CN552" s="86"/>
      <c r="CO552" s="306">
        <f>SUM(CO266,CO274,CO275,CO441)</f>
        <v>0</v>
      </c>
      <c r="CP552" s="87"/>
      <c r="CQ552" s="87"/>
      <c r="CR552" s="252"/>
      <c r="CS552" s="238"/>
      <c r="CT552" s="135">
        <f>SUM(CT553:CT555)</f>
        <v>0</v>
      </c>
      <c r="CU552" s="136">
        <f>SUM(CU553:CU555)</f>
        <v>0</v>
      </c>
      <c r="CV552" s="88"/>
      <c r="CW552" s="223"/>
      <c r="CX552" s="135">
        <f>SUM(CX553:CX555)</f>
        <v>0</v>
      </c>
      <c r="CY552" s="136">
        <f>SUM(CY553:CY555)</f>
        <v>0</v>
      </c>
      <c r="CZ552" s="88"/>
      <c r="DA552" s="223"/>
      <c r="DB552" s="135">
        <f>SUM(DB553:DB555)</f>
        <v>0</v>
      </c>
      <c r="DC552" s="136">
        <f>SUM(DC553:DC555)</f>
        <v>0</v>
      </c>
      <c r="DD552" s="88"/>
      <c r="DE552" s="238"/>
      <c r="DF552" s="238"/>
      <c r="DG552" s="84">
        <f>DI552</f>
        <v>0</v>
      </c>
      <c r="DH552" s="86"/>
      <c r="DI552" s="306">
        <f>SUM(DI266,DI274,DI275,DI441)</f>
        <v>0</v>
      </c>
      <c r="DJ552" s="87"/>
      <c r="DK552" s="87"/>
      <c r="DL552" s="252"/>
      <c r="DM552" s="238"/>
    </row>
    <row r="553" spans="1:117" x14ac:dyDescent="0.25">
      <c r="A553" s="17"/>
      <c r="B553" s="11" t="s">
        <v>216</v>
      </c>
      <c r="C553" s="17"/>
      <c r="D553" s="80"/>
      <c r="E553" s="80"/>
      <c r="F553" s="337"/>
      <c r="G553" s="10"/>
      <c r="H553" s="24"/>
      <c r="I553" s="24"/>
      <c r="J553" s="534">
        <f>SUM(M553,AG553,BA553,BU553)-L553</f>
        <v>2</v>
      </c>
      <c r="K553" s="395">
        <f t="shared" ref="K553:K555" si="1224">M553-O553-L553</f>
        <v>-24</v>
      </c>
      <c r="L553" s="515">
        <v>26</v>
      </c>
      <c r="M553" s="344">
        <f>SUM(M551:M552)</f>
        <v>2</v>
      </c>
      <c r="N553" s="5">
        <f>M553-L553</f>
        <v>-24</v>
      </c>
      <c r="O553" s="256"/>
      <c r="P553" s="303">
        <f>SUM(P551:P552)</f>
        <v>2</v>
      </c>
      <c r="Q553" s="35">
        <f>L553+O553-P553</f>
        <v>24</v>
      </c>
      <c r="R553" s="123"/>
      <c r="S553" s="8"/>
      <c r="T553" s="34"/>
      <c r="U553" s="713"/>
      <c r="V553" s="123"/>
      <c r="W553" s="8"/>
      <c r="X553" s="34"/>
      <c r="Y553" s="713"/>
      <c r="Z553" s="20"/>
      <c r="AA553" s="8"/>
      <c r="AB553" s="34"/>
      <c r="AC553" s="234"/>
      <c r="AD553" s="234"/>
      <c r="AE553" s="398">
        <f>SUM(M553,AG553)-SUM(O553,AI553)-L553</f>
        <v>-22</v>
      </c>
      <c r="AF553" s="32">
        <f>Q553</f>
        <v>24</v>
      </c>
      <c r="AG553" s="344">
        <f>SUM(AG551:AG552)</f>
        <v>2</v>
      </c>
      <c r="AH553" s="5">
        <f>AG553-AF553</f>
        <v>-22</v>
      </c>
      <c r="AI553" s="5"/>
      <c r="AJ553" s="303">
        <f>SUM(AJ551:AJ552)</f>
        <v>6</v>
      </c>
      <c r="AK553" s="35">
        <f>AF553+AI553-AJ553</f>
        <v>18</v>
      </c>
      <c r="AL553" s="123"/>
      <c r="AM553" s="8"/>
      <c r="AN553" s="34"/>
      <c r="AO553" s="713"/>
      <c r="AP553" s="123"/>
      <c r="AQ553" s="8"/>
      <c r="AR553" s="34"/>
      <c r="AS553" s="713"/>
      <c r="AT553" s="20"/>
      <c r="AU553" s="8"/>
      <c r="AV553" s="34"/>
      <c r="AW553" s="234"/>
      <c r="AX553" s="234"/>
      <c r="AY553" s="395">
        <f>SUM(M553,AG553,BA553)-SUM(O553,AI553,BC553)-L553</f>
        <v>-12</v>
      </c>
      <c r="AZ553" s="32">
        <f>AK553</f>
        <v>18</v>
      </c>
      <c r="BA553" s="344">
        <f>SUM(BA551:BA552)</f>
        <v>10</v>
      </c>
      <c r="BB553" s="5">
        <f>BA553-AZ553</f>
        <v>-8</v>
      </c>
      <c r="BC553" s="256"/>
      <c r="BD553" s="303">
        <f>SUM(BD551:BD552)</f>
        <v>8</v>
      </c>
      <c r="BE553" s="35">
        <f>AZ553+BC553-BD553</f>
        <v>10</v>
      </c>
      <c r="BF553" s="123"/>
      <c r="BG553" s="8"/>
      <c r="BH553" s="440"/>
      <c r="BI553" s="771"/>
      <c r="BJ553" s="123"/>
      <c r="BK553" s="8"/>
      <c r="BL553" s="440"/>
      <c r="BM553" s="771"/>
      <c r="BN553" s="20"/>
      <c r="BO553" s="8"/>
      <c r="BP553" s="34"/>
      <c r="BQ553" s="234"/>
      <c r="BR553" s="234"/>
      <c r="BS553" s="395">
        <f>SUM(M553,AG553,BA553,BU553)-SUM(O553,AI553,BC553,BW553)-L553</f>
        <v>2</v>
      </c>
      <c r="BT553" s="32">
        <f>BE553</f>
        <v>10</v>
      </c>
      <c r="BU553" s="344">
        <f>SUM(BU551:BU552)</f>
        <v>14</v>
      </c>
      <c r="BV553" s="5">
        <f>BU553-BT553</f>
        <v>4</v>
      </c>
      <c r="BW553" s="256"/>
      <c r="BX553" s="303">
        <f>SUM(BX551:BX552)</f>
        <v>11</v>
      </c>
      <c r="BY553" s="35">
        <f>BT553+BW553-BX553</f>
        <v>-1</v>
      </c>
      <c r="BZ553" s="123"/>
      <c r="CA553" s="8"/>
      <c r="CB553" s="34"/>
      <c r="CC553" s="713"/>
      <c r="CD553" s="123"/>
      <c r="CE553" s="8"/>
      <c r="CF553" s="34"/>
      <c r="CG553" s="713"/>
      <c r="CH553" s="20"/>
      <c r="CI553" s="8"/>
      <c r="CJ553" s="34"/>
      <c r="CK553" s="234"/>
      <c r="CL553" s="234"/>
      <c r="CM553" s="395">
        <f>SUM(M553,AG553,BA553,BU553,CO553)-SUM(O553,AI553,BC553,BW553,CQ553)-L553</f>
        <v>2</v>
      </c>
      <c r="CN553" s="32">
        <f>BY553</f>
        <v>-1</v>
      </c>
      <c r="CO553" s="344">
        <f>SUM(CO551:CO552)</f>
        <v>0</v>
      </c>
      <c r="CP553" s="5">
        <f>CO553-CN553</f>
        <v>1</v>
      </c>
      <c r="CQ553" s="240"/>
      <c r="CR553" s="303">
        <f>SUM(CR551:CR552)</f>
        <v>0</v>
      </c>
      <c r="CS553" s="35">
        <f>CN553+CQ553-CR553</f>
        <v>-1</v>
      </c>
      <c r="CT553" s="123"/>
      <c r="CU553" s="8"/>
      <c r="CV553" s="34"/>
      <c r="CW553" s="713"/>
      <c r="CX553" s="123"/>
      <c r="CY553" s="8"/>
      <c r="CZ553" s="34"/>
      <c r="DA553" s="713"/>
      <c r="DB553" s="20"/>
      <c r="DC553" s="8"/>
      <c r="DD553" s="34"/>
      <c r="DE553" s="234"/>
      <c r="DF553" s="234"/>
      <c r="DG553" s="395">
        <f>SUM(M553,AG553,BA553,BU553,DI553)-SUM(O553,AI553,BC553,BW553,CQ553)-L553</f>
        <v>2</v>
      </c>
      <c r="DH553" s="32">
        <f t="shared" ref="DH553:DH555" si="1225">BY553</f>
        <v>-1</v>
      </c>
      <c r="DI553" s="344">
        <f>SUM(DI551:DI552)</f>
        <v>0</v>
      </c>
      <c r="DJ553" s="5">
        <f>DI553-DH553</f>
        <v>1</v>
      </c>
      <c r="DK553" s="240"/>
      <c r="DL553" s="303">
        <f>SUM(DL551:DL552)</f>
        <v>0</v>
      </c>
      <c r="DM553" s="35">
        <f>DH553+DK553-DL553</f>
        <v>-1</v>
      </c>
    </row>
    <row r="554" spans="1:117" x14ac:dyDescent="0.25">
      <c r="A554" s="262"/>
      <c r="B554" s="11" t="s">
        <v>624</v>
      </c>
      <c r="C554" s="262">
        <v>1</v>
      </c>
      <c r="D554" s="419"/>
      <c r="E554" s="419"/>
      <c r="F554" s="510">
        <v>10</v>
      </c>
      <c r="G554" s="518" t="s">
        <v>757</v>
      </c>
      <c r="H554" s="420"/>
      <c r="I554" s="420"/>
      <c r="J554" s="534">
        <f>SUM(M554,AG554,BA554,BU554)-L554</f>
        <v>-26</v>
      </c>
      <c r="K554" s="395">
        <f t="shared" si="1224"/>
        <v>-52</v>
      </c>
      <c r="L554" s="546">
        <v>54</v>
      </c>
      <c r="M554" s="520">
        <f>SUM(M551:M552)</f>
        <v>2</v>
      </c>
      <c r="N554" s="5">
        <f>M554-L554</f>
        <v>-52</v>
      </c>
      <c r="O554" s="256"/>
      <c r="P554" s="376">
        <f>SUM(P551:P552)</f>
        <v>2</v>
      </c>
      <c r="Q554" s="35">
        <f>L554+O554-P554</f>
        <v>52</v>
      </c>
      <c r="R554" s="421"/>
      <c r="S554" s="416"/>
      <c r="T554" s="415"/>
      <c r="V554" s="421"/>
      <c r="W554" s="416"/>
      <c r="X554" s="415"/>
      <c r="Z554" s="421"/>
      <c r="AA554" s="416"/>
      <c r="AB554" s="415"/>
      <c r="AC554" s="619"/>
      <c r="AD554" s="619"/>
      <c r="AE554" s="398">
        <f>SUM(M554,AG554)-SUM(O554,AI554)-L554</f>
        <v>-50</v>
      </c>
      <c r="AF554" s="32">
        <f>Q554</f>
        <v>52</v>
      </c>
      <c r="AG554" s="520">
        <f>SUM(AG551:AG552)</f>
        <v>2</v>
      </c>
      <c r="AH554" s="5">
        <f>AG554-AF554</f>
        <v>-50</v>
      </c>
      <c r="AI554" s="258"/>
      <c r="AJ554" s="376">
        <f>SUM(AJ551:AJ552)</f>
        <v>6</v>
      </c>
      <c r="AK554" s="35">
        <f>AF554+AI554-AJ554</f>
        <v>46</v>
      </c>
      <c r="AL554" s="421"/>
      <c r="AM554" s="416"/>
      <c r="AN554" s="415"/>
      <c r="AP554" s="421"/>
      <c r="AQ554" s="416"/>
      <c r="AR554" s="415"/>
      <c r="AT554" s="421"/>
      <c r="AU554" s="416"/>
      <c r="AV554" s="415"/>
      <c r="AW554" s="619"/>
      <c r="AX554" s="619"/>
      <c r="AY554" s="395">
        <f>SUM(M554,AG554,BA554)-SUM(O554,AI554,BC554)-L554</f>
        <v>-40</v>
      </c>
      <c r="AZ554" s="32">
        <f>AK554</f>
        <v>46</v>
      </c>
      <c r="BA554" s="520">
        <f>SUM(BA551:BA552)</f>
        <v>10</v>
      </c>
      <c r="BB554" s="5">
        <f>BA554-AZ554</f>
        <v>-36</v>
      </c>
      <c r="BC554" s="240"/>
      <c r="BD554" s="376">
        <f>SUM(BD551:BD552)</f>
        <v>8</v>
      </c>
      <c r="BE554" s="35">
        <f>AZ554+BC554-BD554</f>
        <v>38</v>
      </c>
      <c r="BF554" s="421"/>
      <c r="BG554" s="416"/>
      <c r="BH554" s="415"/>
      <c r="BJ554" s="421"/>
      <c r="BK554" s="416"/>
      <c r="BL554" s="415"/>
      <c r="BN554" s="421"/>
      <c r="BO554" s="416"/>
      <c r="BP554" s="415"/>
      <c r="BQ554" s="619"/>
      <c r="BR554" s="619"/>
      <c r="BS554" s="395">
        <f>SUM(M554,AG554,BA554,BU554)-SUM(O554,AI554,BC554,BW554)-L554</f>
        <v>-26</v>
      </c>
      <c r="BT554" s="32">
        <f>BE554</f>
        <v>38</v>
      </c>
      <c r="BU554" s="520">
        <f>SUM(BU551:BU552)</f>
        <v>14</v>
      </c>
      <c r="BV554" s="5">
        <f>BU554-BT554</f>
        <v>-24</v>
      </c>
      <c r="BW554" s="240"/>
      <c r="BX554" s="376">
        <f>SUM(BX551:BX552)</f>
        <v>11</v>
      </c>
      <c r="BY554" s="35">
        <f>BT554+BW554-BX554</f>
        <v>27</v>
      </c>
      <c r="BZ554" s="421"/>
      <c r="CA554" s="416"/>
      <c r="CB554" s="415"/>
      <c r="CD554" s="421"/>
      <c r="CE554" s="416"/>
      <c r="CF554" s="415"/>
      <c r="CH554" s="421"/>
      <c r="CI554" s="416"/>
      <c r="CJ554" s="415"/>
      <c r="CK554" s="619"/>
      <c r="CL554" s="619"/>
      <c r="CM554" s="395">
        <f>SUM(M554,AG554,BA554,BU554,CO554)-SUM(O554,AI554,BC554,BW554,CQ554)-L554</f>
        <v>-26</v>
      </c>
      <c r="CN554" s="32">
        <f>BY554</f>
        <v>27</v>
      </c>
      <c r="CO554" s="520">
        <f>SUM(CO551:CO552)</f>
        <v>0</v>
      </c>
      <c r="CP554" s="5">
        <f>CO554-CN554</f>
        <v>-27</v>
      </c>
      <c r="CQ554" s="244"/>
      <c r="CR554" s="376">
        <f>SUM(CR551:CR552)</f>
        <v>0</v>
      </c>
      <c r="CS554" s="35">
        <f>CN554+CQ554-CR554</f>
        <v>27</v>
      </c>
      <c r="CT554" s="421"/>
      <c r="CU554" s="416"/>
      <c r="CV554" s="415"/>
      <c r="CX554" s="421"/>
      <c r="CY554" s="416"/>
      <c r="CZ554" s="415"/>
      <c r="DB554" s="421"/>
      <c r="DC554" s="416"/>
      <c r="DD554" s="415"/>
      <c r="DE554" s="619"/>
      <c r="DF554" s="619"/>
      <c r="DG554" s="395">
        <f>SUM(M554,AG554,BA554,BU554,DI554)-SUM(O554,AI554,BC554,BW554,CQ554)-L554</f>
        <v>-26</v>
      </c>
      <c r="DH554" s="32">
        <f t="shared" si="1225"/>
        <v>27</v>
      </c>
      <c r="DI554" s="520">
        <f>SUM(DI551:DI552)</f>
        <v>0</v>
      </c>
      <c r="DJ554" s="5">
        <f>DI554-DH554</f>
        <v>-27</v>
      </c>
      <c r="DK554" s="244"/>
      <c r="DL554" s="376">
        <f>SUM(DL551:DL552)</f>
        <v>0</v>
      </c>
      <c r="DM554" s="35">
        <f>DH554+DK554-DL554</f>
        <v>27</v>
      </c>
    </row>
    <row r="555" spans="1:117" ht="45.75" thickBot="1" x14ac:dyDescent="0.3">
      <c r="A555" s="19">
        <v>22892</v>
      </c>
      <c r="B555" s="12" t="s">
        <v>488</v>
      </c>
      <c r="C555" s="19">
        <v>1</v>
      </c>
      <c r="D555" s="60"/>
      <c r="E555" s="60"/>
      <c r="F555" s="146">
        <v>39173.68</v>
      </c>
      <c r="G555" s="387" t="s">
        <v>10</v>
      </c>
      <c r="H555" s="28" t="s">
        <v>553</v>
      </c>
      <c r="I555" s="311"/>
      <c r="J555" s="533">
        <f>SUM(M555,AG555,BA555,BU555)-L555</f>
        <v>4</v>
      </c>
      <c r="K555" s="396">
        <f t="shared" si="1224"/>
        <v>-22</v>
      </c>
      <c r="L555" s="545">
        <v>26</v>
      </c>
      <c r="M555" s="519">
        <f>SUM(M545,M551,M552)</f>
        <v>4</v>
      </c>
      <c r="N555" s="31">
        <f>M555-L555</f>
        <v>-22</v>
      </c>
      <c r="O555" s="241"/>
      <c r="P555" s="305">
        <f>SUM(P545,P551,P552)</f>
        <v>4</v>
      </c>
      <c r="Q555" s="36">
        <f>L555+O555-P555</f>
        <v>22</v>
      </c>
      <c r="R555" s="272"/>
      <c r="S555" s="201"/>
      <c r="T555" s="321"/>
      <c r="U555" s="710"/>
      <c r="V555" s="272"/>
      <c r="W555" s="201"/>
      <c r="X555" s="321"/>
      <c r="Y555" s="710"/>
      <c r="Z555" s="122"/>
      <c r="AA555" s="201"/>
      <c r="AB555" s="36"/>
      <c r="AC555" s="232"/>
      <c r="AD555" s="232"/>
      <c r="AE555" s="399">
        <f>SUM(M555,AG555)-SUM(O555,AI555)-L555</f>
        <v>-20</v>
      </c>
      <c r="AF555" s="30">
        <f>Q555</f>
        <v>22</v>
      </c>
      <c r="AG555" s="519">
        <f>SUM(AG545,AG551,AG552)</f>
        <v>2</v>
      </c>
      <c r="AH555" s="31">
        <f>AG555-AF555</f>
        <v>-20</v>
      </c>
      <c r="AI555" s="31"/>
      <c r="AJ555" s="305">
        <f>SUM(AJ545,AJ551,AJ552)</f>
        <v>6</v>
      </c>
      <c r="AK555" s="36">
        <f>AF555+AI555-AJ555</f>
        <v>16</v>
      </c>
      <c r="AL555" s="314"/>
      <c r="AM555" s="201"/>
      <c r="AN555" s="36"/>
      <c r="AO555" s="220"/>
      <c r="AP555" s="314"/>
      <c r="AQ555" s="201"/>
      <c r="AR555" s="321"/>
      <c r="AS555" s="710"/>
      <c r="AT555" s="314"/>
      <c r="AU555" s="201"/>
      <c r="AV555" s="36"/>
      <c r="AW555" s="297"/>
      <c r="AX555" s="297"/>
      <c r="AY555" s="396">
        <f>SUM(M555,AG555,BA555)-SUM(O555,AI555,BC555)-L555</f>
        <v>-10</v>
      </c>
      <c r="AZ555" s="30">
        <f>AK555</f>
        <v>16</v>
      </c>
      <c r="BA555" s="519">
        <f>SUM(BA545,BA551,BA552)</f>
        <v>10</v>
      </c>
      <c r="BB555" s="31">
        <f>BA555-AZ555</f>
        <v>-6</v>
      </c>
      <c r="BC555" s="241"/>
      <c r="BD555" s="305">
        <f>SUM(BD545,BD551,BD552)</f>
        <v>8</v>
      </c>
      <c r="BE555" s="36">
        <f>AZ555+BC555-BD555</f>
        <v>8</v>
      </c>
      <c r="BF555" s="314"/>
      <c r="BG555" s="201"/>
      <c r="BH555" s="36"/>
      <c r="BI555" s="220"/>
      <c r="BJ555" s="314"/>
      <c r="BK555" s="201"/>
      <c r="BL555" s="36"/>
      <c r="BM555" s="220"/>
      <c r="BN555" s="652">
        <f>F555*15/2</f>
        <v>293802.59999999998</v>
      </c>
      <c r="BO555" s="647"/>
      <c r="BP555" s="648" t="s">
        <v>816</v>
      </c>
      <c r="BQ555" s="777"/>
      <c r="BR555" s="777"/>
      <c r="BS555" s="396">
        <f>SUM(M555,AG555,BA555,BU555)-SUM(O555,AI555,BC555,BW555)-L555</f>
        <v>-16</v>
      </c>
      <c r="BT555" s="30">
        <f>BE555</f>
        <v>8</v>
      </c>
      <c r="BU555" s="519">
        <f>SUM(BU545,BU551,BU552)</f>
        <v>14</v>
      </c>
      <c r="BV555" s="31">
        <f>BU555-BT555</f>
        <v>6</v>
      </c>
      <c r="BW555" s="645">
        <f>15+5</f>
        <v>20</v>
      </c>
      <c r="BX555" s="305">
        <f>SUM(BX545,BX551,BX552)</f>
        <v>11</v>
      </c>
      <c r="BY555" s="36">
        <f>BT555+BW555-BX555</f>
        <v>17</v>
      </c>
      <c r="BZ555" s="122"/>
      <c r="CA555" s="201"/>
      <c r="CB555" s="321"/>
      <c r="CC555" s="710"/>
      <c r="CD555" s="698">
        <v>107727.5</v>
      </c>
      <c r="CE555" s="670">
        <f>323182.5+107727.5</f>
        <v>430910</v>
      </c>
      <c r="CF555" s="699" t="s">
        <v>942</v>
      </c>
      <c r="CG555" s="799"/>
      <c r="CH555" s="122"/>
      <c r="CI555" s="217"/>
      <c r="CJ555" s="273"/>
      <c r="CK555" s="813"/>
      <c r="CL555" s="813"/>
      <c r="CM555" s="396">
        <f>SUM(M555,AG555,BA555,BU555,CO555)-SUM(O555,AI555,BC555,BW555,CQ555)-L555</f>
        <v>-16</v>
      </c>
      <c r="CN555" s="30">
        <f>BY555</f>
        <v>17</v>
      </c>
      <c r="CO555" s="519">
        <f>SUM(CO545,CO551,CO552)</f>
        <v>0</v>
      </c>
      <c r="CP555" s="31">
        <f>CO555-CN555</f>
        <v>-17</v>
      </c>
      <c r="CQ555" s="241"/>
      <c r="CR555" s="305">
        <f>SUM(CR545,CR551,CR552)</f>
        <v>0</v>
      </c>
      <c r="CS555" s="36">
        <f>CN555+CQ555-CR555</f>
        <v>17</v>
      </c>
      <c r="CT555" s="272"/>
      <c r="CU555" s="201"/>
      <c r="CV555" s="273"/>
      <c r="CW555" s="714"/>
      <c r="CX555" s="272"/>
      <c r="CY555" s="201"/>
      <c r="CZ555" s="273"/>
      <c r="DA555" s="714"/>
      <c r="DB555" s="122"/>
      <c r="DC555" s="201"/>
      <c r="DD555" s="36"/>
      <c r="DE555" s="297"/>
      <c r="DF555" s="297"/>
      <c r="DG555" s="396">
        <f>SUM(M555,AG555,BA555,BU555,DI555)-SUM(O555,AI555,BC555,BW555,CQ555)-L555</f>
        <v>-16</v>
      </c>
      <c r="DH555" s="296">
        <f t="shared" si="1225"/>
        <v>17</v>
      </c>
      <c r="DI555" s="519">
        <f>SUM(DI545,DI551,DI552)</f>
        <v>0</v>
      </c>
      <c r="DJ555" s="31">
        <f>DI555-DH555</f>
        <v>-17</v>
      </c>
      <c r="DK555" s="241"/>
      <c r="DL555" s="305">
        <f>SUM(DL545,DL551,DL552)</f>
        <v>0</v>
      </c>
      <c r="DM555" s="36">
        <f>DH555+DK555-DL555</f>
        <v>17</v>
      </c>
    </row>
    <row r="556" spans="1:117" ht="15.75" thickBot="1" x14ac:dyDescent="0.3">
      <c r="P556" s="248"/>
      <c r="AJ556" s="248"/>
      <c r="BD556" s="248"/>
      <c r="BX556" s="248"/>
      <c r="CR556" s="248"/>
      <c r="DL556" s="248"/>
    </row>
    <row r="557" spans="1:117" ht="15.75" thickBot="1" x14ac:dyDescent="0.3">
      <c r="A557" s="456"/>
      <c r="B557" s="457" t="s">
        <v>570</v>
      </c>
      <c r="C557" s="456"/>
      <c r="D557" s="458"/>
      <c r="E557" s="458"/>
      <c r="F557" s="562"/>
      <c r="G557" s="459"/>
      <c r="H557" s="454"/>
      <c r="I557" s="454"/>
      <c r="J557" s="456">
        <f>SUM(M557,AG557,BA557,BU557)</f>
        <v>2</v>
      </c>
      <c r="K557" s="456"/>
      <c r="L557" s="460"/>
      <c r="M557" s="461">
        <v>0</v>
      </c>
      <c r="N557" s="461"/>
      <c r="O557" s="461"/>
      <c r="P557" s="462"/>
      <c r="Q557" s="455"/>
      <c r="R557" s="464"/>
      <c r="S557" s="465"/>
      <c r="T557" s="463"/>
      <c r="U557" s="675"/>
      <c r="V557" s="464"/>
      <c r="W557" s="465"/>
      <c r="X557" s="463"/>
      <c r="Y557" s="675"/>
      <c r="Z557" s="464"/>
      <c r="AA557" s="465"/>
      <c r="AB557" s="463"/>
      <c r="AC557" s="455"/>
      <c r="AD557" s="455"/>
      <c r="AE557" s="456">
        <f>SUM(AG557,BA557,BU557)</f>
        <v>2</v>
      </c>
      <c r="AF557" s="460"/>
      <c r="AG557" s="461">
        <v>1</v>
      </c>
      <c r="AH557" s="461"/>
      <c r="AI557" s="461"/>
      <c r="AJ557" s="462"/>
      <c r="AK557" s="455"/>
      <c r="AL557" s="464"/>
      <c r="AM557" s="465"/>
      <c r="AN557" s="463"/>
      <c r="AO557" s="675"/>
      <c r="AP557" s="464"/>
      <c r="AQ557" s="465"/>
      <c r="AR557" s="463"/>
      <c r="AS557" s="675"/>
      <c r="AT557" s="464"/>
      <c r="AU557" s="465"/>
      <c r="AV557" s="463"/>
      <c r="AW557" s="455"/>
      <c r="AX557" s="455"/>
      <c r="AY557" s="456">
        <f>SUM(BA557,BU557)</f>
        <v>1</v>
      </c>
      <c r="AZ557" s="460"/>
      <c r="BA557" s="461">
        <f>1-1</f>
        <v>0</v>
      </c>
      <c r="BB557" s="461"/>
      <c r="BC557" s="461"/>
      <c r="BD557" s="462"/>
      <c r="BE557" s="455"/>
      <c r="BF557" s="464"/>
      <c r="BG557" s="465"/>
      <c r="BH557" s="463"/>
      <c r="BI557" s="675"/>
      <c r="BJ557" s="464"/>
      <c r="BK557" s="465"/>
      <c r="BL557" s="463"/>
      <c r="BM557" s="675"/>
      <c r="BN557" s="464"/>
      <c r="BO557" s="465"/>
      <c r="BP557" s="463"/>
      <c r="BQ557" s="455"/>
      <c r="BR557" s="455"/>
      <c r="BS557" s="456">
        <f>BU557</f>
        <v>1</v>
      </c>
      <c r="BT557" s="460"/>
      <c r="BU557" s="461">
        <v>1</v>
      </c>
      <c r="BV557" s="461"/>
      <c r="BW557" s="461"/>
      <c r="BX557" s="462"/>
      <c r="BY557" s="455"/>
      <c r="BZ557" s="464"/>
      <c r="CA557" s="465"/>
      <c r="CB557" s="463"/>
      <c r="CC557" s="675"/>
      <c r="CD557" s="464"/>
      <c r="CE557" s="465"/>
      <c r="CF557" s="463"/>
      <c r="CG557" s="675"/>
      <c r="CH557" s="464"/>
      <c r="CI557" s="465"/>
      <c r="CJ557" s="463"/>
      <c r="CK557" s="455"/>
      <c r="CL557" s="455"/>
      <c r="CM557" s="456">
        <f>CO557</f>
        <v>0</v>
      </c>
      <c r="CN557" s="460"/>
      <c r="CO557" s="462"/>
      <c r="CP557" s="461"/>
      <c r="CQ557" s="461"/>
      <c r="CR557" s="462"/>
      <c r="CS557" s="455"/>
      <c r="CT557" s="464"/>
      <c r="CU557" s="465"/>
      <c r="CV557" s="463"/>
      <c r="CW557" s="675"/>
      <c r="CX557" s="464"/>
      <c r="CY557" s="465"/>
      <c r="CZ557" s="463"/>
      <c r="DA557" s="675"/>
      <c r="DB557" s="464"/>
      <c r="DC557" s="465"/>
      <c r="DD557" s="463"/>
      <c r="DE557" s="455"/>
      <c r="DF557" s="455"/>
      <c r="DG557" s="456">
        <f>DI557</f>
        <v>0</v>
      </c>
      <c r="DH557" s="460"/>
      <c r="DI557" s="462"/>
      <c r="DJ557" s="461"/>
      <c r="DK557" s="461"/>
      <c r="DL557" s="462"/>
      <c r="DM557" s="455"/>
    </row>
    <row r="558" spans="1:117" ht="45" x14ac:dyDescent="0.25">
      <c r="A558" s="84"/>
      <c r="B558" s="89" t="s">
        <v>571</v>
      </c>
      <c r="C558" s="84"/>
      <c r="D558" s="90" t="s">
        <v>721</v>
      </c>
      <c r="E558" s="90"/>
      <c r="F558" s="339"/>
      <c r="G558" s="83"/>
      <c r="H558" s="85"/>
      <c r="I558" s="85"/>
      <c r="J558" s="84">
        <f>SUM(M558,AG558,BA558,BU558)</f>
        <v>4</v>
      </c>
      <c r="K558" s="84"/>
      <c r="L558" s="86"/>
      <c r="M558" s="306">
        <f>M453</f>
        <v>0</v>
      </c>
      <c r="N558" s="87"/>
      <c r="O558" s="87"/>
      <c r="P558" s="252"/>
      <c r="Q558" s="238"/>
      <c r="R558" s="135">
        <f>SUM(R559:R585)</f>
        <v>0</v>
      </c>
      <c r="S558" s="136">
        <f>SUM(S559:S585)</f>
        <v>0</v>
      </c>
      <c r="T558" s="88"/>
      <c r="U558" s="223"/>
      <c r="V558" s="135">
        <f>SUM(V559:V585)</f>
        <v>0</v>
      </c>
      <c r="W558" s="136">
        <f>SUM(W559:W585)</f>
        <v>0</v>
      </c>
      <c r="X558" s="88"/>
      <c r="Y558" s="223"/>
      <c r="Z558" s="135">
        <f>SUM(Z559:Z585)</f>
        <v>0</v>
      </c>
      <c r="AA558" s="136">
        <f>SUM(AA559:AA585)</f>
        <v>0</v>
      </c>
      <c r="AB558" s="88"/>
      <c r="AC558" s="238"/>
      <c r="AD558" s="238"/>
      <c r="AE558" s="84">
        <f>SUM(AG558,BA558,BU558)</f>
        <v>4</v>
      </c>
      <c r="AF558" s="86"/>
      <c r="AG558" s="306">
        <f>AG453</f>
        <v>0</v>
      </c>
      <c r="AH558" s="87"/>
      <c r="AI558" s="87"/>
      <c r="AJ558" s="252"/>
      <c r="AK558" s="238"/>
      <c r="AL558" s="135">
        <f>SUM(AL559:AL585)</f>
        <v>0</v>
      </c>
      <c r="AM558" s="136">
        <f>SUM(AM559:AM585)</f>
        <v>0</v>
      </c>
      <c r="AN558" s="88"/>
      <c r="AO558" s="223"/>
      <c r="AP558" s="135">
        <f>SUM(AP559:AP585)</f>
        <v>0</v>
      </c>
      <c r="AQ558" s="136">
        <f>SUM(AQ559:AQ585)</f>
        <v>0</v>
      </c>
      <c r="AR558" s="88"/>
      <c r="AS558" s="223"/>
      <c r="AT558" s="135">
        <f>SUM(AT559:AT585)</f>
        <v>0</v>
      </c>
      <c r="AU558" s="136">
        <f>SUM(AU559:AU585)</f>
        <v>0</v>
      </c>
      <c r="AV558" s="88"/>
      <c r="AW558" s="238"/>
      <c r="AX558" s="238"/>
      <c r="AY558" s="84">
        <f>SUM(BA558,BU558)</f>
        <v>4</v>
      </c>
      <c r="AZ558" s="86"/>
      <c r="BA558" s="306">
        <f>BA453</f>
        <v>1</v>
      </c>
      <c r="BB558" s="87"/>
      <c r="BC558" s="87"/>
      <c r="BD558" s="252"/>
      <c r="BE558" s="238"/>
      <c r="BF558" s="135">
        <f>SUM(BF559:BF585)</f>
        <v>0</v>
      </c>
      <c r="BG558" s="136">
        <f>SUM(BG559:BG585)</f>
        <v>0</v>
      </c>
      <c r="BH558" s="88"/>
      <c r="BI558" s="223"/>
      <c r="BJ558" s="135">
        <f>SUM(BJ559:BJ585)</f>
        <v>0</v>
      </c>
      <c r="BK558" s="136">
        <f>SUM(BK559:BK585)</f>
        <v>0</v>
      </c>
      <c r="BL558" s="88"/>
      <c r="BM558" s="223"/>
      <c r="BN558" s="135">
        <f>SUM(BN559:BN585)</f>
        <v>0</v>
      </c>
      <c r="BO558" s="136">
        <f>SUM(BO559:BO585)</f>
        <v>0</v>
      </c>
      <c r="BP558" s="88"/>
      <c r="BQ558" s="238"/>
      <c r="BR558" s="238"/>
      <c r="BS558" s="84">
        <f>BU558</f>
        <v>3</v>
      </c>
      <c r="BT558" s="86"/>
      <c r="BU558" s="306">
        <f>BU453</f>
        <v>3</v>
      </c>
      <c r="BV558" s="87"/>
      <c r="BW558" s="87"/>
      <c r="BX558" s="252">
        <f>1+4</f>
        <v>5</v>
      </c>
      <c r="BY558" s="238"/>
      <c r="BZ558" s="135">
        <f>SUM(BZ559:BZ585)</f>
        <v>0</v>
      </c>
      <c r="CA558" s="136">
        <f>SUM(CA559:CA585)</f>
        <v>0</v>
      </c>
      <c r="CB558" s="88"/>
      <c r="CC558" s="223"/>
      <c r="CD558" s="135">
        <f>SUM(CD559:CD585)</f>
        <v>0</v>
      </c>
      <c r="CE558" s="136">
        <f>SUM(CE559:CE585)</f>
        <v>17460</v>
      </c>
      <c r="CF558" s="88"/>
      <c r="CG558" s="223"/>
      <c r="CH558" s="135">
        <f>SUM(CH559:CH585)</f>
        <v>0</v>
      </c>
      <c r="CI558" s="136">
        <f>SUM(CI559:CI585)</f>
        <v>0</v>
      </c>
      <c r="CJ558" s="88"/>
      <c r="CK558" s="238"/>
      <c r="CL558" s="238"/>
      <c r="CM558" s="84">
        <f>CO558</f>
        <v>0</v>
      </c>
      <c r="CN558" s="86"/>
      <c r="CO558" s="306">
        <f>CO453</f>
        <v>0</v>
      </c>
      <c r="CP558" s="87"/>
      <c r="CQ558" s="87"/>
      <c r="CR558" s="252"/>
      <c r="CS558" s="238"/>
      <c r="CT558" s="135">
        <f>SUM(CT559:CT585)</f>
        <v>0</v>
      </c>
      <c r="CU558" s="136">
        <f>SUM(CU559:CU585)</f>
        <v>0</v>
      </c>
      <c r="CV558" s="88"/>
      <c r="CW558" s="223"/>
      <c r="CX558" s="135">
        <f>SUM(CX559:CX585)</f>
        <v>0</v>
      </c>
      <c r="CY558" s="136">
        <f>SUM(CY559:CY585)</f>
        <v>0</v>
      </c>
      <c r="CZ558" s="88"/>
      <c r="DA558" s="223"/>
      <c r="DB558" s="135">
        <f>SUM(DB559:DB585)</f>
        <v>0</v>
      </c>
      <c r="DC558" s="136">
        <f>SUM(DC559:DC585)</f>
        <v>0</v>
      </c>
      <c r="DD558" s="88"/>
      <c r="DE558" s="238"/>
      <c r="DF558" s="238"/>
      <c r="DG558" s="84">
        <f>DI558</f>
        <v>0</v>
      </c>
      <c r="DH558" s="86"/>
      <c r="DI558" s="306">
        <f>DI453</f>
        <v>0</v>
      </c>
      <c r="DJ558" s="87"/>
      <c r="DK558" s="87"/>
      <c r="DL558" s="252"/>
      <c r="DM558" s="238"/>
    </row>
    <row r="559" spans="1:117" x14ac:dyDescent="0.25">
      <c r="A559" s="17"/>
      <c r="B559" s="11" t="s">
        <v>216</v>
      </c>
      <c r="C559" s="17"/>
      <c r="D559" s="80"/>
      <c r="E559" s="80"/>
      <c r="F559" s="337"/>
      <c r="G559" s="10" t="s">
        <v>198</v>
      </c>
      <c r="H559" s="24"/>
      <c r="I559" s="24"/>
      <c r="J559" s="534">
        <f>SUM(M559,AG559,BA559,BU559)-L559</f>
        <v>-27</v>
      </c>
      <c r="K559" s="395">
        <f t="shared" ref="K559:K585" si="1226">M559-O559-L559</f>
        <v>-33</v>
      </c>
      <c r="L559" s="515">
        <v>33</v>
      </c>
      <c r="M559" s="344">
        <f>SUM(M557:M558)</f>
        <v>0</v>
      </c>
      <c r="N559" s="5">
        <f>M559-L559</f>
        <v>-33</v>
      </c>
      <c r="O559" s="256"/>
      <c r="P559" s="303">
        <f>SUM(P557:P558)</f>
        <v>0</v>
      </c>
      <c r="Q559" s="35">
        <f>L559+O559-P559</f>
        <v>33</v>
      </c>
      <c r="R559" s="123"/>
      <c r="S559" s="8"/>
      <c r="T559" s="34"/>
      <c r="U559" s="713"/>
      <c r="V559" s="123"/>
      <c r="W559" s="8"/>
      <c r="X559" s="34"/>
      <c r="Y559" s="713"/>
      <c r="Z559" s="20"/>
      <c r="AA559" s="8"/>
      <c r="AB559" s="34"/>
      <c r="AC559" s="234"/>
      <c r="AD559" s="234"/>
      <c r="AE559" s="398">
        <f>SUM(M559,AG559)-SUM(O559,AI559)-L559</f>
        <v>-32</v>
      </c>
      <c r="AF559" s="32">
        <f>Q559</f>
        <v>33</v>
      </c>
      <c r="AG559" s="344">
        <f>SUM(AG557:AG558)</f>
        <v>1</v>
      </c>
      <c r="AH559" s="5">
        <f>AG559-AF559</f>
        <v>-32</v>
      </c>
      <c r="AI559" s="256"/>
      <c r="AJ559" s="303">
        <f>SUM(AJ557:AJ558)</f>
        <v>0</v>
      </c>
      <c r="AK559" s="35">
        <f>AF559+AI559-AJ559</f>
        <v>33</v>
      </c>
      <c r="AL559" s="123"/>
      <c r="AM559" s="8"/>
      <c r="AN559" s="34"/>
      <c r="AO559" s="713"/>
      <c r="AP559" s="123"/>
      <c r="AQ559" s="8"/>
      <c r="AR559" s="34"/>
      <c r="AS559" s="713"/>
      <c r="AT559" s="20"/>
      <c r="AU559" s="8"/>
      <c r="AV559" s="34"/>
      <c r="AW559" s="234"/>
      <c r="AX559" s="234"/>
      <c r="AY559" s="395">
        <f>SUM(M559,AG559,BA559)-SUM(O559,AI559,BC559)-L559</f>
        <v>-31</v>
      </c>
      <c r="AZ559" s="32">
        <f>AK559</f>
        <v>33</v>
      </c>
      <c r="BA559" s="344">
        <f>SUM(BA557:BA558)</f>
        <v>1</v>
      </c>
      <c r="BB559" s="5">
        <f>BA559-AZ559</f>
        <v>-32</v>
      </c>
      <c r="BC559" s="256"/>
      <c r="BD559" s="303">
        <f>SUM(BD557:BD558)</f>
        <v>0</v>
      </c>
      <c r="BE559" s="35">
        <f>AZ559+BC559-BD559</f>
        <v>33</v>
      </c>
      <c r="BF559" s="123"/>
      <c r="BG559" s="8"/>
      <c r="BH559" s="440"/>
      <c r="BI559" s="771"/>
      <c r="BJ559" s="123"/>
      <c r="BK559" s="8"/>
      <c r="BL559" s="440"/>
      <c r="BM559" s="771"/>
      <c r="BN559" s="20"/>
      <c r="BO559" s="8"/>
      <c r="BP559" s="34"/>
      <c r="BQ559" s="234"/>
      <c r="BR559" s="234"/>
      <c r="BS559" s="395">
        <f>SUM(M559,AG559,BA559,BU559)-SUM(O559,AI559,BC559,BW559)-L559</f>
        <v>-27</v>
      </c>
      <c r="BT559" s="32">
        <f>BE559</f>
        <v>33</v>
      </c>
      <c r="BU559" s="344">
        <f>SUM(BU557:BU558)</f>
        <v>4</v>
      </c>
      <c r="BV559" s="5">
        <f>BU559-BT559</f>
        <v>-29</v>
      </c>
      <c r="BW559" s="256"/>
      <c r="BX559" s="303">
        <f>SUM(BX557:BX558)</f>
        <v>5</v>
      </c>
      <c r="BY559" s="35">
        <f>BT559+BW559-BX559</f>
        <v>28</v>
      </c>
      <c r="BZ559" s="123"/>
      <c r="CA559" s="8"/>
      <c r="CB559" s="34"/>
      <c r="CC559" s="713"/>
      <c r="CD559" s="123"/>
      <c r="CE559" s="8"/>
      <c r="CF559" s="34"/>
      <c r="CG559" s="713"/>
      <c r="CH559" s="20"/>
      <c r="CI559" s="8"/>
      <c r="CJ559" s="34"/>
      <c r="CK559" s="234"/>
      <c r="CL559" s="234"/>
      <c r="CM559" s="395">
        <f>SUM(M559,AG559,BA559,BU559,CO559)-SUM(O559,AI559,BC559,BW559,CQ559)-L559</f>
        <v>-27</v>
      </c>
      <c r="CN559" s="32">
        <f>BY559</f>
        <v>28</v>
      </c>
      <c r="CO559" s="344">
        <f>SUM(CO557:CO558)</f>
        <v>0</v>
      </c>
      <c r="CP559" s="5">
        <f>CO559-CN559</f>
        <v>-28</v>
      </c>
      <c r="CQ559" s="240"/>
      <c r="CR559" s="303">
        <f>SUM(CR557:CR558)</f>
        <v>0</v>
      </c>
      <c r="CS559" s="35">
        <f>CN559+CQ559-CR559</f>
        <v>28</v>
      </c>
      <c r="CT559" s="123"/>
      <c r="CU559" s="8"/>
      <c r="CV559" s="34"/>
      <c r="CW559" s="713"/>
      <c r="CX559" s="123"/>
      <c r="CY559" s="8"/>
      <c r="CZ559" s="34"/>
      <c r="DA559" s="713"/>
      <c r="DB559" s="20"/>
      <c r="DC559" s="8"/>
      <c r="DD559" s="34"/>
      <c r="DE559" s="234"/>
      <c r="DF559" s="234"/>
      <c r="DG559" s="395">
        <f>SUM(M559,AG559,BA559,BU559,DI559)-SUM(O559,AI559,BC559,BW559,CQ559)-L559</f>
        <v>-27</v>
      </c>
      <c r="DH559" s="32">
        <f t="shared" ref="DH559:DH585" si="1227">BY559</f>
        <v>28</v>
      </c>
      <c r="DI559" s="344">
        <f>SUM(DI557:DI558)</f>
        <v>0</v>
      </c>
      <c r="DJ559" s="5">
        <f>DI559-DH559</f>
        <v>-28</v>
      </c>
      <c r="DK559" s="240"/>
      <c r="DL559" s="303">
        <f>SUM(DL557:DL558)</f>
        <v>0</v>
      </c>
      <c r="DM559" s="35">
        <f>DH559+DK559-DL559</f>
        <v>28</v>
      </c>
    </row>
    <row r="560" spans="1:117" x14ac:dyDescent="0.25">
      <c r="A560" s="17"/>
      <c r="B560" s="11" t="s">
        <v>909</v>
      </c>
      <c r="C560" s="17"/>
      <c r="D560" s="80"/>
      <c r="E560" s="80"/>
      <c r="F560" s="337"/>
      <c r="G560" s="10"/>
      <c r="H560" s="24"/>
      <c r="I560" s="24"/>
      <c r="J560" s="534"/>
      <c r="K560" s="395"/>
      <c r="L560" s="515"/>
      <c r="M560" s="344"/>
      <c r="N560" s="5"/>
      <c r="O560" s="256"/>
      <c r="P560" s="303"/>
      <c r="Q560" s="35"/>
      <c r="R560" s="20"/>
      <c r="S560" s="8"/>
      <c r="T560" s="34"/>
      <c r="U560" s="713"/>
      <c r="V560" s="20"/>
      <c r="W560" s="8"/>
      <c r="X560" s="34"/>
      <c r="Y560" s="713"/>
      <c r="Z560" s="20"/>
      <c r="AA560" s="8"/>
      <c r="AB560" s="34"/>
      <c r="AC560" s="234"/>
      <c r="AD560" s="234"/>
      <c r="AE560" s="398"/>
      <c r="AF560" s="32"/>
      <c r="AG560" s="344"/>
      <c r="AH560" s="5"/>
      <c r="AI560" s="256"/>
      <c r="AJ560" s="303"/>
      <c r="AK560" s="35"/>
      <c r="AL560" s="20"/>
      <c r="AM560" s="8"/>
      <c r="AN560" s="34"/>
      <c r="AO560" s="713"/>
      <c r="AP560" s="20"/>
      <c r="AQ560" s="8"/>
      <c r="AR560" s="34"/>
      <c r="AS560" s="713"/>
      <c r="AT560" s="20"/>
      <c r="AU560" s="8"/>
      <c r="AV560" s="34"/>
      <c r="AW560" s="234"/>
      <c r="AX560" s="234"/>
      <c r="AY560" s="395"/>
      <c r="AZ560" s="32"/>
      <c r="BA560" s="344"/>
      <c r="BB560" s="5"/>
      <c r="BC560" s="256"/>
      <c r="BD560" s="303"/>
      <c r="BE560" s="35"/>
      <c r="BF560" s="20"/>
      <c r="BG560" s="8"/>
      <c r="BH560" s="440"/>
      <c r="BI560" s="771"/>
      <c r="BJ560" s="20"/>
      <c r="BK560" s="8"/>
      <c r="BL560" s="440"/>
      <c r="BM560" s="771"/>
      <c r="BN560" s="20"/>
      <c r="BO560" s="8"/>
      <c r="BP560" s="34"/>
      <c r="BQ560" s="234"/>
      <c r="BR560" s="234"/>
      <c r="BS560" s="395"/>
      <c r="BT560" s="32"/>
      <c r="BU560" s="344"/>
      <c r="BV560" s="5"/>
      <c r="BW560" s="256"/>
      <c r="BX560" s="303"/>
      <c r="BY560" s="35"/>
      <c r="BZ560" s="20"/>
      <c r="CA560" s="8"/>
      <c r="CB560" s="34"/>
      <c r="CC560" s="713"/>
      <c r="CD560" s="20"/>
      <c r="CE560" s="8"/>
      <c r="CF560" s="34"/>
      <c r="CG560" s="713"/>
      <c r="CH560" s="20"/>
      <c r="CI560" s="8"/>
      <c r="CJ560" s="34"/>
      <c r="CK560" s="234"/>
      <c r="CL560" s="234"/>
      <c r="CM560" s="395"/>
      <c r="CN560" s="32"/>
      <c r="CO560" s="344"/>
      <c r="CP560" s="5"/>
      <c r="CQ560" s="240"/>
      <c r="CR560" s="303"/>
      <c r="CS560" s="35"/>
      <c r="CT560" s="20"/>
      <c r="CU560" s="8"/>
      <c r="CV560" s="34"/>
      <c r="CW560" s="713"/>
      <c r="CX560" s="20"/>
      <c r="CY560" s="8"/>
      <c r="CZ560" s="34"/>
      <c r="DA560" s="713"/>
      <c r="DB560" s="20"/>
      <c r="DC560" s="8"/>
      <c r="DD560" s="34"/>
      <c r="DE560" s="234"/>
      <c r="DF560" s="234"/>
      <c r="DG560" s="395"/>
      <c r="DH560" s="32"/>
      <c r="DI560" s="344"/>
      <c r="DJ560" s="5"/>
      <c r="DK560" s="240"/>
      <c r="DL560" s="303"/>
      <c r="DM560" s="35"/>
    </row>
    <row r="561" spans="1:117" x14ac:dyDescent="0.25">
      <c r="A561" s="17"/>
      <c r="B561" s="11" t="s">
        <v>910</v>
      </c>
      <c r="C561" s="17">
        <v>2</v>
      </c>
      <c r="D561" s="80"/>
      <c r="E561" s="80"/>
      <c r="F561" s="337"/>
      <c r="G561" s="10"/>
      <c r="H561" s="24"/>
      <c r="I561" s="24"/>
      <c r="J561" s="534"/>
      <c r="K561" s="395"/>
      <c r="L561" s="515"/>
      <c r="M561" s="344"/>
      <c r="N561" s="5"/>
      <c r="O561" s="256"/>
      <c r="P561" s="303"/>
      <c r="Q561" s="35"/>
      <c r="R561" s="20"/>
      <c r="S561" s="8"/>
      <c r="T561" s="34"/>
      <c r="U561" s="713"/>
      <c r="V561" s="20"/>
      <c r="W561" s="8"/>
      <c r="X561" s="34"/>
      <c r="Y561" s="713"/>
      <c r="Z561" s="20"/>
      <c r="AA561" s="8"/>
      <c r="AB561" s="34"/>
      <c r="AC561" s="234"/>
      <c r="AD561" s="234"/>
      <c r="AE561" s="398"/>
      <c r="AF561" s="32"/>
      <c r="AG561" s="344"/>
      <c r="AH561" s="5"/>
      <c r="AI561" s="256"/>
      <c r="AJ561" s="303"/>
      <c r="AK561" s="35"/>
      <c r="AL561" s="20"/>
      <c r="AM561" s="8"/>
      <c r="AN561" s="34"/>
      <c r="AO561" s="713"/>
      <c r="AP561" s="20"/>
      <c r="AQ561" s="8"/>
      <c r="AR561" s="34"/>
      <c r="AS561" s="713"/>
      <c r="AT561" s="20"/>
      <c r="AU561" s="8"/>
      <c r="AV561" s="34"/>
      <c r="AW561" s="234"/>
      <c r="AX561" s="234"/>
      <c r="AY561" s="395"/>
      <c r="AZ561" s="32"/>
      <c r="BA561" s="344"/>
      <c r="BB561" s="5"/>
      <c r="BC561" s="256"/>
      <c r="BD561" s="303"/>
      <c r="BE561" s="35"/>
      <c r="BF561" s="20"/>
      <c r="BG561" s="8"/>
      <c r="BH561" s="440"/>
      <c r="BI561" s="771"/>
      <c r="BJ561" s="20"/>
      <c r="BK561" s="8"/>
      <c r="BL561" s="440"/>
      <c r="BM561" s="771"/>
      <c r="BN561" s="20"/>
      <c r="BO561" s="8"/>
      <c r="BP561" s="34"/>
      <c r="BQ561" s="234"/>
      <c r="BR561" s="234"/>
      <c r="BS561" s="395"/>
      <c r="BT561" s="32"/>
      <c r="BU561" s="344"/>
      <c r="BV561" s="5"/>
      <c r="BW561" s="621">
        <v>50</v>
      </c>
      <c r="BX561" s="303"/>
      <c r="BY561" s="35"/>
      <c r="BZ561" s="20"/>
      <c r="CA561" s="8"/>
      <c r="CB561" s="34"/>
      <c r="CC561" s="713"/>
      <c r="CD561" s="20"/>
      <c r="CE561" s="8"/>
      <c r="CF561" s="642" t="s">
        <v>911</v>
      </c>
      <c r="CG561" s="782"/>
      <c r="CH561" s="20"/>
      <c r="CI561" s="8"/>
      <c r="CJ561" s="34"/>
      <c r="CK561" s="234"/>
      <c r="CL561" s="234"/>
      <c r="CM561" s="395"/>
      <c r="CN561" s="32"/>
      <c r="CO561" s="344"/>
      <c r="CP561" s="5"/>
      <c r="CQ561" s="240"/>
      <c r="CR561" s="303"/>
      <c r="CS561" s="35"/>
      <c r="CT561" s="20"/>
      <c r="CU561" s="8"/>
      <c r="CV561" s="34"/>
      <c r="CW561" s="713"/>
      <c r="CX561" s="20"/>
      <c r="CY561" s="8"/>
      <c r="CZ561" s="34"/>
      <c r="DA561" s="713"/>
      <c r="DB561" s="20"/>
      <c r="DC561" s="8"/>
      <c r="DD561" s="34"/>
      <c r="DE561" s="234"/>
      <c r="DF561" s="234"/>
      <c r="DG561" s="395"/>
      <c r="DH561" s="32"/>
      <c r="DI561" s="344"/>
      <c r="DJ561" s="5"/>
      <c r="DK561" s="240"/>
      <c r="DL561" s="303"/>
      <c r="DM561" s="35"/>
    </row>
    <row r="562" spans="1:117" ht="30" x14ac:dyDescent="0.25">
      <c r="A562" s="18"/>
      <c r="B562" s="15" t="s">
        <v>572</v>
      </c>
      <c r="C562" s="18">
        <v>1</v>
      </c>
      <c r="D562" s="15"/>
      <c r="E562" s="15"/>
      <c r="F562" s="149"/>
      <c r="G562" s="317" t="s">
        <v>198</v>
      </c>
      <c r="H562" s="25"/>
      <c r="I562" s="25"/>
      <c r="J562" s="530">
        <f>SUM(M562,AG562,BA562,BU562)-L562</f>
        <v>-29</v>
      </c>
      <c r="K562" s="395">
        <f t="shared" si="1226"/>
        <v>-35</v>
      </c>
      <c r="L562" s="544">
        <v>35</v>
      </c>
      <c r="M562" s="344">
        <f>SUM(M557:M558)</f>
        <v>0</v>
      </c>
      <c r="N562" s="5">
        <f>M562-L562</f>
        <v>-35</v>
      </c>
      <c r="O562" s="256"/>
      <c r="P562" s="303">
        <f>SUM(P557:P558)</f>
        <v>0</v>
      </c>
      <c r="Q562" s="35">
        <f>L562+O562-P562</f>
        <v>35</v>
      </c>
      <c r="R562" s="21"/>
      <c r="S562" s="6"/>
      <c r="T562" s="35"/>
      <c r="U562" s="612"/>
      <c r="V562" s="21"/>
      <c r="W562" s="6"/>
      <c r="X562" s="35"/>
      <c r="Y562" s="612"/>
      <c r="Z562" s="21"/>
      <c r="AA562" s="6"/>
      <c r="AB562" s="35"/>
      <c r="AC562" s="231"/>
      <c r="AD562" s="231"/>
      <c r="AE562" s="398">
        <f>SUM(M562,AG562)-SUM(O562,AI562)-L562</f>
        <v>-34</v>
      </c>
      <c r="AF562" s="29">
        <f>Q562</f>
        <v>35</v>
      </c>
      <c r="AG562" s="344">
        <f>SUM(AG557:AG558)</f>
        <v>1</v>
      </c>
      <c r="AH562" s="5">
        <f>AG562-AF562</f>
        <v>-34</v>
      </c>
      <c r="AI562" s="256"/>
      <c r="AJ562" s="303">
        <f>SUM(AJ557:AJ558)</f>
        <v>0</v>
      </c>
      <c r="AK562" s="35">
        <f>AF562+AI562-AJ562</f>
        <v>35</v>
      </c>
      <c r="AL562" s="21"/>
      <c r="AM562" s="6"/>
      <c r="AN562" s="35"/>
      <c r="AO562" s="612"/>
      <c r="AP562" s="21"/>
      <c r="AQ562" s="6"/>
      <c r="AR562" s="35"/>
      <c r="AS562" s="612"/>
      <c r="AT562" s="21"/>
      <c r="AU562" s="6"/>
      <c r="AV562" s="35"/>
      <c r="AW562" s="231"/>
      <c r="AX562" s="231"/>
      <c r="AY562" s="398">
        <f>SUM(M562,AG562,BA562)-SUM(O562,AI562,BC562)-L562</f>
        <v>-33</v>
      </c>
      <c r="AZ562" s="29">
        <f>AK562</f>
        <v>35</v>
      </c>
      <c r="BA562" s="344">
        <f>SUM(BA557:BA558)</f>
        <v>1</v>
      </c>
      <c r="BB562" s="5">
        <f>BA562-AZ562</f>
        <v>-34</v>
      </c>
      <c r="BC562" s="256"/>
      <c r="BD562" s="303">
        <f>SUM(BD557:BD558)</f>
        <v>0</v>
      </c>
      <c r="BE562" s="35">
        <f>AZ562+BC562-BD562</f>
        <v>35</v>
      </c>
      <c r="BF562" s="21"/>
      <c r="BG562" s="6"/>
      <c r="BH562" s="35"/>
      <c r="BI562" s="612"/>
      <c r="BJ562" s="21"/>
      <c r="BK562" s="6"/>
      <c r="BL562" s="35"/>
      <c r="BM562" s="612"/>
      <c r="BN562" s="21"/>
      <c r="BO562" s="6"/>
      <c r="BP562" s="35"/>
      <c r="BQ562" s="231"/>
      <c r="BR562" s="231"/>
      <c r="BS562" s="398">
        <f>SUM(M562,AG562,BA562,BU562)-SUM(O562,AI562,BC562,BW562)-L562</f>
        <v>-29</v>
      </c>
      <c r="BT562" s="29">
        <f>BE562</f>
        <v>35</v>
      </c>
      <c r="BU562" s="344">
        <f>SUM(BU557:BU558)</f>
        <v>4</v>
      </c>
      <c r="BV562" s="5">
        <f>BU562-BT562</f>
        <v>-31</v>
      </c>
      <c r="BW562" s="240"/>
      <c r="BX562" s="303">
        <f>SUM(BX557:BX558)</f>
        <v>5</v>
      </c>
      <c r="BY562" s="35">
        <f>BT562+BW562-BX562</f>
        <v>30</v>
      </c>
      <c r="BZ562" s="21"/>
      <c r="CA562" s="6"/>
      <c r="CB562" s="35"/>
      <c r="CC562" s="612"/>
      <c r="CD562" s="21"/>
      <c r="CE562" s="6"/>
      <c r="CF562" s="35"/>
      <c r="CG562" s="612"/>
      <c r="CH562" s="21"/>
      <c r="CI562" s="6"/>
      <c r="CJ562" s="35"/>
      <c r="CK562" s="231"/>
      <c r="CL562" s="231"/>
      <c r="CM562" s="398">
        <f>SUM(M562,AG562,BA562,BU562,CO562)-SUM(O562,AI562,BC562,BW562,CQ562)-L562</f>
        <v>-29</v>
      </c>
      <c r="CN562" s="29">
        <f>BY562</f>
        <v>30</v>
      </c>
      <c r="CO562" s="344">
        <f>SUM(CO557:CO558)</f>
        <v>0</v>
      </c>
      <c r="CP562" s="5">
        <f>CO562-CN562</f>
        <v>-30</v>
      </c>
      <c r="CQ562" s="240"/>
      <c r="CR562" s="303">
        <f>SUM(CR557:CR558)</f>
        <v>0</v>
      </c>
      <c r="CS562" s="35">
        <f>CN562+CQ562-CR562</f>
        <v>30</v>
      </c>
      <c r="CT562" s="21"/>
      <c r="CU562" s="6"/>
      <c r="CV562" s="35"/>
      <c r="CW562" s="612"/>
      <c r="CX562" s="21"/>
      <c r="CY562" s="6"/>
      <c r="CZ562" s="35"/>
      <c r="DA562" s="612"/>
      <c r="DB562" s="21"/>
      <c r="DC562" s="6"/>
      <c r="DD562" s="35"/>
      <c r="DE562" s="234"/>
      <c r="DF562" s="234"/>
      <c r="DG562" s="395">
        <f>SUM(M562,AG562,BA562,BU562,DI562)-SUM(O562,AI562,BC562,BW562,CQ562)-L562</f>
        <v>-29</v>
      </c>
      <c r="DH562" s="32">
        <f t="shared" si="1227"/>
        <v>30</v>
      </c>
      <c r="DI562" s="344">
        <f>SUM(DI557:DI558)</f>
        <v>0</v>
      </c>
      <c r="DJ562" s="5">
        <f>DI562-DH562</f>
        <v>-30</v>
      </c>
      <c r="DK562" s="240"/>
      <c r="DL562" s="303">
        <f>SUM(DL557:DL558)</f>
        <v>0</v>
      </c>
      <c r="DM562" s="35">
        <f>DH562+DK562-DL562</f>
        <v>30</v>
      </c>
    </row>
    <row r="563" spans="1:117" ht="30" x14ac:dyDescent="0.25">
      <c r="A563" s="262"/>
      <c r="B563" s="80" t="s">
        <v>573</v>
      </c>
      <c r="C563" s="262">
        <v>2</v>
      </c>
      <c r="D563" s="419"/>
      <c r="E563" s="419"/>
      <c r="F563" s="510"/>
      <c r="G563" s="518" t="s">
        <v>198</v>
      </c>
      <c r="H563" s="420"/>
      <c r="I563" s="420"/>
      <c r="J563" s="534">
        <f>SUM(M563,AG563,BA563,BU563)-L563</f>
        <v>-56</v>
      </c>
      <c r="K563" s="395">
        <f t="shared" si="1226"/>
        <v>-68</v>
      </c>
      <c r="L563" s="546">
        <v>68</v>
      </c>
      <c r="M563" s="434">
        <f>SUM(M557:M558)*2</f>
        <v>0</v>
      </c>
      <c r="N563" s="7">
        <f>M563-L563</f>
        <v>-68</v>
      </c>
      <c r="O563" s="258"/>
      <c r="P563" s="378">
        <f>SUM(P557:P558)*2</f>
        <v>0</v>
      </c>
      <c r="Q563" s="34">
        <f>L563+O563-P563</f>
        <v>68</v>
      </c>
      <c r="R563" s="421"/>
      <c r="S563" s="416"/>
      <c r="T563" s="415"/>
      <c r="V563" s="421"/>
      <c r="W563" s="416"/>
      <c r="X563" s="415"/>
      <c r="Z563" s="421"/>
      <c r="AA563" s="416"/>
      <c r="AB563" s="415"/>
      <c r="AC563" s="619"/>
      <c r="AD563" s="619"/>
      <c r="AE563" s="395">
        <f>SUM(M563,AG563)-SUM(O563,AI563)-L563</f>
        <v>-66</v>
      </c>
      <c r="AF563" s="32">
        <f>Q563</f>
        <v>68</v>
      </c>
      <c r="AG563" s="434">
        <f>SUM(AG557:AG558)*2</f>
        <v>2</v>
      </c>
      <c r="AH563" s="7">
        <f>AG563-AF563</f>
        <v>-66</v>
      </c>
      <c r="AI563" s="258"/>
      <c r="AJ563" s="378">
        <f>SUM(AJ557:AJ558)*2</f>
        <v>0</v>
      </c>
      <c r="AK563" s="34">
        <f>AF563+AI563-AJ563</f>
        <v>68</v>
      </c>
      <c r="AL563" s="421"/>
      <c r="AM563" s="416"/>
      <c r="AN563" s="415"/>
      <c r="AP563" s="421"/>
      <c r="AQ563" s="416"/>
      <c r="AR563" s="415"/>
      <c r="AT563" s="421"/>
      <c r="AU563" s="416"/>
      <c r="AV563" s="415"/>
      <c r="AW563" s="619"/>
      <c r="AX563" s="619"/>
      <c r="AY563" s="395">
        <f>SUM(M563,AG563,BA563)-SUM(O563,AI563,BC563)-L563</f>
        <v>-64</v>
      </c>
      <c r="AZ563" s="32">
        <f>AK563</f>
        <v>68</v>
      </c>
      <c r="BA563" s="434">
        <f>SUM(BA557:BA558)*2</f>
        <v>2</v>
      </c>
      <c r="BB563" s="7">
        <f>BA563-AZ563</f>
        <v>-66</v>
      </c>
      <c r="BC563" s="258"/>
      <c r="BD563" s="378">
        <f>SUM(BD557:BD558)*2</f>
        <v>0</v>
      </c>
      <c r="BE563" s="34">
        <f>AZ563+BC563-BD563</f>
        <v>68</v>
      </c>
      <c r="BF563" s="421"/>
      <c r="BG563" s="416"/>
      <c r="BH563" s="415"/>
      <c r="BJ563" s="421"/>
      <c r="BK563" s="416"/>
      <c r="BL563" s="415"/>
      <c r="BN563" s="421"/>
      <c r="BO563" s="416"/>
      <c r="BP563" s="415"/>
      <c r="BQ563" s="619"/>
      <c r="BR563" s="619"/>
      <c r="BS563" s="395">
        <f>SUM(M563,AG563,BA563,BU563)-SUM(O563,AI563,BC563,BW563)-L563</f>
        <v>-56</v>
      </c>
      <c r="BT563" s="32">
        <f>BE563</f>
        <v>68</v>
      </c>
      <c r="BU563" s="434">
        <f>SUM(BU557:BU558)*2</f>
        <v>8</v>
      </c>
      <c r="BV563" s="7">
        <f>BU563-BT563</f>
        <v>-60</v>
      </c>
      <c r="BW563" s="242"/>
      <c r="BX563" s="378">
        <f>SUM(BX557:BX558)*2</f>
        <v>10</v>
      </c>
      <c r="BY563" s="34">
        <f>BT563+BW563-BX563</f>
        <v>58</v>
      </c>
      <c r="BZ563" s="421"/>
      <c r="CA563" s="416"/>
      <c r="CB563" s="415"/>
      <c r="CD563" s="421"/>
      <c r="CE563" s="416"/>
      <c r="CF563" s="415"/>
      <c r="CH563" s="421"/>
      <c r="CI563" s="416"/>
      <c r="CJ563" s="415"/>
      <c r="CK563" s="619"/>
      <c r="CL563" s="619"/>
      <c r="CM563" s="395">
        <f>SUM(M563,AG563,BA563,BU563,CO563)-SUM(O563,AI563,BC563,BW563,CQ563)-L563</f>
        <v>-56</v>
      </c>
      <c r="CN563" s="32">
        <f>BY563</f>
        <v>58</v>
      </c>
      <c r="CO563" s="434">
        <f>SUM(CO557:CO558)*2</f>
        <v>0</v>
      </c>
      <c r="CP563" s="7">
        <f>CO563-CN563</f>
        <v>-58</v>
      </c>
      <c r="CQ563" s="315"/>
      <c r="CR563" s="378">
        <f>SUM(CR557:CR558)*2</f>
        <v>0</v>
      </c>
      <c r="CS563" s="34">
        <f>CN563+CQ563-CR563</f>
        <v>58</v>
      </c>
      <c r="CT563" s="421"/>
      <c r="CU563" s="416"/>
      <c r="CV563" s="415"/>
      <c r="CX563" s="421"/>
      <c r="CY563" s="416"/>
      <c r="CZ563" s="415"/>
      <c r="DB563" s="421"/>
      <c r="DC563" s="416"/>
      <c r="DD563" s="415"/>
      <c r="DE563" s="619"/>
      <c r="DF563" s="619"/>
      <c r="DG563" s="395">
        <f>SUM(M563,AG563,BA563,BU563,DI563)-SUM(O563,AI563,BC563,BW563,CQ563)-L563</f>
        <v>-56</v>
      </c>
      <c r="DH563" s="32">
        <f t="shared" si="1227"/>
        <v>58</v>
      </c>
      <c r="DI563" s="434">
        <f>SUM(DI557:DI558)*2</f>
        <v>0</v>
      </c>
      <c r="DJ563" s="7">
        <f>DI563-DH563</f>
        <v>-58</v>
      </c>
      <c r="DK563" s="315"/>
      <c r="DL563" s="378">
        <f>SUM(DL557:DL558)*2</f>
        <v>0</v>
      </c>
      <c r="DM563" s="34">
        <f>DH563+DK563-DL563</f>
        <v>58</v>
      </c>
    </row>
    <row r="564" spans="1:117" x14ac:dyDescent="0.25">
      <c r="A564" s="360"/>
      <c r="B564" s="347" t="s">
        <v>480</v>
      </c>
      <c r="C564" s="360"/>
      <c r="D564" s="373"/>
      <c r="E564" s="373"/>
      <c r="F564" s="362"/>
      <c r="G564" s="517"/>
      <c r="H564" s="363"/>
      <c r="I564" s="363"/>
      <c r="J564" s="360"/>
      <c r="K564" s="360"/>
      <c r="L564" s="364"/>
      <c r="M564" s="441"/>
      <c r="N564" s="374"/>
      <c r="O564" s="441"/>
      <c r="P564" s="375"/>
      <c r="Q564" s="368"/>
      <c r="R564" s="369"/>
      <c r="S564" s="367"/>
      <c r="T564" s="368"/>
      <c r="U564" s="718"/>
      <c r="V564" s="369"/>
      <c r="W564" s="367"/>
      <c r="X564" s="368"/>
      <c r="Y564" s="718"/>
      <c r="Z564" s="369"/>
      <c r="AA564" s="367"/>
      <c r="AB564" s="368"/>
      <c r="AC564" s="365"/>
      <c r="AD564" s="365"/>
      <c r="AE564" s="360"/>
      <c r="AF564" s="364"/>
      <c r="AG564" s="441"/>
      <c r="AH564" s="374"/>
      <c r="AI564" s="441"/>
      <c r="AJ564" s="375"/>
      <c r="AK564" s="368"/>
      <c r="AL564" s="369"/>
      <c r="AM564" s="367"/>
      <c r="AN564" s="368"/>
      <c r="AO564" s="718"/>
      <c r="AP564" s="369"/>
      <c r="AQ564" s="367"/>
      <c r="AR564" s="368"/>
      <c r="AS564" s="718"/>
      <c r="AT564" s="369"/>
      <c r="AU564" s="367"/>
      <c r="AV564" s="368"/>
      <c r="AW564" s="365"/>
      <c r="AX564" s="365"/>
      <c r="AY564" s="360"/>
      <c r="AZ564" s="364"/>
      <c r="BA564" s="441"/>
      <c r="BB564" s="374"/>
      <c r="BC564" s="375"/>
      <c r="BD564" s="375"/>
      <c r="BE564" s="368"/>
      <c r="BF564" s="369"/>
      <c r="BG564" s="367"/>
      <c r="BH564" s="368"/>
      <c r="BI564" s="718"/>
      <c r="BJ564" s="369"/>
      <c r="BK564" s="367"/>
      <c r="BL564" s="368"/>
      <c r="BM564" s="718"/>
      <c r="BN564" s="369"/>
      <c r="BO564" s="367"/>
      <c r="BP564" s="368"/>
      <c r="BQ564" s="365"/>
      <c r="BR564" s="365"/>
      <c r="BS564" s="360"/>
      <c r="BT564" s="364"/>
      <c r="BU564" s="441"/>
      <c r="BV564" s="374"/>
      <c r="BW564" s="375"/>
      <c r="BX564" s="375"/>
      <c r="BY564" s="368"/>
      <c r="BZ564" s="369"/>
      <c r="CA564" s="367"/>
      <c r="CB564" s="368"/>
      <c r="CC564" s="718"/>
      <c r="CD564" s="369"/>
      <c r="CE564" s="367"/>
      <c r="CF564" s="368"/>
      <c r="CG564" s="718"/>
      <c r="CH564" s="369"/>
      <c r="CI564" s="367"/>
      <c r="CJ564" s="368"/>
      <c r="CK564" s="365"/>
      <c r="CL564" s="365"/>
      <c r="CM564" s="360"/>
      <c r="CN564" s="364"/>
      <c r="CO564" s="441"/>
      <c r="CP564" s="374"/>
      <c r="CQ564" s="375"/>
      <c r="CR564" s="375"/>
      <c r="CS564" s="368"/>
      <c r="CT564" s="369"/>
      <c r="CU564" s="367"/>
      <c r="CV564" s="368"/>
      <c r="CW564" s="718"/>
      <c r="CX564" s="369"/>
      <c r="CY564" s="367"/>
      <c r="CZ564" s="368"/>
      <c r="DA564" s="718"/>
      <c r="DB564" s="369"/>
      <c r="DC564" s="367"/>
      <c r="DD564" s="368"/>
      <c r="DE564" s="365"/>
      <c r="DF564" s="365"/>
      <c r="DG564" s="360"/>
      <c r="DH564" s="364"/>
      <c r="DI564" s="441"/>
      <c r="DJ564" s="374"/>
      <c r="DK564" s="375"/>
      <c r="DL564" s="375"/>
      <c r="DM564" s="368"/>
    </row>
    <row r="565" spans="1:117" x14ac:dyDescent="0.25">
      <c r="A565" s="18"/>
      <c r="B565" s="11" t="s">
        <v>574</v>
      </c>
      <c r="C565" s="18">
        <v>4</v>
      </c>
      <c r="D565" s="15"/>
      <c r="E565" s="15"/>
      <c r="F565" s="149">
        <v>44</v>
      </c>
      <c r="G565" s="317" t="s">
        <v>648</v>
      </c>
      <c r="H565" s="25"/>
      <c r="I565" s="25"/>
      <c r="J565" s="530">
        <f>SUM(M565,AG565,BA565,BU565)-L565</f>
        <v>-108</v>
      </c>
      <c r="K565" s="395">
        <f t="shared" si="1226"/>
        <v>-132</v>
      </c>
      <c r="L565" s="544">
        <v>132</v>
      </c>
      <c r="M565" s="344">
        <f>SUM(M557:M558)*4</f>
        <v>0</v>
      </c>
      <c r="N565" s="5">
        <f>M565-L565</f>
        <v>-132</v>
      </c>
      <c r="O565" s="256"/>
      <c r="P565" s="303">
        <f>SUM(P557:P558)*4</f>
        <v>0</v>
      </c>
      <c r="Q565" s="35">
        <f>L565+O565-P565</f>
        <v>132</v>
      </c>
      <c r="R565" s="21"/>
      <c r="S565" s="6"/>
      <c r="T565" s="35"/>
      <c r="U565" s="612"/>
      <c r="V565" s="21"/>
      <c r="W565" s="6"/>
      <c r="X565" s="35"/>
      <c r="Y565" s="612"/>
      <c r="Z565" s="21"/>
      <c r="AA565" s="6"/>
      <c r="AB565" s="35"/>
      <c r="AC565" s="231"/>
      <c r="AD565" s="231"/>
      <c r="AE565" s="398">
        <f>SUM(M565,AG565)-SUM(O565,AI565)-L565</f>
        <v>-128</v>
      </c>
      <c r="AF565" s="29">
        <f>Q565</f>
        <v>132</v>
      </c>
      <c r="AG565" s="344">
        <f>SUM(AG557:AG558)*4</f>
        <v>4</v>
      </c>
      <c r="AH565" s="5">
        <f>AG565-AF565</f>
        <v>-128</v>
      </c>
      <c r="AI565" s="256"/>
      <c r="AJ565" s="303">
        <f>SUM(AJ557:AJ558)*4</f>
        <v>0</v>
      </c>
      <c r="AK565" s="35">
        <f>AF565+AI565-AJ565</f>
        <v>132</v>
      </c>
      <c r="AL565" s="21"/>
      <c r="AM565" s="6"/>
      <c r="AN565" s="35"/>
      <c r="AO565" s="612"/>
      <c r="AP565" s="21"/>
      <c r="AQ565" s="6"/>
      <c r="AR565" s="35"/>
      <c r="AS565" s="612"/>
      <c r="AT565" s="21"/>
      <c r="AU565" s="6"/>
      <c r="AV565" s="35"/>
      <c r="AW565" s="231"/>
      <c r="AX565" s="231"/>
      <c r="AY565" s="398">
        <f>SUM(M565,AG565,BA565)-SUM(O565,AI565,BC565)-L565</f>
        <v>-124</v>
      </c>
      <c r="AZ565" s="29">
        <f>AK565</f>
        <v>132</v>
      </c>
      <c r="BA565" s="344">
        <f>SUM(BA557:BA558)*4</f>
        <v>4</v>
      </c>
      <c r="BB565" s="5">
        <f>BA565-AZ565</f>
        <v>-128</v>
      </c>
      <c r="BC565" s="256"/>
      <c r="BD565" s="303">
        <f>SUM(BD557:BD558)*4</f>
        <v>0</v>
      </c>
      <c r="BE565" s="35">
        <f>AZ565+BC565-BD565</f>
        <v>132</v>
      </c>
      <c r="BF565" s="21"/>
      <c r="BG565" s="6"/>
      <c r="BH565" s="35"/>
      <c r="BI565" s="612"/>
      <c r="BJ565" s="121"/>
      <c r="BK565" s="6"/>
      <c r="BL565" s="35"/>
      <c r="BM565" s="612"/>
      <c r="BN565" s="21"/>
      <c r="BO565" s="6"/>
      <c r="BP565" s="35"/>
      <c r="BQ565" s="231"/>
      <c r="BR565" s="231"/>
      <c r="BS565" s="398">
        <f>SUM(M565,AG565,BA565,BU565)-SUM(O565,AI565,BC565,BW565)-L565</f>
        <v>-108</v>
      </c>
      <c r="BT565" s="29">
        <f>BE565</f>
        <v>132</v>
      </c>
      <c r="BU565" s="344">
        <f>SUM(BU557:BU558)*4</f>
        <v>16</v>
      </c>
      <c r="BV565" s="5">
        <f>BU565-BT565</f>
        <v>-116</v>
      </c>
      <c r="BW565" s="240"/>
      <c r="BX565" s="303">
        <f>SUM(BX557:BX558)*4</f>
        <v>20</v>
      </c>
      <c r="BY565" s="35">
        <f>BT565+BW565-BX565</f>
        <v>112</v>
      </c>
      <c r="BZ565" s="21"/>
      <c r="CA565" s="6"/>
      <c r="CB565" s="35"/>
      <c r="CC565" s="612"/>
      <c r="CD565" s="21"/>
      <c r="CE565" s="6"/>
      <c r="CF565" s="35"/>
      <c r="CG565" s="612"/>
      <c r="CH565" s="21"/>
      <c r="CI565" s="6"/>
      <c r="CJ565" s="35"/>
      <c r="CK565" s="231"/>
      <c r="CL565" s="231"/>
      <c r="CM565" s="398">
        <f>SUM(M565,AG565,BA565,BU565,CO565)-SUM(O565,AI565,BC565,BW565,CQ565)-L565</f>
        <v>-108</v>
      </c>
      <c r="CN565" s="29">
        <f>BY565</f>
        <v>112</v>
      </c>
      <c r="CO565" s="344">
        <f>SUM(CO557:CO558)*4</f>
        <v>0</v>
      </c>
      <c r="CP565" s="5">
        <f>CO565-CN565</f>
        <v>-112</v>
      </c>
      <c r="CQ565" s="240"/>
      <c r="CR565" s="303">
        <f>SUM(CR557:CR558)*4</f>
        <v>0</v>
      </c>
      <c r="CS565" s="35">
        <f>CN565+CQ565-CR565</f>
        <v>112</v>
      </c>
      <c r="CT565" s="21"/>
      <c r="CU565" s="6"/>
      <c r="CV565" s="35"/>
      <c r="CW565" s="612"/>
      <c r="CX565" s="21"/>
      <c r="CY565" s="6"/>
      <c r="CZ565" s="35"/>
      <c r="DA565" s="612"/>
      <c r="DB565" s="21"/>
      <c r="DC565" s="6"/>
      <c r="DD565" s="35"/>
      <c r="DE565" s="234"/>
      <c r="DF565" s="234"/>
      <c r="DG565" s="395">
        <f>SUM(M565,AG565,BA565,BU565,DI565)-SUM(O565,AI565,BC565,BW565,CQ565)-L565</f>
        <v>-108</v>
      </c>
      <c r="DH565" s="32">
        <f t="shared" si="1227"/>
        <v>112</v>
      </c>
      <c r="DI565" s="344">
        <f>SUM(DI557:DI558)*4</f>
        <v>0</v>
      </c>
      <c r="DJ565" s="5">
        <f>DI565-DH565</f>
        <v>-112</v>
      </c>
      <c r="DK565" s="240"/>
      <c r="DL565" s="303">
        <f>SUM(DL557:DL558)*4</f>
        <v>0</v>
      </c>
      <c r="DM565" s="35">
        <f>DH565+DK565-DL565</f>
        <v>112</v>
      </c>
    </row>
    <row r="566" spans="1:117" x14ac:dyDescent="0.25">
      <c r="A566" s="18"/>
      <c r="B566" s="11" t="s">
        <v>575</v>
      </c>
      <c r="C566" s="18">
        <v>1</v>
      </c>
      <c r="D566" s="15"/>
      <c r="E566" s="15"/>
      <c r="F566" s="149">
        <v>49</v>
      </c>
      <c r="G566" s="317" t="s">
        <v>648</v>
      </c>
      <c r="H566" s="25"/>
      <c r="I566" s="25"/>
      <c r="J566" s="530">
        <f>SUM(M566,AG566,BA566,BU566)-L566</f>
        <v>-27</v>
      </c>
      <c r="K566" s="395">
        <f t="shared" si="1226"/>
        <v>-33</v>
      </c>
      <c r="L566" s="544">
        <v>33</v>
      </c>
      <c r="M566" s="344">
        <f>SUM(M557:M558)</f>
        <v>0</v>
      </c>
      <c r="N566" s="5">
        <f>M566-L566</f>
        <v>-33</v>
      </c>
      <c r="O566" s="256"/>
      <c r="P566" s="303">
        <f>SUM(P557:P558)</f>
        <v>0</v>
      </c>
      <c r="Q566" s="35">
        <f>L566+O566-P566</f>
        <v>33</v>
      </c>
      <c r="R566" s="21"/>
      <c r="S566" s="6"/>
      <c r="T566" s="35"/>
      <c r="U566" s="612"/>
      <c r="V566" s="21"/>
      <c r="W566" s="6"/>
      <c r="X566" s="35"/>
      <c r="Y566" s="612"/>
      <c r="Z566" s="21"/>
      <c r="AA566" s="6"/>
      <c r="AB566" s="35"/>
      <c r="AC566" s="231"/>
      <c r="AD566" s="231"/>
      <c r="AE566" s="398">
        <f>SUM(M566,AG566)-SUM(O566,AI566)-L566</f>
        <v>-32</v>
      </c>
      <c r="AF566" s="29">
        <f>Q566</f>
        <v>33</v>
      </c>
      <c r="AG566" s="344">
        <f>SUM(AG557:AG558)</f>
        <v>1</v>
      </c>
      <c r="AH566" s="5">
        <f>AG566-AF566</f>
        <v>-32</v>
      </c>
      <c r="AI566" s="256"/>
      <c r="AJ566" s="303">
        <f>SUM(AJ557:AJ558)</f>
        <v>0</v>
      </c>
      <c r="AK566" s="35">
        <f>AF566+AI566-AJ566</f>
        <v>33</v>
      </c>
      <c r="AL566" s="21"/>
      <c r="AM566" s="6"/>
      <c r="AN566" s="35"/>
      <c r="AO566" s="612"/>
      <c r="AP566" s="21"/>
      <c r="AQ566" s="6"/>
      <c r="AR566" s="35"/>
      <c r="AS566" s="612"/>
      <c r="AT566" s="21"/>
      <c r="AU566" s="6"/>
      <c r="AV566" s="35"/>
      <c r="AW566" s="231"/>
      <c r="AX566" s="231"/>
      <c r="AY566" s="398">
        <f>SUM(M566,AG566,BA566)-SUM(O566,AI566,BC566)-L566</f>
        <v>-31</v>
      </c>
      <c r="AZ566" s="29">
        <f>AK566</f>
        <v>33</v>
      </c>
      <c r="BA566" s="344">
        <f>SUM(BA557:BA558)</f>
        <v>1</v>
      </c>
      <c r="BB566" s="5">
        <f>BA566-AZ566</f>
        <v>-32</v>
      </c>
      <c r="BC566" s="256"/>
      <c r="BD566" s="303">
        <f>SUM(BD557:BD558)</f>
        <v>0</v>
      </c>
      <c r="BE566" s="35">
        <f>AZ566+BC566-BD566</f>
        <v>33</v>
      </c>
      <c r="BF566" s="21"/>
      <c r="BG566" s="6"/>
      <c r="BH566" s="35"/>
      <c r="BI566" s="612"/>
      <c r="BJ566" s="121"/>
      <c r="BK566" s="6"/>
      <c r="BL566" s="35"/>
      <c r="BM566" s="612"/>
      <c r="BN566" s="21"/>
      <c r="BO566" s="6"/>
      <c r="BP566" s="35"/>
      <c r="BQ566" s="231"/>
      <c r="BR566" s="231"/>
      <c r="BS566" s="398">
        <f>SUM(M566,AG566,BA566,BU566)-SUM(O566,AI566,BC566,BW566)-L566</f>
        <v>-27</v>
      </c>
      <c r="BT566" s="29">
        <f>BE566</f>
        <v>33</v>
      </c>
      <c r="BU566" s="344">
        <f>SUM(BU557:BU558)</f>
        <v>4</v>
      </c>
      <c r="BV566" s="5">
        <f>BU566-BT566</f>
        <v>-29</v>
      </c>
      <c r="BW566" s="240"/>
      <c r="BX566" s="303">
        <f>SUM(BX557:BX558)</f>
        <v>5</v>
      </c>
      <c r="BY566" s="35">
        <f>BT566+BW566-BX566</f>
        <v>28</v>
      </c>
      <c r="BZ566" s="21"/>
      <c r="CA566" s="6"/>
      <c r="CB566" s="35"/>
      <c r="CC566" s="612"/>
      <c r="CD566" s="21"/>
      <c r="CE566" s="6"/>
      <c r="CF566" s="35"/>
      <c r="CG566" s="612"/>
      <c r="CH566" s="21"/>
      <c r="CI566" s="6"/>
      <c r="CJ566" s="35"/>
      <c r="CK566" s="231"/>
      <c r="CL566" s="231"/>
      <c r="CM566" s="398">
        <f>SUM(M566,AG566,BA566,BU566,CO566)-SUM(O566,AI566,BC566,BW566,CQ566)-L566</f>
        <v>-27</v>
      </c>
      <c r="CN566" s="29">
        <f>BY566</f>
        <v>28</v>
      </c>
      <c r="CO566" s="344">
        <f>SUM(CO557:CO558)</f>
        <v>0</v>
      </c>
      <c r="CP566" s="5">
        <f>CO566-CN566</f>
        <v>-28</v>
      </c>
      <c r="CQ566" s="240"/>
      <c r="CR566" s="303">
        <f>SUM(CR557:CR558)</f>
        <v>0</v>
      </c>
      <c r="CS566" s="35">
        <f>CN566+CQ566-CR566</f>
        <v>28</v>
      </c>
      <c r="CT566" s="21"/>
      <c r="CU566" s="6"/>
      <c r="CV566" s="35"/>
      <c r="CW566" s="612"/>
      <c r="CX566" s="21"/>
      <c r="CY566" s="6"/>
      <c r="CZ566" s="35"/>
      <c r="DA566" s="612"/>
      <c r="DB566" s="21"/>
      <c r="DC566" s="6"/>
      <c r="DD566" s="35"/>
      <c r="DE566" s="234"/>
      <c r="DF566" s="234"/>
      <c r="DG566" s="395">
        <f>SUM(M566,AG566,BA566,BU566,DI566)-SUM(O566,AI566,BC566,BW566,CQ566)-L566</f>
        <v>-27</v>
      </c>
      <c r="DH566" s="32">
        <f t="shared" si="1227"/>
        <v>28</v>
      </c>
      <c r="DI566" s="344">
        <f>SUM(DI557:DI558)</f>
        <v>0</v>
      </c>
      <c r="DJ566" s="5">
        <f>DI566-DH566</f>
        <v>-28</v>
      </c>
      <c r="DK566" s="240"/>
      <c r="DL566" s="303">
        <f>SUM(DL557:DL558)</f>
        <v>0</v>
      </c>
      <c r="DM566" s="35">
        <f>DH566+DK566-DL566</f>
        <v>28</v>
      </c>
    </row>
    <row r="567" spans="1:117" x14ac:dyDescent="0.25">
      <c r="A567" s="262"/>
      <c r="B567" s="10" t="s">
        <v>576</v>
      </c>
      <c r="C567" s="262">
        <v>1</v>
      </c>
      <c r="D567" s="419"/>
      <c r="E567" s="419"/>
      <c r="F567" s="510">
        <v>67</v>
      </c>
      <c r="G567" s="317" t="s">
        <v>648</v>
      </c>
      <c r="H567" s="420"/>
      <c r="I567" s="420"/>
      <c r="J567" s="534">
        <f>SUM(M567,AG567,BA567,BU567)-L567</f>
        <v>-27</v>
      </c>
      <c r="K567" s="395">
        <f t="shared" si="1226"/>
        <v>-33</v>
      </c>
      <c r="L567" s="546">
        <v>33</v>
      </c>
      <c r="M567" s="434">
        <f>SUM(M557:M558)</f>
        <v>0</v>
      </c>
      <c r="N567" s="7">
        <f>M567-L567</f>
        <v>-33</v>
      </c>
      <c r="O567" s="258"/>
      <c r="P567" s="378">
        <f>SUM(P557:P558)</f>
        <v>0</v>
      </c>
      <c r="Q567" s="34">
        <f>L567+O567-P567</f>
        <v>33</v>
      </c>
      <c r="R567" s="421"/>
      <c r="S567" s="416"/>
      <c r="T567" s="415"/>
      <c r="V567" s="421"/>
      <c r="W567" s="416"/>
      <c r="X567" s="415"/>
      <c r="Z567" s="421"/>
      <c r="AA567" s="416"/>
      <c r="AB567" s="415"/>
      <c r="AC567" s="619"/>
      <c r="AD567" s="619"/>
      <c r="AE567" s="395">
        <f>SUM(M567,AG567)-SUM(O567,AI567)-L567</f>
        <v>-32</v>
      </c>
      <c r="AF567" s="32">
        <f>Q567</f>
        <v>33</v>
      </c>
      <c r="AG567" s="434">
        <f>SUM(AG557:AG558)</f>
        <v>1</v>
      </c>
      <c r="AH567" s="7">
        <f>AG567-AF567</f>
        <v>-32</v>
      </c>
      <c r="AI567" s="258"/>
      <c r="AJ567" s="378">
        <f>SUM(AJ557:AJ558)</f>
        <v>0</v>
      </c>
      <c r="AK567" s="34">
        <f>AF567+AI567-AJ567</f>
        <v>33</v>
      </c>
      <c r="AL567" s="421"/>
      <c r="AM567" s="416"/>
      <c r="AN567" s="415"/>
      <c r="AP567" s="421"/>
      <c r="AQ567" s="416"/>
      <c r="AR567" s="415"/>
      <c r="AT567" s="421"/>
      <c r="AU567" s="416"/>
      <c r="AV567" s="415"/>
      <c r="AW567" s="619"/>
      <c r="AX567" s="619"/>
      <c r="AY567" s="395">
        <f>SUM(M567,AG567,BA567)-SUM(O567,AI567,BC567)-L567</f>
        <v>-31</v>
      </c>
      <c r="AZ567" s="32">
        <f>AK567</f>
        <v>33</v>
      </c>
      <c r="BA567" s="434">
        <f>SUM(BA557:BA558)</f>
        <v>1</v>
      </c>
      <c r="BB567" s="7">
        <f>BA567-AZ567</f>
        <v>-32</v>
      </c>
      <c r="BC567" s="256"/>
      <c r="BD567" s="378">
        <f>SUM(BD557:BD558)</f>
        <v>0</v>
      </c>
      <c r="BE567" s="34">
        <f>AZ567+BC567-BD567</f>
        <v>33</v>
      </c>
      <c r="BF567" s="421"/>
      <c r="BG567" s="416"/>
      <c r="BH567" s="415"/>
      <c r="BJ567" s="121"/>
      <c r="BK567" s="416"/>
      <c r="BL567" s="35"/>
      <c r="BN567" s="421"/>
      <c r="BO567" s="6"/>
      <c r="BP567" s="35"/>
      <c r="BQ567" s="234"/>
      <c r="BR567" s="234"/>
      <c r="BS567" s="395">
        <f>SUM(M567,AG567,BA567,BU567)-SUM(O567,AI567,BC567,BW567)-L567</f>
        <v>-27</v>
      </c>
      <c r="BT567" s="32">
        <f>BE567</f>
        <v>33</v>
      </c>
      <c r="BU567" s="434">
        <f>SUM(BU557:BU558)</f>
        <v>4</v>
      </c>
      <c r="BV567" s="7">
        <f>BU567-BT567</f>
        <v>-29</v>
      </c>
      <c r="BW567" s="242"/>
      <c r="BX567" s="378">
        <f>SUM(BX557:BX558)</f>
        <v>5</v>
      </c>
      <c r="BY567" s="34">
        <f>BT567+BW567-BX567</f>
        <v>28</v>
      </c>
      <c r="BZ567" s="421"/>
      <c r="CA567" s="416"/>
      <c r="CB567" s="415"/>
      <c r="CD567" s="421"/>
      <c r="CE567" s="416"/>
      <c r="CF567" s="415"/>
      <c r="CH567" s="421"/>
      <c r="CI567" s="416"/>
      <c r="CJ567" s="415"/>
      <c r="CK567" s="619"/>
      <c r="CL567" s="619"/>
      <c r="CM567" s="395">
        <f>SUM(M567,AG567,BA567,BU567,CO567)-SUM(O567,AI567,BC567,BW567,CQ567)-L567</f>
        <v>-27</v>
      </c>
      <c r="CN567" s="32">
        <f>BY567</f>
        <v>28</v>
      </c>
      <c r="CO567" s="434">
        <f>SUM(CO557:CO558)</f>
        <v>0</v>
      </c>
      <c r="CP567" s="7">
        <f>CO567-CN567</f>
        <v>-28</v>
      </c>
      <c r="CQ567" s="315"/>
      <c r="CR567" s="378">
        <f>SUM(CR557:CR558)</f>
        <v>0</v>
      </c>
      <c r="CS567" s="34">
        <f>CN567+CQ567-CR567</f>
        <v>28</v>
      </c>
      <c r="CT567" s="421"/>
      <c r="CU567" s="416"/>
      <c r="CV567" s="415"/>
      <c r="CX567" s="421"/>
      <c r="CY567" s="416"/>
      <c r="CZ567" s="415"/>
      <c r="DB567" s="421"/>
      <c r="DC567" s="416"/>
      <c r="DD567" s="415"/>
      <c r="DE567" s="619"/>
      <c r="DF567" s="619"/>
      <c r="DG567" s="395">
        <f>SUM(M567,AG567,BA567,BU567,DI567)-SUM(O567,AI567,BC567,BW567,CQ567)-L567</f>
        <v>-27</v>
      </c>
      <c r="DH567" s="32">
        <f t="shared" si="1227"/>
        <v>28</v>
      </c>
      <c r="DI567" s="434">
        <f>SUM(DI557:DI558)</f>
        <v>0</v>
      </c>
      <c r="DJ567" s="7">
        <f>DI567-DH567</f>
        <v>-28</v>
      </c>
      <c r="DK567" s="315"/>
      <c r="DL567" s="378">
        <f>SUM(DL557:DL558)</f>
        <v>0</v>
      </c>
      <c r="DM567" s="34">
        <f>DH567+DK567-DL567</f>
        <v>28</v>
      </c>
    </row>
    <row r="568" spans="1:117" x14ac:dyDescent="0.25">
      <c r="A568" s="360"/>
      <c r="B568" s="347" t="s">
        <v>581</v>
      </c>
      <c r="C568" s="360"/>
      <c r="D568" s="373"/>
      <c r="E568" s="373"/>
      <c r="F568" s="362"/>
      <c r="G568" s="517"/>
      <c r="H568" s="363"/>
      <c r="I568" s="363"/>
      <c r="J568" s="360"/>
      <c r="K568" s="360"/>
      <c r="L568" s="364"/>
      <c r="M568" s="441"/>
      <c r="N568" s="374"/>
      <c r="O568" s="441"/>
      <c r="P568" s="375"/>
      <c r="Q568" s="368"/>
      <c r="R568" s="369"/>
      <c r="S568" s="367"/>
      <c r="T568" s="368"/>
      <c r="U568" s="718"/>
      <c r="V568" s="369"/>
      <c r="W568" s="367"/>
      <c r="X568" s="368"/>
      <c r="Y568" s="718"/>
      <c r="Z568" s="369"/>
      <c r="AA568" s="367"/>
      <c r="AB568" s="368"/>
      <c r="AC568" s="365"/>
      <c r="AD568" s="365"/>
      <c r="AE568" s="360"/>
      <c r="AF568" s="364"/>
      <c r="AG568" s="441"/>
      <c r="AH568" s="374"/>
      <c r="AI568" s="441"/>
      <c r="AJ568" s="375"/>
      <c r="AK568" s="368"/>
      <c r="AL568" s="369"/>
      <c r="AM568" s="367"/>
      <c r="AN568" s="368"/>
      <c r="AO568" s="718"/>
      <c r="AP568" s="369"/>
      <c r="AQ568" s="367"/>
      <c r="AR568" s="368"/>
      <c r="AS568" s="718"/>
      <c r="AT568" s="369"/>
      <c r="AU568" s="367"/>
      <c r="AV568" s="368"/>
      <c r="AW568" s="365"/>
      <c r="AX568" s="365"/>
      <c r="AY568" s="360"/>
      <c r="AZ568" s="364"/>
      <c r="BA568" s="441"/>
      <c r="BB568" s="374"/>
      <c r="BC568" s="375"/>
      <c r="BD568" s="375"/>
      <c r="BE568" s="368"/>
      <c r="BF568" s="369"/>
      <c r="BG568" s="367"/>
      <c r="BH568" s="368"/>
      <c r="BI568" s="718"/>
      <c r="BJ568" s="369"/>
      <c r="BK568" s="367"/>
      <c r="BL568" s="368"/>
      <c r="BM568" s="718"/>
      <c r="BN568" s="369"/>
      <c r="BO568" s="367"/>
      <c r="BP568" s="368"/>
      <c r="BQ568" s="365"/>
      <c r="BR568" s="365"/>
      <c r="BS568" s="360"/>
      <c r="BT568" s="364"/>
      <c r="BU568" s="441"/>
      <c r="BV568" s="374"/>
      <c r="BW568" s="375"/>
      <c r="BX568" s="375"/>
      <c r="BY568" s="368"/>
      <c r="BZ568" s="369"/>
      <c r="CA568" s="367"/>
      <c r="CB568" s="368"/>
      <c r="CC568" s="718"/>
      <c r="CD568" s="369"/>
      <c r="CE568" s="367"/>
      <c r="CF568" s="368"/>
      <c r="CG568" s="718"/>
      <c r="CH568" s="369"/>
      <c r="CI568" s="367"/>
      <c r="CJ568" s="368"/>
      <c r="CK568" s="365"/>
      <c r="CL568" s="365"/>
      <c r="CM568" s="360"/>
      <c r="CN568" s="364"/>
      <c r="CO568" s="441"/>
      <c r="CP568" s="374"/>
      <c r="CQ568" s="375"/>
      <c r="CR568" s="375"/>
      <c r="CS568" s="368"/>
      <c r="CT568" s="369"/>
      <c r="CU568" s="367"/>
      <c r="CV568" s="368"/>
      <c r="CW568" s="718"/>
      <c r="CX568" s="369"/>
      <c r="CY568" s="367"/>
      <c r="CZ568" s="368"/>
      <c r="DA568" s="718"/>
      <c r="DB568" s="369"/>
      <c r="DC568" s="367"/>
      <c r="DD568" s="368"/>
      <c r="DE568" s="365"/>
      <c r="DF568" s="365"/>
      <c r="DG568" s="360"/>
      <c r="DH568" s="364"/>
      <c r="DI568" s="441"/>
      <c r="DJ568" s="374"/>
      <c r="DK568" s="375"/>
      <c r="DL568" s="375"/>
      <c r="DM568" s="368"/>
    </row>
    <row r="569" spans="1:117" x14ac:dyDescent="0.25">
      <c r="A569" s="262"/>
      <c r="B569" s="11" t="s">
        <v>577</v>
      </c>
      <c r="C569" s="18">
        <v>4</v>
      </c>
      <c r="D569" s="419"/>
      <c r="E569" s="419"/>
      <c r="F569" s="653">
        <v>47</v>
      </c>
      <c r="G569" s="518" t="s">
        <v>767</v>
      </c>
      <c r="H569" s="420"/>
      <c r="I569" s="420"/>
      <c r="J569" s="534">
        <f>SUM(M569,AG569,BA569,BU569)-L569</f>
        <v>-108</v>
      </c>
      <c r="K569" s="395">
        <f t="shared" si="1226"/>
        <v>-132</v>
      </c>
      <c r="L569" s="546">
        <v>132</v>
      </c>
      <c r="M569" s="434">
        <f>SUM(M557:M558)*4</f>
        <v>0</v>
      </c>
      <c r="N569" s="7">
        <f>M569-L569</f>
        <v>-132</v>
      </c>
      <c r="O569" s="258"/>
      <c r="P569" s="378">
        <f>SUM(P557:P558)*4</f>
        <v>0</v>
      </c>
      <c r="Q569" s="34">
        <f>L569+O569-P569</f>
        <v>132</v>
      </c>
      <c r="R569" s="421"/>
      <c r="S569" s="416"/>
      <c r="T569" s="415"/>
      <c r="V569" s="421"/>
      <c r="W569" s="416"/>
      <c r="X569" s="415"/>
      <c r="Z569" s="421"/>
      <c r="AA569" s="416"/>
      <c r="AB569" s="415"/>
      <c r="AC569" s="619"/>
      <c r="AD569" s="619"/>
      <c r="AE569" s="395">
        <f>SUM(M569,AG569)-SUM(O569,AI569)-L569</f>
        <v>-128</v>
      </c>
      <c r="AF569" s="32">
        <f>Q569</f>
        <v>132</v>
      </c>
      <c r="AG569" s="434">
        <f>SUM(AG557:AG558)*4</f>
        <v>4</v>
      </c>
      <c r="AH569" s="7">
        <f>AG569-AF569</f>
        <v>-128</v>
      </c>
      <c r="AI569" s="258"/>
      <c r="AJ569" s="378">
        <f>SUM(AJ557:AJ558)*4</f>
        <v>0</v>
      </c>
      <c r="AK569" s="34">
        <f>AF569+AI569-AJ569</f>
        <v>132</v>
      </c>
      <c r="AL569" s="421"/>
      <c r="AM569" s="416"/>
      <c r="AN569" s="415"/>
      <c r="AP569" s="421"/>
      <c r="AQ569" s="416"/>
      <c r="AR569" s="415"/>
      <c r="AT569" s="421"/>
      <c r="AU569" s="416"/>
      <c r="AV569" s="415"/>
      <c r="AW569" s="619"/>
      <c r="AX569" s="619"/>
      <c r="AY569" s="395">
        <f>SUM(M569,AG569,BA569)-SUM(O569,AI569,BC569)-L569</f>
        <v>-124</v>
      </c>
      <c r="AZ569" s="32">
        <f>AK569</f>
        <v>132</v>
      </c>
      <c r="BA569" s="434">
        <f>SUM(BA557:BA558)*4</f>
        <v>4</v>
      </c>
      <c r="BB569" s="7">
        <f>BA569-AZ569</f>
        <v>-128</v>
      </c>
      <c r="BC569" s="258"/>
      <c r="BD569" s="378">
        <f>SUM(BD557:BD558)*4</f>
        <v>0</v>
      </c>
      <c r="BE569" s="34">
        <f>AZ569+BC569-BD569</f>
        <v>132</v>
      </c>
      <c r="BF569" s="421"/>
      <c r="BG569" s="416"/>
      <c r="BH569" s="415"/>
      <c r="BJ569" s="421"/>
      <c r="BK569" s="416"/>
      <c r="BL569" s="415"/>
      <c r="BN569" s="421"/>
      <c r="BO569" s="416"/>
      <c r="BP569" s="415"/>
      <c r="BQ569" s="619"/>
      <c r="BR569" s="619"/>
      <c r="BS569" s="395">
        <f>SUM(M569,AG569,BA569,BU569)-SUM(O569,AI569,BC569,BW569)-L569</f>
        <v>-228</v>
      </c>
      <c r="BT569" s="32">
        <f>BE569</f>
        <v>132</v>
      </c>
      <c r="BU569" s="434">
        <f>SUM(BU557:BU558)*4</f>
        <v>16</v>
      </c>
      <c r="BV569" s="7">
        <f>BU569-BT569</f>
        <v>-116</v>
      </c>
      <c r="BW569" s="692">
        <v>120</v>
      </c>
      <c r="BX569" s="378">
        <f>SUM(BX557:BX558)*4</f>
        <v>20</v>
      </c>
      <c r="BY569" s="34">
        <f>BT569+BW569-BX569</f>
        <v>232</v>
      </c>
      <c r="BZ569" s="421"/>
      <c r="CA569" s="416"/>
      <c r="CB569" s="415"/>
      <c r="CD569" s="421"/>
      <c r="CE569" s="690">
        <v>5640</v>
      </c>
      <c r="CF569" s="691" t="s">
        <v>920</v>
      </c>
      <c r="CG569" s="689"/>
      <c r="CH569" s="421"/>
      <c r="CI569" s="416"/>
      <c r="CJ569" s="694" t="s">
        <v>966</v>
      </c>
      <c r="CK569" s="814"/>
      <c r="CL569" s="814"/>
      <c r="CM569" s="395">
        <f>SUM(M569,AG569,BA569,BU569,CO569)-SUM(O569,AI569,BC569,BW569,CQ569)-L569</f>
        <v>-228</v>
      </c>
      <c r="CN569" s="32">
        <f>BY569</f>
        <v>232</v>
      </c>
      <c r="CO569" s="434">
        <f>SUM(CO557:CO558)*4</f>
        <v>0</v>
      </c>
      <c r="CP569" s="7">
        <f>CO569-CN569</f>
        <v>-232</v>
      </c>
      <c r="CQ569" s="315"/>
      <c r="CR569" s="378">
        <f>SUM(CR557:CR558)*4</f>
        <v>0</v>
      </c>
      <c r="CS569" s="34">
        <f>CN569+CQ569-CR569</f>
        <v>232</v>
      </c>
      <c r="CT569" s="421"/>
      <c r="CU569" s="416"/>
      <c r="CV569" s="415"/>
      <c r="CX569" s="421"/>
      <c r="CY569" s="416"/>
      <c r="CZ569" s="415"/>
      <c r="DB569" s="421"/>
      <c r="DC569" s="416"/>
      <c r="DD569" s="415"/>
      <c r="DE569" s="619"/>
      <c r="DF569" s="619"/>
      <c r="DG569" s="395">
        <f>SUM(M569,AG569,BA569,BU569,DI569)-SUM(O569,AI569,BC569,BW569,CQ569)-L569</f>
        <v>-228</v>
      </c>
      <c r="DH569" s="32">
        <f t="shared" si="1227"/>
        <v>232</v>
      </c>
      <c r="DI569" s="434">
        <f>SUM(DI557:DI558)*4</f>
        <v>0</v>
      </c>
      <c r="DJ569" s="7">
        <f>DI569-DH569</f>
        <v>-232</v>
      </c>
      <c r="DK569" s="315"/>
      <c r="DL569" s="378">
        <f>SUM(DL557:DL558)*4</f>
        <v>0</v>
      </c>
      <c r="DM569" s="34">
        <f>DH569+DK569-DL569</f>
        <v>232</v>
      </c>
    </row>
    <row r="570" spans="1:117" x14ac:dyDescent="0.25">
      <c r="A570" s="18"/>
      <c r="B570" s="10" t="s">
        <v>578</v>
      </c>
      <c r="C570" s="262">
        <v>4</v>
      </c>
      <c r="D570" s="15"/>
      <c r="E570" s="15"/>
      <c r="F570" s="568">
        <v>51</v>
      </c>
      <c r="G570" s="518" t="s">
        <v>767</v>
      </c>
      <c r="H570" s="25"/>
      <c r="I570" s="25"/>
      <c r="J570" s="530">
        <f>SUM(M570,AG570,BA570,BU570)-L570</f>
        <v>-108</v>
      </c>
      <c r="K570" s="395">
        <f t="shared" si="1226"/>
        <v>-132</v>
      </c>
      <c r="L570" s="544">
        <v>132</v>
      </c>
      <c r="M570" s="344">
        <f>SUM(M557:M558)*4</f>
        <v>0</v>
      </c>
      <c r="N570" s="5">
        <f>M570-L570</f>
        <v>-132</v>
      </c>
      <c r="O570" s="256"/>
      <c r="P570" s="303">
        <f>SUM(P557:P558)*4</f>
        <v>0</v>
      </c>
      <c r="Q570" s="35">
        <f>L570+O570-P570</f>
        <v>132</v>
      </c>
      <c r="R570" s="21"/>
      <c r="S570" s="6"/>
      <c r="T570" s="35"/>
      <c r="U570" s="612"/>
      <c r="V570" s="21"/>
      <c r="W570" s="6"/>
      <c r="X570" s="35"/>
      <c r="Y570" s="612"/>
      <c r="Z570" s="21"/>
      <c r="AA570" s="6"/>
      <c r="AB570" s="35"/>
      <c r="AC570" s="231"/>
      <c r="AD570" s="231"/>
      <c r="AE570" s="398">
        <f>SUM(M570,AG570)-SUM(O570,AI570)-L570</f>
        <v>-128</v>
      </c>
      <c r="AF570" s="29">
        <f>Q570</f>
        <v>132</v>
      </c>
      <c r="AG570" s="344">
        <f>SUM(AG557:AG558)*4</f>
        <v>4</v>
      </c>
      <c r="AH570" s="5">
        <f>AG570-AF570</f>
        <v>-128</v>
      </c>
      <c r="AI570" s="256"/>
      <c r="AJ570" s="303">
        <f>SUM(AJ557:AJ558)*4</f>
        <v>0</v>
      </c>
      <c r="AK570" s="35">
        <f>AF570+AI570-AJ570</f>
        <v>132</v>
      </c>
      <c r="AL570" s="21"/>
      <c r="AM570" s="6"/>
      <c r="AN570" s="35"/>
      <c r="AO570" s="612"/>
      <c r="AP570" s="21"/>
      <c r="AQ570" s="6"/>
      <c r="AR570" s="35"/>
      <c r="AS570" s="612"/>
      <c r="AT570" s="21"/>
      <c r="AU570" s="6"/>
      <c r="AV570" s="35"/>
      <c r="AW570" s="231"/>
      <c r="AX570" s="231"/>
      <c r="AY570" s="398">
        <f>SUM(M570,AG570,BA570)-SUM(O570,AI570,BC570)-L570</f>
        <v>-124</v>
      </c>
      <c r="AZ570" s="29">
        <f>AK570</f>
        <v>132</v>
      </c>
      <c r="BA570" s="344">
        <f>SUM(BA557:BA558)*4</f>
        <v>4</v>
      </c>
      <c r="BB570" s="5">
        <f>BA570-AZ570</f>
        <v>-128</v>
      </c>
      <c r="BC570" s="256"/>
      <c r="BD570" s="303">
        <f>SUM(BD557:BD558)*4</f>
        <v>0</v>
      </c>
      <c r="BE570" s="35">
        <f>AZ570+BC570-BD570</f>
        <v>132</v>
      </c>
      <c r="BF570" s="21"/>
      <c r="BG570" s="6"/>
      <c r="BH570" s="35"/>
      <c r="BI570" s="612"/>
      <c r="BJ570" s="21"/>
      <c r="BK570" s="6"/>
      <c r="BL570" s="35"/>
      <c r="BM570" s="612"/>
      <c r="BN570" s="21"/>
      <c r="BO570" s="6"/>
      <c r="BP570" s="35"/>
      <c r="BQ570" s="231"/>
      <c r="BR570" s="231"/>
      <c r="BS570" s="398">
        <f>SUM(M570,AG570,BA570,BU570)-SUM(O570,AI570,BC570,BW570)-L570</f>
        <v>-228</v>
      </c>
      <c r="BT570" s="29">
        <f>BE570</f>
        <v>132</v>
      </c>
      <c r="BU570" s="344">
        <f>SUM(BU557:BU558)*4</f>
        <v>16</v>
      </c>
      <c r="BV570" s="5">
        <f>BU570-BT570</f>
        <v>-116</v>
      </c>
      <c r="BW570" s="693">
        <v>120</v>
      </c>
      <c r="BX570" s="303">
        <f>SUM(BX557:BX558)*4</f>
        <v>20</v>
      </c>
      <c r="BY570" s="35">
        <f>BT570+BW570-BX570</f>
        <v>232</v>
      </c>
      <c r="BZ570" s="21"/>
      <c r="CA570" s="6"/>
      <c r="CB570" s="35"/>
      <c r="CC570" s="612"/>
      <c r="CD570" s="21"/>
      <c r="CE570" s="663">
        <v>6120</v>
      </c>
      <c r="CF570" s="664" t="s">
        <v>920</v>
      </c>
      <c r="CG570" s="773"/>
      <c r="CH570" s="21"/>
      <c r="CI570" s="6"/>
      <c r="CJ570" s="696" t="s">
        <v>966</v>
      </c>
      <c r="CK570" s="815"/>
      <c r="CL570" s="815"/>
      <c r="CM570" s="695">
        <f>SUM(M570,AG570,BA570,BU570,CO570)-SUM(O570,AI570,BC570,BW570,CQ570)-L570</f>
        <v>-228</v>
      </c>
      <c r="CN570" s="29">
        <f>BY570</f>
        <v>232</v>
      </c>
      <c r="CO570" s="344">
        <f>SUM(CO557:CO558)*4</f>
        <v>0</v>
      </c>
      <c r="CP570" s="5">
        <f>CO570-CN570</f>
        <v>-232</v>
      </c>
      <c r="CQ570" s="240"/>
      <c r="CR570" s="303">
        <f>SUM(CR557:CR558)*4</f>
        <v>0</v>
      </c>
      <c r="CS570" s="35">
        <f>CN570+CQ570-CR570</f>
        <v>232</v>
      </c>
      <c r="CT570" s="21"/>
      <c r="CU570" s="6"/>
      <c r="CV570" s="35"/>
      <c r="CW570" s="612"/>
      <c r="CX570" s="21"/>
      <c r="CY570" s="6"/>
      <c r="CZ570" s="35"/>
      <c r="DA570" s="612"/>
      <c r="DB570" s="21"/>
      <c r="DC570" s="6"/>
      <c r="DD570" s="35"/>
      <c r="DE570" s="234"/>
      <c r="DF570" s="234"/>
      <c r="DG570" s="395">
        <f>SUM(M570,AG570,BA570,BU570,DI570)-SUM(O570,AI570,BC570,BW570,CQ570)-L570</f>
        <v>-228</v>
      </c>
      <c r="DH570" s="32">
        <f t="shared" si="1227"/>
        <v>232</v>
      </c>
      <c r="DI570" s="344">
        <f>SUM(DI557:DI558)*4</f>
        <v>0</v>
      </c>
      <c r="DJ570" s="5">
        <f>DI570-DH570</f>
        <v>-232</v>
      </c>
      <c r="DK570" s="240"/>
      <c r="DL570" s="303">
        <f>SUM(DL557:DL558)*4</f>
        <v>0</v>
      </c>
      <c r="DM570" s="35">
        <f>DH570+DK570-DL570</f>
        <v>232</v>
      </c>
    </row>
    <row r="571" spans="1:117" x14ac:dyDescent="0.25">
      <c r="A571" s="18"/>
      <c r="B571" s="11" t="s">
        <v>579</v>
      </c>
      <c r="C571" s="18">
        <v>2</v>
      </c>
      <c r="D571" s="15"/>
      <c r="E571" s="15"/>
      <c r="F571" s="568">
        <v>49</v>
      </c>
      <c r="G571" s="518" t="s">
        <v>767</v>
      </c>
      <c r="H571" s="25"/>
      <c r="I571" s="25"/>
      <c r="J571" s="530">
        <f>SUM(M571,AG571,BA571,BU571)-L571</f>
        <v>-58</v>
      </c>
      <c r="K571" s="395">
        <f t="shared" si="1226"/>
        <v>-70</v>
      </c>
      <c r="L571" s="544">
        <v>70</v>
      </c>
      <c r="M571" s="344">
        <f>SUM(M557:M558)*2</f>
        <v>0</v>
      </c>
      <c r="N571" s="5">
        <f>M571-L571</f>
        <v>-70</v>
      </c>
      <c r="O571" s="256"/>
      <c r="P571" s="303">
        <f>SUM(P557:P558)*2</f>
        <v>0</v>
      </c>
      <c r="Q571" s="35">
        <f>L571+O571-P571</f>
        <v>70</v>
      </c>
      <c r="R571" s="21"/>
      <c r="S571" s="6"/>
      <c r="T571" s="35"/>
      <c r="U571" s="612"/>
      <c r="V571" s="21"/>
      <c r="W571" s="6"/>
      <c r="X571" s="35"/>
      <c r="Y571" s="612"/>
      <c r="Z571" s="21"/>
      <c r="AA571" s="6"/>
      <c r="AB571" s="35"/>
      <c r="AC571" s="231"/>
      <c r="AD571" s="231"/>
      <c r="AE571" s="398">
        <f>SUM(M571,AG571)-SUM(O571,AI571)-L571</f>
        <v>-68</v>
      </c>
      <c r="AF571" s="29">
        <f>Q571</f>
        <v>70</v>
      </c>
      <c r="AG571" s="344">
        <f>SUM(AG557:AG558)*2</f>
        <v>2</v>
      </c>
      <c r="AH571" s="5">
        <f>AG571-AF571</f>
        <v>-68</v>
      </c>
      <c r="AI571" s="5"/>
      <c r="AJ571" s="303">
        <f>SUM(AJ557:AJ558)*2</f>
        <v>0</v>
      </c>
      <c r="AK571" s="35">
        <f>AF571+AI571-AJ571</f>
        <v>70</v>
      </c>
      <c r="AL571" s="21"/>
      <c r="AM571" s="6"/>
      <c r="AN571" s="35"/>
      <c r="AO571" s="612"/>
      <c r="AP571" s="21"/>
      <c r="AQ571" s="6"/>
      <c r="AR571" s="35"/>
      <c r="AS571" s="612"/>
      <c r="AT571" s="21"/>
      <c r="AU571" s="6"/>
      <c r="AV571" s="35"/>
      <c r="AW571" s="231"/>
      <c r="AX571" s="231"/>
      <c r="AY571" s="398">
        <f>SUM(M571,AG571,BA571)-SUM(O571,AI571,BC571)-L571</f>
        <v>-66</v>
      </c>
      <c r="AZ571" s="29">
        <f>AK571</f>
        <v>70</v>
      </c>
      <c r="BA571" s="344">
        <f>SUM(BA557:BA558)*2</f>
        <v>2</v>
      </c>
      <c r="BB571" s="5">
        <f>BA571-AZ571</f>
        <v>-68</v>
      </c>
      <c r="BC571" s="256"/>
      <c r="BD571" s="303">
        <f>SUM(BD557:BD558)*2</f>
        <v>0</v>
      </c>
      <c r="BE571" s="35">
        <f>AZ571+BC571-BD571</f>
        <v>70</v>
      </c>
      <c r="BF571" s="21"/>
      <c r="BG571" s="6"/>
      <c r="BH571" s="35"/>
      <c r="BI571" s="612"/>
      <c r="BJ571" s="21"/>
      <c r="BK571" s="6"/>
      <c r="BL571" s="35"/>
      <c r="BM571" s="612"/>
      <c r="BN571" s="21"/>
      <c r="BO571" s="6"/>
      <c r="BP571" s="35"/>
      <c r="BQ571" s="231"/>
      <c r="BR571" s="231"/>
      <c r="BS571" s="398">
        <f>SUM(M571,AG571,BA571,BU571)-SUM(O571,AI571,BC571,BW571)-L571</f>
        <v>-118</v>
      </c>
      <c r="BT571" s="29">
        <f>BE571</f>
        <v>70</v>
      </c>
      <c r="BU571" s="344">
        <f>SUM(BU557:BU558)*2</f>
        <v>8</v>
      </c>
      <c r="BV571" s="5">
        <f>BU571-BT571</f>
        <v>-62</v>
      </c>
      <c r="BW571" s="693">
        <v>60</v>
      </c>
      <c r="BX571" s="303">
        <f>SUM(BX557:BX558)*2</f>
        <v>10</v>
      </c>
      <c r="BY571" s="35">
        <f>BT571+BW571-BX571</f>
        <v>120</v>
      </c>
      <c r="BZ571" s="21"/>
      <c r="CA571" s="6"/>
      <c r="CB571" s="35"/>
      <c r="CC571" s="612"/>
      <c r="CD571" s="21"/>
      <c r="CE571" s="663">
        <v>2940</v>
      </c>
      <c r="CF571" s="664" t="s">
        <v>921</v>
      </c>
      <c r="CG571" s="773"/>
      <c r="CH571" s="21"/>
      <c r="CI571" s="6"/>
      <c r="CJ571" s="696" t="s">
        <v>966</v>
      </c>
      <c r="CK571" s="815"/>
      <c r="CL571" s="815"/>
      <c r="CM571" s="695">
        <f>SUM(M571,AG571,BA571,BU571,CO571)-SUM(O571,AI571,BC571,BW571,CQ571)-L571</f>
        <v>-118</v>
      </c>
      <c r="CN571" s="29">
        <f>BY571</f>
        <v>120</v>
      </c>
      <c r="CO571" s="344">
        <f>SUM(CO557:CO558)*2</f>
        <v>0</v>
      </c>
      <c r="CP571" s="5">
        <f>CO571-CN571</f>
        <v>-120</v>
      </c>
      <c r="CQ571" s="240"/>
      <c r="CR571" s="303">
        <f>SUM(CR557:CR558)*2</f>
        <v>0</v>
      </c>
      <c r="CS571" s="35">
        <f>CN571+CQ571-CR571</f>
        <v>120</v>
      </c>
      <c r="CT571" s="21"/>
      <c r="CU571" s="6"/>
      <c r="CV571" s="35"/>
      <c r="CW571" s="612"/>
      <c r="CX571" s="21"/>
      <c r="CY571" s="6"/>
      <c r="CZ571" s="35"/>
      <c r="DA571" s="612"/>
      <c r="DB571" s="21"/>
      <c r="DC571" s="6"/>
      <c r="DD571" s="35"/>
      <c r="DE571" s="234"/>
      <c r="DF571" s="234"/>
      <c r="DG571" s="395">
        <f>SUM(M571,AG571,BA571,BU571,DI571)-SUM(O571,AI571,BC571,BW571,CQ571)-L571</f>
        <v>-118</v>
      </c>
      <c r="DH571" s="32">
        <f t="shared" si="1227"/>
        <v>120</v>
      </c>
      <c r="DI571" s="344">
        <f>SUM(DI557:DI558)*2</f>
        <v>0</v>
      </c>
      <c r="DJ571" s="5">
        <f>DI571-DH571</f>
        <v>-120</v>
      </c>
      <c r="DK571" s="240"/>
      <c r="DL571" s="303">
        <f>SUM(DL557:DL558)*2</f>
        <v>0</v>
      </c>
      <c r="DM571" s="35">
        <f>DH571+DK571-DL571</f>
        <v>120</v>
      </c>
    </row>
    <row r="572" spans="1:117" x14ac:dyDescent="0.25">
      <c r="A572" s="262"/>
      <c r="B572" s="11" t="s">
        <v>580</v>
      </c>
      <c r="C572" s="18">
        <v>2</v>
      </c>
      <c r="D572" s="419"/>
      <c r="E572" s="419"/>
      <c r="F572" s="568">
        <v>46</v>
      </c>
      <c r="G572" s="518" t="s">
        <v>767</v>
      </c>
      <c r="H572" s="420"/>
      <c r="I572" s="420"/>
      <c r="J572" s="534">
        <f>SUM(M572,AG572,BA572,BU572)-L572</f>
        <v>-120</v>
      </c>
      <c r="K572" s="395">
        <f t="shared" si="1226"/>
        <v>-132</v>
      </c>
      <c r="L572" s="546">
        <v>132</v>
      </c>
      <c r="M572" s="434">
        <f>SUM(M557:M558)*2</f>
        <v>0</v>
      </c>
      <c r="N572" s="7">
        <f>M572-L572</f>
        <v>-132</v>
      </c>
      <c r="O572" s="258"/>
      <c r="P572" s="378">
        <f>SUM(P557:P558)*2</f>
        <v>0</v>
      </c>
      <c r="Q572" s="34">
        <f>L572+O572-P572</f>
        <v>132</v>
      </c>
      <c r="R572" s="421"/>
      <c r="S572" s="416"/>
      <c r="T572" s="415"/>
      <c r="V572" s="421"/>
      <c r="W572" s="416"/>
      <c r="X572" s="415"/>
      <c r="Z572" s="421"/>
      <c r="AA572" s="416"/>
      <c r="AB572" s="415"/>
      <c r="AC572" s="619"/>
      <c r="AD572" s="619"/>
      <c r="AE572" s="395">
        <f>SUM(M572,AG572)-SUM(O572,AI572)-L572</f>
        <v>-130</v>
      </c>
      <c r="AF572" s="32">
        <f>Q572</f>
        <v>132</v>
      </c>
      <c r="AG572" s="434">
        <f>SUM(AG557:AG558)*2</f>
        <v>2</v>
      </c>
      <c r="AH572" s="7">
        <f>AG572-AF572</f>
        <v>-130</v>
      </c>
      <c r="AI572" s="258"/>
      <c r="AJ572" s="378">
        <f>SUM(AJ557:AJ558)*2</f>
        <v>0</v>
      </c>
      <c r="AK572" s="34">
        <f>AF572+AI572-AJ572</f>
        <v>132</v>
      </c>
      <c r="AL572" s="421"/>
      <c r="AM572" s="416"/>
      <c r="AN572" s="415"/>
      <c r="AP572" s="421"/>
      <c r="AQ572" s="416"/>
      <c r="AR572" s="415"/>
      <c r="AT572" s="421"/>
      <c r="AU572" s="416"/>
      <c r="AV572" s="415"/>
      <c r="AW572" s="619"/>
      <c r="AX572" s="619"/>
      <c r="AY572" s="395">
        <f>SUM(M572,AG572,BA572)-SUM(O572,AI572,BC572)-L572</f>
        <v>-128</v>
      </c>
      <c r="AZ572" s="32">
        <f>AK572</f>
        <v>132</v>
      </c>
      <c r="BA572" s="434">
        <f>SUM(BA557:BA558)*2</f>
        <v>2</v>
      </c>
      <c r="BB572" s="7">
        <f>BA572-AZ572</f>
        <v>-130</v>
      </c>
      <c r="BC572" s="258"/>
      <c r="BD572" s="378">
        <f>SUM(BD557:BD558)*2</f>
        <v>0</v>
      </c>
      <c r="BE572" s="34">
        <f>AZ572+BC572-BD572</f>
        <v>132</v>
      </c>
      <c r="BF572" s="421"/>
      <c r="BG572" s="416"/>
      <c r="BH572" s="415"/>
      <c r="BJ572" s="421"/>
      <c r="BK572" s="416"/>
      <c r="BL572" s="415"/>
      <c r="BN572" s="421"/>
      <c r="BO572" s="416"/>
      <c r="BP572" s="415"/>
      <c r="BQ572" s="619"/>
      <c r="BR572" s="619"/>
      <c r="BS572" s="395">
        <f>SUM(M572,AG572,BA572,BU572)-SUM(O572,AI572,BC572,BW572)-L572</f>
        <v>-180</v>
      </c>
      <c r="BT572" s="32">
        <f>BE572</f>
        <v>132</v>
      </c>
      <c r="BU572" s="434">
        <f>SUM(BU557:BU558)*2</f>
        <v>8</v>
      </c>
      <c r="BV572" s="7">
        <f>BU572-BT572</f>
        <v>-124</v>
      </c>
      <c r="BW572" s="692">
        <v>60</v>
      </c>
      <c r="BX572" s="378">
        <f>SUM(BX557:BX558)*2</f>
        <v>10</v>
      </c>
      <c r="BY572" s="34">
        <f>BT572+BW572-BX572</f>
        <v>182</v>
      </c>
      <c r="BZ572" s="421"/>
      <c r="CA572" s="416"/>
      <c r="CB572" s="415"/>
      <c r="CD572" s="421"/>
      <c r="CE572" s="690">
        <v>2760</v>
      </c>
      <c r="CF572" s="691" t="s">
        <v>921</v>
      </c>
      <c r="CG572" s="689"/>
      <c r="CH572" s="421"/>
      <c r="CI572" s="416"/>
      <c r="CJ572" s="694" t="s">
        <v>966</v>
      </c>
      <c r="CK572" s="814"/>
      <c r="CL572" s="814"/>
      <c r="CM572" s="395">
        <f>SUM(M572,AG572,BA572,BU572,CO572)-SUM(O572,AI572,BC572,BW572,CQ572)-L572</f>
        <v>-180</v>
      </c>
      <c r="CN572" s="32">
        <f>BY572</f>
        <v>182</v>
      </c>
      <c r="CO572" s="434">
        <f>SUM(CO557:CO558)*2</f>
        <v>0</v>
      </c>
      <c r="CP572" s="7">
        <f>CO572-CN572</f>
        <v>-182</v>
      </c>
      <c r="CQ572" s="315"/>
      <c r="CR572" s="378">
        <f>SUM(CR557:CR558)*2</f>
        <v>0</v>
      </c>
      <c r="CS572" s="34">
        <f>CN572+CQ572-CR572</f>
        <v>182</v>
      </c>
      <c r="CT572" s="421"/>
      <c r="CU572" s="416"/>
      <c r="CV572" s="415"/>
      <c r="CX572" s="421"/>
      <c r="CY572" s="416"/>
      <c r="CZ572" s="415"/>
      <c r="DB572" s="421"/>
      <c r="DC572" s="416"/>
      <c r="DD572" s="415"/>
      <c r="DE572" s="619"/>
      <c r="DF572" s="619"/>
      <c r="DG572" s="395">
        <f>SUM(M572,AG572,BA572,BU572,DI572)-SUM(O572,AI572,BC572,BW572,CQ572)-L572</f>
        <v>-180</v>
      </c>
      <c r="DH572" s="32">
        <f t="shared" si="1227"/>
        <v>182</v>
      </c>
      <c r="DI572" s="434">
        <f>SUM(DI557:DI558)*2</f>
        <v>0</v>
      </c>
      <c r="DJ572" s="7">
        <f>DI572-DH572</f>
        <v>-182</v>
      </c>
      <c r="DK572" s="315"/>
      <c r="DL572" s="378">
        <f>SUM(DL557:DL558)*2</f>
        <v>0</v>
      </c>
      <c r="DM572" s="34">
        <f>DH572+DK572-DL572</f>
        <v>182</v>
      </c>
    </row>
    <row r="573" spans="1:117" x14ac:dyDescent="0.25">
      <c r="A573" s="360"/>
      <c r="B573" s="347" t="s">
        <v>481</v>
      </c>
      <c r="C573" s="360"/>
      <c r="D573" s="373"/>
      <c r="E573" s="373"/>
      <c r="F573" s="362"/>
      <c r="G573" s="517"/>
      <c r="H573" s="363"/>
      <c r="I573" s="363"/>
      <c r="J573" s="360"/>
      <c r="K573" s="360"/>
      <c r="L573" s="364"/>
      <c r="M573" s="441"/>
      <c r="N573" s="374"/>
      <c r="O573" s="441"/>
      <c r="P573" s="375"/>
      <c r="Q573" s="368"/>
      <c r="R573" s="369"/>
      <c r="S573" s="367"/>
      <c r="T573" s="368"/>
      <c r="U573" s="718"/>
      <c r="V573" s="369"/>
      <c r="W573" s="367"/>
      <c r="X573" s="368"/>
      <c r="Y573" s="718"/>
      <c r="Z573" s="369"/>
      <c r="AA573" s="367"/>
      <c r="AB573" s="368"/>
      <c r="AC573" s="365"/>
      <c r="AD573" s="365"/>
      <c r="AE573" s="360"/>
      <c r="AF573" s="364"/>
      <c r="AG573" s="441"/>
      <c r="AH573" s="374"/>
      <c r="AI573" s="441"/>
      <c r="AJ573" s="375"/>
      <c r="AK573" s="368"/>
      <c r="AL573" s="369"/>
      <c r="AM573" s="367"/>
      <c r="AN573" s="368"/>
      <c r="AO573" s="718"/>
      <c r="AP573" s="369"/>
      <c r="AQ573" s="367"/>
      <c r="AR573" s="368"/>
      <c r="AS573" s="718"/>
      <c r="AT573" s="369"/>
      <c r="AU573" s="367"/>
      <c r="AV573" s="368"/>
      <c r="AW573" s="365"/>
      <c r="AX573" s="365"/>
      <c r="AY573" s="360"/>
      <c r="AZ573" s="364"/>
      <c r="BA573" s="441"/>
      <c r="BB573" s="374"/>
      <c r="BC573" s="375"/>
      <c r="BD573" s="375"/>
      <c r="BE573" s="368"/>
      <c r="BF573" s="369"/>
      <c r="BG573" s="367"/>
      <c r="BH573" s="368"/>
      <c r="BI573" s="718"/>
      <c r="BJ573" s="369"/>
      <c r="BK573" s="367"/>
      <c r="BL573" s="368"/>
      <c r="BM573" s="718"/>
      <c r="BN573" s="369"/>
      <c r="BO573" s="367"/>
      <c r="BP573" s="368"/>
      <c r="BQ573" s="365"/>
      <c r="BR573" s="365"/>
      <c r="BS573" s="360"/>
      <c r="BT573" s="364"/>
      <c r="BU573" s="441"/>
      <c r="BV573" s="374"/>
      <c r="BW573" s="375"/>
      <c r="BX573" s="375"/>
      <c r="BY573" s="368"/>
      <c r="BZ573" s="369"/>
      <c r="CA573" s="367"/>
      <c r="CB573" s="368"/>
      <c r="CC573" s="718"/>
      <c r="CD573" s="369"/>
      <c r="CE573" s="367"/>
      <c r="CF573" s="368"/>
      <c r="CG573" s="718"/>
      <c r="CH573" s="369"/>
      <c r="CI573" s="367"/>
      <c r="CJ573" s="368"/>
      <c r="CK573" s="365"/>
      <c r="CL573" s="365"/>
      <c r="CM573" s="360"/>
      <c r="CN573" s="364"/>
      <c r="CO573" s="441"/>
      <c r="CP573" s="374"/>
      <c r="CQ573" s="375"/>
      <c r="CR573" s="375"/>
      <c r="CS573" s="368"/>
      <c r="CT573" s="369"/>
      <c r="CU573" s="367"/>
      <c r="CV573" s="368"/>
      <c r="CW573" s="718"/>
      <c r="CX573" s="369"/>
      <c r="CY573" s="367"/>
      <c r="CZ573" s="368"/>
      <c r="DA573" s="718"/>
      <c r="DB573" s="369"/>
      <c r="DC573" s="367"/>
      <c r="DD573" s="368"/>
      <c r="DE573" s="365"/>
      <c r="DF573" s="365"/>
      <c r="DG573" s="360"/>
      <c r="DH573" s="364"/>
      <c r="DI573" s="441"/>
      <c r="DJ573" s="374"/>
      <c r="DK573" s="375"/>
      <c r="DL573" s="375"/>
      <c r="DM573" s="368"/>
    </row>
    <row r="574" spans="1:117" x14ac:dyDescent="0.25">
      <c r="A574" s="262"/>
      <c r="B574" s="10" t="s">
        <v>625</v>
      </c>
      <c r="C574" s="262">
        <v>2</v>
      </c>
      <c r="D574" s="419"/>
      <c r="E574" s="419"/>
      <c r="F574" s="149">
        <v>19.09</v>
      </c>
      <c r="G574" s="518" t="s">
        <v>757</v>
      </c>
      <c r="H574" s="420"/>
      <c r="I574" s="420"/>
      <c r="J574" s="534">
        <f t="shared" ref="J574:J580" si="1228">SUM(M574,AG574,BA574,BU574)-L574</f>
        <v>-64</v>
      </c>
      <c r="K574" s="395">
        <f t="shared" si="1226"/>
        <v>-76</v>
      </c>
      <c r="L574" s="546">
        <v>76</v>
      </c>
      <c r="M574" s="434">
        <f>SUM(M557:M558)*2</f>
        <v>0</v>
      </c>
      <c r="N574" s="7">
        <f t="shared" ref="N574:N580" si="1229">M574-L574</f>
        <v>-76</v>
      </c>
      <c r="O574" s="258"/>
      <c r="P574" s="378">
        <f>SUM(P557:P558)*2</f>
        <v>0</v>
      </c>
      <c r="Q574" s="34">
        <f t="shared" ref="Q574:Q580" si="1230">L574+O574-P574</f>
        <v>76</v>
      </c>
      <c r="R574" s="421"/>
      <c r="S574" s="416"/>
      <c r="T574" s="415"/>
      <c r="V574" s="421"/>
      <c r="W574" s="416"/>
      <c r="X574" s="415"/>
      <c r="Z574" s="421"/>
      <c r="AA574" s="416"/>
      <c r="AB574" s="415"/>
      <c r="AC574" s="619"/>
      <c r="AD574" s="619"/>
      <c r="AE574" s="395">
        <f t="shared" ref="AE574:AE580" si="1231">SUM(M574,AG574)-SUM(O574,AI574)-L574</f>
        <v>-74</v>
      </c>
      <c r="AF574" s="32">
        <f t="shared" ref="AF574:AF580" si="1232">Q574</f>
        <v>76</v>
      </c>
      <c r="AG574" s="434">
        <f>SUM(AG557:AG558)*2</f>
        <v>2</v>
      </c>
      <c r="AH574" s="7">
        <f t="shared" ref="AH574:AH580" si="1233">AG574-AF574</f>
        <v>-74</v>
      </c>
      <c r="AI574" s="258"/>
      <c r="AJ574" s="378">
        <f>SUM(AJ557:AJ558)*2</f>
        <v>0</v>
      </c>
      <c r="AK574" s="34">
        <f t="shared" ref="AK574:AK580" si="1234">AF574+AI574-AJ574</f>
        <v>76</v>
      </c>
      <c r="AL574" s="421"/>
      <c r="AM574" s="416"/>
      <c r="AN574" s="415"/>
      <c r="AP574" s="421"/>
      <c r="AQ574" s="416"/>
      <c r="AR574" s="415"/>
      <c r="AT574" s="421"/>
      <c r="AU574" s="416"/>
      <c r="AV574" s="415"/>
      <c r="AW574" s="619"/>
      <c r="AX574" s="619"/>
      <c r="AY574" s="395">
        <f t="shared" ref="AY574:AY580" si="1235">SUM(M574,AG574,BA574)-SUM(O574,AI574,BC574)-L574</f>
        <v>-72</v>
      </c>
      <c r="AZ574" s="32">
        <f t="shared" ref="AZ574:AZ580" si="1236">AK574</f>
        <v>76</v>
      </c>
      <c r="BA574" s="434">
        <f>SUM(BA557:BA558)*2</f>
        <v>2</v>
      </c>
      <c r="BB574" s="7">
        <f t="shared" ref="BB574:BB580" si="1237">BA574-AZ574</f>
        <v>-74</v>
      </c>
      <c r="BC574" s="258"/>
      <c r="BD574" s="378">
        <f>SUM(BD557:BD558)*2</f>
        <v>0</v>
      </c>
      <c r="BE574" s="34">
        <f t="shared" ref="BE574:BE580" si="1238">AZ574+BC574-BD574</f>
        <v>76</v>
      </c>
      <c r="BF574" s="421"/>
      <c r="BG574" s="416"/>
      <c r="BH574" s="415"/>
      <c r="BJ574" s="121"/>
      <c r="BK574" s="416"/>
      <c r="BL574" s="35"/>
      <c r="BN574" s="421"/>
      <c r="BO574" s="416"/>
      <c r="BP574" s="415"/>
      <c r="BQ574" s="619"/>
      <c r="BR574" s="619"/>
      <c r="BS574" s="395">
        <f t="shared" ref="BS574:BS580" si="1239">SUM(M574,AG574,BA574,BU574)-SUM(O574,AI574,BC574,BW574)-L574</f>
        <v>-64</v>
      </c>
      <c r="BT574" s="32">
        <f t="shared" ref="BT574:BT580" si="1240">BE574</f>
        <v>76</v>
      </c>
      <c r="BU574" s="434">
        <f>SUM(BU557:BU558)*2</f>
        <v>8</v>
      </c>
      <c r="BV574" s="7">
        <f t="shared" ref="BV574:BV580" si="1241">BU574-BT574</f>
        <v>-68</v>
      </c>
      <c r="BW574" s="242"/>
      <c r="BX574" s="378">
        <f>SUM(BX557:BX558)*2</f>
        <v>10</v>
      </c>
      <c r="BY574" s="34">
        <f t="shared" ref="BY574:BY580" si="1242">BT574+BW574-BX574</f>
        <v>66</v>
      </c>
      <c r="BZ574" s="421"/>
      <c r="CA574" s="416"/>
      <c r="CB574" s="415"/>
      <c r="CD574" s="421"/>
      <c r="CE574" s="416"/>
      <c r="CF574" s="415"/>
      <c r="CH574" s="421"/>
      <c r="CI574" s="416"/>
      <c r="CJ574" s="415"/>
      <c r="CK574" s="619"/>
      <c r="CL574" s="619"/>
      <c r="CM574" s="395">
        <f t="shared" ref="CM574:CM580" si="1243">SUM(M574,AG574,BA574,BU574,CO574)-SUM(O574,AI574,BC574,BW574,CQ574)-L574</f>
        <v>-64</v>
      </c>
      <c r="CN574" s="32">
        <f t="shared" ref="CN574:CN580" si="1244">BY574</f>
        <v>66</v>
      </c>
      <c r="CO574" s="434">
        <f>SUM(CO557:CO558)*2</f>
        <v>0</v>
      </c>
      <c r="CP574" s="7">
        <f t="shared" ref="CP574:CP580" si="1245">CO574-CN574</f>
        <v>-66</v>
      </c>
      <c r="CQ574" s="315"/>
      <c r="CR574" s="378">
        <f>SUM(CR557:CR558)*2</f>
        <v>0</v>
      </c>
      <c r="CS574" s="34">
        <f t="shared" ref="CS574:CS580" si="1246">CN574+CQ574-CR574</f>
        <v>66</v>
      </c>
      <c r="CT574" s="421"/>
      <c r="CU574" s="416"/>
      <c r="CV574" s="415"/>
      <c r="CX574" s="421"/>
      <c r="CY574" s="416"/>
      <c r="CZ574" s="415"/>
      <c r="DB574" s="421"/>
      <c r="DC574" s="416"/>
      <c r="DD574" s="415"/>
      <c r="DE574" s="619"/>
      <c r="DF574" s="619"/>
      <c r="DG574" s="395">
        <f t="shared" ref="DG574:DG580" si="1247">SUM(M574,AG574,BA574,BU574,DI574)-SUM(O574,AI574,BC574,BW574,CQ574)-L574</f>
        <v>-64</v>
      </c>
      <c r="DH574" s="32">
        <f t="shared" si="1227"/>
        <v>66</v>
      </c>
      <c r="DI574" s="434">
        <f>SUM(DI557:DI558)*2</f>
        <v>0</v>
      </c>
      <c r="DJ574" s="7">
        <f t="shared" ref="DJ574:DJ580" si="1248">DI574-DH574</f>
        <v>-66</v>
      </c>
      <c r="DK574" s="315"/>
      <c r="DL574" s="378">
        <f>SUM(DL557:DL558)*2</f>
        <v>0</v>
      </c>
      <c r="DM574" s="34">
        <f t="shared" ref="DM574:DM580" si="1249">DH574+DK574-DL574</f>
        <v>66</v>
      </c>
    </row>
    <row r="575" spans="1:117" x14ac:dyDescent="0.25">
      <c r="A575" s="18"/>
      <c r="B575" s="11" t="s">
        <v>626</v>
      </c>
      <c r="C575" s="18">
        <v>2</v>
      </c>
      <c r="D575" s="15"/>
      <c r="E575" s="15"/>
      <c r="F575" s="149">
        <v>19.09</v>
      </c>
      <c r="G575" s="518" t="s">
        <v>757</v>
      </c>
      <c r="H575" s="25"/>
      <c r="I575" s="25"/>
      <c r="J575" s="530">
        <f t="shared" si="1228"/>
        <v>-64</v>
      </c>
      <c r="K575" s="395">
        <f t="shared" si="1226"/>
        <v>-76</v>
      </c>
      <c r="L575" s="544">
        <v>76</v>
      </c>
      <c r="M575" s="344">
        <f>SUM(M557:M558)*2</f>
        <v>0</v>
      </c>
      <c r="N575" s="5">
        <f t="shared" si="1229"/>
        <v>-76</v>
      </c>
      <c r="O575" s="256"/>
      <c r="P575" s="303">
        <f>SUM(P557:P558)*2</f>
        <v>0</v>
      </c>
      <c r="Q575" s="35">
        <f t="shared" si="1230"/>
        <v>76</v>
      </c>
      <c r="R575" s="21"/>
      <c r="S575" s="6"/>
      <c r="T575" s="35"/>
      <c r="U575" s="612"/>
      <c r="V575" s="21"/>
      <c r="W575" s="6"/>
      <c r="X575" s="35"/>
      <c r="Y575" s="612"/>
      <c r="Z575" s="21"/>
      <c r="AA575" s="6"/>
      <c r="AB575" s="35"/>
      <c r="AC575" s="231"/>
      <c r="AD575" s="231"/>
      <c r="AE575" s="398">
        <f t="shared" si="1231"/>
        <v>-74</v>
      </c>
      <c r="AF575" s="29">
        <f t="shared" si="1232"/>
        <v>76</v>
      </c>
      <c r="AG575" s="344">
        <f>SUM(AG557:AG558)*2</f>
        <v>2</v>
      </c>
      <c r="AH575" s="5">
        <f t="shared" si="1233"/>
        <v>-74</v>
      </c>
      <c r="AI575" s="256"/>
      <c r="AJ575" s="303">
        <f>SUM(AJ557:AJ558)*2</f>
        <v>0</v>
      </c>
      <c r="AK575" s="35">
        <f t="shared" si="1234"/>
        <v>76</v>
      </c>
      <c r="AL575" s="21"/>
      <c r="AM575" s="6"/>
      <c r="AN575" s="35"/>
      <c r="AO575" s="612"/>
      <c r="AP575" s="21"/>
      <c r="AQ575" s="6"/>
      <c r="AR575" s="35"/>
      <c r="AS575" s="612"/>
      <c r="AT575" s="21"/>
      <c r="AU575" s="6"/>
      <c r="AV575" s="35"/>
      <c r="AW575" s="231"/>
      <c r="AX575" s="231"/>
      <c r="AY575" s="398">
        <f t="shared" si="1235"/>
        <v>-72</v>
      </c>
      <c r="AZ575" s="29">
        <f t="shared" si="1236"/>
        <v>76</v>
      </c>
      <c r="BA575" s="344">
        <f>SUM(BA557:BA558)*2</f>
        <v>2</v>
      </c>
      <c r="BB575" s="5">
        <f t="shared" si="1237"/>
        <v>-74</v>
      </c>
      <c r="BC575" s="258"/>
      <c r="BD575" s="303">
        <f>SUM(BD557:BD558)*2</f>
        <v>0</v>
      </c>
      <c r="BE575" s="35">
        <f t="shared" si="1238"/>
        <v>76</v>
      </c>
      <c r="BF575" s="21"/>
      <c r="BG575" s="6"/>
      <c r="BH575" s="35"/>
      <c r="BI575" s="612"/>
      <c r="BJ575" s="121"/>
      <c r="BK575" s="6"/>
      <c r="BL575" s="35"/>
      <c r="BM575" s="612"/>
      <c r="BN575" s="21"/>
      <c r="BO575" s="6"/>
      <c r="BP575" s="35"/>
      <c r="BQ575" s="231"/>
      <c r="BR575" s="231"/>
      <c r="BS575" s="398">
        <f t="shared" si="1239"/>
        <v>-64</v>
      </c>
      <c r="BT575" s="29">
        <f t="shared" si="1240"/>
        <v>76</v>
      </c>
      <c r="BU575" s="344">
        <f>SUM(BU557:BU558)*2</f>
        <v>8</v>
      </c>
      <c r="BV575" s="5">
        <f t="shared" si="1241"/>
        <v>-68</v>
      </c>
      <c r="BW575" s="240"/>
      <c r="BX575" s="303">
        <f>SUM(BX557:BX558)*2</f>
        <v>10</v>
      </c>
      <c r="BY575" s="35">
        <f t="shared" si="1242"/>
        <v>66</v>
      </c>
      <c r="BZ575" s="21"/>
      <c r="CA575" s="6"/>
      <c r="CB575" s="35"/>
      <c r="CC575" s="612"/>
      <c r="CD575" s="21"/>
      <c r="CE575" s="6"/>
      <c r="CF575" s="35"/>
      <c r="CG575" s="612"/>
      <c r="CH575" s="21"/>
      <c r="CI575" s="6"/>
      <c r="CJ575" s="35"/>
      <c r="CK575" s="231"/>
      <c r="CL575" s="231"/>
      <c r="CM575" s="398">
        <f t="shared" si="1243"/>
        <v>-64</v>
      </c>
      <c r="CN575" s="29">
        <f t="shared" si="1244"/>
        <v>66</v>
      </c>
      <c r="CO575" s="344">
        <f>SUM(CO557:CO558)*2</f>
        <v>0</v>
      </c>
      <c r="CP575" s="5">
        <f t="shared" si="1245"/>
        <v>-66</v>
      </c>
      <c r="CQ575" s="240"/>
      <c r="CR575" s="303">
        <f>SUM(CR557:CR558)*2</f>
        <v>0</v>
      </c>
      <c r="CS575" s="35">
        <f t="shared" si="1246"/>
        <v>66</v>
      </c>
      <c r="CT575" s="21"/>
      <c r="CU575" s="6"/>
      <c r="CV575" s="35"/>
      <c r="CW575" s="612"/>
      <c r="CX575" s="21"/>
      <c r="CY575" s="6"/>
      <c r="CZ575" s="35"/>
      <c r="DA575" s="612"/>
      <c r="DB575" s="21"/>
      <c r="DC575" s="6"/>
      <c r="DD575" s="35"/>
      <c r="DE575" s="234"/>
      <c r="DF575" s="234"/>
      <c r="DG575" s="395">
        <f t="shared" si="1247"/>
        <v>-64</v>
      </c>
      <c r="DH575" s="32">
        <f t="shared" si="1227"/>
        <v>66</v>
      </c>
      <c r="DI575" s="344">
        <f>SUM(DI557:DI558)*2</f>
        <v>0</v>
      </c>
      <c r="DJ575" s="5">
        <f t="shared" si="1248"/>
        <v>-66</v>
      </c>
      <c r="DK575" s="240"/>
      <c r="DL575" s="303">
        <f>SUM(DL557:DL558)*2</f>
        <v>0</v>
      </c>
      <c r="DM575" s="35">
        <f t="shared" si="1249"/>
        <v>66</v>
      </c>
    </row>
    <row r="576" spans="1:117" x14ac:dyDescent="0.25">
      <c r="A576" s="262"/>
      <c r="B576" s="10" t="s">
        <v>627</v>
      </c>
      <c r="C576" s="262">
        <v>1</v>
      </c>
      <c r="D576" s="419"/>
      <c r="E576" s="419"/>
      <c r="F576" s="149">
        <v>30.91</v>
      </c>
      <c r="G576" s="518" t="s">
        <v>757</v>
      </c>
      <c r="H576" s="420"/>
      <c r="I576" s="420"/>
      <c r="J576" s="534">
        <f t="shared" si="1228"/>
        <v>-32</v>
      </c>
      <c r="K576" s="395">
        <f t="shared" si="1226"/>
        <v>-38</v>
      </c>
      <c r="L576" s="546">
        <v>38</v>
      </c>
      <c r="M576" s="434">
        <f>SUM(M557:M558)</f>
        <v>0</v>
      </c>
      <c r="N576" s="7">
        <f t="shared" si="1229"/>
        <v>-38</v>
      </c>
      <c r="O576" s="258"/>
      <c r="P576" s="378">
        <f>SUM(P557:P558)</f>
        <v>0</v>
      </c>
      <c r="Q576" s="34">
        <f t="shared" si="1230"/>
        <v>38</v>
      </c>
      <c r="R576" s="421"/>
      <c r="S576" s="416"/>
      <c r="T576" s="415"/>
      <c r="V576" s="421"/>
      <c r="W576" s="416"/>
      <c r="X576" s="415"/>
      <c r="Z576" s="421"/>
      <c r="AA576" s="416"/>
      <c r="AB576" s="415"/>
      <c r="AC576" s="619"/>
      <c r="AD576" s="619"/>
      <c r="AE576" s="395">
        <f t="shared" si="1231"/>
        <v>-37</v>
      </c>
      <c r="AF576" s="32">
        <f t="shared" si="1232"/>
        <v>38</v>
      </c>
      <c r="AG576" s="434">
        <f>SUM(AG557:AG558)</f>
        <v>1</v>
      </c>
      <c r="AH576" s="7">
        <f t="shared" si="1233"/>
        <v>-37</v>
      </c>
      <c r="AI576" s="258"/>
      <c r="AJ576" s="378">
        <f>SUM(AJ557:AJ558)</f>
        <v>0</v>
      </c>
      <c r="AK576" s="34">
        <f t="shared" si="1234"/>
        <v>38</v>
      </c>
      <c r="AL576" s="421"/>
      <c r="AM576" s="416"/>
      <c r="AN576" s="415"/>
      <c r="AP576" s="421"/>
      <c r="AQ576" s="416"/>
      <c r="AR576" s="415"/>
      <c r="AT576" s="421"/>
      <c r="AU576" s="416"/>
      <c r="AV576" s="415"/>
      <c r="AW576" s="619"/>
      <c r="AX576" s="619"/>
      <c r="AY576" s="395">
        <f t="shared" si="1235"/>
        <v>-36</v>
      </c>
      <c r="AZ576" s="32">
        <f t="shared" si="1236"/>
        <v>38</v>
      </c>
      <c r="BA576" s="434">
        <f>SUM(BA557:BA558)</f>
        <v>1</v>
      </c>
      <c r="BB576" s="7">
        <f t="shared" si="1237"/>
        <v>-37</v>
      </c>
      <c r="BC576" s="258"/>
      <c r="BD576" s="378">
        <f>SUM(BD557:BD558)</f>
        <v>0</v>
      </c>
      <c r="BE576" s="34">
        <f t="shared" si="1238"/>
        <v>38</v>
      </c>
      <c r="BF576" s="421"/>
      <c r="BG576" s="416"/>
      <c r="BH576" s="415"/>
      <c r="BJ576" s="121"/>
      <c r="BK576" s="416"/>
      <c r="BL576" s="35"/>
      <c r="BN576" s="421"/>
      <c r="BO576" s="416"/>
      <c r="BP576" s="415"/>
      <c r="BQ576" s="619"/>
      <c r="BR576" s="619"/>
      <c r="BS576" s="395">
        <f t="shared" si="1239"/>
        <v>-32</v>
      </c>
      <c r="BT576" s="32">
        <f t="shared" si="1240"/>
        <v>38</v>
      </c>
      <c r="BU576" s="434">
        <f>SUM(BU557:BU558)</f>
        <v>4</v>
      </c>
      <c r="BV576" s="7">
        <f t="shared" si="1241"/>
        <v>-34</v>
      </c>
      <c r="BW576" s="242"/>
      <c r="BX576" s="378">
        <f>SUM(BX557:BX558)</f>
        <v>5</v>
      </c>
      <c r="BY576" s="34">
        <f t="shared" si="1242"/>
        <v>33</v>
      </c>
      <c r="BZ576" s="421"/>
      <c r="CA576" s="416"/>
      <c r="CB576" s="415"/>
      <c r="CD576" s="421"/>
      <c r="CE576" s="416"/>
      <c r="CF576" s="415"/>
      <c r="CH576" s="421"/>
      <c r="CI576" s="416"/>
      <c r="CJ576" s="415"/>
      <c r="CK576" s="619"/>
      <c r="CL576" s="619"/>
      <c r="CM576" s="395">
        <f t="shared" si="1243"/>
        <v>-32</v>
      </c>
      <c r="CN576" s="32">
        <f t="shared" si="1244"/>
        <v>33</v>
      </c>
      <c r="CO576" s="434">
        <f>SUM(CO557:CO558)</f>
        <v>0</v>
      </c>
      <c r="CP576" s="7">
        <f t="shared" si="1245"/>
        <v>-33</v>
      </c>
      <c r="CQ576" s="315"/>
      <c r="CR576" s="378">
        <f>SUM(CR557:CR558)</f>
        <v>0</v>
      </c>
      <c r="CS576" s="34">
        <f t="shared" si="1246"/>
        <v>33</v>
      </c>
      <c r="CT576" s="421"/>
      <c r="CU576" s="416"/>
      <c r="CV576" s="415"/>
      <c r="CX576" s="421"/>
      <c r="CY576" s="416"/>
      <c r="CZ576" s="415"/>
      <c r="DB576" s="421"/>
      <c r="DC576" s="416"/>
      <c r="DD576" s="415"/>
      <c r="DE576" s="619"/>
      <c r="DF576" s="619"/>
      <c r="DG576" s="395">
        <f t="shared" si="1247"/>
        <v>-32</v>
      </c>
      <c r="DH576" s="32">
        <f t="shared" si="1227"/>
        <v>33</v>
      </c>
      <c r="DI576" s="434">
        <f>SUM(DI557:DI558)</f>
        <v>0</v>
      </c>
      <c r="DJ576" s="7">
        <f t="shared" si="1248"/>
        <v>-33</v>
      </c>
      <c r="DK576" s="315"/>
      <c r="DL576" s="378">
        <f>SUM(DL557:DL558)</f>
        <v>0</v>
      </c>
      <c r="DM576" s="34">
        <f t="shared" si="1249"/>
        <v>33</v>
      </c>
    </row>
    <row r="577" spans="1:117" x14ac:dyDescent="0.25">
      <c r="A577" s="18"/>
      <c r="B577" s="11" t="s">
        <v>628</v>
      </c>
      <c r="C577" s="18">
        <v>1</v>
      </c>
      <c r="D577" s="15"/>
      <c r="E577" s="15"/>
      <c r="F577" s="149">
        <v>30.91</v>
      </c>
      <c r="G577" s="518" t="s">
        <v>757</v>
      </c>
      <c r="H577" s="25"/>
      <c r="I577" s="25"/>
      <c r="J577" s="530">
        <f t="shared" si="1228"/>
        <v>-32</v>
      </c>
      <c r="K577" s="395">
        <f t="shared" si="1226"/>
        <v>-38</v>
      </c>
      <c r="L577" s="544">
        <v>38</v>
      </c>
      <c r="M577" s="344">
        <f>SUM(M557:M558)</f>
        <v>0</v>
      </c>
      <c r="N577" s="5">
        <f t="shared" si="1229"/>
        <v>-38</v>
      </c>
      <c r="O577" s="256"/>
      <c r="P577" s="303">
        <f>SUM(P557:P558)</f>
        <v>0</v>
      </c>
      <c r="Q577" s="35">
        <f t="shared" si="1230"/>
        <v>38</v>
      </c>
      <c r="R577" s="21"/>
      <c r="S577" s="6"/>
      <c r="T577" s="35"/>
      <c r="U577" s="612"/>
      <c r="V577" s="21"/>
      <c r="W577" s="6"/>
      <c r="X577" s="35"/>
      <c r="Y577" s="612"/>
      <c r="Z577" s="21"/>
      <c r="AA577" s="6"/>
      <c r="AB577" s="35"/>
      <c r="AC577" s="231"/>
      <c r="AD577" s="231"/>
      <c r="AE577" s="398">
        <f t="shared" si="1231"/>
        <v>-37</v>
      </c>
      <c r="AF577" s="29">
        <f t="shared" si="1232"/>
        <v>38</v>
      </c>
      <c r="AG577" s="344">
        <f>SUM(AG557:AG558)</f>
        <v>1</v>
      </c>
      <c r="AH577" s="5">
        <f t="shared" si="1233"/>
        <v>-37</v>
      </c>
      <c r="AI577" s="256"/>
      <c r="AJ577" s="303">
        <f>SUM(AJ557:AJ558)</f>
        <v>0</v>
      </c>
      <c r="AK577" s="35">
        <f t="shared" si="1234"/>
        <v>38</v>
      </c>
      <c r="AL577" s="21"/>
      <c r="AM577" s="6"/>
      <c r="AN577" s="35"/>
      <c r="AO577" s="612"/>
      <c r="AP577" s="21"/>
      <c r="AQ577" s="6"/>
      <c r="AR577" s="35"/>
      <c r="AS577" s="612"/>
      <c r="AT577" s="21"/>
      <c r="AU577" s="6"/>
      <c r="AV577" s="35"/>
      <c r="AW577" s="231"/>
      <c r="AX577" s="231"/>
      <c r="AY577" s="398">
        <f t="shared" si="1235"/>
        <v>-36</v>
      </c>
      <c r="AZ577" s="29">
        <f t="shared" si="1236"/>
        <v>38</v>
      </c>
      <c r="BA577" s="344">
        <f>SUM(BA557:BA558)</f>
        <v>1</v>
      </c>
      <c r="BB577" s="5">
        <f t="shared" si="1237"/>
        <v>-37</v>
      </c>
      <c r="BC577" s="258"/>
      <c r="BD577" s="303">
        <f>SUM(BD557:BD558)</f>
        <v>0</v>
      </c>
      <c r="BE577" s="35">
        <f t="shared" si="1238"/>
        <v>38</v>
      </c>
      <c r="BF577" s="21"/>
      <c r="BG577" s="6"/>
      <c r="BH577" s="35"/>
      <c r="BI577" s="612"/>
      <c r="BJ577" s="121"/>
      <c r="BK577" s="6"/>
      <c r="BL577" s="35"/>
      <c r="BM577" s="612"/>
      <c r="BN577" s="21"/>
      <c r="BO577" s="6"/>
      <c r="BP577" s="35"/>
      <c r="BQ577" s="231"/>
      <c r="BR577" s="231"/>
      <c r="BS577" s="398">
        <f t="shared" si="1239"/>
        <v>-32</v>
      </c>
      <c r="BT577" s="29">
        <f t="shared" si="1240"/>
        <v>38</v>
      </c>
      <c r="BU577" s="344">
        <f>SUM(BU557:BU558)</f>
        <v>4</v>
      </c>
      <c r="BV577" s="5">
        <f t="shared" si="1241"/>
        <v>-34</v>
      </c>
      <c r="BW577" s="240"/>
      <c r="BX577" s="303">
        <f>SUM(BX557:BX558)</f>
        <v>5</v>
      </c>
      <c r="BY577" s="35">
        <f t="shared" si="1242"/>
        <v>33</v>
      </c>
      <c r="BZ577" s="21"/>
      <c r="CA577" s="6"/>
      <c r="CB577" s="35"/>
      <c r="CC577" s="612"/>
      <c r="CD577" s="21"/>
      <c r="CE577" s="6"/>
      <c r="CF577" s="35"/>
      <c r="CG577" s="612"/>
      <c r="CH577" s="21"/>
      <c r="CI577" s="6"/>
      <c r="CJ577" s="35"/>
      <c r="CK577" s="231"/>
      <c r="CL577" s="231"/>
      <c r="CM577" s="398">
        <f t="shared" si="1243"/>
        <v>-32</v>
      </c>
      <c r="CN577" s="29">
        <f t="shared" si="1244"/>
        <v>33</v>
      </c>
      <c r="CO577" s="344">
        <f>SUM(CO557:CO558)</f>
        <v>0</v>
      </c>
      <c r="CP577" s="5">
        <f t="shared" si="1245"/>
        <v>-33</v>
      </c>
      <c r="CQ577" s="240"/>
      <c r="CR577" s="303">
        <f>SUM(CR557:CR558)</f>
        <v>0</v>
      </c>
      <c r="CS577" s="35">
        <f t="shared" si="1246"/>
        <v>33</v>
      </c>
      <c r="CT577" s="21"/>
      <c r="CU577" s="6"/>
      <c r="CV577" s="35"/>
      <c r="CW577" s="612"/>
      <c r="CX577" s="21"/>
      <c r="CY577" s="6"/>
      <c r="CZ577" s="35"/>
      <c r="DA577" s="612"/>
      <c r="DB577" s="21"/>
      <c r="DC577" s="6"/>
      <c r="DD577" s="35"/>
      <c r="DE577" s="234"/>
      <c r="DF577" s="234"/>
      <c r="DG577" s="395">
        <f t="shared" si="1247"/>
        <v>-32</v>
      </c>
      <c r="DH577" s="32">
        <f t="shared" si="1227"/>
        <v>33</v>
      </c>
      <c r="DI577" s="344">
        <f>SUM(DI557:DI558)</f>
        <v>0</v>
      </c>
      <c r="DJ577" s="5">
        <f t="shared" si="1248"/>
        <v>-33</v>
      </c>
      <c r="DK577" s="240"/>
      <c r="DL577" s="303">
        <f>SUM(DL557:DL558)</f>
        <v>0</v>
      </c>
      <c r="DM577" s="35">
        <f t="shared" si="1249"/>
        <v>33</v>
      </c>
    </row>
    <row r="578" spans="1:117" x14ac:dyDescent="0.25">
      <c r="A578" s="262"/>
      <c r="B578" s="10" t="s">
        <v>629</v>
      </c>
      <c r="C578" s="262">
        <v>2</v>
      </c>
      <c r="D578" s="419"/>
      <c r="E578" s="419"/>
      <c r="F578" s="149">
        <v>20</v>
      </c>
      <c r="G578" s="518" t="s">
        <v>757</v>
      </c>
      <c r="H578" s="420"/>
      <c r="I578" s="420"/>
      <c r="J578" s="534">
        <f t="shared" si="1228"/>
        <v>-64</v>
      </c>
      <c r="K578" s="395">
        <f t="shared" si="1226"/>
        <v>-76</v>
      </c>
      <c r="L578" s="546">
        <v>76</v>
      </c>
      <c r="M578" s="434">
        <f>SUM(M557:M558)*2</f>
        <v>0</v>
      </c>
      <c r="N578" s="7">
        <f t="shared" si="1229"/>
        <v>-76</v>
      </c>
      <c r="O578" s="258"/>
      <c r="P578" s="378">
        <f>SUM(P557:P558)*2</f>
        <v>0</v>
      </c>
      <c r="Q578" s="34">
        <f t="shared" si="1230"/>
        <v>76</v>
      </c>
      <c r="R578" s="421"/>
      <c r="S578" s="416"/>
      <c r="T578" s="415"/>
      <c r="V578" s="421"/>
      <c r="W578" s="416"/>
      <c r="X578" s="415"/>
      <c r="Z578" s="421"/>
      <c r="AA578" s="416"/>
      <c r="AB578" s="415"/>
      <c r="AC578" s="619"/>
      <c r="AD578" s="619"/>
      <c r="AE578" s="395">
        <f t="shared" si="1231"/>
        <v>-74</v>
      </c>
      <c r="AF578" s="32">
        <f t="shared" si="1232"/>
        <v>76</v>
      </c>
      <c r="AG578" s="434">
        <f>SUM(AG557:AG558)*2</f>
        <v>2</v>
      </c>
      <c r="AH578" s="7">
        <f t="shared" si="1233"/>
        <v>-74</v>
      </c>
      <c r="AI578" s="258"/>
      <c r="AJ578" s="378">
        <f>SUM(AJ557:AJ558)*2</f>
        <v>0</v>
      </c>
      <c r="AK578" s="34">
        <f t="shared" si="1234"/>
        <v>76</v>
      </c>
      <c r="AL578" s="421"/>
      <c r="AM578" s="416"/>
      <c r="AN578" s="415"/>
      <c r="AP578" s="421"/>
      <c r="AQ578" s="416"/>
      <c r="AR578" s="415"/>
      <c r="AT578" s="421"/>
      <c r="AU578" s="416"/>
      <c r="AV578" s="415"/>
      <c r="AW578" s="619"/>
      <c r="AX578" s="619"/>
      <c r="AY578" s="395">
        <f t="shared" si="1235"/>
        <v>-72</v>
      </c>
      <c r="AZ578" s="32">
        <f t="shared" si="1236"/>
        <v>76</v>
      </c>
      <c r="BA578" s="434">
        <f>SUM(BA557:BA558)*2</f>
        <v>2</v>
      </c>
      <c r="BB578" s="7">
        <f t="shared" si="1237"/>
        <v>-74</v>
      </c>
      <c r="BC578" s="258"/>
      <c r="BD578" s="378">
        <f>SUM(BD557:BD558)*2</f>
        <v>0</v>
      </c>
      <c r="BE578" s="34">
        <f t="shared" si="1238"/>
        <v>76</v>
      </c>
      <c r="BF578" s="421"/>
      <c r="BG578" s="416"/>
      <c r="BH578" s="415"/>
      <c r="BJ578" s="121"/>
      <c r="BK578" s="416"/>
      <c r="BL578" s="35"/>
      <c r="BN578" s="421"/>
      <c r="BO578" s="416"/>
      <c r="BP578" s="415"/>
      <c r="BQ578" s="619"/>
      <c r="BR578" s="619"/>
      <c r="BS578" s="395">
        <f t="shared" si="1239"/>
        <v>-64</v>
      </c>
      <c r="BT578" s="32">
        <f t="shared" si="1240"/>
        <v>76</v>
      </c>
      <c r="BU578" s="434">
        <f>SUM(BU557:BU558)*2</f>
        <v>8</v>
      </c>
      <c r="BV578" s="7">
        <f t="shared" si="1241"/>
        <v>-68</v>
      </c>
      <c r="BW578" s="242"/>
      <c r="BX578" s="378">
        <f>SUM(BX557:BX558)*2</f>
        <v>10</v>
      </c>
      <c r="BY578" s="34">
        <f t="shared" si="1242"/>
        <v>66</v>
      </c>
      <c r="BZ578" s="421"/>
      <c r="CA578" s="416"/>
      <c r="CB578" s="415"/>
      <c r="CD578" s="421"/>
      <c r="CE578" s="416"/>
      <c r="CF578" s="415"/>
      <c r="CH578" s="421"/>
      <c r="CI578" s="416"/>
      <c r="CJ578" s="415"/>
      <c r="CK578" s="619"/>
      <c r="CL578" s="619"/>
      <c r="CM578" s="395">
        <f t="shared" si="1243"/>
        <v>-64</v>
      </c>
      <c r="CN578" s="32">
        <f t="shared" si="1244"/>
        <v>66</v>
      </c>
      <c r="CO578" s="434">
        <f>SUM(CO557:CO558)*2</f>
        <v>0</v>
      </c>
      <c r="CP578" s="7">
        <f t="shared" si="1245"/>
        <v>-66</v>
      </c>
      <c r="CQ578" s="315"/>
      <c r="CR578" s="378">
        <f>SUM(CR557:CR558)*2</f>
        <v>0</v>
      </c>
      <c r="CS578" s="34">
        <f t="shared" si="1246"/>
        <v>66</v>
      </c>
      <c r="CT578" s="421"/>
      <c r="CU578" s="416"/>
      <c r="CV578" s="415"/>
      <c r="CX578" s="421"/>
      <c r="CY578" s="416"/>
      <c r="CZ578" s="415"/>
      <c r="DB578" s="421"/>
      <c r="DC578" s="416"/>
      <c r="DD578" s="415"/>
      <c r="DE578" s="619"/>
      <c r="DF578" s="619"/>
      <c r="DG578" s="395">
        <f t="shared" si="1247"/>
        <v>-64</v>
      </c>
      <c r="DH578" s="32">
        <f t="shared" si="1227"/>
        <v>66</v>
      </c>
      <c r="DI578" s="434">
        <f>SUM(DI557:DI558)*2</f>
        <v>0</v>
      </c>
      <c r="DJ578" s="7">
        <f t="shared" si="1248"/>
        <v>-66</v>
      </c>
      <c r="DK578" s="315"/>
      <c r="DL578" s="378">
        <f>SUM(DL557:DL558)*2</f>
        <v>0</v>
      </c>
      <c r="DM578" s="34">
        <f t="shared" si="1249"/>
        <v>66</v>
      </c>
    </row>
    <row r="579" spans="1:117" x14ac:dyDescent="0.25">
      <c r="A579" s="18"/>
      <c r="B579" s="11" t="s">
        <v>630</v>
      </c>
      <c r="C579" s="18">
        <v>2</v>
      </c>
      <c r="D579" s="15"/>
      <c r="E579" s="15"/>
      <c r="F579" s="149">
        <v>20</v>
      </c>
      <c r="G579" s="518" t="s">
        <v>757</v>
      </c>
      <c r="H579" s="25"/>
      <c r="I579" s="25"/>
      <c r="J579" s="530">
        <f t="shared" si="1228"/>
        <v>-64</v>
      </c>
      <c r="K579" s="395">
        <f t="shared" si="1226"/>
        <v>-76</v>
      </c>
      <c r="L579" s="544">
        <v>76</v>
      </c>
      <c r="M579" s="344">
        <f>SUM(M557:M558)*2</f>
        <v>0</v>
      </c>
      <c r="N579" s="5">
        <f t="shared" si="1229"/>
        <v>-76</v>
      </c>
      <c r="O579" s="256"/>
      <c r="P579" s="303">
        <f>SUM(P557:P558)*2</f>
        <v>0</v>
      </c>
      <c r="Q579" s="35">
        <f t="shared" si="1230"/>
        <v>76</v>
      </c>
      <c r="R579" s="21"/>
      <c r="S579" s="6"/>
      <c r="T579" s="35"/>
      <c r="U579" s="612"/>
      <c r="V579" s="21"/>
      <c r="W579" s="6"/>
      <c r="X579" s="35"/>
      <c r="Y579" s="612"/>
      <c r="Z579" s="21"/>
      <c r="AA579" s="6"/>
      <c r="AB579" s="35"/>
      <c r="AC579" s="231"/>
      <c r="AD579" s="231"/>
      <c r="AE579" s="398">
        <f t="shared" si="1231"/>
        <v>-74</v>
      </c>
      <c r="AF579" s="29">
        <f t="shared" si="1232"/>
        <v>76</v>
      </c>
      <c r="AG579" s="344">
        <f>SUM(AG557:AG558)*2</f>
        <v>2</v>
      </c>
      <c r="AH579" s="5">
        <f t="shared" si="1233"/>
        <v>-74</v>
      </c>
      <c r="AI579" s="256"/>
      <c r="AJ579" s="303">
        <f>SUM(AJ557:AJ558)*2</f>
        <v>0</v>
      </c>
      <c r="AK579" s="35">
        <f t="shared" si="1234"/>
        <v>76</v>
      </c>
      <c r="AL579" s="21"/>
      <c r="AM579" s="6"/>
      <c r="AN579" s="35"/>
      <c r="AO579" s="612"/>
      <c r="AP579" s="21"/>
      <c r="AQ579" s="6"/>
      <c r="AR579" s="35"/>
      <c r="AS579" s="612"/>
      <c r="AT579" s="21"/>
      <c r="AU579" s="6"/>
      <c r="AV579" s="35"/>
      <c r="AW579" s="231"/>
      <c r="AX579" s="231"/>
      <c r="AY579" s="398">
        <f t="shared" si="1235"/>
        <v>-72</v>
      </c>
      <c r="AZ579" s="29">
        <f t="shared" si="1236"/>
        <v>76</v>
      </c>
      <c r="BA579" s="344">
        <f>SUM(BA557:BA558)*2</f>
        <v>2</v>
      </c>
      <c r="BB579" s="5">
        <f t="shared" si="1237"/>
        <v>-74</v>
      </c>
      <c r="BC579" s="258"/>
      <c r="BD579" s="303">
        <f>SUM(BD557:BD558)*2</f>
        <v>0</v>
      </c>
      <c r="BE579" s="35">
        <f t="shared" si="1238"/>
        <v>76</v>
      </c>
      <c r="BF579" s="21"/>
      <c r="BG579" s="6"/>
      <c r="BH579" s="35"/>
      <c r="BI579" s="612"/>
      <c r="BJ579" s="121"/>
      <c r="BK579" s="6"/>
      <c r="BL579" s="35"/>
      <c r="BM579" s="612"/>
      <c r="BN579" s="21"/>
      <c r="BO579" s="6"/>
      <c r="BP579" s="35"/>
      <c r="BQ579" s="231"/>
      <c r="BR579" s="231"/>
      <c r="BS579" s="398">
        <f t="shared" si="1239"/>
        <v>-64</v>
      </c>
      <c r="BT579" s="29">
        <f t="shared" si="1240"/>
        <v>76</v>
      </c>
      <c r="BU579" s="344">
        <f>SUM(BU557:BU558)*2</f>
        <v>8</v>
      </c>
      <c r="BV579" s="5">
        <f t="shared" si="1241"/>
        <v>-68</v>
      </c>
      <c r="BW579" s="240"/>
      <c r="BX579" s="303">
        <f>SUM(BX557:BX558)*2</f>
        <v>10</v>
      </c>
      <c r="BY579" s="35">
        <f t="shared" si="1242"/>
        <v>66</v>
      </c>
      <c r="BZ579" s="21"/>
      <c r="CA579" s="6"/>
      <c r="CB579" s="35"/>
      <c r="CC579" s="612"/>
      <c r="CD579" s="21"/>
      <c r="CE579" s="6"/>
      <c r="CF579" s="35"/>
      <c r="CG579" s="612"/>
      <c r="CH579" s="21"/>
      <c r="CI579" s="6"/>
      <c r="CJ579" s="35"/>
      <c r="CK579" s="231"/>
      <c r="CL579" s="231"/>
      <c r="CM579" s="398">
        <f t="shared" si="1243"/>
        <v>-64</v>
      </c>
      <c r="CN579" s="29">
        <f t="shared" si="1244"/>
        <v>66</v>
      </c>
      <c r="CO579" s="344">
        <f>SUM(CO557:CO558)*2</f>
        <v>0</v>
      </c>
      <c r="CP579" s="5">
        <f t="shared" si="1245"/>
        <v>-66</v>
      </c>
      <c r="CQ579" s="240"/>
      <c r="CR579" s="303">
        <f>SUM(CR557:CR558)*2</f>
        <v>0</v>
      </c>
      <c r="CS579" s="35">
        <f t="shared" si="1246"/>
        <v>66</v>
      </c>
      <c r="CT579" s="21"/>
      <c r="CU579" s="6"/>
      <c r="CV579" s="35"/>
      <c r="CW579" s="612"/>
      <c r="CX579" s="21"/>
      <c r="CY579" s="6"/>
      <c r="CZ579" s="35"/>
      <c r="DA579" s="612"/>
      <c r="DB579" s="21"/>
      <c r="DC579" s="6"/>
      <c r="DD579" s="35"/>
      <c r="DE579" s="234"/>
      <c r="DF579" s="234"/>
      <c r="DG579" s="395">
        <f t="shared" si="1247"/>
        <v>-64</v>
      </c>
      <c r="DH579" s="32">
        <f t="shared" si="1227"/>
        <v>66</v>
      </c>
      <c r="DI579" s="344">
        <f>SUM(DI557:DI558)*2</f>
        <v>0</v>
      </c>
      <c r="DJ579" s="5">
        <f t="shared" si="1248"/>
        <v>-66</v>
      </c>
      <c r="DK579" s="240"/>
      <c r="DL579" s="303">
        <f>SUM(DL557:DL558)*2</f>
        <v>0</v>
      </c>
      <c r="DM579" s="35">
        <f t="shared" si="1249"/>
        <v>66</v>
      </c>
    </row>
    <row r="580" spans="1:117" ht="30" x14ac:dyDescent="0.25">
      <c r="A580" s="262"/>
      <c r="B580" s="80" t="s">
        <v>631</v>
      </c>
      <c r="C580" s="262">
        <v>1</v>
      </c>
      <c r="D580" s="419"/>
      <c r="E580" s="419"/>
      <c r="F580" s="510">
        <v>20</v>
      </c>
      <c r="G580" s="518" t="s">
        <v>757</v>
      </c>
      <c r="H580" s="420"/>
      <c r="I580" s="420"/>
      <c r="J580" s="534">
        <f t="shared" si="1228"/>
        <v>-32</v>
      </c>
      <c r="K580" s="395">
        <f t="shared" si="1226"/>
        <v>-38</v>
      </c>
      <c r="L580" s="546">
        <v>38</v>
      </c>
      <c r="M580" s="434">
        <f>SUM(M557:M558)</f>
        <v>0</v>
      </c>
      <c r="N580" s="7">
        <f t="shared" si="1229"/>
        <v>-38</v>
      </c>
      <c r="O580" s="258"/>
      <c r="P580" s="378">
        <f>SUM(P557:P558)</f>
        <v>0</v>
      </c>
      <c r="Q580" s="34">
        <f t="shared" si="1230"/>
        <v>38</v>
      </c>
      <c r="R580" s="421"/>
      <c r="S580" s="416"/>
      <c r="T580" s="415"/>
      <c r="V580" s="421"/>
      <c r="W580" s="416"/>
      <c r="X580" s="415"/>
      <c r="Z580" s="421"/>
      <c r="AA580" s="416"/>
      <c r="AB580" s="415"/>
      <c r="AC580" s="619"/>
      <c r="AD580" s="619"/>
      <c r="AE580" s="395">
        <f t="shared" si="1231"/>
        <v>-37</v>
      </c>
      <c r="AF580" s="32">
        <f t="shared" si="1232"/>
        <v>38</v>
      </c>
      <c r="AG580" s="434">
        <f>SUM(AG557:AG558)</f>
        <v>1</v>
      </c>
      <c r="AH580" s="7">
        <f t="shared" si="1233"/>
        <v>-37</v>
      </c>
      <c r="AI580" s="258"/>
      <c r="AJ580" s="378">
        <f>SUM(AJ557:AJ558)</f>
        <v>0</v>
      </c>
      <c r="AK580" s="34">
        <f t="shared" si="1234"/>
        <v>38</v>
      </c>
      <c r="AL580" s="421"/>
      <c r="AM580" s="416"/>
      <c r="AN580" s="415"/>
      <c r="AP580" s="421"/>
      <c r="AQ580" s="416"/>
      <c r="AR580" s="415"/>
      <c r="AT580" s="421"/>
      <c r="AU580" s="416"/>
      <c r="AV580" s="415"/>
      <c r="AW580" s="619"/>
      <c r="AX580" s="619"/>
      <c r="AY580" s="395">
        <f t="shared" si="1235"/>
        <v>-36</v>
      </c>
      <c r="AZ580" s="32">
        <f t="shared" si="1236"/>
        <v>38</v>
      </c>
      <c r="BA580" s="434">
        <f>SUM(BA557:BA558)</f>
        <v>1</v>
      </c>
      <c r="BB580" s="7">
        <f t="shared" si="1237"/>
        <v>-37</v>
      </c>
      <c r="BC580" s="258"/>
      <c r="BD580" s="378">
        <f>SUM(BD557:BD558)</f>
        <v>0</v>
      </c>
      <c r="BE580" s="34">
        <f t="shared" si="1238"/>
        <v>38</v>
      </c>
      <c r="BF580" s="421"/>
      <c r="BG580" s="416"/>
      <c r="BH580" s="415"/>
      <c r="BJ580" s="421"/>
      <c r="BK580" s="416"/>
      <c r="BL580" s="35"/>
      <c r="BN580" s="421"/>
      <c r="BO580" s="416"/>
      <c r="BP580" s="415"/>
      <c r="BQ580" s="619"/>
      <c r="BR580" s="619"/>
      <c r="BS580" s="395">
        <f t="shared" si="1239"/>
        <v>-32</v>
      </c>
      <c r="BT580" s="32">
        <f t="shared" si="1240"/>
        <v>38</v>
      </c>
      <c r="BU580" s="434">
        <f>SUM(BU557:BU558)</f>
        <v>4</v>
      </c>
      <c r="BV580" s="7">
        <f t="shared" si="1241"/>
        <v>-34</v>
      </c>
      <c r="BW580" s="242"/>
      <c r="BX580" s="378">
        <f>SUM(BX557:BX558)</f>
        <v>5</v>
      </c>
      <c r="BY580" s="34">
        <f t="shared" si="1242"/>
        <v>33</v>
      </c>
      <c r="BZ580" s="421"/>
      <c r="CA580" s="416"/>
      <c r="CB580" s="415"/>
      <c r="CD580" s="421"/>
      <c r="CE580" s="416"/>
      <c r="CF580" s="415"/>
      <c r="CH580" s="421"/>
      <c r="CI580" s="416"/>
      <c r="CJ580" s="415"/>
      <c r="CK580" s="619"/>
      <c r="CL580" s="619"/>
      <c r="CM580" s="395">
        <f t="shared" si="1243"/>
        <v>-32</v>
      </c>
      <c r="CN580" s="32">
        <f t="shared" si="1244"/>
        <v>33</v>
      </c>
      <c r="CO580" s="434">
        <f>SUM(CO557:CO558)</f>
        <v>0</v>
      </c>
      <c r="CP580" s="7">
        <f t="shared" si="1245"/>
        <v>-33</v>
      </c>
      <c r="CQ580" s="315"/>
      <c r="CR580" s="378">
        <f>SUM(CR557:CR558)</f>
        <v>0</v>
      </c>
      <c r="CS580" s="34">
        <f t="shared" si="1246"/>
        <v>33</v>
      </c>
      <c r="CT580" s="421"/>
      <c r="CU580" s="416"/>
      <c r="CV580" s="415"/>
      <c r="CX580" s="421"/>
      <c r="CY580" s="416"/>
      <c r="CZ580" s="415"/>
      <c r="DB580" s="421"/>
      <c r="DC580" s="416"/>
      <c r="DD580" s="415"/>
      <c r="DE580" s="619"/>
      <c r="DF580" s="619"/>
      <c r="DG580" s="395">
        <f t="shared" si="1247"/>
        <v>-32</v>
      </c>
      <c r="DH580" s="32">
        <f t="shared" si="1227"/>
        <v>33</v>
      </c>
      <c r="DI580" s="434">
        <f>SUM(DI557:DI558)</f>
        <v>0</v>
      </c>
      <c r="DJ580" s="7">
        <f t="shared" si="1248"/>
        <v>-33</v>
      </c>
      <c r="DK580" s="315"/>
      <c r="DL580" s="378">
        <f>SUM(DL557:DL558)</f>
        <v>0</v>
      </c>
      <c r="DM580" s="34">
        <f t="shared" si="1249"/>
        <v>33</v>
      </c>
    </row>
    <row r="581" spans="1:117" x14ac:dyDescent="0.25">
      <c r="A581" s="360"/>
      <c r="B581" s="347" t="s">
        <v>474</v>
      </c>
      <c r="C581" s="360"/>
      <c r="D581" s="373"/>
      <c r="E581" s="373"/>
      <c r="F581" s="362"/>
      <c r="G581" s="517"/>
      <c r="H581" s="363"/>
      <c r="I581" s="363"/>
      <c r="J581" s="360"/>
      <c r="K581" s="360"/>
      <c r="L581" s="364"/>
      <c r="M581" s="441"/>
      <c r="N581" s="374"/>
      <c r="O581" s="441"/>
      <c r="P581" s="375"/>
      <c r="Q581" s="368"/>
      <c r="R581" s="369"/>
      <c r="S581" s="367"/>
      <c r="T581" s="368"/>
      <c r="U581" s="718"/>
      <c r="V581" s="369"/>
      <c r="W581" s="367"/>
      <c r="X581" s="368"/>
      <c r="Y581" s="718"/>
      <c r="Z581" s="369"/>
      <c r="AA581" s="367"/>
      <c r="AB581" s="368"/>
      <c r="AC581" s="365"/>
      <c r="AD581" s="365"/>
      <c r="AE581" s="360"/>
      <c r="AF581" s="364"/>
      <c r="AG581" s="441"/>
      <c r="AH581" s="374"/>
      <c r="AI581" s="441"/>
      <c r="AJ581" s="375"/>
      <c r="AK581" s="368"/>
      <c r="AL581" s="369"/>
      <c r="AM581" s="367"/>
      <c r="AN581" s="368"/>
      <c r="AO581" s="718"/>
      <c r="AP581" s="369"/>
      <c r="AQ581" s="367"/>
      <c r="AR581" s="368"/>
      <c r="AS581" s="718"/>
      <c r="AT581" s="369"/>
      <c r="AU581" s="367"/>
      <c r="AV581" s="368"/>
      <c r="AW581" s="365"/>
      <c r="AX581" s="365"/>
      <c r="AY581" s="360"/>
      <c r="AZ581" s="364"/>
      <c r="BA581" s="441"/>
      <c r="BB581" s="374"/>
      <c r="BC581" s="375"/>
      <c r="BD581" s="375"/>
      <c r="BE581" s="368"/>
      <c r="BF581" s="369"/>
      <c r="BG581" s="367"/>
      <c r="BH581" s="368"/>
      <c r="BI581" s="718"/>
      <c r="BJ581" s="369"/>
      <c r="BK581" s="367"/>
      <c r="BL581" s="368"/>
      <c r="BM581" s="718"/>
      <c r="BN581" s="369"/>
      <c r="BO581" s="367"/>
      <c r="BP581" s="368"/>
      <c r="BQ581" s="365"/>
      <c r="BR581" s="365"/>
      <c r="BS581" s="360"/>
      <c r="BT581" s="364"/>
      <c r="BU581" s="441"/>
      <c r="BV581" s="374"/>
      <c r="BW581" s="375"/>
      <c r="BX581" s="375"/>
      <c r="BY581" s="368"/>
      <c r="BZ581" s="369"/>
      <c r="CA581" s="367"/>
      <c r="CB581" s="368"/>
      <c r="CC581" s="718"/>
      <c r="CD581" s="369"/>
      <c r="CE581" s="367"/>
      <c r="CF581" s="368"/>
      <c r="CG581" s="718"/>
      <c r="CH581" s="369"/>
      <c r="CI581" s="367"/>
      <c r="CJ581" s="368"/>
      <c r="CK581" s="365"/>
      <c r="CL581" s="365"/>
      <c r="CM581" s="360"/>
      <c r="CN581" s="364"/>
      <c r="CO581" s="441"/>
      <c r="CP581" s="374"/>
      <c r="CQ581" s="375"/>
      <c r="CR581" s="375"/>
      <c r="CS581" s="368"/>
      <c r="CT581" s="369"/>
      <c r="CU581" s="367"/>
      <c r="CV581" s="368"/>
      <c r="CW581" s="718"/>
      <c r="CX581" s="369"/>
      <c r="CY581" s="367"/>
      <c r="CZ581" s="368"/>
      <c r="DA581" s="718"/>
      <c r="DB581" s="369"/>
      <c r="DC581" s="367"/>
      <c r="DD581" s="368"/>
      <c r="DE581" s="365"/>
      <c r="DF581" s="365"/>
      <c r="DG581" s="360"/>
      <c r="DH581" s="364"/>
      <c r="DI581" s="441"/>
      <c r="DJ581" s="374"/>
      <c r="DK581" s="375"/>
      <c r="DL581" s="375"/>
      <c r="DM581" s="368"/>
    </row>
    <row r="582" spans="1:117" ht="45" x14ac:dyDescent="0.25">
      <c r="A582" s="262"/>
      <c r="B582" s="518" t="s">
        <v>667</v>
      </c>
      <c r="C582" s="262">
        <v>1</v>
      </c>
      <c r="D582" s="419"/>
      <c r="E582" s="419"/>
      <c r="F582" s="510"/>
      <c r="G582" s="516" t="s">
        <v>334</v>
      </c>
      <c r="H582" s="420"/>
      <c r="I582" s="420"/>
      <c r="J582" s="534">
        <f>SUM(M582,AG582,BA582,BU582)-L582</f>
        <v>-42</v>
      </c>
      <c r="K582" s="395">
        <f t="shared" si="1226"/>
        <v>-48</v>
      </c>
      <c r="L582" s="546">
        <v>48</v>
      </c>
      <c r="M582" s="434">
        <f>SUM(M557:M558)</f>
        <v>0</v>
      </c>
      <c r="N582" s="7">
        <f>M582-L582</f>
        <v>-48</v>
      </c>
      <c r="O582" s="258"/>
      <c r="P582" s="378">
        <f>SUM(P557:P558)</f>
        <v>0</v>
      </c>
      <c r="Q582" s="34">
        <f>L582+O582-P582</f>
        <v>48</v>
      </c>
      <c r="R582" s="421"/>
      <c r="S582" s="416"/>
      <c r="T582" s="415"/>
      <c r="V582" s="421"/>
      <c r="W582" s="416"/>
      <c r="X582" s="415"/>
      <c r="Z582" s="421"/>
      <c r="AA582" s="416"/>
      <c r="AB582" s="415"/>
      <c r="AC582" s="619"/>
      <c r="AD582" s="619"/>
      <c r="AE582" s="395">
        <f>SUM(M582,AG582)-SUM(O582,AI582)-L582</f>
        <v>-47</v>
      </c>
      <c r="AF582" s="32">
        <f>Q582</f>
        <v>48</v>
      </c>
      <c r="AG582" s="434">
        <f>SUM(AG557:AG558)</f>
        <v>1</v>
      </c>
      <c r="AH582" s="7">
        <f>AG582-AF582</f>
        <v>-47</v>
      </c>
      <c r="AI582" s="258"/>
      <c r="AJ582" s="378">
        <f>SUM(AJ557:AJ558)</f>
        <v>0</v>
      </c>
      <c r="AK582" s="34">
        <f>AF582+AI582-AJ582</f>
        <v>48</v>
      </c>
      <c r="AL582" s="421"/>
      <c r="AM582" s="416"/>
      <c r="AN582" s="415"/>
      <c r="AP582" s="421"/>
      <c r="AQ582" s="416"/>
      <c r="AR582" s="415"/>
      <c r="AT582" s="421"/>
      <c r="AU582" s="416"/>
      <c r="AV582" s="415"/>
      <c r="AW582" s="619"/>
      <c r="AX582" s="619"/>
      <c r="AY582" s="395">
        <f>SUM(M582,AG582,BA582)-SUM(O582,AI582,BC582)-L582</f>
        <v>-46</v>
      </c>
      <c r="AZ582" s="32">
        <f>AK582</f>
        <v>48</v>
      </c>
      <c r="BA582" s="434">
        <f>SUM(BA557:BA558)</f>
        <v>1</v>
      </c>
      <c r="BB582" s="7">
        <f>BA582-AZ582</f>
        <v>-47</v>
      </c>
      <c r="BC582" s="7"/>
      <c r="BD582" s="378">
        <f>SUM(BD557:BD558)</f>
        <v>0</v>
      </c>
      <c r="BE582" s="34">
        <f>AZ582+BC582-BD582</f>
        <v>48</v>
      </c>
      <c r="BF582" s="421"/>
      <c r="BG582" s="416"/>
      <c r="BH582" s="415"/>
      <c r="BJ582" s="421"/>
      <c r="BK582" s="416"/>
      <c r="BL582" s="415"/>
      <c r="BN582" s="421"/>
      <c r="BO582" s="416"/>
      <c r="BP582" s="415"/>
      <c r="BQ582" s="619"/>
      <c r="BR582" s="619"/>
      <c r="BS582" s="395">
        <f>SUM(M582,AG582,BA582,BU582)-SUM(O582,AI582,BC582,BW582)-L582</f>
        <v>-42</v>
      </c>
      <c r="BT582" s="32">
        <f>BE582</f>
        <v>48</v>
      </c>
      <c r="BU582" s="434">
        <f>SUM(BU557:BU558)</f>
        <v>4</v>
      </c>
      <c r="BV582" s="7">
        <f>BU582-BT582</f>
        <v>-44</v>
      </c>
      <c r="BW582" s="242"/>
      <c r="BX582" s="378">
        <f>SUM(BX557:BX558)</f>
        <v>5</v>
      </c>
      <c r="BY582" s="34">
        <f>BT582+BW582-BX582</f>
        <v>43</v>
      </c>
      <c r="BZ582" s="421"/>
      <c r="CA582" s="416"/>
      <c r="CB582" s="415"/>
      <c r="CD582" s="421"/>
      <c r="CE582" s="416"/>
      <c r="CF582" s="415"/>
      <c r="CH582" s="421"/>
      <c r="CI582" s="416"/>
      <c r="CJ582" s="415"/>
      <c r="CK582" s="619"/>
      <c r="CL582" s="619"/>
      <c r="CM582" s="395">
        <f>SUM(M582,AG582,BA582,BU582,CO582)-SUM(O582,AI582,BC582,BW582,CQ582)-L582</f>
        <v>-42</v>
      </c>
      <c r="CN582" s="32">
        <f>BY582</f>
        <v>43</v>
      </c>
      <c r="CO582" s="434">
        <f>SUM(CO557:CO558)</f>
        <v>0</v>
      </c>
      <c r="CP582" s="7">
        <f>CO582-CN582</f>
        <v>-43</v>
      </c>
      <c r="CQ582" s="315"/>
      <c r="CR582" s="378">
        <f>SUM(CR557:CR558)</f>
        <v>0</v>
      </c>
      <c r="CS582" s="34">
        <f>CN582+CQ582-CR582</f>
        <v>43</v>
      </c>
      <c r="CT582" s="421"/>
      <c r="CU582" s="416"/>
      <c r="CV582" s="415"/>
      <c r="CX582" s="421"/>
      <c r="CY582" s="416"/>
      <c r="CZ582" s="415"/>
      <c r="DB582" s="421"/>
      <c r="DC582" s="416"/>
      <c r="DD582" s="415"/>
      <c r="DE582" s="619"/>
      <c r="DF582" s="619"/>
      <c r="DG582" s="395">
        <f>SUM(M582,AG582,BA582,BU582,DI582)-SUM(O582,AI582,BC582,BW582,CQ582)-L582</f>
        <v>-42</v>
      </c>
      <c r="DH582" s="32">
        <f t="shared" si="1227"/>
        <v>43</v>
      </c>
      <c r="DI582" s="434">
        <f>SUM(DI557:DI558)</f>
        <v>0</v>
      </c>
      <c r="DJ582" s="7">
        <f>DI582-DH582</f>
        <v>-43</v>
      </c>
      <c r="DK582" s="315"/>
      <c r="DL582" s="378">
        <f>SUM(DL557:DL558)</f>
        <v>0</v>
      </c>
      <c r="DM582" s="34">
        <f>DH582+DK582-DL582</f>
        <v>43</v>
      </c>
    </row>
    <row r="583" spans="1:117" x14ac:dyDescent="0.25">
      <c r="A583" s="18"/>
      <c r="B583" s="11" t="s">
        <v>668</v>
      </c>
      <c r="C583" s="18">
        <v>1</v>
      </c>
      <c r="D583" s="15"/>
      <c r="E583" s="15"/>
      <c r="F583" s="149"/>
      <c r="G583" s="379"/>
      <c r="H583" s="25"/>
      <c r="I583" s="25"/>
      <c r="J583" s="530">
        <f>SUM(M583,AG583,BA583,BU583)-L583</f>
        <v>-42</v>
      </c>
      <c r="K583" s="395">
        <f t="shared" si="1226"/>
        <v>-48</v>
      </c>
      <c r="L583" s="544">
        <v>48</v>
      </c>
      <c r="M583" s="344">
        <f>SUM(M557:M558)</f>
        <v>0</v>
      </c>
      <c r="N583" s="5">
        <f>M583-L583</f>
        <v>-48</v>
      </c>
      <c r="O583" s="256"/>
      <c r="P583" s="303">
        <f>SUM(P557:P558)</f>
        <v>0</v>
      </c>
      <c r="Q583" s="35">
        <f>L583+O583-P583</f>
        <v>48</v>
      </c>
      <c r="R583" s="21"/>
      <c r="S583" s="6"/>
      <c r="T583" s="35"/>
      <c r="U583" s="612"/>
      <c r="V583" s="21"/>
      <c r="W583" s="6"/>
      <c r="X583" s="35"/>
      <c r="Y583" s="612"/>
      <c r="Z583" s="21"/>
      <c r="AA583" s="6"/>
      <c r="AB583" s="35"/>
      <c r="AC583" s="231"/>
      <c r="AD583" s="231"/>
      <c r="AE583" s="398">
        <f>SUM(M583,AG583)-SUM(O583,AI583)-L583</f>
        <v>-47</v>
      </c>
      <c r="AF583" s="29">
        <f>Q583</f>
        <v>48</v>
      </c>
      <c r="AG583" s="344">
        <f>SUM(AG557:AG558)</f>
        <v>1</v>
      </c>
      <c r="AH583" s="5">
        <f>AG583-AF583</f>
        <v>-47</v>
      </c>
      <c r="AI583" s="256"/>
      <c r="AJ583" s="303">
        <f>SUM(AJ557:AJ558)</f>
        <v>0</v>
      </c>
      <c r="AK583" s="35">
        <f>AF583+AI583-AJ583</f>
        <v>48</v>
      </c>
      <c r="AL583" s="21"/>
      <c r="AM583" s="6"/>
      <c r="AN583" s="35"/>
      <c r="AO583" s="612"/>
      <c r="AP583" s="21"/>
      <c r="AQ583" s="6"/>
      <c r="AR583" s="35"/>
      <c r="AS583" s="612"/>
      <c r="AT583" s="21"/>
      <c r="AU583" s="6"/>
      <c r="AV583" s="35"/>
      <c r="AW583" s="231"/>
      <c r="AX583" s="231"/>
      <c r="AY583" s="398">
        <f>SUM(M583,AG583,BA583)-SUM(O583,AI583,BC583)-L583</f>
        <v>-46</v>
      </c>
      <c r="AZ583" s="29">
        <f>AK583</f>
        <v>48</v>
      </c>
      <c r="BA583" s="344">
        <f>SUM(BA557:BA558)</f>
        <v>1</v>
      </c>
      <c r="BB583" s="5">
        <f>BA583-AZ583</f>
        <v>-47</v>
      </c>
      <c r="BC583" s="256"/>
      <c r="BD583" s="303">
        <f>SUM(BD557:BD558)</f>
        <v>0</v>
      </c>
      <c r="BE583" s="35">
        <f>AZ583+BC583-BD583</f>
        <v>48</v>
      </c>
      <c r="BF583" s="21"/>
      <c r="BG583" s="6"/>
      <c r="BH583" s="35"/>
      <c r="BI583" s="612"/>
      <c r="BJ583" s="21"/>
      <c r="BK583" s="6"/>
      <c r="BL583" s="35"/>
      <c r="BM583" s="612"/>
      <c r="BN583" s="21"/>
      <c r="BO583" s="6"/>
      <c r="BP583" s="35"/>
      <c r="BQ583" s="231"/>
      <c r="BR583" s="231"/>
      <c r="BS583" s="398">
        <f>SUM(M583,AG583,BA583,BU583)-SUM(O583,AI583,BC583,BW583)-L583</f>
        <v>-42</v>
      </c>
      <c r="BT583" s="29">
        <f>BE583</f>
        <v>48</v>
      </c>
      <c r="BU583" s="344">
        <f>SUM(BU557:BU558)</f>
        <v>4</v>
      </c>
      <c r="BV583" s="5">
        <f>BU583-BT583</f>
        <v>-44</v>
      </c>
      <c r="BW583" s="256"/>
      <c r="BX583" s="303">
        <f>SUM(BX557:BX558)</f>
        <v>5</v>
      </c>
      <c r="BY583" s="35">
        <f>BT583+BW583-BX583</f>
        <v>43</v>
      </c>
      <c r="BZ583" s="21"/>
      <c r="CA583" s="6"/>
      <c r="CB583" s="35"/>
      <c r="CC583" s="612"/>
      <c r="CD583" s="21"/>
      <c r="CE583" s="6"/>
      <c r="CF583" s="35"/>
      <c r="CG583" s="612"/>
      <c r="CH583" s="21"/>
      <c r="CI583" s="6"/>
      <c r="CJ583" s="35"/>
      <c r="CK583" s="231"/>
      <c r="CL583" s="231"/>
      <c r="CM583" s="398">
        <f>SUM(M583,AG583,BA583,BU583,CO583)-SUM(O583,AI583,BC583,BW583,CQ583)-L583</f>
        <v>-42</v>
      </c>
      <c r="CN583" s="29">
        <f>BY583</f>
        <v>43</v>
      </c>
      <c r="CO583" s="344">
        <f>SUM(CO557:CO558)</f>
        <v>0</v>
      </c>
      <c r="CP583" s="5">
        <f>CO583-CN583</f>
        <v>-43</v>
      </c>
      <c r="CQ583" s="256"/>
      <c r="CR583" s="303">
        <f>SUM(CR557:CR558)</f>
        <v>0</v>
      </c>
      <c r="CS583" s="35">
        <f>CN583+CQ583-CR583</f>
        <v>43</v>
      </c>
      <c r="CT583" s="21"/>
      <c r="CU583" s="6"/>
      <c r="CV583" s="35"/>
      <c r="CW583" s="612"/>
      <c r="CX583" s="21"/>
      <c r="CY583" s="6"/>
      <c r="CZ583" s="35"/>
      <c r="DA583" s="612"/>
      <c r="DB583" s="21"/>
      <c r="DC583" s="6"/>
      <c r="DD583" s="35"/>
      <c r="DE583" s="234"/>
      <c r="DF583" s="234"/>
      <c r="DG583" s="395">
        <f>SUM(M583,AG583,BA583,BU583,DI583)-SUM(O583,AI583,BC583,BW583,CQ583)-L583</f>
        <v>-42</v>
      </c>
      <c r="DH583" s="32">
        <f t="shared" si="1227"/>
        <v>43</v>
      </c>
      <c r="DI583" s="344">
        <f>SUM(DI557:DI558)</f>
        <v>0</v>
      </c>
      <c r="DJ583" s="5">
        <f>DI583-DH583</f>
        <v>-43</v>
      </c>
      <c r="DK583" s="256"/>
      <c r="DL583" s="303">
        <f>SUM(DL557:DL558)</f>
        <v>0</v>
      </c>
      <c r="DM583" s="35">
        <f>DH583+DK583-DL583</f>
        <v>43</v>
      </c>
    </row>
    <row r="584" spans="1:117" x14ac:dyDescent="0.25">
      <c r="A584" s="262"/>
      <c r="B584" s="10"/>
      <c r="C584" s="262"/>
      <c r="D584" s="419"/>
      <c r="E584" s="419"/>
      <c r="F584" s="510"/>
      <c r="G584" s="516"/>
      <c r="H584" s="420"/>
      <c r="I584" s="420"/>
      <c r="J584" s="534">
        <f>SUM(M584,AG584,BA584,BU584)-L584</f>
        <v>0</v>
      </c>
      <c r="K584" s="395">
        <f t="shared" si="1226"/>
        <v>0</v>
      </c>
      <c r="L584" s="546">
        <v>0</v>
      </c>
      <c r="M584" s="434"/>
      <c r="N584" s="7">
        <f>M584-L584</f>
        <v>0</v>
      </c>
      <c r="O584" s="258"/>
      <c r="P584" s="378"/>
      <c r="Q584" s="34">
        <f>L584+O584-P584</f>
        <v>0</v>
      </c>
      <c r="R584" s="421"/>
      <c r="S584" s="416"/>
      <c r="T584" s="415"/>
      <c r="V584" s="421"/>
      <c r="W584" s="416"/>
      <c r="X584" s="415"/>
      <c r="Z584" s="421"/>
      <c r="AA584" s="416"/>
      <c r="AB584" s="415"/>
      <c r="AC584" s="619"/>
      <c r="AD584" s="619"/>
      <c r="AE584" s="395">
        <f>SUM(M584,AG584)-SUM(O584,AI584)-L584</f>
        <v>0</v>
      </c>
      <c r="AF584" s="32">
        <f>Q584</f>
        <v>0</v>
      </c>
      <c r="AG584" s="434"/>
      <c r="AH584" s="7">
        <f>AG584-AF584</f>
        <v>0</v>
      </c>
      <c r="AI584" s="258"/>
      <c r="AJ584" s="378"/>
      <c r="AK584" s="34">
        <f>AF584+AI584-AJ584</f>
        <v>0</v>
      </c>
      <c r="AL584" s="421"/>
      <c r="AM584" s="416"/>
      <c r="AN584" s="415"/>
      <c r="AP584" s="421"/>
      <c r="AQ584" s="416"/>
      <c r="AR584" s="415"/>
      <c r="AT584" s="421"/>
      <c r="AU584" s="416"/>
      <c r="AV584" s="415"/>
      <c r="AW584" s="619"/>
      <c r="AX584" s="619"/>
      <c r="AY584" s="395">
        <f>SUM(M584,AG584,BA584)-SUM(O584,AI584,BC584)-L584</f>
        <v>0</v>
      </c>
      <c r="AZ584" s="32">
        <f>AK584</f>
        <v>0</v>
      </c>
      <c r="BA584" s="434"/>
      <c r="BB584" s="7">
        <f>BA584-AZ584</f>
        <v>0</v>
      </c>
      <c r="BC584" s="242"/>
      <c r="BD584" s="378"/>
      <c r="BE584" s="34">
        <f>AZ584+BC584-BD584</f>
        <v>0</v>
      </c>
      <c r="BF584" s="421"/>
      <c r="BG584" s="416"/>
      <c r="BH584" s="415"/>
      <c r="BJ584" s="421"/>
      <c r="BK584" s="416"/>
      <c r="BL584" s="415"/>
      <c r="BN584" s="421"/>
      <c r="BO584" s="416"/>
      <c r="BP584" s="415"/>
      <c r="BQ584" s="619"/>
      <c r="BR584" s="619"/>
      <c r="BS584" s="395">
        <f>SUM(M584,AG584,BA584,BU584)-SUM(O584,AI584,BC584,BW584)-L584</f>
        <v>0</v>
      </c>
      <c r="BT584" s="32">
        <f>BE584</f>
        <v>0</v>
      </c>
      <c r="BU584" s="434"/>
      <c r="BV584" s="7">
        <f>BU584-BT584</f>
        <v>0</v>
      </c>
      <c r="BW584" s="242"/>
      <c r="BX584" s="378"/>
      <c r="BY584" s="34">
        <f>BT584+BW584-BX584</f>
        <v>0</v>
      </c>
      <c r="BZ584" s="421"/>
      <c r="CA584" s="416"/>
      <c r="CB584" s="415"/>
      <c r="CD584" s="421"/>
      <c r="CE584" s="416"/>
      <c r="CF584" s="415"/>
      <c r="CH584" s="421"/>
      <c r="CI584" s="416"/>
      <c r="CJ584" s="415"/>
      <c r="CK584" s="619"/>
      <c r="CL584" s="619"/>
      <c r="CM584" s="395">
        <f>SUM(M584,AG584,BA584,BU584,CO584)-SUM(O584,AI584,BC584,BW584,CQ584)-L584</f>
        <v>0</v>
      </c>
      <c r="CN584" s="32">
        <f>BY584</f>
        <v>0</v>
      </c>
      <c r="CO584" s="434"/>
      <c r="CP584" s="7">
        <f>CO584-CN584</f>
        <v>0</v>
      </c>
      <c r="CQ584" s="315"/>
      <c r="CR584" s="378"/>
      <c r="CS584" s="34">
        <f>CN584+CQ584-CR584</f>
        <v>0</v>
      </c>
      <c r="CT584" s="421"/>
      <c r="CU584" s="416"/>
      <c r="CV584" s="415"/>
      <c r="CX584" s="421"/>
      <c r="CY584" s="416"/>
      <c r="CZ584" s="415"/>
      <c r="DB584" s="421"/>
      <c r="DC584" s="416"/>
      <c r="DD584" s="415"/>
      <c r="DE584" s="619"/>
      <c r="DF584" s="619"/>
      <c r="DG584" s="395">
        <f>SUM(M584,AG584,BA584,BU584,DI584)-SUM(O584,AI584,BC584,BW584,CQ584)-L584</f>
        <v>0</v>
      </c>
      <c r="DH584" s="32">
        <f t="shared" si="1227"/>
        <v>0</v>
      </c>
      <c r="DI584" s="434"/>
      <c r="DJ584" s="7">
        <f>DI584-DH584</f>
        <v>0</v>
      </c>
      <c r="DK584" s="315"/>
      <c r="DL584" s="378"/>
      <c r="DM584" s="34">
        <f>DH584+DK584-DL584</f>
        <v>0</v>
      </c>
    </row>
    <row r="585" spans="1:117" ht="15.75" thickBot="1" x14ac:dyDescent="0.3">
      <c r="A585" s="19"/>
      <c r="B585" s="12"/>
      <c r="C585" s="19"/>
      <c r="D585" s="60"/>
      <c r="E585" s="60"/>
      <c r="F585" s="146"/>
      <c r="G585" s="387"/>
      <c r="H585" s="28"/>
      <c r="I585" s="311"/>
      <c r="J585" s="533">
        <f>SUM(M585,AG585,BA585,BU585)-L585</f>
        <v>0</v>
      </c>
      <c r="K585" s="396">
        <f t="shared" si="1226"/>
        <v>0</v>
      </c>
      <c r="L585" s="545">
        <v>0</v>
      </c>
      <c r="M585" s="519"/>
      <c r="N585" s="31">
        <f>M585-L585</f>
        <v>0</v>
      </c>
      <c r="O585" s="284"/>
      <c r="P585" s="305"/>
      <c r="Q585" s="36">
        <f>L585+O585-P585</f>
        <v>0</v>
      </c>
      <c r="R585" s="272"/>
      <c r="S585" s="201"/>
      <c r="T585" s="321"/>
      <c r="U585" s="710"/>
      <c r="V585" s="272"/>
      <c r="W585" s="201"/>
      <c r="X585" s="321"/>
      <c r="Y585" s="710"/>
      <c r="Z585" s="122"/>
      <c r="AA585" s="201"/>
      <c r="AB585" s="36"/>
      <c r="AC585" s="232"/>
      <c r="AD585" s="232"/>
      <c r="AE585" s="399">
        <f>SUM(M585,AG585)-SUM(O585,AI585)-L585</f>
        <v>0</v>
      </c>
      <c r="AF585" s="30">
        <f>Q585</f>
        <v>0</v>
      </c>
      <c r="AG585" s="519"/>
      <c r="AH585" s="31">
        <f>AG585-AF585</f>
        <v>0</v>
      </c>
      <c r="AI585" s="241"/>
      <c r="AJ585" s="305"/>
      <c r="AK585" s="36">
        <f>AF585+AI585-AJ585</f>
        <v>0</v>
      </c>
      <c r="AL585" s="314"/>
      <c r="AM585" s="201"/>
      <c r="AN585" s="321"/>
      <c r="AO585" s="710"/>
      <c r="AP585" s="314"/>
      <c r="AQ585" s="201"/>
      <c r="AR585" s="321"/>
      <c r="AS585" s="710"/>
      <c r="AT585" s="314"/>
      <c r="AU585" s="201"/>
      <c r="AV585" s="321"/>
      <c r="AW585" s="740"/>
      <c r="AX585" s="740"/>
      <c r="AY585" s="396">
        <f>SUM(M585,AG585,BA585)-SUM(O585,AI585,BC585)-L585</f>
        <v>0</v>
      </c>
      <c r="AZ585" s="30">
        <f>AK585</f>
        <v>0</v>
      </c>
      <c r="BA585" s="519"/>
      <c r="BB585" s="31">
        <f>BA585-AZ585</f>
        <v>0</v>
      </c>
      <c r="BC585" s="284"/>
      <c r="BD585" s="305"/>
      <c r="BE585" s="36">
        <f>AZ585+BC585-BD585</f>
        <v>0</v>
      </c>
      <c r="BF585" s="314"/>
      <c r="BG585" s="201"/>
      <c r="BH585" s="321"/>
      <c r="BI585" s="710"/>
      <c r="BJ585" s="314"/>
      <c r="BK585" s="201"/>
      <c r="BL585" s="321"/>
      <c r="BM585" s="710"/>
      <c r="BN585" s="122"/>
      <c r="BO585" s="201"/>
      <c r="BP585" s="321"/>
      <c r="BQ585" s="740"/>
      <c r="BR585" s="740"/>
      <c r="BS585" s="396">
        <f>SUM(M585,AG585,BA585,BU585)-SUM(O585,AI585,BC585,BW585)-L585</f>
        <v>0</v>
      </c>
      <c r="BT585" s="30">
        <f>BE585</f>
        <v>0</v>
      </c>
      <c r="BU585" s="519"/>
      <c r="BV585" s="31">
        <f>BU585-BT585</f>
        <v>0</v>
      </c>
      <c r="BW585" s="286"/>
      <c r="BX585" s="305"/>
      <c r="BY585" s="36">
        <f>BT585+BW585-BX585</f>
        <v>0</v>
      </c>
      <c r="BZ585" s="122"/>
      <c r="CA585" s="201"/>
      <c r="CB585" s="321"/>
      <c r="CC585" s="710"/>
      <c r="CD585" s="122"/>
      <c r="CE585" s="201"/>
      <c r="CF585" s="321"/>
      <c r="CG585" s="710"/>
      <c r="CH585" s="122"/>
      <c r="CI585" s="201"/>
      <c r="CJ585" s="321"/>
      <c r="CK585" s="740"/>
      <c r="CL585" s="740"/>
      <c r="CM585" s="396">
        <f>SUM(M585,AG585,BA585,BU585,CO585)-SUM(O585,AI585,BC585,BW585,CQ585)-L585</f>
        <v>0</v>
      </c>
      <c r="CN585" s="30">
        <f>BY585</f>
        <v>0</v>
      </c>
      <c r="CO585" s="519"/>
      <c r="CP585" s="31">
        <f>CO585-CN585</f>
        <v>0</v>
      </c>
      <c r="CQ585" s="241"/>
      <c r="CR585" s="305"/>
      <c r="CS585" s="36">
        <f>CN585+CQ585-CR585</f>
        <v>0</v>
      </c>
      <c r="CT585" s="272"/>
      <c r="CU585" s="201"/>
      <c r="CV585" s="273"/>
      <c r="CW585" s="714"/>
      <c r="CX585" s="272"/>
      <c r="CY585" s="201"/>
      <c r="CZ585" s="273"/>
      <c r="DA585" s="714"/>
      <c r="DB585" s="122"/>
      <c r="DC585" s="201"/>
      <c r="DD585" s="36"/>
      <c r="DE585" s="297"/>
      <c r="DF585" s="297"/>
      <c r="DG585" s="396">
        <f>SUM(M585,AG585,BA585,BU585,DI585)-SUM(O585,AI585,BC585,BW585,CQ585)-L585</f>
        <v>0</v>
      </c>
      <c r="DH585" s="296">
        <f t="shared" si="1227"/>
        <v>0</v>
      </c>
      <c r="DI585" s="519"/>
      <c r="DJ585" s="31">
        <f>DI585-DH585</f>
        <v>0</v>
      </c>
      <c r="DK585" s="241"/>
      <c r="DL585" s="305"/>
      <c r="DM585" s="36">
        <f>DH585+DK585-DL585</f>
        <v>0</v>
      </c>
    </row>
    <row r="586" spans="1:117" ht="15.75" thickBot="1" x14ac:dyDescent="0.3">
      <c r="P586" s="248"/>
      <c r="AJ586" s="248"/>
      <c r="BD586" s="248"/>
      <c r="BX586" s="248"/>
      <c r="CR586" s="248"/>
      <c r="DL586" s="248"/>
    </row>
    <row r="587" spans="1:117" ht="15.75" thickBot="1" x14ac:dyDescent="0.3">
      <c r="A587" s="95"/>
      <c r="B587" s="94" t="s">
        <v>147</v>
      </c>
      <c r="C587" s="95"/>
      <c r="D587" s="93"/>
      <c r="E587" s="93"/>
      <c r="F587" s="340"/>
      <c r="G587" s="93"/>
      <c r="H587" s="96"/>
      <c r="I587" s="96"/>
      <c r="J587" s="96">
        <f>SUM(M587,AG587,BA587,BU587)</f>
        <v>0</v>
      </c>
      <c r="K587" s="95"/>
      <c r="L587" s="97"/>
      <c r="M587" s="98">
        <v>0</v>
      </c>
      <c r="N587" s="98"/>
      <c r="O587" s="98"/>
      <c r="P587" s="249"/>
      <c r="Q587" s="237"/>
      <c r="R587" s="124">
        <f>SUM(R588:R589)</f>
        <v>0</v>
      </c>
      <c r="S587" s="125">
        <f>SUM(S588:S589)</f>
        <v>0</v>
      </c>
      <c r="T587" s="99"/>
      <c r="U587" s="221"/>
      <c r="V587" s="124">
        <f>SUM(V588:V589)</f>
        <v>0</v>
      </c>
      <c r="W587" s="125">
        <f>SUM(W588:W589)</f>
        <v>0</v>
      </c>
      <c r="X587" s="99"/>
      <c r="Y587" s="221"/>
      <c r="Z587" s="124">
        <f>SUM(Z588:Z589)</f>
        <v>0</v>
      </c>
      <c r="AA587" s="125">
        <f>SUM(AA588:AA589)</f>
        <v>0</v>
      </c>
      <c r="AB587" s="99"/>
      <c r="AC587" s="237"/>
      <c r="AD587" s="237"/>
      <c r="AE587" s="95">
        <f>SUM(AG587,BA587,BU587)</f>
        <v>0</v>
      </c>
      <c r="AF587" s="97"/>
      <c r="AG587" s="98">
        <v>0</v>
      </c>
      <c r="AH587" s="98"/>
      <c r="AI587" s="98"/>
      <c r="AJ587" s="249"/>
      <c r="AK587" s="221"/>
      <c r="AL587" s="124">
        <f>SUM(AL588:AL589)</f>
        <v>0</v>
      </c>
      <c r="AM587" s="125">
        <f>SUM(AM588:AM589)</f>
        <v>0</v>
      </c>
      <c r="AN587" s="99"/>
      <c r="AO587" s="221"/>
      <c r="AP587" s="124">
        <f>SUM(AP588:AP589)</f>
        <v>0</v>
      </c>
      <c r="AQ587" s="125">
        <f>SUM(AQ588:AQ589)</f>
        <v>0</v>
      </c>
      <c r="AR587" s="99"/>
      <c r="AS587" s="221"/>
      <c r="AT587" s="124">
        <f>SUM(AT588:AT589)</f>
        <v>0</v>
      </c>
      <c r="AU587" s="125">
        <f>SUM(AU588:AU589)</f>
        <v>0</v>
      </c>
      <c r="AV587" s="99"/>
      <c r="AW587" s="237"/>
      <c r="AX587" s="237"/>
      <c r="AY587" s="95">
        <f>SUM(BA587,BU587)</f>
        <v>0</v>
      </c>
      <c r="AZ587" s="97"/>
      <c r="BA587" s="98">
        <v>0</v>
      </c>
      <c r="BB587" s="98"/>
      <c r="BC587" s="98"/>
      <c r="BD587" s="249"/>
      <c r="BE587" s="221"/>
      <c r="BF587" s="124">
        <f>SUM(BF588:BF589)</f>
        <v>0</v>
      </c>
      <c r="BG587" s="125">
        <f>SUM(BG588:BG589)</f>
        <v>0</v>
      </c>
      <c r="BH587" s="99"/>
      <c r="BI587" s="221"/>
      <c r="BJ587" s="124">
        <f>SUM(BJ588:BJ589)</f>
        <v>0</v>
      </c>
      <c r="BK587" s="125">
        <f>SUM(BK588:BK589)</f>
        <v>0</v>
      </c>
      <c r="BL587" s="99"/>
      <c r="BM587" s="221"/>
      <c r="BN587" s="124">
        <f>SUM(BN588:BN589)</f>
        <v>0</v>
      </c>
      <c r="BO587" s="125">
        <f>SUM(BO588:BO589)</f>
        <v>0</v>
      </c>
      <c r="BP587" s="99"/>
      <c r="BQ587" s="237"/>
      <c r="BR587" s="237"/>
      <c r="BS587" s="95">
        <f>BU587</f>
        <v>0</v>
      </c>
      <c r="BT587" s="97"/>
      <c r="BU587" s="98">
        <v>0</v>
      </c>
      <c r="BV587" s="98"/>
      <c r="BW587" s="98"/>
      <c r="BX587" s="249"/>
      <c r="BY587" s="221"/>
      <c r="BZ587" s="124">
        <f>SUM(BZ588:BZ589)</f>
        <v>0</v>
      </c>
      <c r="CA587" s="125">
        <f>SUM(CA588:CA589)</f>
        <v>0</v>
      </c>
      <c r="CB587" s="99"/>
      <c r="CC587" s="221"/>
      <c r="CD587" s="124">
        <f>SUM(CD588:CD589)</f>
        <v>0</v>
      </c>
      <c r="CE587" s="125">
        <f>SUM(CE588:CE589)</f>
        <v>0</v>
      </c>
      <c r="CF587" s="99"/>
      <c r="CG587" s="221"/>
      <c r="CH587" s="124">
        <f>SUM(CH588:CH589)</f>
        <v>0</v>
      </c>
      <c r="CI587" s="125">
        <f>SUM(CI588:CI589)</f>
        <v>0</v>
      </c>
      <c r="CJ587" s="99"/>
      <c r="CK587" s="237"/>
      <c r="CL587" s="237"/>
      <c r="CM587" s="95">
        <f>CO587</f>
        <v>0</v>
      </c>
      <c r="CN587" s="97"/>
      <c r="CO587" s="249">
        <v>0</v>
      </c>
      <c r="CP587" s="98"/>
      <c r="CQ587" s="98"/>
      <c r="CR587" s="249"/>
      <c r="CS587" s="237"/>
      <c r="CT587" s="124">
        <f>SUM(CT588:CT589)</f>
        <v>0</v>
      </c>
      <c r="CU587" s="125">
        <f>SUM(CU588:CU589)</f>
        <v>0</v>
      </c>
      <c r="CV587" s="99"/>
      <c r="CW587" s="221"/>
      <c r="CX587" s="124">
        <f>SUM(CX588:CX589)</f>
        <v>0</v>
      </c>
      <c r="CY587" s="125">
        <f>SUM(CY588:CY589)</f>
        <v>0</v>
      </c>
      <c r="CZ587" s="99"/>
      <c r="DA587" s="221"/>
      <c r="DB587" s="124">
        <f>SUM(DB588:DB589)</f>
        <v>0</v>
      </c>
      <c r="DC587" s="125">
        <f>SUM(DC588:DC589)</f>
        <v>0</v>
      </c>
      <c r="DD587" s="99"/>
      <c r="DE587" s="237"/>
      <c r="DF587" s="237"/>
      <c r="DG587" s="95">
        <f>DI587</f>
        <v>0</v>
      </c>
      <c r="DH587" s="97"/>
      <c r="DI587" s="249"/>
      <c r="DJ587" s="98"/>
      <c r="DK587" s="98"/>
      <c r="DL587" s="249"/>
      <c r="DM587" s="237"/>
    </row>
    <row r="588" spans="1:117" x14ac:dyDescent="0.25">
      <c r="A588" s="45">
        <v>12616</v>
      </c>
      <c r="B588" s="44" t="s">
        <v>128</v>
      </c>
      <c r="C588" s="45">
        <v>1</v>
      </c>
      <c r="D588" s="44"/>
      <c r="E588" s="44"/>
      <c r="F588" s="342">
        <v>3960</v>
      </c>
      <c r="G588" s="309" t="s">
        <v>646</v>
      </c>
      <c r="H588" s="46" t="s">
        <v>138</v>
      </c>
      <c r="I588" s="46"/>
      <c r="J588" s="532">
        <f>SUM(M588,AG588,BA588,BU588)-L588</f>
        <v>-1</v>
      </c>
      <c r="K588" s="395">
        <f t="shared" ref="K588:K589" si="1250">M588-O588-L588</f>
        <v>-1</v>
      </c>
      <c r="L588" s="544">
        <v>1</v>
      </c>
      <c r="M588" s="306">
        <f>M587</f>
        <v>0</v>
      </c>
      <c r="N588" s="47">
        <f>M588-L588</f>
        <v>-1</v>
      </c>
      <c r="O588" s="258"/>
      <c r="P588" s="253"/>
      <c r="Q588" s="35">
        <f>L588+O588-P588</f>
        <v>1</v>
      </c>
      <c r="R588" s="288"/>
      <c r="S588" s="289"/>
      <c r="T588" s="48"/>
      <c r="U588" s="287"/>
      <c r="V588" s="288"/>
      <c r="W588" s="289"/>
      <c r="X588" s="48"/>
      <c r="Y588" s="287"/>
      <c r="Z588" s="132"/>
      <c r="AA588" s="289"/>
      <c r="AB588" s="48"/>
      <c r="AC588" s="234"/>
      <c r="AD588" s="234"/>
      <c r="AE588" s="395">
        <f>SUM(M588,AG588)-SUM(O588,AI588)-L588</f>
        <v>-1</v>
      </c>
      <c r="AF588" s="29">
        <f>Q588</f>
        <v>1</v>
      </c>
      <c r="AG588" s="306">
        <f>AG587</f>
        <v>0</v>
      </c>
      <c r="AH588" s="47">
        <f>AG588-AF588</f>
        <v>-1</v>
      </c>
      <c r="AI588" s="258"/>
      <c r="AJ588" s="253"/>
      <c r="AK588" s="35">
        <f>AF588+AI588-AJ588</f>
        <v>1</v>
      </c>
      <c r="AL588" s="554"/>
      <c r="AM588" s="8"/>
      <c r="AN588" s="34"/>
      <c r="AO588" s="713"/>
      <c r="AP588" s="288"/>
      <c r="AQ588" s="8"/>
      <c r="AR588" s="34"/>
      <c r="AS588" s="713"/>
      <c r="AT588" s="132"/>
      <c r="AU588" s="8"/>
      <c r="AV588" s="34"/>
      <c r="AW588" s="234"/>
      <c r="AX588" s="234"/>
      <c r="AY588" s="395">
        <f>SUM(M588,AG588,BA588)-SUM(O588,AI588,BC588)-L588</f>
        <v>-1</v>
      </c>
      <c r="AZ588" s="29">
        <f>AK588</f>
        <v>1</v>
      </c>
      <c r="BA588" s="306">
        <f>BA587</f>
        <v>0</v>
      </c>
      <c r="BB588" s="47">
        <f>BA588-AZ588</f>
        <v>-1</v>
      </c>
      <c r="BC588" s="256"/>
      <c r="BD588" s="253"/>
      <c r="BE588" s="35">
        <f>AZ588+BC588-BD588</f>
        <v>1</v>
      </c>
      <c r="BF588" s="288"/>
      <c r="BG588" s="289"/>
      <c r="BH588" s="48"/>
      <c r="BI588" s="287"/>
      <c r="BJ588" s="288"/>
      <c r="BK588" s="289"/>
      <c r="BL588" s="48"/>
      <c r="BM588" s="287"/>
      <c r="BN588" s="132"/>
      <c r="BO588" s="289"/>
      <c r="BP588" s="48"/>
      <c r="BQ588" s="234"/>
      <c r="BR588" s="234"/>
      <c r="BS588" s="395">
        <f>SUM(M588,AG588,BA588,BU588)-SUM(O588,AI588,BC588,BW588)-L588</f>
        <v>-1</v>
      </c>
      <c r="BT588" s="29">
        <f>BE588</f>
        <v>1</v>
      </c>
      <c r="BU588" s="306">
        <f>BU587</f>
        <v>0</v>
      </c>
      <c r="BV588" s="47">
        <f>BU588-BT588</f>
        <v>-1</v>
      </c>
      <c r="BW588" s="256"/>
      <c r="BX588" s="253"/>
      <c r="BY588" s="35">
        <f>BT588+BW588-BX588</f>
        <v>1</v>
      </c>
      <c r="BZ588" s="288"/>
      <c r="CA588" s="289"/>
      <c r="CB588" s="48"/>
      <c r="CC588" s="287"/>
      <c r="CD588" s="288"/>
      <c r="CE588" s="289"/>
      <c r="CF588" s="48"/>
      <c r="CG588" s="287"/>
      <c r="CH588" s="132"/>
      <c r="CI588" s="289"/>
      <c r="CJ588" s="48"/>
      <c r="CK588" s="290"/>
      <c r="CL588" s="290"/>
      <c r="CM588" s="397">
        <f>SUM(M588,AG588,BA588,BU588,CO588)-SUM(O588,AI588,BC588,BW588,CQ588)-L588</f>
        <v>-1</v>
      </c>
      <c r="CN588" s="29">
        <f>BY588</f>
        <v>1</v>
      </c>
      <c r="CO588" s="306">
        <f>CO587</f>
        <v>0</v>
      </c>
      <c r="CP588" s="47">
        <f>CO588-CN588</f>
        <v>-1</v>
      </c>
      <c r="CQ588" s="253"/>
      <c r="CR588" s="253"/>
      <c r="CS588" s="35">
        <f>CN588+CQ588-CR588</f>
        <v>1</v>
      </c>
      <c r="CT588" s="288"/>
      <c r="CU588" s="289"/>
      <c r="CV588" s="48"/>
      <c r="CW588" s="287"/>
      <c r="CX588" s="288"/>
      <c r="CY588" s="289"/>
      <c r="CZ588" s="48"/>
      <c r="DA588" s="287"/>
      <c r="DB588" s="132"/>
      <c r="DC588" s="289"/>
      <c r="DD588" s="48"/>
      <c r="DE588" s="234"/>
      <c r="DF588" s="234"/>
      <c r="DG588" s="395">
        <f>SUM(M588,AG588,BA588,BU588,DI588)-SUM(O588,AI588,BC588,BW588,CQ588)-L588</f>
        <v>-1</v>
      </c>
      <c r="DH588" s="279">
        <f t="shared" ref="DH588:DH589" si="1251">BY588</f>
        <v>1</v>
      </c>
      <c r="DI588" s="306">
        <f>DI587</f>
        <v>0</v>
      </c>
      <c r="DJ588" s="47">
        <f>DI588-DH588</f>
        <v>-1</v>
      </c>
      <c r="DK588" s="253"/>
      <c r="DL588" s="253"/>
      <c r="DM588" s="48">
        <f>DH588+DK588-DL588</f>
        <v>1</v>
      </c>
    </row>
    <row r="589" spans="1:117" ht="15.75" thickBot="1" x14ac:dyDescent="0.3">
      <c r="A589" s="19">
        <v>12615</v>
      </c>
      <c r="B589" s="477" t="s">
        <v>129</v>
      </c>
      <c r="C589" s="19">
        <v>1</v>
      </c>
      <c r="D589" s="12"/>
      <c r="E589" s="12"/>
      <c r="F589" s="146">
        <v>6185</v>
      </c>
      <c r="G589" s="12"/>
      <c r="H589" s="28" t="s">
        <v>11</v>
      </c>
      <c r="I589" s="311"/>
      <c r="J589" s="533">
        <f>SUM(M589,AG589,BA589,BU589)-L589</f>
        <v>-1</v>
      </c>
      <c r="K589" s="396">
        <f t="shared" si="1250"/>
        <v>-1</v>
      </c>
      <c r="L589" s="545">
        <v>1</v>
      </c>
      <c r="M589" s="301">
        <f>M587</f>
        <v>0</v>
      </c>
      <c r="N589" s="31">
        <f>M589-L589</f>
        <v>-1</v>
      </c>
      <c r="O589" s="284"/>
      <c r="P589" s="241"/>
      <c r="Q589" s="36">
        <f>L589+O589-P589</f>
        <v>1</v>
      </c>
      <c r="R589" s="200"/>
      <c r="S589" s="201"/>
      <c r="T589" s="36"/>
      <c r="U589" s="220"/>
      <c r="V589" s="200"/>
      <c r="W589" s="201"/>
      <c r="X589" s="36"/>
      <c r="Y589" s="220"/>
      <c r="Z589" s="122"/>
      <c r="AA589" s="201"/>
      <c r="AB589" s="36"/>
      <c r="AC589" s="232"/>
      <c r="AD589" s="232"/>
      <c r="AE589" s="399">
        <f>SUM(M589,AG589)-SUM(O589,AI589)-L589</f>
        <v>-1</v>
      </c>
      <c r="AF589" s="30">
        <f>Q589</f>
        <v>1</v>
      </c>
      <c r="AG589" s="301">
        <f>AG587</f>
        <v>0</v>
      </c>
      <c r="AH589" s="31">
        <f>AG589-AF589</f>
        <v>-1</v>
      </c>
      <c r="AI589" s="284">
        <v>0</v>
      </c>
      <c r="AJ589" s="284"/>
      <c r="AK589" s="36">
        <f>AF589+AI589-AJ589</f>
        <v>1</v>
      </c>
      <c r="AL589" s="200"/>
      <c r="AM589" s="201"/>
      <c r="AN589" s="36"/>
      <c r="AO589" s="220"/>
      <c r="AP589" s="200"/>
      <c r="AQ589" s="201"/>
      <c r="AR589" s="36"/>
      <c r="AS589" s="220"/>
      <c r="AT589" s="122"/>
      <c r="AU589" s="201"/>
      <c r="AV589" s="36"/>
      <c r="AW589" s="297"/>
      <c r="AX589" s="297"/>
      <c r="AY589" s="396">
        <f>SUM(M589,AG589,BA589)-SUM(O589,AI589,BC589)-L589</f>
        <v>-1</v>
      </c>
      <c r="AZ589" s="30">
        <f>AK589</f>
        <v>1</v>
      </c>
      <c r="BA589" s="31">
        <v>0</v>
      </c>
      <c r="BB589" s="31">
        <f>BA589-AZ589</f>
        <v>-1</v>
      </c>
      <c r="BC589" s="284"/>
      <c r="BD589" s="241"/>
      <c r="BE589" s="36">
        <f>AZ589+BC589-BD589</f>
        <v>1</v>
      </c>
      <c r="BF589" s="200"/>
      <c r="BG589" s="201"/>
      <c r="BH589" s="36"/>
      <c r="BI589" s="220"/>
      <c r="BJ589" s="200"/>
      <c r="BK589" s="201"/>
      <c r="BL589" s="36"/>
      <c r="BM589" s="220"/>
      <c r="BN589" s="122"/>
      <c r="BO589" s="201"/>
      <c r="BP589" s="36"/>
      <c r="BQ589" s="297"/>
      <c r="BR589" s="297"/>
      <c r="BS589" s="396">
        <f>SUM(M589,AG589,BA589,BU589)-SUM(O589,AI589,BC589,BW589)-L589</f>
        <v>-1</v>
      </c>
      <c r="BT589" s="30">
        <f>BE589</f>
        <v>1</v>
      </c>
      <c r="BU589" s="31">
        <v>0</v>
      </c>
      <c r="BV589" s="31">
        <f>BU589-BT589</f>
        <v>-1</v>
      </c>
      <c r="BW589" s="284"/>
      <c r="BX589" s="241"/>
      <c r="BY589" s="36">
        <f>BT589+BW589-BX589</f>
        <v>1</v>
      </c>
      <c r="BZ589" s="200"/>
      <c r="CA589" s="201"/>
      <c r="CB589" s="36"/>
      <c r="CC589" s="220"/>
      <c r="CD589" s="200"/>
      <c r="CE589" s="201"/>
      <c r="CF589" s="36"/>
      <c r="CG589" s="220"/>
      <c r="CH589" s="122"/>
      <c r="CI589" s="201"/>
      <c r="CJ589" s="36"/>
      <c r="CK589" s="297"/>
      <c r="CL589" s="297"/>
      <c r="CM589" s="396">
        <f>SUM(M589,AG589,BA589,BU589,CO589)-SUM(O589,AI589,BC589,BW589,CQ589)-L589</f>
        <v>-1</v>
      </c>
      <c r="CN589" s="30">
        <f>BY589</f>
        <v>1</v>
      </c>
      <c r="CO589" s="31">
        <v>0</v>
      </c>
      <c r="CP589" s="31">
        <f>CO589-CN589</f>
        <v>-1</v>
      </c>
      <c r="CQ589" s="241"/>
      <c r="CR589" s="241"/>
      <c r="CS589" s="36">
        <f>CN589+CQ589-CR589</f>
        <v>1</v>
      </c>
      <c r="CT589" s="200"/>
      <c r="CU589" s="201"/>
      <c r="CV589" s="36"/>
      <c r="CW589" s="220"/>
      <c r="CX589" s="200"/>
      <c r="CY589" s="201"/>
      <c r="CZ589" s="36"/>
      <c r="DA589" s="220"/>
      <c r="DB589" s="122"/>
      <c r="DC589" s="201"/>
      <c r="DD589" s="36"/>
      <c r="DE589" s="297"/>
      <c r="DF589" s="297"/>
      <c r="DG589" s="396">
        <f>SUM(M589,AG589,BA589,BU589,DI589)-SUM(O589,AI589,BC589,BW589,CQ589)-L589</f>
        <v>-1</v>
      </c>
      <c r="DH589" s="296">
        <f t="shared" si="1251"/>
        <v>1</v>
      </c>
      <c r="DI589" s="31">
        <v>0</v>
      </c>
      <c r="DJ589" s="31">
        <f>DI589-DH589</f>
        <v>-1</v>
      </c>
      <c r="DK589" s="241"/>
      <c r="DL589" s="241"/>
      <c r="DM589" s="36">
        <f>DH589+DK589-DL589</f>
        <v>1</v>
      </c>
    </row>
    <row r="590" spans="1:117" ht="15.75" thickBot="1" x14ac:dyDescent="0.3">
      <c r="P590" s="248"/>
      <c r="AJ590" s="248"/>
      <c r="BD590" s="248"/>
      <c r="BX590" s="248"/>
      <c r="CR590" s="248"/>
      <c r="DL590" s="248"/>
    </row>
    <row r="591" spans="1:117" ht="15.75" thickBot="1" x14ac:dyDescent="0.3">
      <c r="A591" s="95"/>
      <c r="B591" s="94" t="s">
        <v>135</v>
      </c>
      <c r="C591" s="95"/>
      <c r="D591" s="93"/>
      <c r="E591" s="93"/>
      <c r="F591" s="340"/>
      <c r="G591" s="93"/>
      <c r="H591" s="96"/>
      <c r="I591" s="96"/>
      <c r="J591" s="96"/>
      <c r="K591" s="401"/>
      <c r="L591" s="97"/>
      <c r="M591" s="98"/>
      <c r="N591" s="98"/>
      <c r="O591" s="98"/>
      <c r="P591" s="249"/>
      <c r="Q591" s="221"/>
      <c r="R591" s="124">
        <f>SUM(R592:R595)</f>
        <v>0</v>
      </c>
      <c r="S591" s="125">
        <f>SUM(S592:S595)</f>
        <v>0</v>
      </c>
      <c r="T591" s="99"/>
      <c r="U591" s="221"/>
      <c r="V591" s="124">
        <f>SUM(V592:V595)</f>
        <v>0</v>
      </c>
      <c r="W591" s="125">
        <f>SUM(W592:W595)</f>
        <v>0</v>
      </c>
      <c r="X591" s="99"/>
      <c r="Y591" s="221"/>
      <c r="Z591" s="124">
        <f>SUM(Z592:Z595)</f>
        <v>0</v>
      </c>
      <c r="AA591" s="125">
        <f>SUM(AA592:AA595)</f>
        <v>0</v>
      </c>
      <c r="AB591" s="99"/>
      <c r="AC591" s="736"/>
      <c r="AD591" s="736"/>
      <c r="AE591" s="401"/>
      <c r="AF591" s="97"/>
      <c r="AG591" s="98"/>
      <c r="AH591" s="98"/>
      <c r="AI591" s="98"/>
      <c r="AJ591" s="249"/>
      <c r="AK591" s="221"/>
      <c r="AL591" s="124">
        <f>SUM(AL592:AL595)</f>
        <v>0</v>
      </c>
      <c r="AM591" s="125">
        <f>SUM(AM592:AM595)</f>
        <v>27500</v>
      </c>
      <c r="AN591" s="99"/>
      <c r="AO591" s="221"/>
      <c r="AP591" s="124">
        <f>SUM(AP592:AP595)</f>
        <v>0</v>
      </c>
      <c r="AQ591" s="125">
        <f>SUM(AQ592:AQ595)</f>
        <v>0</v>
      </c>
      <c r="AR591" s="99"/>
      <c r="AS591" s="221"/>
      <c r="AT591" s="124">
        <f>SUM(AT592:AT595)</f>
        <v>605660.4</v>
      </c>
      <c r="AU591" s="125">
        <f>SUM(AU592:AU595)</f>
        <v>27500</v>
      </c>
      <c r="AV591" s="99"/>
      <c r="AW591" s="736"/>
      <c r="AX591" s="736"/>
      <c r="AY591" s="401"/>
      <c r="AZ591" s="97"/>
      <c r="BA591" s="98">
        <f>0</f>
        <v>0</v>
      </c>
      <c r="BB591" s="98"/>
      <c r="BC591" s="98"/>
      <c r="BD591" s="249"/>
      <c r="BE591" s="221"/>
      <c r="BF591" s="124">
        <f>SUM(BF592:BF595)</f>
        <v>0</v>
      </c>
      <c r="BG591" s="125">
        <f>SUM(BG592:BG595)</f>
        <v>0</v>
      </c>
      <c r="BH591" s="99"/>
      <c r="BI591" s="221"/>
      <c r="BJ591" s="124">
        <f>SUM(BJ592:BJ595)</f>
        <v>0</v>
      </c>
      <c r="BK591" s="125">
        <f>SUM(BK592:BK595)</f>
        <v>0</v>
      </c>
      <c r="BL591" s="99"/>
      <c r="BM591" s="221"/>
      <c r="BN591" s="124">
        <f>SUM(BN592:BN595)</f>
        <v>0</v>
      </c>
      <c r="BO591" s="125">
        <f>SUM(BO592:BO595)</f>
        <v>605660.4</v>
      </c>
      <c r="BP591" s="99"/>
      <c r="BQ591" s="736"/>
      <c r="BR591" s="736"/>
      <c r="BS591" s="401"/>
      <c r="BT591" s="97"/>
      <c r="BU591" s="98"/>
      <c r="BV591" s="98"/>
      <c r="BW591" s="98"/>
      <c r="BX591" s="249"/>
      <c r="BY591" s="221"/>
      <c r="BZ591" s="124">
        <f>SUM(BZ592:BZ595)</f>
        <v>0</v>
      </c>
      <c r="CA591" s="125">
        <f>SUM(CA592:CA595)</f>
        <v>0</v>
      </c>
      <c r="CB591" s="99"/>
      <c r="CC591" s="221"/>
      <c r="CD591" s="124">
        <f>SUM(CD592:CD595)</f>
        <v>41250</v>
      </c>
      <c r="CE591" s="125">
        <f>SUM(CE592:CE595)</f>
        <v>0</v>
      </c>
      <c r="CF591" s="99"/>
      <c r="CG591" s="221"/>
      <c r="CH591" s="124">
        <f>SUM(CH592:CH595)</f>
        <v>965725.5</v>
      </c>
      <c r="CI591" s="125">
        <f>SUM(CI592:CI595)</f>
        <v>0</v>
      </c>
      <c r="CJ591" s="99"/>
      <c r="CK591" s="237"/>
      <c r="CL591" s="237"/>
      <c r="CM591" s="95"/>
      <c r="CN591" s="97"/>
      <c r="CO591" s="98"/>
      <c r="CP591" s="98"/>
      <c r="CQ591" s="98"/>
      <c r="CR591" s="249"/>
      <c r="CS591" s="237"/>
      <c r="CT591" s="124">
        <f>SUM(CT592:CT595)</f>
        <v>0</v>
      </c>
      <c r="CU591" s="125">
        <f>SUM(CU592:CU595)</f>
        <v>41250</v>
      </c>
      <c r="CV591" s="99"/>
      <c r="CW591" s="221"/>
      <c r="CX591" s="124">
        <f>SUM(CX592:CX595)</f>
        <v>0</v>
      </c>
      <c r="CY591" s="125">
        <f>SUM(CY592:CY595)</f>
        <v>965725.5</v>
      </c>
      <c r="CZ591" s="99"/>
      <c r="DA591" s="221"/>
      <c r="DB591" s="124">
        <f>SUM(DB592:DB595)</f>
        <v>0</v>
      </c>
      <c r="DC591" s="125">
        <f>SUM(DC592:DC595)</f>
        <v>0</v>
      </c>
      <c r="DD591" s="99"/>
      <c r="DE591" s="237"/>
      <c r="DF591" s="237"/>
      <c r="DG591" s="95"/>
      <c r="DH591" s="97"/>
      <c r="DI591" s="98"/>
      <c r="DJ591" s="98"/>
      <c r="DK591" s="98"/>
      <c r="DL591" s="249"/>
      <c r="DM591" s="237"/>
    </row>
    <row r="592" spans="1:117" x14ac:dyDescent="0.25">
      <c r="A592" s="17"/>
      <c r="B592" s="589" t="s">
        <v>495</v>
      </c>
      <c r="C592" s="591" t="s">
        <v>51</v>
      </c>
      <c r="D592" s="589" t="s">
        <v>136</v>
      </c>
      <c r="E592" s="589"/>
      <c r="F592" s="337"/>
      <c r="G592" s="10" t="s">
        <v>217</v>
      </c>
      <c r="H592" s="24" t="s">
        <v>138</v>
      </c>
      <c r="I592" s="24"/>
      <c r="J592" s="532">
        <f>SUM(M592,AG592,BA592,BU592)-L592</f>
        <v>0</v>
      </c>
      <c r="K592" s="397">
        <f t="shared" ref="K592:K595" si="1252">M592-O592-L592</f>
        <v>0</v>
      </c>
      <c r="L592" s="29">
        <v>0</v>
      </c>
      <c r="M592" s="7">
        <v>0</v>
      </c>
      <c r="N592" s="7">
        <f>M592-L592</f>
        <v>0</v>
      </c>
      <c r="O592" s="258">
        <v>0</v>
      </c>
      <c r="P592" s="242"/>
      <c r="Q592" s="35">
        <f>L592+O592-P592</f>
        <v>0</v>
      </c>
      <c r="R592" s="123"/>
      <c r="S592" s="8"/>
      <c r="T592" s="34"/>
      <c r="U592" s="713"/>
      <c r="V592" s="123"/>
      <c r="W592" s="8"/>
      <c r="X592" s="34"/>
      <c r="Y592" s="713"/>
      <c r="Z592" s="20"/>
      <c r="AA592" s="8"/>
      <c r="AB592" s="34"/>
      <c r="AC592" s="234"/>
      <c r="AD592" s="234"/>
      <c r="AE592" s="397">
        <f>SUM(M592,AG592)-SUM(O592,AI592)-L592</f>
        <v>0</v>
      </c>
      <c r="AF592" s="29">
        <f>Q592</f>
        <v>0</v>
      </c>
      <c r="AG592" s="7">
        <v>0</v>
      </c>
      <c r="AH592" s="7">
        <f>AG592-AF592</f>
        <v>0</v>
      </c>
      <c r="AI592" s="258">
        <v>0</v>
      </c>
      <c r="AJ592" s="242"/>
      <c r="AK592" s="35">
        <f>AF592+AI592-AJ592</f>
        <v>0</v>
      </c>
      <c r="AL592" s="123"/>
      <c r="AM592" s="8"/>
      <c r="AN592" s="34"/>
      <c r="AO592" s="713"/>
      <c r="AP592" s="123"/>
      <c r="AQ592" s="8"/>
      <c r="AR592" s="34"/>
      <c r="AS592" s="713"/>
      <c r="AT592" s="20"/>
      <c r="AU592" s="8"/>
      <c r="AV592" s="34"/>
      <c r="AW592" s="234"/>
      <c r="AX592" s="234"/>
      <c r="AY592" s="397">
        <f>SUM(M592,AG592,BA592)-SUM(O592,AI592,BC592)-L592</f>
        <v>0</v>
      </c>
      <c r="AZ592" s="29">
        <f>AK592</f>
        <v>0</v>
      </c>
      <c r="BA592" s="7">
        <v>0</v>
      </c>
      <c r="BB592" s="7">
        <f>BA592-AZ592</f>
        <v>0</v>
      </c>
      <c r="BC592" s="258">
        <v>0</v>
      </c>
      <c r="BD592" s="242"/>
      <c r="BE592" s="35">
        <f>AZ592+BC592-BD592</f>
        <v>0</v>
      </c>
      <c r="BF592" s="123"/>
      <c r="BG592" s="8"/>
      <c r="BH592" s="34"/>
      <c r="BI592" s="713"/>
      <c r="BJ592" s="123"/>
      <c r="BK592" s="8"/>
      <c r="BL592" s="34"/>
      <c r="BM592" s="713"/>
      <c r="BN592" s="20"/>
      <c r="BO592" s="8"/>
      <c r="BP592" s="34"/>
      <c r="BQ592" s="234"/>
      <c r="BR592" s="234"/>
      <c r="BS592" s="397">
        <f>SUM(M592,AG592,BA592,BU592)-SUM(O592,AI592,BC592,BW592)-L592</f>
        <v>0</v>
      </c>
      <c r="BT592" s="29">
        <f>BE592</f>
        <v>0</v>
      </c>
      <c r="BU592" s="7">
        <v>0</v>
      </c>
      <c r="BV592" s="7">
        <f>BU592-BT592</f>
        <v>0</v>
      </c>
      <c r="BW592" s="258">
        <v>0</v>
      </c>
      <c r="BX592" s="242"/>
      <c r="BY592" s="35">
        <f>BT592+BW592-BX592</f>
        <v>0</v>
      </c>
      <c r="BZ592" s="123"/>
      <c r="CA592" s="8"/>
      <c r="CB592" s="34"/>
      <c r="CC592" s="713"/>
      <c r="CD592" s="123"/>
      <c r="CE592" s="8"/>
      <c r="CF592" s="34"/>
      <c r="CG592" s="713"/>
      <c r="CH592" s="20"/>
      <c r="CI592" s="8"/>
      <c r="CJ592" s="34"/>
      <c r="CK592" s="234"/>
      <c r="CL592" s="234"/>
      <c r="CM592" s="397">
        <f>SUM(M592,AG592,BA592,BU592,CO592)-SUM(O592,AI592,BC592,BW592,CQ592)-L592</f>
        <v>0</v>
      </c>
      <c r="CN592" s="29">
        <f>BY592</f>
        <v>0</v>
      </c>
      <c r="CO592" s="7">
        <v>0</v>
      </c>
      <c r="CP592" s="7">
        <f>CO592-CN592</f>
        <v>0</v>
      </c>
      <c r="CQ592" s="242"/>
      <c r="CR592" s="242"/>
      <c r="CS592" s="35">
        <f>CN592+CQ592-CR592</f>
        <v>0</v>
      </c>
      <c r="CT592" s="123"/>
      <c r="CU592" s="8"/>
      <c r="CV592" s="34"/>
      <c r="CW592" s="713"/>
      <c r="CX592" s="123"/>
      <c r="CY592" s="8"/>
      <c r="CZ592" s="34"/>
      <c r="DA592" s="713"/>
      <c r="DB592" s="20"/>
      <c r="DC592" s="8"/>
      <c r="DD592" s="34"/>
      <c r="DE592" s="234"/>
      <c r="DF592" s="234"/>
      <c r="DG592" s="395">
        <f>SUM(M592,AG592,BA592,BU592,DI592)-SUM(O592,AI592,BC592,BW592,CQ592)-L592</f>
        <v>0</v>
      </c>
      <c r="DH592" s="279">
        <f t="shared" ref="DH592:DH595" si="1253">BY592</f>
        <v>0</v>
      </c>
      <c r="DI592" s="47">
        <v>0</v>
      </c>
      <c r="DJ592" s="47">
        <f>DI592-DH592</f>
        <v>0</v>
      </c>
      <c r="DK592" s="253"/>
      <c r="DL592" s="253"/>
      <c r="DM592" s="48">
        <f>DH592+DK592-DL592</f>
        <v>0</v>
      </c>
    </row>
    <row r="593" spans="1:117" x14ac:dyDescent="0.25">
      <c r="A593" s="18"/>
      <c r="B593" s="381" t="s">
        <v>496</v>
      </c>
      <c r="C593" s="592" t="s">
        <v>51</v>
      </c>
      <c r="D593" s="381" t="s">
        <v>136</v>
      </c>
      <c r="E593" s="381"/>
      <c r="F593" s="149">
        <v>10300</v>
      </c>
      <c r="G593" s="11" t="s">
        <v>646</v>
      </c>
      <c r="H593" s="25" t="s">
        <v>138</v>
      </c>
      <c r="I593" s="25"/>
      <c r="J593" s="530">
        <f>SUM(M593,AG593,BA593,BU593)-L593</f>
        <v>0</v>
      </c>
      <c r="K593" s="395">
        <f t="shared" si="1252"/>
        <v>0</v>
      </c>
      <c r="L593" s="29">
        <v>0</v>
      </c>
      <c r="M593" s="5">
        <v>0</v>
      </c>
      <c r="N593" s="7">
        <f>M593-L593</f>
        <v>0</v>
      </c>
      <c r="O593" s="258">
        <v>0</v>
      </c>
      <c r="P593" s="242"/>
      <c r="Q593" s="35">
        <f>L593+O593-P593</f>
        <v>0</v>
      </c>
      <c r="R593" s="121"/>
      <c r="S593" s="6"/>
      <c r="T593" s="35"/>
      <c r="U593" s="612"/>
      <c r="V593" s="121"/>
      <c r="W593" s="6"/>
      <c r="X593" s="35"/>
      <c r="Y593" s="612"/>
      <c r="Z593" s="21"/>
      <c r="AA593" s="6"/>
      <c r="AB593" s="35"/>
      <c r="AC593" s="234"/>
      <c r="AD593" s="234"/>
      <c r="AE593" s="395">
        <f>SUM(M593,AG593)-SUM(O593,AI593)-L593</f>
        <v>0</v>
      </c>
      <c r="AF593" s="29">
        <f>Q593</f>
        <v>0</v>
      </c>
      <c r="AG593" s="5">
        <v>0</v>
      </c>
      <c r="AH593" s="7">
        <f>AG593-AF593</f>
        <v>0</v>
      </c>
      <c r="AI593" s="258">
        <v>0</v>
      </c>
      <c r="AJ593" s="242"/>
      <c r="AK593" s="35">
        <f>AF593+AI593-AJ593</f>
        <v>0</v>
      </c>
      <c r="AL593" s="121"/>
      <c r="AM593" s="6"/>
      <c r="AN593" s="35"/>
      <c r="AO593" s="612"/>
      <c r="AP593" s="121"/>
      <c r="AQ593" s="6"/>
      <c r="AR593" s="35"/>
      <c r="AS593" s="612"/>
      <c r="AT593" s="21"/>
      <c r="AU593" s="6"/>
      <c r="AV593" s="35"/>
      <c r="AW593" s="234"/>
      <c r="AX593" s="234"/>
      <c r="AY593" s="395">
        <f>SUM(M593,AG593,BA593)-SUM(O593,AI593,BC593)-L593</f>
        <v>0</v>
      </c>
      <c r="AZ593" s="29">
        <f>AK593</f>
        <v>0</v>
      </c>
      <c r="BA593" s="5">
        <v>0</v>
      </c>
      <c r="BB593" s="7">
        <f>BA593-AZ593</f>
        <v>0</v>
      </c>
      <c r="BC593" s="258">
        <v>0</v>
      </c>
      <c r="BD593" s="242"/>
      <c r="BE593" s="35">
        <f>AZ593+BC593-BD593</f>
        <v>0</v>
      </c>
      <c r="BF593" s="121"/>
      <c r="BG593" s="6"/>
      <c r="BH593" s="35"/>
      <c r="BI593" s="612"/>
      <c r="BJ593" s="121"/>
      <c r="BK593" s="6"/>
      <c r="BL593" s="35"/>
      <c r="BM593" s="612"/>
      <c r="BN593" s="21"/>
      <c r="BO593" s="6"/>
      <c r="BP593" s="35"/>
      <c r="BQ593" s="234"/>
      <c r="BR593" s="234"/>
      <c r="BS593" s="395">
        <f>SUM(M593,AG593,BA593,BU593)-SUM(O593,AI593,BC593,BW593)-L593</f>
        <v>0</v>
      </c>
      <c r="BT593" s="29">
        <f>BE593</f>
        <v>0</v>
      </c>
      <c r="BU593" s="5">
        <v>0</v>
      </c>
      <c r="BV593" s="7">
        <f>BU593-BT593</f>
        <v>0</v>
      </c>
      <c r="BW593" s="258">
        <v>0</v>
      </c>
      <c r="BX593" s="242"/>
      <c r="BY593" s="35">
        <f>BT593+BW593-BX593</f>
        <v>0</v>
      </c>
      <c r="BZ593" s="121"/>
      <c r="CA593" s="6"/>
      <c r="CB593" s="35"/>
      <c r="CC593" s="612"/>
      <c r="CD593" s="121"/>
      <c r="CE593" s="6"/>
      <c r="CF593" s="35"/>
      <c r="CG593" s="612"/>
      <c r="CH593" s="21"/>
      <c r="CI593" s="6"/>
      <c r="CJ593" s="35"/>
      <c r="CK593" s="234"/>
      <c r="CL593" s="234"/>
      <c r="CM593" s="395">
        <f>SUM(M593,AG593,BA593,BU593,CO593)-SUM(O593,AI593,BC593,BW593,CQ593)-L593</f>
        <v>0</v>
      </c>
      <c r="CN593" s="29">
        <f>BY593</f>
        <v>0</v>
      </c>
      <c r="CO593" s="5">
        <v>0</v>
      </c>
      <c r="CP593" s="7">
        <f>CO593-CN593</f>
        <v>0</v>
      </c>
      <c r="CQ593" s="242"/>
      <c r="CR593" s="242"/>
      <c r="CS593" s="35">
        <f>CN593+CQ593-CR593</f>
        <v>0</v>
      </c>
      <c r="CT593" s="121"/>
      <c r="CU593" s="6"/>
      <c r="CV593" s="35"/>
      <c r="CW593" s="612"/>
      <c r="CX593" s="121"/>
      <c r="CY593" s="6"/>
      <c r="CZ593" s="35"/>
      <c r="DA593" s="612"/>
      <c r="DB593" s="21"/>
      <c r="DC593" s="6"/>
      <c r="DD593" s="35"/>
      <c r="DE593" s="234"/>
      <c r="DF593" s="234"/>
      <c r="DG593" s="395">
        <f>SUM(M593,AG593,BA593,BU593,DI593)-SUM(O593,AI593,BC593,BW593,CQ593)-L593</f>
        <v>0</v>
      </c>
      <c r="DH593" s="32">
        <f t="shared" si="1253"/>
        <v>0</v>
      </c>
      <c r="DI593" s="5">
        <v>0</v>
      </c>
      <c r="DJ593" s="7">
        <f>DI593-DH593</f>
        <v>0</v>
      </c>
      <c r="DK593" s="242"/>
      <c r="DL593" s="242"/>
      <c r="DM593" s="35">
        <f>DH593+DK593-DL593</f>
        <v>0</v>
      </c>
    </row>
    <row r="594" spans="1:117" ht="15.75" thickBot="1" x14ac:dyDescent="0.3">
      <c r="A594" s="18"/>
      <c r="B594" s="11" t="s">
        <v>497</v>
      </c>
      <c r="C594" s="18" t="s">
        <v>51</v>
      </c>
      <c r="D594" s="11" t="s">
        <v>137</v>
      </c>
      <c r="E594" s="11"/>
      <c r="F594" s="568">
        <v>606000</v>
      </c>
      <c r="G594" s="11" t="s">
        <v>217</v>
      </c>
      <c r="H594" s="25" t="s">
        <v>138</v>
      </c>
      <c r="I594" s="25"/>
      <c r="J594" s="530">
        <f>SUM(M594,AG594,BA594,BU594)-L594</f>
        <v>2</v>
      </c>
      <c r="K594" s="395">
        <f t="shared" si="1252"/>
        <v>0</v>
      </c>
      <c r="L594" s="29">
        <v>0</v>
      </c>
      <c r="M594" s="5">
        <v>0</v>
      </c>
      <c r="N594" s="7">
        <f>M594-L594</f>
        <v>0</v>
      </c>
      <c r="O594" s="258"/>
      <c r="P594" s="242"/>
      <c r="Q594" s="35">
        <f>L594+O594-P594</f>
        <v>0</v>
      </c>
      <c r="R594" s="21"/>
      <c r="S594" s="6"/>
      <c r="T594" s="35"/>
      <c r="U594" s="612"/>
      <c r="V594" s="121"/>
      <c r="W594" s="6"/>
      <c r="X594" s="35"/>
      <c r="Y594" s="612"/>
      <c r="Z594" s="21"/>
      <c r="AA594" s="6"/>
      <c r="AB594" s="35"/>
      <c r="AC594" s="234"/>
      <c r="AD594" s="234"/>
      <c r="AE594" s="395">
        <f>SUM(M594,AG594)-SUM(O594,AI594)-L594</f>
        <v>0</v>
      </c>
      <c r="AF594" s="29">
        <f>Q594</f>
        <v>0</v>
      </c>
      <c r="AG594" s="5">
        <v>0</v>
      </c>
      <c r="AH594" s="7">
        <f>AG594-AF594</f>
        <v>0</v>
      </c>
      <c r="AI594" s="31"/>
      <c r="AJ594" s="258"/>
      <c r="AK594" s="35">
        <f>AF594+AI594-AJ594</f>
        <v>0</v>
      </c>
      <c r="AL594" s="21"/>
      <c r="AM594" s="6"/>
      <c r="AN594" s="35"/>
      <c r="AO594" s="612"/>
      <c r="AP594" s="121"/>
      <c r="AQ594" s="6"/>
      <c r="AR594" s="35"/>
      <c r="AS594" s="612"/>
      <c r="AT594" s="21">
        <v>605660.4</v>
      </c>
      <c r="AU594" s="6"/>
      <c r="AV594" s="35" t="s">
        <v>778</v>
      </c>
      <c r="AW594" s="234"/>
      <c r="AX594" s="234"/>
      <c r="AY594" s="395">
        <f>SUM(M594,AG594,BA594)-SUM(O594,AI594,BC594)-L594</f>
        <v>-2</v>
      </c>
      <c r="AZ594" s="29">
        <f>AK594</f>
        <v>0</v>
      </c>
      <c r="BA594" s="5">
        <v>0</v>
      </c>
      <c r="BB594" s="7">
        <v>0</v>
      </c>
      <c r="BC594" s="240">
        <v>2</v>
      </c>
      <c r="BD594" s="242"/>
      <c r="BE594" s="35">
        <f>AZ594+BC594-BD594</f>
        <v>2</v>
      </c>
      <c r="BF594" s="21"/>
      <c r="BG594" s="6"/>
      <c r="BH594" s="35"/>
      <c r="BI594" s="612"/>
      <c r="BJ594" s="121"/>
      <c r="BN594" s="21"/>
      <c r="BO594" s="21">
        <v>605660.4</v>
      </c>
      <c r="BP594" s="35" t="s">
        <v>779</v>
      </c>
      <c r="BQ594" s="234"/>
      <c r="BR594" s="234"/>
      <c r="BS594" s="395">
        <f>SUM(M594,AG594,BA594,BU594)-SUM(O594,AI594,BC594,BW594)-L594</f>
        <v>-3</v>
      </c>
      <c r="BT594" s="29">
        <f>BE594</f>
        <v>2</v>
      </c>
      <c r="BU594" s="5">
        <f>1-1+2</f>
        <v>2</v>
      </c>
      <c r="BV594" s="7">
        <f>BU594-BT594</f>
        <v>0</v>
      </c>
      <c r="BW594" s="242">
        <v>3</v>
      </c>
      <c r="BX594" s="242">
        <f>1+1</f>
        <v>2</v>
      </c>
      <c r="BY594" s="35">
        <f>BT594+BW594-BX594</f>
        <v>3</v>
      </c>
      <c r="BZ594" s="21"/>
      <c r="CA594" s="6"/>
      <c r="CB594" s="35"/>
      <c r="CC594" s="612"/>
      <c r="CD594" s="21"/>
      <c r="CE594" s="6"/>
      <c r="CF594" s="35"/>
      <c r="CG594" s="612"/>
      <c r="CH594" s="21">
        <f>643817*3/2</f>
        <v>965725.5</v>
      </c>
      <c r="CI594" s="6"/>
      <c r="CJ594" s="35" t="s">
        <v>826</v>
      </c>
      <c r="CK594" s="234"/>
      <c r="CL594" s="234"/>
      <c r="CM594" s="395">
        <f>SUM(M594,AG594,BA594,BU594,CO594)-SUM(O594,AI594,BC594,BW594,CQ594)-L594</f>
        <v>-3</v>
      </c>
      <c r="CN594" s="29">
        <f>BY594</f>
        <v>3</v>
      </c>
      <c r="CO594" s="240">
        <v>0</v>
      </c>
      <c r="CP594" s="7">
        <f>CO594-CN594</f>
        <v>-3</v>
      </c>
      <c r="CQ594" s="242"/>
      <c r="CR594" s="242"/>
      <c r="CS594" s="35">
        <f>CN594+CQ594-CR594</f>
        <v>3</v>
      </c>
      <c r="CT594" s="21"/>
      <c r="CU594" s="6"/>
      <c r="CV594" s="35"/>
      <c r="CW594" s="612"/>
      <c r="CX594" s="121"/>
      <c r="CY594" s="21">
        <f>643817*3/2</f>
        <v>965725.5</v>
      </c>
      <c r="CZ594" s="35" t="s">
        <v>800</v>
      </c>
      <c r="DA594" s="612"/>
      <c r="DB594" s="21"/>
      <c r="DC594" s="6"/>
      <c r="DD594" s="35"/>
      <c r="DE594" s="234"/>
      <c r="DF594" s="234"/>
      <c r="DG594" s="395">
        <f>SUM(M594,AG594,BA594,BU594,DI594)-SUM(O594,AI594,BC594,BW594,CQ594)-L594</f>
        <v>-3</v>
      </c>
      <c r="DH594" s="32">
        <f t="shared" si="1253"/>
        <v>3</v>
      </c>
      <c r="DI594" s="240"/>
      <c r="DJ594" s="7">
        <f>DI594-DH594</f>
        <v>-3</v>
      </c>
      <c r="DK594" s="242"/>
      <c r="DL594" s="242"/>
      <c r="DM594" s="35">
        <f>DH594+DK594-DL594</f>
        <v>3</v>
      </c>
    </row>
    <row r="595" spans="1:117" ht="15.75" thickBot="1" x14ac:dyDescent="0.3">
      <c r="A595" s="19"/>
      <c r="B595" s="12" t="s">
        <v>498</v>
      </c>
      <c r="C595" s="19" t="s">
        <v>51</v>
      </c>
      <c r="D595" s="12" t="s">
        <v>137</v>
      </c>
      <c r="E595" s="12"/>
      <c r="F595" s="571">
        <v>27500</v>
      </c>
      <c r="G595" s="60" t="s">
        <v>646</v>
      </c>
      <c r="H595" s="28" t="s">
        <v>138</v>
      </c>
      <c r="I595" s="311"/>
      <c r="J595" s="533">
        <f>SUM(M595,AG595,BA595,BU595)-L595</f>
        <v>2</v>
      </c>
      <c r="K595" s="396">
        <f t="shared" si="1252"/>
        <v>0</v>
      </c>
      <c r="L595" s="30">
        <v>0</v>
      </c>
      <c r="M595" s="31">
        <v>0</v>
      </c>
      <c r="N595" s="31">
        <f>M595-L595</f>
        <v>0</v>
      </c>
      <c r="O595" s="284"/>
      <c r="P595" s="241"/>
      <c r="Q595" s="36">
        <f>L595+O595-P595</f>
        <v>0</v>
      </c>
      <c r="R595" s="200"/>
      <c r="S595" s="201"/>
      <c r="T595" s="36"/>
      <c r="U595" s="220"/>
      <c r="V595" s="200"/>
      <c r="W595" s="201"/>
      <c r="X595" s="36"/>
      <c r="Y595" s="220"/>
      <c r="Z595" s="122"/>
      <c r="AA595" s="201"/>
      <c r="AB595" s="36"/>
      <c r="AC595" s="297"/>
      <c r="AD595" s="297"/>
      <c r="AE595" s="396">
        <f>SUM(M595,AG595)-SUM(O595,AI595)-L595</f>
        <v>-2</v>
      </c>
      <c r="AF595" s="30">
        <f>Q595</f>
        <v>0</v>
      </c>
      <c r="AG595" s="31">
        <v>0</v>
      </c>
      <c r="AH595" s="31">
        <f>AG595-AF595</f>
        <v>0</v>
      </c>
      <c r="AI595" s="594">
        <v>2</v>
      </c>
      <c r="AJ595" s="284"/>
      <c r="AK595" s="36">
        <f>AF595+AI595-AJ595</f>
        <v>2</v>
      </c>
      <c r="AL595" s="200"/>
      <c r="AM595" s="600">
        <v>27500</v>
      </c>
      <c r="AN595" s="601" t="s">
        <v>772</v>
      </c>
      <c r="AO595" s="764"/>
      <c r="AP595" s="200"/>
      <c r="AQ595" s="201"/>
      <c r="AR595" s="36"/>
      <c r="AS595" s="220"/>
      <c r="AT595" s="122"/>
      <c r="AU595" s="595">
        <v>27500</v>
      </c>
      <c r="AV595" s="596" t="s">
        <v>772</v>
      </c>
      <c r="AW595" s="769"/>
      <c r="AX595" s="769"/>
      <c r="AY595" s="396">
        <f>SUM(M595,AG595,BA595)-SUM(O595,AI595,BC595)-L595</f>
        <v>-2</v>
      </c>
      <c r="AZ595" s="30">
        <f>AK595</f>
        <v>2</v>
      </c>
      <c r="BA595" s="31">
        <v>0</v>
      </c>
      <c r="BB595" s="31">
        <v>0</v>
      </c>
      <c r="BC595" s="284"/>
      <c r="BD595" s="241"/>
      <c r="BE595" s="36">
        <f>AZ595+BC595-BD595</f>
        <v>2</v>
      </c>
      <c r="BF595" s="200"/>
      <c r="BG595" s="201"/>
      <c r="BH595" s="36"/>
      <c r="BI595" s="220"/>
      <c r="BJ595" s="200"/>
      <c r="BK595" s="201"/>
      <c r="BL595" s="36"/>
      <c r="BM595" s="220"/>
      <c r="BN595" s="122"/>
      <c r="BO595" s="201"/>
      <c r="BP595" s="36"/>
      <c r="BQ595" s="297"/>
      <c r="BR595" s="297"/>
      <c r="BS595" s="396">
        <f>SUM(M595,AG595,BA595,BU595)-SUM(O595,AI595,BC595,BW595)-L595</f>
        <v>-3</v>
      </c>
      <c r="BT595" s="30">
        <f>BE595</f>
        <v>2</v>
      </c>
      <c r="BU595" s="31">
        <f>1-1+2</f>
        <v>2</v>
      </c>
      <c r="BV595" s="31">
        <f>BU595-BT595</f>
        <v>0</v>
      </c>
      <c r="BW595" s="622">
        <v>3</v>
      </c>
      <c r="BX595" s="241">
        <f>1+1</f>
        <v>2</v>
      </c>
      <c r="BY595" s="36">
        <f>BT595+BW595-BX595</f>
        <v>3</v>
      </c>
      <c r="BZ595" s="122"/>
      <c r="CA595" s="122"/>
      <c r="CB595" s="122"/>
      <c r="CC595" s="131"/>
      <c r="CD595" s="666">
        <v>41250</v>
      </c>
      <c r="CE595" s="670"/>
      <c r="CF595" s="664" t="s">
        <v>826</v>
      </c>
      <c r="CG595" s="772"/>
      <c r="CH595" s="122"/>
      <c r="CI595" s="201"/>
      <c r="CJ595" s="36"/>
      <c r="CK595" s="297"/>
      <c r="CL595" s="297"/>
      <c r="CM595" s="396">
        <f>SUM(M595,AG595,BA595,BU595,CO595)-SUM(O595,AI595,BC595,BW595,CQ595)-L595</f>
        <v>-3</v>
      </c>
      <c r="CN595" s="30">
        <f>BY595</f>
        <v>3</v>
      </c>
      <c r="CO595" s="241">
        <v>0</v>
      </c>
      <c r="CP595" s="31">
        <f>CO595-CN595</f>
        <v>-3</v>
      </c>
      <c r="CQ595" s="241"/>
      <c r="CR595" s="241"/>
      <c r="CS595" s="36">
        <f>CN595+CQ595-CR595</f>
        <v>3</v>
      </c>
      <c r="CT595" s="200"/>
      <c r="CU595" s="647">
        <v>41250</v>
      </c>
      <c r="CV595" s="648" t="s">
        <v>800</v>
      </c>
      <c r="CW595" s="798"/>
      <c r="CX595" s="200"/>
      <c r="CY595" s="201"/>
      <c r="CZ595" s="36"/>
      <c r="DA595" s="220"/>
      <c r="DB595" s="122"/>
      <c r="DC595" s="201"/>
      <c r="DD595" s="36"/>
      <c r="DE595" s="297"/>
      <c r="DF595" s="297"/>
      <c r="DG595" s="396">
        <f>SUM(M595,AG595,BA595,BU595,DI595)-SUM(O595,AI595,BC595,BW595,CQ595)-L595</f>
        <v>-3</v>
      </c>
      <c r="DH595" s="296">
        <f t="shared" si="1253"/>
        <v>3</v>
      </c>
      <c r="DI595" s="241"/>
      <c r="DJ595" s="31">
        <f>DI595-DH595</f>
        <v>-3</v>
      </c>
      <c r="DK595" s="241"/>
      <c r="DL595" s="241"/>
      <c r="DM595" s="36">
        <f>DH595+DK595-DL595</f>
        <v>3</v>
      </c>
    </row>
    <row r="596" spans="1:117" ht="15.75" thickBot="1" x14ac:dyDescent="0.3">
      <c r="P596" s="248"/>
      <c r="AJ596" s="248"/>
      <c r="BD596" s="248"/>
      <c r="BX596" s="248"/>
      <c r="CR596" s="248"/>
      <c r="DL596" s="248"/>
    </row>
    <row r="597" spans="1:117" ht="15.75" thickBot="1" x14ac:dyDescent="0.3">
      <c r="A597" s="95">
        <v>13268</v>
      </c>
      <c r="B597" s="590" t="s">
        <v>766</v>
      </c>
      <c r="C597" s="95"/>
      <c r="D597" s="93"/>
      <c r="E597" s="93"/>
      <c r="F597" s="340"/>
      <c r="G597" s="93"/>
      <c r="H597" s="96"/>
      <c r="I597" s="96"/>
      <c r="J597" s="96">
        <f>SUM(M597,AG597,BA597,BU597)</f>
        <v>0</v>
      </c>
      <c r="K597" s="95"/>
      <c r="L597" s="97"/>
      <c r="M597" s="98">
        <v>0</v>
      </c>
      <c r="N597" s="98"/>
      <c r="O597" s="98"/>
      <c r="P597" s="249"/>
      <c r="Q597" s="221"/>
      <c r="R597" s="124">
        <f>SUM(R598:R602)</f>
        <v>0</v>
      </c>
      <c r="S597" s="125">
        <f>SUM(S598:S602)</f>
        <v>0</v>
      </c>
      <c r="T597" s="99"/>
      <c r="U597" s="221"/>
      <c r="V597" s="124">
        <f>SUM(V598:V602)</f>
        <v>0</v>
      </c>
      <c r="W597" s="125">
        <f>SUM(W598:W602)</f>
        <v>0</v>
      </c>
      <c r="X597" s="99"/>
      <c r="Y597" s="221"/>
      <c r="Z597" s="124">
        <f>SUM(Z598:Z602)</f>
        <v>0</v>
      </c>
      <c r="AA597" s="125">
        <f>SUM(AA598:AA602)</f>
        <v>0</v>
      </c>
      <c r="AB597" s="99"/>
      <c r="AC597" s="237"/>
      <c r="AD597" s="237"/>
      <c r="AE597" s="95">
        <f>SUM(AG597,BA597,BU597)</f>
        <v>0</v>
      </c>
      <c r="AF597" s="97"/>
      <c r="AG597" s="98">
        <v>0</v>
      </c>
      <c r="AH597" s="98"/>
      <c r="AI597" s="98"/>
      <c r="AJ597" s="249"/>
      <c r="AK597" s="221"/>
      <c r="AL597" s="124">
        <f>SUM(AL598:AL602)</f>
        <v>0</v>
      </c>
      <c r="AM597" s="125">
        <f>SUM(AM598:AM602)</f>
        <v>0</v>
      </c>
      <c r="AN597" s="99"/>
      <c r="AO597" s="221"/>
      <c r="AP597" s="124">
        <f>SUM(AP598:AP602)</f>
        <v>0</v>
      </c>
      <c r="AQ597" s="125">
        <f>SUM(AQ598:AQ602)</f>
        <v>0</v>
      </c>
      <c r="AR597" s="99"/>
      <c r="AS597" s="221"/>
      <c r="AT597" s="124">
        <f>SUM(AT598:AT602)</f>
        <v>0</v>
      </c>
      <c r="AU597" s="125">
        <f>SUM(AU598:AU602)</f>
        <v>0</v>
      </c>
      <c r="AV597" s="99"/>
      <c r="AW597" s="237"/>
      <c r="AX597" s="237"/>
      <c r="AY597" s="95">
        <f>SUM(BA597,BU597)</f>
        <v>0</v>
      </c>
      <c r="AZ597" s="97"/>
      <c r="BA597" s="98">
        <v>0</v>
      </c>
      <c r="BB597" s="98"/>
      <c r="BC597" s="98"/>
      <c r="BD597" s="249"/>
      <c r="BE597" s="221"/>
      <c r="BF597" s="124">
        <f>SUM(BF598:BF602)</f>
        <v>0</v>
      </c>
      <c r="BG597" s="125">
        <f>SUM(BG598:BG602)</f>
        <v>0</v>
      </c>
      <c r="BH597" s="99"/>
      <c r="BI597" s="221"/>
      <c r="BJ597" s="124">
        <f>SUM(BJ598:BJ602)</f>
        <v>0</v>
      </c>
      <c r="BK597" s="125">
        <f>SUM(BK598:BK602)</f>
        <v>0</v>
      </c>
      <c r="BL597" s="99"/>
      <c r="BM597" s="221"/>
      <c r="BN597" s="124">
        <f>SUM(BN598:BN602)</f>
        <v>0</v>
      </c>
      <c r="BO597" s="125">
        <f>SUM(BO598:BO602)</f>
        <v>0</v>
      </c>
      <c r="BP597" s="99"/>
      <c r="BQ597" s="237"/>
      <c r="BR597" s="237"/>
      <c r="BS597" s="95">
        <f>BU597</f>
        <v>0</v>
      </c>
      <c r="BT597" s="97"/>
      <c r="BU597" s="98">
        <v>0</v>
      </c>
      <c r="BV597" s="98"/>
      <c r="BW597" s="98"/>
      <c r="BX597" s="249"/>
      <c r="BY597" s="221"/>
      <c r="BZ597" s="124">
        <f>SUM(BZ598:BZ602)</f>
        <v>0</v>
      </c>
      <c r="CA597" s="125">
        <f>SUM(CA598:CA602)</f>
        <v>0</v>
      </c>
      <c r="CB597" s="99"/>
      <c r="CC597" s="221"/>
      <c r="CD597" s="124">
        <f>SUM(CD598:CD602)</f>
        <v>0</v>
      </c>
      <c r="CE597" s="125">
        <f>SUM(CE598:CE602)</f>
        <v>0</v>
      </c>
      <c r="CF597" s="99"/>
      <c r="CG597" s="221"/>
      <c r="CH597" s="124">
        <f>SUM(CH598:CH602)</f>
        <v>0</v>
      </c>
      <c r="CI597" s="125">
        <f>SUM(CI598:CI602)</f>
        <v>0</v>
      </c>
      <c r="CJ597" s="99"/>
      <c r="CK597" s="237"/>
      <c r="CL597" s="237"/>
      <c r="CM597" s="95">
        <f>CO597</f>
        <v>0</v>
      </c>
      <c r="CN597" s="97"/>
      <c r="CO597" s="98">
        <v>0</v>
      </c>
      <c r="CP597" s="98"/>
      <c r="CQ597" s="98"/>
      <c r="CR597" s="249"/>
      <c r="CS597" s="237"/>
      <c r="CT597" s="124">
        <f>SUM(CT598:CT602)</f>
        <v>0</v>
      </c>
      <c r="CU597" s="125">
        <f>SUM(CU598:CU602)</f>
        <v>0</v>
      </c>
      <c r="CV597" s="99"/>
      <c r="CW597" s="221"/>
      <c r="CX597" s="124">
        <f>SUM(CX598:CX602)</f>
        <v>0</v>
      </c>
      <c r="CY597" s="125">
        <f>SUM(CY598:CY602)</f>
        <v>0</v>
      </c>
      <c r="CZ597" s="99"/>
      <c r="DA597" s="221"/>
      <c r="DB597" s="124">
        <f>SUM(DB598:DB602)</f>
        <v>0</v>
      </c>
      <c r="DC597" s="125">
        <f>SUM(DC598:DC602)</f>
        <v>0</v>
      </c>
      <c r="DD597" s="99"/>
      <c r="DE597" s="237"/>
      <c r="DF597" s="237"/>
      <c r="DG597" s="95">
        <f>DI597</f>
        <v>0</v>
      </c>
      <c r="DH597" s="97"/>
      <c r="DI597" s="98">
        <v>0</v>
      </c>
      <c r="DJ597" s="98"/>
      <c r="DK597" s="98"/>
      <c r="DL597" s="249"/>
      <c r="DM597" s="237"/>
    </row>
    <row r="598" spans="1:117" x14ac:dyDescent="0.25">
      <c r="A598" s="45"/>
      <c r="B598" s="44" t="s">
        <v>205</v>
      </c>
      <c r="C598" s="45">
        <v>1</v>
      </c>
      <c r="D598" s="44" t="s">
        <v>212</v>
      </c>
      <c r="E598" s="44"/>
      <c r="F598" s="342">
        <v>1178.3499999999999</v>
      </c>
      <c r="G598" s="44" t="s">
        <v>211</v>
      </c>
      <c r="H598" s="278" t="s">
        <v>55</v>
      </c>
      <c r="I598" s="382"/>
      <c r="J598" s="530">
        <f>SUM(M598,AG598,BA598,BU598)-L598</f>
        <v>-231</v>
      </c>
      <c r="K598" s="395">
        <f t="shared" ref="K598:K601" si="1254">M598-O598-L598</f>
        <v>-231</v>
      </c>
      <c r="L598" s="279">
        <v>231</v>
      </c>
      <c r="M598" s="306">
        <f>M597</f>
        <v>0</v>
      </c>
      <c r="N598" s="47">
        <f>M598-L598</f>
        <v>-231</v>
      </c>
      <c r="O598" s="285"/>
      <c r="P598" s="253"/>
      <c r="Q598" s="35">
        <f>L598+O598-P598</f>
        <v>231</v>
      </c>
      <c r="R598" s="288"/>
      <c r="S598" s="214"/>
      <c r="T598" s="48"/>
      <c r="U598" s="723"/>
      <c r="V598" s="214"/>
      <c r="W598" s="289"/>
      <c r="X598" s="48"/>
      <c r="Y598" s="287"/>
      <c r="Z598" s="132"/>
      <c r="AA598" s="289"/>
      <c r="AB598" s="48"/>
      <c r="AC598" s="234"/>
      <c r="AD598" s="234"/>
      <c r="AE598" s="395">
        <f>SUM(M598,AG598)-SUM(O598,AI598)-L598</f>
        <v>-231</v>
      </c>
      <c r="AF598" s="279">
        <f>Q598</f>
        <v>231</v>
      </c>
      <c r="AG598" s="306">
        <f>AG597</f>
        <v>0</v>
      </c>
      <c r="AH598" s="47">
        <f>AG598-AF598</f>
        <v>-231</v>
      </c>
      <c r="AI598" s="285"/>
      <c r="AJ598" s="253"/>
      <c r="AK598" s="35">
        <f>AF598+AI598-AJ598</f>
        <v>231</v>
      </c>
      <c r="AL598" s="288"/>
      <c r="AM598" s="214"/>
      <c r="AN598" s="48"/>
      <c r="AO598" s="723"/>
      <c r="AP598" s="214"/>
      <c r="AQ598" s="289"/>
      <c r="AR598" s="48"/>
      <c r="AS598" s="287"/>
      <c r="AT598" s="132"/>
      <c r="AU598" s="289"/>
      <c r="AV598" s="48"/>
      <c r="AW598" s="234"/>
      <c r="AX598" s="234"/>
      <c r="AY598" s="395">
        <f>SUM(M598,AG598,BA598)-SUM(O598,AI598,BC598)-L598</f>
        <v>-231</v>
      </c>
      <c r="AZ598" s="279">
        <f>AK598</f>
        <v>231</v>
      </c>
      <c r="BA598" s="306">
        <f>BA597</f>
        <v>0</v>
      </c>
      <c r="BB598" s="47">
        <f>BA598-AZ598</f>
        <v>-231</v>
      </c>
      <c r="BC598" s="285"/>
      <c r="BD598" s="253"/>
      <c r="BE598" s="35">
        <f>AZ598+BC598-BD598</f>
        <v>231</v>
      </c>
      <c r="BF598" s="288"/>
      <c r="BG598" s="214"/>
      <c r="BH598" s="48"/>
      <c r="BI598" s="723"/>
      <c r="BJ598" s="214"/>
      <c r="BK598" s="289"/>
      <c r="BL598" s="48"/>
      <c r="BM598" s="287"/>
      <c r="BN598" s="132"/>
      <c r="BO598" s="289"/>
      <c r="BP598" s="48"/>
      <c r="BQ598" s="234"/>
      <c r="BR598" s="234"/>
      <c r="BS598" s="395">
        <f>SUM(M598,AG598,BA598,BU598)-SUM(O598,AI598,BC598,BW598)-L598</f>
        <v>-231</v>
      </c>
      <c r="BT598" s="279">
        <f>BE598</f>
        <v>231</v>
      </c>
      <c r="BU598" s="306">
        <f>BU597</f>
        <v>0</v>
      </c>
      <c r="BV598" s="47">
        <f>BU598-BT598</f>
        <v>-231</v>
      </c>
      <c r="BW598" s="285"/>
      <c r="BX598" s="253"/>
      <c r="BY598" s="35">
        <f>BT598+BW598-BX598</f>
        <v>231</v>
      </c>
      <c r="BZ598" s="288"/>
      <c r="CA598" s="214"/>
      <c r="CB598" s="48"/>
      <c r="CC598" s="723"/>
      <c r="CD598" s="214"/>
      <c r="CE598" s="289"/>
      <c r="CF598" s="48"/>
      <c r="CG598" s="287"/>
      <c r="CH598" s="132"/>
      <c r="CI598" s="289"/>
      <c r="CJ598" s="48"/>
      <c r="CK598" s="234"/>
      <c r="CL598" s="234"/>
      <c r="CM598" s="395">
        <f>SUM(M598,AG598,BA598,BU598,CO598)-SUM(O598,AI598,BC598,BW598,CQ598)-L598</f>
        <v>-231</v>
      </c>
      <c r="CN598" s="279">
        <f>BY598</f>
        <v>231</v>
      </c>
      <c r="CO598" s="306">
        <f>CO597</f>
        <v>0</v>
      </c>
      <c r="CP598" s="47">
        <f>CO598-CN598</f>
        <v>-231</v>
      </c>
      <c r="CQ598" s="253"/>
      <c r="CR598" s="253"/>
      <c r="CS598" s="35">
        <f>CN598+CQ598-CR598</f>
        <v>231</v>
      </c>
      <c r="CT598" s="288"/>
      <c r="CU598" s="214"/>
      <c r="CV598" s="48"/>
      <c r="CW598" s="723"/>
      <c r="CX598" s="214"/>
      <c r="CY598" s="289"/>
      <c r="CZ598" s="48"/>
      <c r="DA598" s="287"/>
      <c r="DB598" s="132"/>
      <c r="DC598" s="289"/>
      <c r="DD598" s="48"/>
      <c r="DE598" s="234"/>
      <c r="DF598" s="234"/>
      <c r="DG598" s="395"/>
      <c r="DH598" s="32">
        <f t="shared" ref="DH598:DH602" si="1255">BY598</f>
        <v>231</v>
      </c>
      <c r="DI598" s="306">
        <f>DI597</f>
        <v>0</v>
      </c>
      <c r="DJ598" s="47">
        <f>DI598-DH598</f>
        <v>-231</v>
      </c>
      <c r="DK598" s="253"/>
      <c r="DL598" s="253"/>
      <c r="DM598" s="35">
        <f>DH598+DK598-DL598</f>
        <v>231</v>
      </c>
    </row>
    <row r="599" spans="1:117" ht="30" x14ac:dyDescent="0.25">
      <c r="A599" s="18"/>
      <c r="B599" s="11" t="s">
        <v>286</v>
      </c>
      <c r="C599" s="18">
        <v>1</v>
      </c>
      <c r="D599" s="274" t="s">
        <v>213</v>
      </c>
      <c r="E599" s="274"/>
      <c r="F599" s="149">
        <v>43</v>
      </c>
      <c r="G599" s="381" t="s">
        <v>334</v>
      </c>
      <c r="H599" s="25" t="s">
        <v>77</v>
      </c>
      <c r="I599" s="25"/>
      <c r="J599" s="530">
        <f>SUM(M599,AG599,BA599,BU599)-L599</f>
        <v>-247</v>
      </c>
      <c r="K599" s="395">
        <f t="shared" si="1254"/>
        <v>-247</v>
      </c>
      <c r="L599" s="29">
        <v>247</v>
      </c>
      <c r="M599" s="298">
        <f>M597</f>
        <v>0</v>
      </c>
      <c r="N599" s="5">
        <f>M599-L599</f>
        <v>-247</v>
      </c>
      <c r="O599" s="256"/>
      <c r="P599" s="240"/>
      <c r="Q599" s="35">
        <f>L599+O599-P599</f>
        <v>247</v>
      </c>
      <c r="R599" s="121"/>
      <c r="S599" s="6"/>
      <c r="T599" s="35"/>
      <c r="U599" s="612"/>
      <c r="V599" s="121"/>
      <c r="W599" s="6"/>
      <c r="X599" s="35"/>
      <c r="Y599" s="612"/>
      <c r="Z599" s="21"/>
      <c r="AA599" s="6"/>
      <c r="AB599" s="35"/>
      <c r="AC599" s="234"/>
      <c r="AD599" s="234"/>
      <c r="AE599" s="395">
        <f>SUM(M599,AG599)-SUM(O599,AI599)-L599</f>
        <v>-247</v>
      </c>
      <c r="AF599" s="29">
        <f>Q599</f>
        <v>247</v>
      </c>
      <c r="AG599" s="298">
        <f>AG597</f>
        <v>0</v>
      </c>
      <c r="AH599" s="5">
        <f>AG599-AF599</f>
        <v>-247</v>
      </c>
      <c r="AI599" s="256"/>
      <c r="AJ599" s="240"/>
      <c r="AK599" s="35">
        <f>AF599+AI599-AJ599</f>
        <v>247</v>
      </c>
      <c r="AL599" s="121"/>
      <c r="AM599" s="6"/>
      <c r="AN599" s="35"/>
      <c r="AO599" s="612"/>
      <c r="AP599" s="121"/>
      <c r="AQ599" s="6"/>
      <c r="AR599" s="35"/>
      <c r="AS599" s="612"/>
      <c r="AT599" s="21"/>
      <c r="AU599" s="6"/>
      <c r="AV599" s="35"/>
      <c r="AW599" s="234"/>
      <c r="AX599" s="234"/>
      <c r="AY599" s="395">
        <f>SUM(M599,AG599,BA599)-SUM(O599,AI599,BC599)-L599</f>
        <v>-247</v>
      </c>
      <c r="AZ599" s="29">
        <f>AK599</f>
        <v>247</v>
      </c>
      <c r="BA599" s="298">
        <f>BA597</f>
        <v>0</v>
      </c>
      <c r="BB599" s="5">
        <f>BA599-AZ599</f>
        <v>-247</v>
      </c>
      <c r="BC599" s="256"/>
      <c r="BD599" s="240"/>
      <c r="BE599" s="35">
        <f>AZ599+BC599-BD599</f>
        <v>247</v>
      </c>
      <c r="BF599" s="121"/>
      <c r="BG599" s="6"/>
      <c r="BH599" s="35"/>
      <c r="BI599" s="612"/>
      <c r="BJ599" s="121"/>
      <c r="BK599" s="6"/>
      <c r="BL599" s="35"/>
      <c r="BM599" s="612"/>
      <c r="BN599" s="21"/>
      <c r="BO599" s="6"/>
      <c r="BP599" s="35"/>
      <c r="BQ599" s="234"/>
      <c r="BR599" s="234"/>
      <c r="BS599" s="395">
        <f>SUM(M599,AG599,BA599,BU599)-SUM(O599,AI599,BC599,BW599)-L599</f>
        <v>-247</v>
      </c>
      <c r="BT599" s="29">
        <f>BE599</f>
        <v>247</v>
      </c>
      <c r="BU599" s="298">
        <f>BU597</f>
        <v>0</v>
      </c>
      <c r="BV599" s="5">
        <f>BU599-BT599</f>
        <v>-247</v>
      </c>
      <c r="BW599" s="256"/>
      <c r="BX599" s="240"/>
      <c r="BY599" s="35">
        <f>BT599+BW599-BX599</f>
        <v>247</v>
      </c>
      <c r="BZ599" s="121"/>
      <c r="CA599" s="6"/>
      <c r="CB599" s="35"/>
      <c r="CC599" s="612"/>
      <c r="CD599" s="121"/>
      <c r="CE599" s="6"/>
      <c r="CF599" s="35"/>
      <c r="CG599" s="612"/>
      <c r="CH599" s="21"/>
      <c r="CI599" s="6"/>
      <c r="CJ599" s="35"/>
      <c r="CK599" s="234"/>
      <c r="CL599" s="234"/>
      <c r="CM599" s="395">
        <f>SUM(M599,AG599,BA599,BU599,CO599)-SUM(O599,AI599,BC599,BW599,CQ599)-L599</f>
        <v>-247</v>
      </c>
      <c r="CN599" s="29">
        <f>BY599</f>
        <v>247</v>
      </c>
      <c r="CO599" s="298">
        <f>CO597</f>
        <v>0</v>
      </c>
      <c r="CP599" s="5">
        <f>CO599-CN599</f>
        <v>-247</v>
      </c>
      <c r="CQ599" s="240"/>
      <c r="CR599" s="240"/>
      <c r="CS599" s="35">
        <f>CN599+CQ599-CR599</f>
        <v>247</v>
      </c>
      <c r="CT599" s="121"/>
      <c r="CU599" s="6"/>
      <c r="CV599" s="35"/>
      <c r="CW599" s="612"/>
      <c r="CX599" s="121"/>
      <c r="CY599" s="6"/>
      <c r="CZ599" s="35"/>
      <c r="DA599" s="612"/>
      <c r="DB599" s="21"/>
      <c r="DC599" s="6"/>
      <c r="DD599" s="35"/>
      <c r="DE599" s="234"/>
      <c r="DF599" s="234"/>
      <c r="DG599" s="395"/>
      <c r="DH599" s="32">
        <f t="shared" si="1255"/>
        <v>247</v>
      </c>
      <c r="DI599" s="298">
        <f>DI597</f>
        <v>0</v>
      </c>
      <c r="DJ599" s="5">
        <f>DI599-DH599</f>
        <v>-247</v>
      </c>
      <c r="DK599" s="240"/>
      <c r="DL599" s="240"/>
      <c r="DM599" s="35">
        <f>DH599+DK599-DL599</f>
        <v>247</v>
      </c>
    </row>
    <row r="600" spans="1:117" x14ac:dyDescent="0.25">
      <c r="A600" s="75"/>
      <c r="B600" s="74" t="s">
        <v>210</v>
      </c>
      <c r="C600" s="75">
        <v>1</v>
      </c>
      <c r="D600" s="74" t="s">
        <v>212</v>
      </c>
      <c r="E600" s="74"/>
      <c r="F600" s="275">
        <v>23.18</v>
      </c>
      <c r="G600" s="381" t="s">
        <v>334</v>
      </c>
      <c r="H600" s="25" t="s">
        <v>77</v>
      </c>
      <c r="I600" s="25"/>
      <c r="J600" s="530">
        <f>SUM(M600,AG600,BA600,BU600)-L600</f>
        <v>-273</v>
      </c>
      <c r="K600" s="395">
        <f t="shared" si="1254"/>
        <v>-273</v>
      </c>
      <c r="L600" s="29">
        <v>273</v>
      </c>
      <c r="M600" s="299">
        <f>M597</f>
        <v>0</v>
      </c>
      <c r="N600" s="78">
        <f>M600-L600</f>
        <v>-273</v>
      </c>
      <c r="O600" s="277"/>
      <c r="P600" s="244"/>
      <c r="Q600" s="35">
        <f>L600+O600-P600</f>
        <v>273</v>
      </c>
      <c r="R600" s="129"/>
      <c r="S600" s="130"/>
      <c r="T600" s="79"/>
      <c r="U600" s="712"/>
      <c r="V600" s="129"/>
      <c r="W600" s="130"/>
      <c r="X600" s="79"/>
      <c r="Y600" s="712"/>
      <c r="Z600" s="131"/>
      <c r="AA600" s="130"/>
      <c r="AB600" s="79"/>
      <c r="AC600" s="619"/>
      <c r="AD600" s="619"/>
      <c r="AE600" s="395">
        <f>SUM(M600,AG600)-SUM(O600,AI600)-L600</f>
        <v>-273</v>
      </c>
      <c r="AF600" s="29">
        <f>Q600</f>
        <v>273</v>
      </c>
      <c r="AG600" s="299">
        <f>AG597</f>
        <v>0</v>
      </c>
      <c r="AH600" s="78">
        <f>AG600-AF600</f>
        <v>-273</v>
      </c>
      <c r="AI600" s="277"/>
      <c r="AJ600" s="244"/>
      <c r="AK600" s="35">
        <f>AF600+AI600-AJ600</f>
        <v>273</v>
      </c>
      <c r="AL600" s="129"/>
      <c r="AM600" s="130"/>
      <c r="AN600" s="79"/>
      <c r="AO600" s="712"/>
      <c r="AP600" s="129"/>
      <c r="AQ600" s="130"/>
      <c r="AR600" s="79"/>
      <c r="AS600" s="712"/>
      <c r="AT600" s="131"/>
      <c r="AU600" s="130"/>
      <c r="AV600" s="79"/>
      <c r="AW600" s="619"/>
      <c r="AX600" s="619"/>
      <c r="AY600" s="395">
        <f>SUM(M600,AG600,BA600)-SUM(O600,AI600,BC600)-L600</f>
        <v>-273</v>
      </c>
      <c r="AZ600" s="29">
        <f>AK600</f>
        <v>273</v>
      </c>
      <c r="BA600" s="299">
        <f>BA597</f>
        <v>0</v>
      </c>
      <c r="BB600" s="78">
        <f>BA600-AZ600</f>
        <v>-273</v>
      </c>
      <c r="BC600" s="277"/>
      <c r="BD600" s="244"/>
      <c r="BE600" s="35">
        <f>AZ600+BC600-BD600</f>
        <v>273</v>
      </c>
      <c r="BF600" s="129"/>
      <c r="BG600" s="130"/>
      <c r="BH600" s="79"/>
      <c r="BI600" s="712"/>
      <c r="BJ600" s="129"/>
      <c r="BK600" s="130"/>
      <c r="BL600" s="79"/>
      <c r="BM600" s="712"/>
      <c r="BN600" s="131"/>
      <c r="BO600" s="130"/>
      <c r="BP600" s="79"/>
      <c r="BQ600" s="619"/>
      <c r="BR600" s="619"/>
      <c r="BS600" s="395">
        <f>SUM(M600,AG600,BA600,BU600)-SUM(O600,AI600,BC600,BW600)-L600</f>
        <v>-273</v>
      </c>
      <c r="BT600" s="29">
        <f>BE600</f>
        <v>273</v>
      </c>
      <c r="BU600" s="299">
        <f>BU597</f>
        <v>0</v>
      </c>
      <c r="BV600" s="78">
        <f>BU600-BT600</f>
        <v>-273</v>
      </c>
      <c r="BW600" s="277"/>
      <c r="BX600" s="244"/>
      <c r="BY600" s="35">
        <f>BT600+BW600-BX600</f>
        <v>273</v>
      </c>
      <c r="BZ600" s="129"/>
      <c r="CA600" s="130"/>
      <c r="CB600" s="79"/>
      <c r="CC600" s="712"/>
      <c r="CD600" s="129"/>
      <c r="CE600" s="130"/>
      <c r="CF600" s="79"/>
      <c r="CG600" s="712"/>
      <c r="CH600" s="131"/>
      <c r="CI600" s="130"/>
      <c r="CJ600" s="79"/>
      <c r="CK600" s="619"/>
      <c r="CL600" s="619"/>
      <c r="CM600" s="395">
        <f>SUM(M600,AG600,BA600,BU600,CO600)-SUM(O600,AI600,BC600,BW600,CQ600)-L600</f>
        <v>-273</v>
      </c>
      <c r="CN600" s="29">
        <f>BY600</f>
        <v>273</v>
      </c>
      <c r="CO600" s="299">
        <f>CO597</f>
        <v>0</v>
      </c>
      <c r="CP600" s="78">
        <f>CO600-CN600</f>
        <v>-273</v>
      </c>
      <c r="CQ600" s="244"/>
      <c r="CR600" s="244"/>
      <c r="CS600" s="35">
        <f>CN600+CQ600-CR600</f>
        <v>273</v>
      </c>
      <c r="CT600" s="129"/>
      <c r="CU600" s="130"/>
      <c r="CV600" s="79"/>
      <c r="CW600" s="712"/>
      <c r="CX600" s="129"/>
      <c r="CY600" s="130"/>
      <c r="CZ600" s="79"/>
      <c r="DA600" s="712"/>
      <c r="DB600" s="131"/>
      <c r="DC600" s="130"/>
      <c r="DD600" s="79"/>
      <c r="DE600" s="619"/>
      <c r="DF600" s="619"/>
      <c r="DG600" s="395"/>
      <c r="DH600" s="32">
        <f t="shared" si="1255"/>
        <v>273</v>
      </c>
      <c r="DI600" s="299">
        <f>DI597</f>
        <v>0</v>
      </c>
      <c r="DJ600" s="78">
        <f>DI600-DH600</f>
        <v>-273</v>
      </c>
      <c r="DK600" s="244"/>
      <c r="DL600" s="244"/>
      <c r="DM600" s="35">
        <f>DH600+DK600-DL600</f>
        <v>273</v>
      </c>
    </row>
    <row r="601" spans="1:117" x14ac:dyDescent="0.25">
      <c r="A601" s="75"/>
      <c r="B601" s="74" t="s">
        <v>224</v>
      </c>
      <c r="C601" s="75">
        <v>1</v>
      </c>
      <c r="D601" s="74"/>
      <c r="E601" s="74"/>
      <c r="F601" s="275">
        <v>4.8</v>
      </c>
      <c r="G601" s="453"/>
      <c r="H601" s="77"/>
      <c r="I601" s="77"/>
      <c r="J601" s="530">
        <f>SUM(M601,AG601,BA601,BU601)-L601</f>
        <v>0</v>
      </c>
      <c r="K601" s="395">
        <f t="shared" si="1254"/>
        <v>0</v>
      </c>
      <c r="L601" s="29">
        <v>0</v>
      </c>
      <c r="M601" s="299">
        <f>M597</f>
        <v>0</v>
      </c>
      <c r="N601" s="78">
        <f>M601-L601</f>
        <v>0</v>
      </c>
      <c r="O601" s="277"/>
      <c r="P601" s="244"/>
      <c r="Q601" s="79"/>
      <c r="R601" s="129"/>
      <c r="S601" s="130"/>
      <c r="T601" s="79"/>
      <c r="U601" s="712"/>
      <c r="V601" s="129"/>
      <c r="W601" s="130"/>
      <c r="X601" s="79"/>
      <c r="Y601" s="712"/>
      <c r="Z601" s="131"/>
      <c r="AA601" s="130"/>
      <c r="AB601" s="79"/>
      <c r="AC601" s="619"/>
      <c r="AD601" s="619"/>
      <c r="AE601" s="395">
        <f>SUM(M601,AG601)-SUM(O601,AI601)-L601</f>
        <v>0</v>
      </c>
      <c r="AF601" s="29">
        <f>Q601</f>
        <v>0</v>
      </c>
      <c r="AG601" s="299">
        <f>AG597</f>
        <v>0</v>
      </c>
      <c r="AH601" s="78">
        <f>AG601-AF601</f>
        <v>0</v>
      </c>
      <c r="AI601" s="277"/>
      <c r="AJ601" s="244"/>
      <c r="AK601" s="79"/>
      <c r="AL601" s="129"/>
      <c r="AM601" s="130"/>
      <c r="AN601" s="79"/>
      <c r="AO601" s="712"/>
      <c r="AP601" s="129"/>
      <c r="AQ601" s="130"/>
      <c r="AR601" s="79"/>
      <c r="AS601" s="712"/>
      <c r="AT601" s="131"/>
      <c r="AU601" s="130"/>
      <c r="AV601" s="79"/>
      <c r="AW601" s="619"/>
      <c r="AX601" s="619"/>
      <c r="AY601" s="395">
        <f>SUM(M601,AG601,BA601)-SUM(O601,AI601,BC601)-L601</f>
        <v>0</v>
      </c>
      <c r="AZ601" s="29">
        <f>AK601</f>
        <v>0</v>
      </c>
      <c r="BA601" s="299">
        <f>BA597</f>
        <v>0</v>
      </c>
      <c r="BB601" s="78">
        <f>BA601-AZ601</f>
        <v>0</v>
      </c>
      <c r="BC601" s="277"/>
      <c r="BD601" s="244"/>
      <c r="BE601" s="79"/>
      <c r="BF601" s="129"/>
      <c r="BG601" s="130"/>
      <c r="BH601" s="79"/>
      <c r="BI601" s="712"/>
      <c r="BJ601" s="129"/>
      <c r="BK601" s="130"/>
      <c r="BL601" s="79"/>
      <c r="BM601" s="712"/>
      <c r="BN601" s="131"/>
      <c r="BO601" s="130"/>
      <c r="BP601" s="79"/>
      <c r="BQ601" s="619"/>
      <c r="BR601" s="619"/>
      <c r="BS601" s="395">
        <f>SUM(M601,AG601,BA601,BU601)-SUM(O601,AI601,BC601,BW601)-L601</f>
        <v>0</v>
      </c>
      <c r="BT601" s="29">
        <f>BE601</f>
        <v>0</v>
      </c>
      <c r="BU601" s="299">
        <f>BU597</f>
        <v>0</v>
      </c>
      <c r="BV601" s="78">
        <f>BU601-BT601</f>
        <v>0</v>
      </c>
      <c r="BW601" s="277"/>
      <c r="BX601" s="244"/>
      <c r="BY601" s="79"/>
      <c r="BZ601" s="129"/>
      <c r="CA601" s="130"/>
      <c r="CB601" s="79"/>
      <c r="CC601" s="712"/>
      <c r="CD601" s="129"/>
      <c r="CE601" s="130"/>
      <c r="CF601" s="79"/>
      <c r="CG601" s="712"/>
      <c r="CH601" s="131"/>
      <c r="CI601" s="130"/>
      <c r="CJ601" s="79"/>
      <c r="CK601" s="619"/>
      <c r="CL601" s="619"/>
      <c r="CM601" s="395">
        <f>SUM(M601,AG601,BA601,BU601,CO601)-SUM(O601,AI601,BC601,BW601,CQ601)-L601</f>
        <v>0</v>
      </c>
      <c r="CN601" s="29">
        <f>BY601</f>
        <v>0</v>
      </c>
      <c r="CO601" s="299">
        <f>CO597</f>
        <v>0</v>
      </c>
      <c r="CP601" s="78">
        <f>CO601-CN601</f>
        <v>0</v>
      </c>
      <c r="CQ601" s="244"/>
      <c r="CR601" s="244"/>
      <c r="CS601" s="79"/>
      <c r="CT601" s="129"/>
      <c r="CU601" s="130"/>
      <c r="CV601" s="79"/>
      <c r="CW601" s="712"/>
      <c r="CX601" s="129"/>
      <c r="CY601" s="130"/>
      <c r="CZ601" s="79"/>
      <c r="DA601" s="712"/>
      <c r="DB601" s="131"/>
      <c r="DC601" s="130"/>
      <c r="DD601" s="79"/>
      <c r="DE601" s="619"/>
      <c r="DF601" s="619"/>
      <c r="DG601" s="395"/>
      <c r="DH601" s="32">
        <f t="shared" si="1255"/>
        <v>0</v>
      </c>
      <c r="DI601" s="299">
        <f>DI597</f>
        <v>0</v>
      </c>
      <c r="DJ601" s="78">
        <f>DI601-DH601</f>
        <v>0</v>
      </c>
      <c r="DK601" s="244"/>
      <c r="DL601" s="244"/>
      <c r="DM601" s="79"/>
    </row>
    <row r="602" spans="1:117" ht="15.75" thickBot="1" x14ac:dyDescent="0.3">
      <c r="A602" s="19"/>
      <c r="B602" s="12" t="s">
        <v>215</v>
      </c>
      <c r="C602" s="19"/>
      <c r="D602" s="12"/>
      <c r="E602" s="12"/>
      <c r="F602" s="146"/>
      <c r="G602" s="12"/>
      <c r="H602" s="28"/>
      <c r="I602" s="28"/>
      <c r="J602" s="28"/>
      <c r="K602" s="19"/>
      <c r="L602" s="30">
        <v>0</v>
      </c>
      <c r="M602" s="31"/>
      <c r="N602" s="31"/>
      <c r="O602" s="31"/>
      <c r="P602" s="241"/>
      <c r="Q602" s="36">
        <f>L602+O602-P602</f>
        <v>0</v>
      </c>
      <c r="R602" s="200"/>
      <c r="S602" s="201"/>
      <c r="T602" s="36"/>
      <c r="U602" s="220"/>
      <c r="V602" s="200"/>
      <c r="W602" s="201"/>
      <c r="X602" s="36"/>
      <c r="Y602" s="220"/>
      <c r="Z602" s="122"/>
      <c r="AA602" s="201"/>
      <c r="AB602" s="36"/>
      <c r="AC602" s="232"/>
      <c r="AD602" s="232"/>
      <c r="AE602" s="19"/>
      <c r="AF602" s="30">
        <f>Q602</f>
        <v>0</v>
      </c>
      <c r="AG602" s="31"/>
      <c r="AH602" s="31"/>
      <c r="AI602" s="31"/>
      <c r="AJ602" s="241"/>
      <c r="AK602" s="36">
        <f>AF602+AI602-AJ602</f>
        <v>0</v>
      </c>
      <c r="AL602" s="200"/>
      <c r="AM602" s="201"/>
      <c r="AN602" s="36"/>
      <c r="AO602" s="220"/>
      <c r="AP602" s="200"/>
      <c r="AQ602" s="201"/>
      <c r="AR602" s="36"/>
      <c r="AS602" s="220"/>
      <c r="AT602" s="122"/>
      <c r="AU602" s="201"/>
      <c r="AV602" s="36"/>
      <c r="AW602" s="232"/>
      <c r="AX602" s="232"/>
      <c r="AY602" s="19"/>
      <c r="AZ602" s="30">
        <f>AK602</f>
        <v>0</v>
      </c>
      <c r="BA602" s="31"/>
      <c r="BB602" s="31"/>
      <c r="BC602" s="31"/>
      <c r="BD602" s="241"/>
      <c r="BE602" s="36">
        <f>AZ602+BC602-BD602</f>
        <v>0</v>
      </c>
      <c r="BF602" s="200"/>
      <c r="BG602" s="201"/>
      <c r="BH602" s="36"/>
      <c r="BI602" s="220"/>
      <c r="BJ602" s="200"/>
      <c r="BK602" s="201"/>
      <c r="BL602" s="36"/>
      <c r="BM602" s="220"/>
      <c r="BN602" s="122"/>
      <c r="BO602" s="201"/>
      <c r="BP602" s="36"/>
      <c r="BQ602" s="232"/>
      <c r="BR602" s="232"/>
      <c r="BS602" s="19"/>
      <c r="BT602" s="30">
        <f>BE602</f>
        <v>0</v>
      </c>
      <c r="BU602" s="31"/>
      <c r="BV602" s="31"/>
      <c r="BW602" s="31"/>
      <c r="BX602" s="241"/>
      <c r="BY602" s="36">
        <f>BT602+BW602-BX602</f>
        <v>0</v>
      </c>
      <c r="BZ602" s="200"/>
      <c r="CA602" s="201"/>
      <c r="CB602" s="36"/>
      <c r="CC602" s="220"/>
      <c r="CD602" s="200"/>
      <c r="CE602" s="201"/>
      <c r="CF602" s="36"/>
      <c r="CG602" s="220"/>
      <c r="CH602" s="122"/>
      <c r="CI602" s="201"/>
      <c r="CJ602" s="36"/>
      <c r="CK602" s="232"/>
      <c r="CL602" s="232"/>
      <c r="CM602" s="19"/>
      <c r="CN602" s="30">
        <f>BY602</f>
        <v>0</v>
      </c>
      <c r="CO602" s="31"/>
      <c r="CP602" s="31"/>
      <c r="CQ602" s="31"/>
      <c r="CR602" s="241"/>
      <c r="CS602" s="36">
        <f>CN602+CQ602-CR602</f>
        <v>0</v>
      </c>
      <c r="CT602" s="200"/>
      <c r="CU602" s="201"/>
      <c r="CV602" s="36"/>
      <c r="CW602" s="220"/>
      <c r="CX602" s="200"/>
      <c r="CY602" s="201"/>
      <c r="CZ602" s="36"/>
      <c r="DA602" s="220"/>
      <c r="DB602" s="122"/>
      <c r="DC602" s="201"/>
      <c r="DD602" s="36"/>
      <c r="DE602" s="232"/>
      <c r="DF602" s="232"/>
      <c r="DG602" s="19"/>
      <c r="DH602" s="296">
        <f t="shared" si="1255"/>
        <v>0</v>
      </c>
      <c r="DI602" s="31"/>
      <c r="DJ602" s="31"/>
      <c r="DK602" s="31"/>
      <c r="DL602" s="241"/>
      <c r="DM602" s="36">
        <f>DH602+DK602-DL602</f>
        <v>0</v>
      </c>
    </row>
    <row r="603" spans="1:117" ht="15.75" thickBot="1" x14ac:dyDescent="0.3">
      <c r="P603" s="248"/>
      <c r="AJ603" s="248"/>
      <c r="BD603" s="248"/>
      <c r="BX603" s="248"/>
      <c r="CR603" s="248"/>
      <c r="DL603" s="248"/>
    </row>
    <row r="604" spans="1:117" ht="15.75" thickBot="1" x14ac:dyDescent="0.3">
      <c r="A604" s="487"/>
      <c r="B604" s="488" t="s">
        <v>485</v>
      </c>
      <c r="C604" s="487"/>
      <c r="D604" s="489"/>
      <c r="E604" s="489"/>
      <c r="F604" s="490"/>
      <c r="G604" s="489"/>
      <c r="H604" s="392"/>
      <c r="I604" s="392"/>
      <c r="J604" s="487"/>
      <c r="K604" s="487"/>
      <c r="L604" s="491"/>
      <c r="M604" s="492"/>
      <c r="N604" s="492"/>
      <c r="O604" s="493"/>
      <c r="P604" s="494"/>
      <c r="Q604" s="495"/>
      <c r="R604" s="496">
        <f>SUM(R605:R631)</f>
        <v>0</v>
      </c>
      <c r="S604" s="497">
        <f>SUM(S605:S631)</f>
        <v>0</v>
      </c>
      <c r="T604" s="495"/>
      <c r="U604" s="389"/>
      <c r="V604" s="496">
        <f>SUM(V605:V631)</f>
        <v>121485.6</v>
      </c>
      <c r="W604" s="497">
        <f>SUM(W605:W631)</f>
        <v>0</v>
      </c>
      <c r="X604" s="495"/>
      <c r="Y604" s="389"/>
      <c r="Z604" s="496">
        <f>SUM(Z605:Z631)</f>
        <v>0</v>
      </c>
      <c r="AA604" s="497">
        <f>SUM(AA605:AA631)</f>
        <v>0</v>
      </c>
      <c r="AB604" s="495"/>
      <c r="AC604" s="674"/>
      <c r="AD604" s="674"/>
      <c r="AE604" s="487"/>
      <c r="AF604" s="491"/>
      <c r="AG604" s="492"/>
      <c r="AH604" s="492"/>
      <c r="AI604" s="493"/>
      <c r="AJ604" s="494"/>
      <c r="AK604" s="495"/>
      <c r="AL604" s="496">
        <f>SUM(AL605:AL631)</f>
        <v>0</v>
      </c>
      <c r="AM604" s="497">
        <f>SUM(AM605:AM631)</f>
        <v>0</v>
      </c>
      <c r="AN604" s="495"/>
      <c r="AO604" s="389"/>
      <c r="AP604" s="496">
        <f>SUM(AP605:AP631)</f>
        <v>0</v>
      </c>
      <c r="AQ604" s="497">
        <f>SUM(AQ605:AQ631)</f>
        <v>0</v>
      </c>
      <c r="AR604" s="495"/>
      <c r="AS604" s="389"/>
      <c r="AT604" s="496">
        <f>SUM(AT605:AT631)</f>
        <v>0</v>
      </c>
      <c r="AU604" s="497">
        <f>SUM(AU605:AU631)</f>
        <v>0</v>
      </c>
      <c r="AV604" s="495"/>
      <c r="AW604" s="674"/>
      <c r="AX604" s="674"/>
      <c r="AY604" s="487"/>
      <c r="AZ604" s="491"/>
      <c r="BA604" s="492"/>
      <c r="BB604" s="492"/>
      <c r="BC604" s="493"/>
      <c r="BD604" s="494"/>
      <c r="BE604" s="495"/>
      <c r="BF604" s="496">
        <f>SUM(BF605:BF631)</f>
        <v>0</v>
      </c>
      <c r="BG604" s="497">
        <f>SUM(BG605:BG631)</f>
        <v>0</v>
      </c>
      <c r="BH604" s="495"/>
      <c r="BI604" s="389"/>
      <c r="BJ604" s="496">
        <f>SUM(BJ605:BJ631)</f>
        <v>0</v>
      </c>
      <c r="BK604" s="497">
        <f>SUM(BK605:BK631)</f>
        <v>182228.4</v>
      </c>
      <c r="BL604" s="495"/>
      <c r="BM604" s="389"/>
      <c r="BN604" s="496">
        <f>SUM(BN605:BN631)</f>
        <v>0</v>
      </c>
      <c r="BO604" s="497">
        <f>SUM(BO605:BO631)</f>
        <v>0</v>
      </c>
      <c r="BP604" s="495"/>
      <c r="BQ604" s="674"/>
      <c r="BR604" s="674"/>
      <c r="BS604" s="487"/>
      <c r="BT604" s="491"/>
      <c r="BU604" s="492"/>
      <c r="BV604" s="492"/>
      <c r="BW604" s="493"/>
      <c r="BX604" s="494"/>
      <c r="BY604" s="495"/>
      <c r="BZ604" s="496">
        <f>SUM(BZ605:BZ631)</f>
        <v>0</v>
      </c>
      <c r="CA604" s="497">
        <f>SUM(CA605:CA631)</f>
        <v>0</v>
      </c>
      <c r="CB604" s="495"/>
      <c r="CC604" s="389"/>
      <c r="CD604" s="496">
        <f>SUM(CD605:CD631)</f>
        <v>0</v>
      </c>
      <c r="CE604" s="497">
        <f>SUM(CE605:CE631)</f>
        <v>0</v>
      </c>
      <c r="CF604" s="495"/>
      <c r="CG604" s="389"/>
      <c r="CH604" s="496">
        <f>SUM(CH605:CH631)</f>
        <v>0</v>
      </c>
      <c r="CI604" s="497">
        <f>SUM(CI605:CI631)</f>
        <v>0</v>
      </c>
      <c r="CJ604" s="495"/>
      <c r="CK604" s="674"/>
      <c r="CL604" s="674"/>
      <c r="CM604" s="487"/>
      <c r="CN604" s="491"/>
      <c r="CO604" s="492"/>
      <c r="CP604" s="492"/>
      <c r="CQ604" s="494"/>
      <c r="CR604" s="494"/>
      <c r="CS604" s="495"/>
      <c r="CT604" s="496">
        <f>SUM(CT605:CT631)</f>
        <v>0</v>
      </c>
      <c r="CU604" s="497">
        <f>SUM(CU605:CU631)</f>
        <v>0</v>
      </c>
      <c r="CV604" s="495"/>
      <c r="CW604" s="389"/>
      <c r="CX604" s="496">
        <f>SUM(CX605:CX631)</f>
        <v>0</v>
      </c>
      <c r="CY604" s="497">
        <f>SUM(CY605:CY631)</f>
        <v>0</v>
      </c>
      <c r="CZ604" s="495"/>
      <c r="DA604" s="389"/>
      <c r="DB604" s="496">
        <f>SUM(DB605:DB631)</f>
        <v>0</v>
      </c>
      <c r="DC604" s="497">
        <f>SUM(DC605:DC631)</f>
        <v>0</v>
      </c>
      <c r="DD604" s="495"/>
      <c r="DE604" s="674"/>
      <c r="DF604" s="674"/>
      <c r="DG604" s="487"/>
      <c r="DH604" s="491"/>
      <c r="DI604" s="492"/>
      <c r="DJ604" s="492"/>
      <c r="DK604" s="494"/>
      <c r="DL604" s="494"/>
      <c r="DM604" s="495"/>
    </row>
    <row r="605" spans="1:117" x14ac:dyDescent="0.25">
      <c r="A605" s="18"/>
      <c r="B605" s="11" t="s">
        <v>641</v>
      </c>
      <c r="C605" s="18">
        <v>1</v>
      </c>
      <c r="D605" s="11"/>
      <c r="E605" s="11"/>
      <c r="F605" s="149"/>
      <c r="G605" s="11" t="s">
        <v>479</v>
      </c>
      <c r="H605" s="25"/>
      <c r="I605" s="25"/>
      <c r="J605" s="530">
        <f>SUM(M605,AG605,BA605,BU605)-L605</f>
        <v>-3</v>
      </c>
      <c r="K605" s="397">
        <f t="shared" ref="K605:K631" si="1256">M605-O605-L605</f>
        <v>-3</v>
      </c>
      <c r="L605" s="544">
        <v>3</v>
      </c>
      <c r="M605" s="5">
        <v>0</v>
      </c>
      <c r="N605" s="7">
        <f>M605-L605</f>
        <v>-3</v>
      </c>
      <c r="O605" s="258"/>
      <c r="P605" s="242"/>
      <c r="Q605" s="35">
        <f>L605+O605-P605</f>
        <v>3</v>
      </c>
      <c r="R605" s="121"/>
      <c r="S605" s="6"/>
      <c r="T605" s="35"/>
      <c r="U605" s="612"/>
      <c r="V605" s="121"/>
      <c r="W605" s="6"/>
      <c r="X605" s="35"/>
      <c r="Y605" s="612"/>
      <c r="Z605" s="21"/>
      <c r="AA605" s="6"/>
      <c r="AB605" s="35"/>
      <c r="AC605" s="234"/>
      <c r="AD605" s="234"/>
      <c r="AE605" s="395">
        <f t="shared" ref="AE605:AE617" si="1257">SUM(M605,AG605)-SUM(O605,AI605)-L605</f>
        <v>-3</v>
      </c>
      <c r="AF605" s="29">
        <f t="shared" ref="AF605:AF617" si="1258">Q605</f>
        <v>3</v>
      </c>
      <c r="AG605" s="5">
        <v>0</v>
      </c>
      <c r="AH605" s="7">
        <f>AG605-AF605</f>
        <v>-3</v>
      </c>
      <c r="AI605" s="258"/>
      <c r="AJ605" s="242"/>
      <c r="AK605" s="35">
        <f>AF605+AI605-AJ605</f>
        <v>3</v>
      </c>
      <c r="AL605" s="121"/>
      <c r="AM605" s="6"/>
      <c r="AN605" s="35"/>
      <c r="AO605" s="612"/>
      <c r="AP605" s="121"/>
      <c r="AQ605" s="6"/>
      <c r="AR605" s="35"/>
      <c r="AS605" s="612"/>
      <c r="AT605" s="21"/>
      <c r="AU605" s="6"/>
      <c r="AV605" s="35"/>
      <c r="AW605" s="234"/>
      <c r="AX605" s="234"/>
      <c r="AY605" s="395">
        <f>SUM(M605,AG605,BA605)-SUM(O605,AI605,BC605)-L605</f>
        <v>-3</v>
      </c>
      <c r="AZ605" s="29">
        <f>AK605</f>
        <v>3</v>
      </c>
      <c r="BA605" s="5">
        <v>0</v>
      </c>
      <c r="BB605" s="7">
        <f>BA605-AZ605</f>
        <v>-3</v>
      </c>
      <c r="BC605" s="258"/>
      <c r="BD605" s="242"/>
      <c r="BE605" s="35">
        <f>AZ605+BC605-BD605</f>
        <v>3</v>
      </c>
      <c r="BF605" s="121"/>
      <c r="BG605" s="6"/>
      <c r="BH605" s="35"/>
      <c r="BI605" s="612"/>
      <c r="BJ605" s="121"/>
      <c r="BK605" s="6"/>
      <c r="BL605" s="35"/>
      <c r="BM605" s="612"/>
      <c r="BN605" s="21"/>
      <c r="BO605" s="6"/>
      <c r="BP605" s="35"/>
      <c r="BQ605" s="234"/>
      <c r="BR605" s="234"/>
      <c r="BS605" s="395">
        <f>SUM(M605,AG605,BA605,BU605)-SUM(O605,AI605,BC605,BW605)-L605</f>
        <v>-3</v>
      </c>
      <c r="BT605" s="29">
        <f>BE605</f>
        <v>3</v>
      </c>
      <c r="BU605" s="5">
        <v>0</v>
      </c>
      <c r="BV605" s="7">
        <f>BU605-BT605</f>
        <v>-3</v>
      </c>
      <c r="BW605" s="258"/>
      <c r="BX605" s="242"/>
      <c r="BY605" s="35">
        <f>BT605+BW605-BX605</f>
        <v>3</v>
      </c>
      <c r="BZ605" s="121"/>
      <c r="CA605" s="6"/>
      <c r="CB605" s="35"/>
      <c r="CC605" s="612"/>
      <c r="CD605" s="121"/>
      <c r="CE605" s="6"/>
      <c r="CF605" s="35"/>
      <c r="CG605" s="612"/>
      <c r="CH605" s="21"/>
      <c r="CI605" s="6"/>
      <c r="CJ605" s="35"/>
      <c r="CK605" s="234"/>
      <c r="CL605" s="234"/>
      <c r="CM605" s="397">
        <f>SUM(M605,AG605,BA605,BU605,CO605)-SUM(O605,AI605,BC605,BW605,CQ605)-L605</f>
        <v>-3</v>
      </c>
      <c r="CN605" s="29">
        <f>BY605</f>
        <v>3</v>
      </c>
      <c r="CO605" s="5">
        <v>0</v>
      </c>
      <c r="CP605" s="7">
        <f>CO605-CN605</f>
        <v>-3</v>
      </c>
      <c r="CQ605" s="242"/>
      <c r="CR605" s="242"/>
      <c r="CS605" s="35">
        <f>CN605+CQ605-CR605</f>
        <v>3</v>
      </c>
      <c r="CT605" s="121"/>
      <c r="CU605" s="6"/>
      <c r="CV605" s="35"/>
      <c r="CW605" s="612"/>
      <c r="CX605" s="121"/>
      <c r="CY605" s="6"/>
      <c r="CZ605" s="35"/>
      <c r="DA605" s="612"/>
      <c r="DB605" s="21"/>
      <c r="DC605" s="6"/>
      <c r="DD605" s="35"/>
      <c r="DE605" s="234"/>
      <c r="DF605" s="234"/>
      <c r="DG605" s="395">
        <f>SUM(M605,AG605,BA605,BU605,DI605)-SUM(O605,AI605,BC605,BW605,CQ605)-L605</f>
        <v>-3</v>
      </c>
      <c r="DH605" s="32">
        <f t="shared" ref="DH605:DH631" si="1259">BY605</f>
        <v>3</v>
      </c>
      <c r="DI605" s="5">
        <v>0</v>
      </c>
      <c r="DJ605" s="7">
        <f>DI605-DH605</f>
        <v>-3</v>
      </c>
      <c r="DK605" s="242"/>
      <c r="DL605" s="242"/>
      <c r="DM605" s="35">
        <f>DH605+DK605-DL605</f>
        <v>3</v>
      </c>
    </row>
    <row r="606" spans="1:117" x14ac:dyDescent="0.25">
      <c r="A606" s="17"/>
      <c r="B606" s="10" t="s">
        <v>582</v>
      </c>
      <c r="C606" s="17"/>
      <c r="D606" s="10"/>
      <c r="E606" s="10"/>
      <c r="F606" s="337"/>
      <c r="G606" s="11" t="s">
        <v>761</v>
      </c>
      <c r="H606" s="24"/>
      <c r="I606" s="24"/>
      <c r="J606" s="530">
        <f>SUM(M606,AG606,BA606,BU606)-L606</f>
        <v>-273</v>
      </c>
      <c r="K606" s="395">
        <f t="shared" si="1256"/>
        <v>-516</v>
      </c>
      <c r="L606" s="544">
        <v>545</v>
      </c>
      <c r="M606" s="302">
        <f>SUM(M187,M194,M202,M246,M266,M274,M275,M340,M344,M346,M363,M380,M385,M432,M441,M453,M464,M587)</f>
        <v>29</v>
      </c>
      <c r="N606" s="7">
        <f>M606-L606</f>
        <v>-516</v>
      </c>
      <c r="O606" s="7"/>
      <c r="P606" s="242">
        <f>SUM(P187,P194,P202,P246,P266,P274,P275,P340,P344,P346,P363,P380,P385,P432,P441,P453,P464,P587)</f>
        <v>30</v>
      </c>
      <c r="Q606" s="35">
        <f>L606+O606-P606</f>
        <v>515</v>
      </c>
      <c r="R606" s="20"/>
      <c r="S606" s="8"/>
      <c r="T606" s="34"/>
      <c r="U606" s="713"/>
      <c r="V606" s="20"/>
      <c r="W606" s="8"/>
      <c r="X606" s="34"/>
      <c r="Y606" s="713"/>
      <c r="Z606" s="20"/>
      <c r="AA606" s="8"/>
      <c r="AB606" s="34"/>
      <c r="AC606" s="234"/>
      <c r="AD606" s="234"/>
      <c r="AE606" s="395">
        <f t="shared" si="1257"/>
        <v>-463</v>
      </c>
      <c r="AF606" s="29">
        <f t="shared" si="1258"/>
        <v>515</v>
      </c>
      <c r="AG606" s="302">
        <f>SUM(AG187,AG194,AG202,AG246,AG266,AG274,AG275,AG340,AG344,AG346,AG363,AG380,AG385,AG432,AG441,AG453,AG464,AG587)</f>
        <v>53</v>
      </c>
      <c r="AH606" s="7">
        <f>AG606-AF606</f>
        <v>-462</v>
      </c>
      <c r="AI606" s="7"/>
      <c r="AJ606" s="242">
        <f>SUM(AJ187,AJ194,AJ202,AJ246,AJ266,AJ274,AJ275,AJ340,AJ344,AJ346,AJ363,AJ380,AJ385,AJ432,AJ441,AJ453,AJ464,AJ587)</f>
        <v>51</v>
      </c>
      <c r="AK606" s="35">
        <f t="shared" ref="AK606:AK607" si="1260">AF606+AI606-AJ606</f>
        <v>464</v>
      </c>
      <c r="AL606" s="20"/>
      <c r="AM606" s="8"/>
      <c r="AN606" s="34"/>
      <c r="AO606" s="713"/>
      <c r="AP606" s="20"/>
      <c r="AQ606" s="8"/>
      <c r="AR606" s="34"/>
      <c r="AS606" s="713"/>
      <c r="AT606" s="20"/>
      <c r="AU606" s="8"/>
      <c r="AV606" s="34"/>
      <c r="AW606" s="234"/>
      <c r="AX606" s="234"/>
      <c r="AY606" s="395">
        <f>SUM(M606,AG606,BA606)-SUM(O606,AI606,BC606)-L606</f>
        <v>-416</v>
      </c>
      <c r="AZ606" s="29">
        <f>AK606</f>
        <v>464</v>
      </c>
      <c r="BA606" s="302">
        <f>SUM(BA187,BA194,BA202,BA246,BA266,BA274,BA275,BA340,BA344,BA346,BA363,BA380,BA385,BA432,BA441,BA453,BA464,BA587)</f>
        <v>47</v>
      </c>
      <c r="BB606" s="7">
        <f>BA606-AZ606</f>
        <v>-417</v>
      </c>
      <c r="BC606" s="7"/>
      <c r="BD606" s="242">
        <f>SUM(BD187,BD194,BD202,BD246,BD266,BD274,BD275,BD340,BD344,BD346,BD363,BD380,BD385,BD432,BD441,BD453,BD464,BD587)</f>
        <v>10</v>
      </c>
      <c r="BE606" s="35">
        <f t="shared" ref="BE606:BE607" si="1261">AZ606+BC606-BD606</f>
        <v>454</v>
      </c>
      <c r="BF606" s="20"/>
      <c r="BG606" s="8"/>
      <c r="BH606" s="34"/>
      <c r="BI606" s="713"/>
      <c r="BJ606" s="20"/>
      <c r="BK606" s="8"/>
      <c r="BL606" s="34"/>
      <c r="BM606" s="713"/>
      <c r="BN606" s="20"/>
      <c r="BO606" s="8"/>
      <c r="BP606" s="34"/>
      <c r="BQ606" s="234"/>
      <c r="BR606" s="234"/>
      <c r="BS606" s="395">
        <f>SUM(M606,AG606,BA606,BU606)-SUM(O606,AI606,BC606,BW606)-L606</f>
        <v>-973</v>
      </c>
      <c r="BT606" s="29">
        <f>BE606</f>
        <v>454</v>
      </c>
      <c r="BU606" s="302">
        <f>SUM(BU187,BU194,BU202,BU246,BU266,BU274,BU275,BU340,BU344,BU346,BU363,BU380,BU385,BU432,BU441,BU453,BU464,BU587)</f>
        <v>143</v>
      </c>
      <c r="BV606" s="7">
        <f>BU606-BT606</f>
        <v>-311</v>
      </c>
      <c r="BW606" s="623">
        <v>700</v>
      </c>
      <c r="BX606" s="242">
        <f>SUM(BX187,BX194,BX202,BX246,BX266,BX274,BX275,BX340,BX344,BX346,BX363,BX380,BX385,BX432,BX441,BX453,BX464,BX587)</f>
        <v>66</v>
      </c>
      <c r="BY606" s="35">
        <f t="shared" ref="BY606:BY607" si="1262">BT606+BW606-BX606</f>
        <v>1088</v>
      </c>
      <c r="BZ606" s="20"/>
      <c r="CA606" s="8"/>
      <c r="CB606" s="34"/>
      <c r="CC606" s="713"/>
      <c r="CD606" s="20"/>
      <c r="CE606" s="8"/>
      <c r="CF606" s="642" t="s">
        <v>948</v>
      </c>
      <c r="CG606" s="782"/>
      <c r="CH606" s="20"/>
      <c r="CI606" s="8"/>
      <c r="CJ606" s="34"/>
      <c r="CK606" s="234"/>
      <c r="CL606" s="234"/>
      <c r="CM606" s="395">
        <f>SUM(M606,AG606,BA606,BU606,CO606)-SUM(O606,AI606,BC606,BW606,CQ606)-L606</f>
        <v>-973</v>
      </c>
      <c r="CN606" s="29">
        <f>BY606</f>
        <v>1088</v>
      </c>
      <c r="CO606" s="302">
        <f>SUM(CO187,CO194,CO202,CO246,CO266,CO274,CO275,CO340,CO344,CO346,CO363,CO380,CO385,CO432,CO441,CO453,CO464,CO587)</f>
        <v>0</v>
      </c>
      <c r="CP606" s="7"/>
      <c r="CQ606" s="7"/>
      <c r="CR606" s="242"/>
      <c r="CS606" s="35">
        <f t="shared" ref="CS606:CS607" si="1263">CN606+CQ606-CR606</f>
        <v>1088</v>
      </c>
      <c r="CT606" s="20"/>
      <c r="CU606" s="8"/>
      <c r="CV606" s="34"/>
      <c r="CW606" s="713"/>
      <c r="CX606" s="20"/>
      <c r="CY606" s="8"/>
      <c r="CZ606" s="34"/>
      <c r="DA606" s="713"/>
      <c r="DB606" s="20"/>
      <c r="DC606" s="8"/>
      <c r="DD606" s="34"/>
      <c r="DE606" s="234"/>
      <c r="DF606" s="234"/>
      <c r="DG606" s="395">
        <f>SUM(M606,AG606,BA606,BU606,DI606)-SUM(O606,AI606,BC606,BW606,CQ606)-L606</f>
        <v>-973</v>
      </c>
      <c r="DH606" s="32">
        <f t="shared" si="1259"/>
        <v>1088</v>
      </c>
      <c r="DI606" s="302">
        <f>SUM(DI187,DI194,DI202,DI246,DI266,DI274,DI275,DI340,DI344,DI346,DI363,DI380,DI385,DI432,DI441,DI453,DI464,DI587)</f>
        <v>0</v>
      </c>
      <c r="DJ606" s="7"/>
      <c r="DK606" s="7"/>
      <c r="DL606" s="242"/>
      <c r="DM606" s="35">
        <f t="shared" ref="DM606:DM607" si="1264">DH606+DK606-DL606</f>
        <v>1088</v>
      </c>
    </row>
    <row r="607" spans="1:117" x14ac:dyDescent="0.25">
      <c r="A607" s="17"/>
      <c r="B607" s="10" t="s">
        <v>722</v>
      </c>
      <c r="C607" s="17"/>
      <c r="D607" s="10"/>
      <c r="E607" s="10"/>
      <c r="F607" s="572">
        <v>1012.38</v>
      </c>
      <c r="G607" s="11" t="s">
        <v>211</v>
      </c>
      <c r="H607" s="24"/>
      <c r="I607" s="24"/>
      <c r="J607" s="530"/>
      <c r="K607" s="395">
        <f t="shared" si="1256"/>
        <v>0</v>
      </c>
      <c r="L607" s="544">
        <v>0</v>
      </c>
      <c r="M607" s="302"/>
      <c r="N607" s="7">
        <f>M607-L607</f>
        <v>0</v>
      </c>
      <c r="O607" s="7"/>
      <c r="P607" s="242"/>
      <c r="Q607" s="35">
        <f t="shared" ref="Q607" si="1265">L607+O607-P607</f>
        <v>0</v>
      </c>
      <c r="R607" s="20"/>
      <c r="S607" s="8"/>
      <c r="T607" s="34"/>
      <c r="U607" s="713"/>
      <c r="V607" s="575">
        <f>$F$607*40%*300</f>
        <v>121485.6</v>
      </c>
      <c r="W607" s="8"/>
      <c r="X607" s="34" t="s">
        <v>723</v>
      </c>
      <c r="Y607" s="713"/>
      <c r="Z607" s="20"/>
      <c r="AA607" s="8"/>
      <c r="AB607" s="34"/>
      <c r="AC607" s="234"/>
      <c r="AD607" s="234"/>
      <c r="AE607" s="395">
        <f t="shared" si="1257"/>
        <v>0</v>
      </c>
      <c r="AF607" s="29">
        <f t="shared" si="1258"/>
        <v>0</v>
      </c>
      <c r="AG607" s="302"/>
      <c r="AH607" s="7">
        <f>AG607-AF607</f>
        <v>0</v>
      </c>
      <c r="AI607" s="256"/>
      <c r="AJ607" s="242"/>
      <c r="AK607" s="35">
        <f t="shared" si="1260"/>
        <v>0</v>
      </c>
      <c r="AL607" s="20"/>
      <c r="AM607" s="8"/>
      <c r="AN607" s="34"/>
      <c r="AO607" s="713"/>
      <c r="AP607" s="20"/>
      <c r="AT607" s="20"/>
      <c r="AU607" s="8"/>
      <c r="AV607" s="34"/>
      <c r="AW607" s="234"/>
      <c r="AX607" s="234"/>
      <c r="AY607" s="395">
        <f t="shared" ref="AY607" si="1266">SUM(AG607,BA607)-SUM(AI607,BC607)-AF607</f>
        <v>-300</v>
      </c>
      <c r="AZ607" s="29">
        <f>AK607</f>
        <v>0</v>
      </c>
      <c r="BA607" s="302"/>
      <c r="BB607" s="7">
        <f>BA607-AZ607</f>
        <v>0</v>
      </c>
      <c r="BC607" s="7">
        <v>300</v>
      </c>
      <c r="BD607" s="242"/>
      <c r="BE607" s="35">
        <f t="shared" si="1261"/>
        <v>300</v>
      </c>
      <c r="BF607" s="20"/>
      <c r="BG607" s="8"/>
      <c r="BH607" s="34"/>
      <c r="BI607" s="713"/>
      <c r="BJ607" s="20"/>
      <c r="BK607" s="8">
        <f>$F$607*60%*300</f>
        <v>182228.4</v>
      </c>
      <c r="BL607" s="34" t="s">
        <v>724</v>
      </c>
      <c r="BM607" s="713"/>
      <c r="BN607" s="20"/>
      <c r="BO607" s="8"/>
      <c r="BP607" s="34"/>
      <c r="BQ607" s="234"/>
      <c r="BR607" s="234"/>
      <c r="BS607" s="395">
        <f t="shared" ref="BS607" si="1267">SUM(BA607,BU607)-SUM(BC607,BW607)-AZ607</f>
        <v>-300</v>
      </c>
      <c r="BT607" s="29">
        <f>BE607</f>
        <v>300</v>
      </c>
      <c r="BU607" s="302"/>
      <c r="BV607" s="7">
        <f>BU607-BT607</f>
        <v>-300</v>
      </c>
      <c r="BW607" s="7"/>
      <c r="BX607" s="242"/>
      <c r="BY607" s="35">
        <f t="shared" si="1262"/>
        <v>300</v>
      </c>
      <c r="BZ607" s="20"/>
      <c r="CA607" s="8"/>
      <c r="CB607" s="34"/>
      <c r="CC607" s="713"/>
      <c r="CD607" s="20"/>
      <c r="CE607" s="8"/>
      <c r="CF607" s="34"/>
      <c r="CG607" s="713"/>
      <c r="CH607" s="20"/>
      <c r="CI607" s="8"/>
      <c r="CJ607" s="34"/>
      <c r="CK607" s="234"/>
      <c r="CL607" s="234"/>
      <c r="CM607" s="395">
        <f t="shared" ref="CM607" si="1268">SUM(BU607,CO607)-SUM(BW607,CQ607)-BT607</f>
        <v>-300</v>
      </c>
      <c r="CN607" s="29">
        <f>BY607</f>
        <v>300</v>
      </c>
      <c r="CO607" s="302"/>
      <c r="CP607" s="7">
        <f>CO607-CN607</f>
        <v>-300</v>
      </c>
      <c r="CQ607" s="7"/>
      <c r="CR607" s="242"/>
      <c r="CS607" s="35">
        <f t="shared" si="1263"/>
        <v>300</v>
      </c>
      <c r="CT607" s="20"/>
      <c r="CU607" s="8"/>
      <c r="CV607" s="34"/>
      <c r="CW607" s="713"/>
      <c r="CX607" s="20"/>
      <c r="CY607" s="8"/>
      <c r="CZ607" s="34"/>
      <c r="DA607" s="713"/>
      <c r="DB607" s="20"/>
      <c r="DC607" s="8"/>
      <c r="DD607" s="34"/>
      <c r="DE607" s="234"/>
      <c r="DF607" s="234"/>
      <c r="DG607" s="395">
        <f t="shared" ref="DG607" si="1269">SUM(CO607,DI607)-SUM(CQ607,DK607)-CN607</f>
        <v>-300</v>
      </c>
      <c r="DH607" s="29">
        <f>CS607</f>
        <v>300</v>
      </c>
      <c r="DI607" s="302"/>
      <c r="DJ607" s="7">
        <f>DI607-DH607</f>
        <v>-300</v>
      </c>
      <c r="DK607" s="7"/>
      <c r="DL607" s="242"/>
      <c r="DM607" s="35">
        <f t="shared" si="1264"/>
        <v>300</v>
      </c>
    </row>
    <row r="608" spans="1:117" ht="30" x14ac:dyDescent="0.25">
      <c r="A608" s="18"/>
      <c r="B608" s="15" t="s">
        <v>506</v>
      </c>
      <c r="C608" s="18">
        <v>1</v>
      </c>
      <c r="D608" s="11"/>
      <c r="E608" s="11"/>
      <c r="F608" s="149"/>
      <c r="G608" s="11" t="s">
        <v>761</v>
      </c>
      <c r="H608" s="25"/>
      <c r="I608" s="25"/>
      <c r="J608" s="530">
        <f t="shared" ref="J608:J617" si="1270">SUM(M608,AG608,BA608,BU608)-L608</f>
        <v>-161</v>
      </c>
      <c r="K608" s="395">
        <f t="shared" si="1256"/>
        <v>-173</v>
      </c>
      <c r="L608" s="544">
        <v>173</v>
      </c>
      <c r="M608" s="298">
        <f>M344</f>
        <v>0</v>
      </c>
      <c r="N608" s="7">
        <f>M608-L608</f>
        <v>-173</v>
      </c>
      <c r="O608" s="258"/>
      <c r="P608" s="242">
        <f>1+1+1+2+1+1+1+1+1</f>
        <v>10</v>
      </c>
      <c r="Q608" s="35">
        <f>L608+O608-P608</f>
        <v>163</v>
      </c>
      <c r="R608" s="21"/>
      <c r="S608" s="6"/>
      <c r="T608" s="35"/>
      <c r="U608" s="612"/>
      <c r="V608" s="121"/>
      <c r="W608" s="6"/>
      <c r="X608" s="35"/>
      <c r="Y608" s="612"/>
      <c r="Z608" s="21"/>
      <c r="AA608" s="6"/>
      <c r="AB608" s="35"/>
      <c r="AC608" s="234"/>
      <c r="AD608" s="234"/>
      <c r="AE608" s="395">
        <f t="shared" si="1257"/>
        <v>-173</v>
      </c>
      <c r="AF608" s="29">
        <f t="shared" si="1258"/>
        <v>163</v>
      </c>
      <c r="AG608" s="298">
        <f>AG344</f>
        <v>0</v>
      </c>
      <c r="AH608" s="7">
        <f>AG608-AF608</f>
        <v>-163</v>
      </c>
      <c r="AI608" s="258"/>
      <c r="AJ608" s="242">
        <f>2+1+1+1+4+1</f>
        <v>10</v>
      </c>
      <c r="AK608" s="35">
        <f>AF608+AI608-AJ608</f>
        <v>153</v>
      </c>
      <c r="AL608" s="21"/>
      <c r="AM608" s="6"/>
      <c r="AN608" s="35"/>
      <c r="AO608" s="612"/>
      <c r="AP608" s="121"/>
      <c r="AQ608" s="6"/>
      <c r="AR608" s="35"/>
      <c r="AS608" s="612"/>
      <c r="AT608" s="21"/>
      <c r="AU608" s="6"/>
      <c r="AV608" s="35"/>
      <c r="AW608" s="234"/>
      <c r="AX608" s="234"/>
      <c r="AY608" s="395">
        <f t="shared" ref="AY608:AY617" si="1271">SUM(M608,AG608,BA608)-SUM(O608,AI608,BC608)-L608</f>
        <v>-168</v>
      </c>
      <c r="AZ608" s="613">
        <v>99</v>
      </c>
      <c r="BA608" s="298">
        <f>BA344</f>
        <v>5</v>
      </c>
      <c r="BB608" s="7">
        <f>BA608-AZ608</f>
        <v>-94</v>
      </c>
      <c r="BC608" s="258"/>
      <c r="BD608" s="242">
        <f>1+1+3+1+1+1</f>
        <v>8</v>
      </c>
      <c r="BE608" s="35">
        <f>AZ608+BC608-BD608</f>
        <v>91</v>
      </c>
      <c r="BF608" s="21"/>
      <c r="BG608" s="6"/>
      <c r="BH608" s="35"/>
      <c r="BI608" s="612"/>
      <c r="BJ608" s="121"/>
      <c r="BK608" s="6"/>
      <c r="BL608" s="35"/>
      <c r="BM608" s="612"/>
      <c r="BN608" s="21"/>
      <c r="BO608" s="6"/>
      <c r="BP608" s="35"/>
      <c r="BQ608" s="234"/>
      <c r="BR608" s="234"/>
      <c r="BS608" s="395">
        <f t="shared" ref="BS608:BS617" si="1272">SUM(M608,AG608,BA608,BU608)-SUM(O608,AI608,BC608,BW608)-L608</f>
        <v>-161</v>
      </c>
      <c r="BT608" s="29">
        <f>BE608</f>
        <v>91</v>
      </c>
      <c r="BU608" s="298">
        <f>BU344</f>
        <v>7</v>
      </c>
      <c r="BV608" s="7">
        <f>BU608-BT608</f>
        <v>-84</v>
      </c>
      <c r="BW608" s="258"/>
      <c r="BX608" s="242">
        <f>1+1+1+1</f>
        <v>4</v>
      </c>
      <c r="BY608" s="35">
        <f>BT608+BW608-BX608</f>
        <v>87</v>
      </c>
      <c r="BZ608" s="21"/>
      <c r="CA608" s="6"/>
      <c r="CB608" s="35"/>
      <c r="CC608" s="612"/>
      <c r="CD608" s="121"/>
      <c r="CE608" s="6"/>
      <c r="CF608" s="35"/>
      <c r="CG608" s="612"/>
      <c r="CH608" s="21"/>
      <c r="CI608" s="6"/>
      <c r="CJ608" s="35"/>
      <c r="CK608" s="234"/>
      <c r="CL608" s="234"/>
      <c r="CM608" s="395">
        <f t="shared" ref="CM608:CM617" si="1273">SUM(M608,AG608,BA608,BU608,CO608)-SUM(O608,AI608,BC608,BW608,CQ608)-L608</f>
        <v>-161</v>
      </c>
      <c r="CN608" s="29">
        <f>BY608</f>
        <v>87</v>
      </c>
      <c r="CO608" s="298">
        <f>CO344</f>
        <v>0</v>
      </c>
      <c r="CP608" s="7">
        <f>CO608-CN608</f>
        <v>-87</v>
      </c>
      <c r="CQ608" s="242"/>
      <c r="CR608" s="242"/>
      <c r="CS608" s="35">
        <f>CN608+CQ608-CR608</f>
        <v>87</v>
      </c>
      <c r="CT608" s="21"/>
      <c r="CU608" s="6"/>
      <c r="CV608" s="35"/>
      <c r="CW608" s="612"/>
      <c r="CX608" s="121"/>
      <c r="CY608" s="6"/>
      <c r="CZ608" s="35"/>
      <c r="DA608" s="612"/>
      <c r="DB608" s="21"/>
      <c r="DC608" s="6"/>
      <c r="DD608" s="35"/>
      <c r="DE608" s="234"/>
      <c r="DF608" s="234"/>
      <c r="DG608" s="395">
        <f t="shared" ref="DG608:DG617" si="1274">SUM(M608,AG608,BA608,BU608,DI608)-SUM(O608,AI608,BC608,BW608,CQ608)-L608</f>
        <v>-161</v>
      </c>
      <c r="DH608" s="32">
        <f t="shared" si="1259"/>
        <v>87</v>
      </c>
      <c r="DI608" s="298">
        <f>DI344</f>
        <v>0</v>
      </c>
      <c r="DJ608" s="7">
        <f>DI608-DH608</f>
        <v>-87</v>
      </c>
      <c r="DK608" s="242"/>
      <c r="DL608" s="242"/>
      <c r="DM608" s="35">
        <f>DH608+DK608-DL608</f>
        <v>87</v>
      </c>
    </row>
    <row r="609" spans="1:117" x14ac:dyDescent="0.25">
      <c r="A609" s="18"/>
      <c r="B609" s="11" t="s">
        <v>507</v>
      </c>
      <c r="C609" s="18">
        <v>1</v>
      </c>
      <c r="D609" s="11"/>
      <c r="E609" s="11"/>
      <c r="F609" s="149"/>
      <c r="G609" s="11" t="s">
        <v>761</v>
      </c>
      <c r="H609" s="25"/>
      <c r="I609" s="25"/>
      <c r="J609" s="530">
        <f t="shared" si="1270"/>
        <v>-149</v>
      </c>
      <c r="K609" s="395">
        <f t="shared" si="1256"/>
        <v>-161</v>
      </c>
      <c r="L609" s="544">
        <v>161</v>
      </c>
      <c r="M609" s="298">
        <f>M344</f>
        <v>0</v>
      </c>
      <c r="N609" s="7">
        <f>M609-L609</f>
        <v>-161</v>
      </c>
      <c r="O609" s="258"/>
      <c r="P609" s="242">
        <f>1+1+1+2+1+1+1+1+1</f>
        <v>10</v>
      </c>
      <c r="Q609" s="35">
        <f>L609+O609-P609</f>
        <v>151</v>
      </c>
      <c r="R609" s="121"/>
      <c r="S609" s="6"/>
      <c r="T609" s="35"/>
      <c r="U609" s="612"/>
      <c r="V609" s="121"/>
      <c r="W609" s="6"/>
      <c r="X609" s="35"/>
      <c r="Y609" s="612"/>
      <c r="Z609" s="21"/>
      <c r="AA609" s="6"/>
      <c r="AB609" s="35"/>
      <c r="AC609" s="234"/>
      <c r="AD609" s="234"/>
      <c r="AE609" s="395">
        <f t="shared" si="1257"/>
        <v>-161</v>
      </c>
      <c r="AF609" s="29">
        <f t="shared" si="1258"/>
        <v>151</v>
      </c>
      <c r="AG609" s="298">
        <f>AG344</f>
        <v>0</v>
      </c>
      <c r="AH609" s="7">
        <f>AG609-AF609</f>
        <v>-151</v>
      </c>
      <c r="AI609" s="258"/>
      <c r="AJ609" s="242">
        <f>2+1+1+1+4+1</f>
        <v>10</v>
      </c>
      <c r="AK609" s="35">
        <f>AF609+AI609-AJ609</f>
        <v>141</v>
      </c>
      <c r="AL609" s="121"/>
      <c r="AM609" s="6"/>
      <c r="AN609" s="35"/>
      <c r="AO609" s="612"/>
      <c r="AP609" s="121"/>
      <c r="AQ609" s="6"/>
      <c r="AR609" s="35"/>
      <c r="AS609" s="612"/>
      <c r="AT609" s="21"/>
      <c r="AU609" s="6"/>
      <c r="AV609" s="35"/>
      <c r="AW609" s="234"/>
      <c r="AX609" s="234"/>
      <c r="AY609" s="395">
        <f t="shared" si="1271"/>
        <v>-156</v>
      </c>
      <c r="AZ609" s="613">
        <v>99</v>
      </c>
      <c r="BA609" s="298">
        <f>BA344</f>
        <v>5</v>
      </c>
      <c r="BB609" s="7">
        <f>BA609-AZ609</f>
        <v>-94</v>
      </c>
      <c r="BC609" s="258"/>
      <c r="BD609" s="242">
        <f>1+1+1+1+1</f>
        <v>5</v>
      </c>
      <c r="BE609" s="35">
        <f>AZ609+BC609-BD609</f>
        <v>94</v>
      </c>
      <c r="BF609" s="121"/>
      <c r="BG609" s="6"/>
      <c r="BH609" s="35"/>
      <c r="BI609" s="612"/>
      <c r="BJ609" s="121"/>
      <c r="BK609" s="6"/>
      <c r="BL609" s="35"/>
      <c r="BM609" s="612"/>
      <c r="BN609" s="21"/>
      <c r="BO609" s="6"/>
      <c r="BP609" s="35"/>
      <c r="BQ609" s="234"/>
      <c r="BR609" s="234"/>
      <c r="BS609" s="395">
        <f t="shared" si="1272"/>
        <v>-149</v>
      </c>
      <c r="BT609" s="29">
        <f>BE609</f>
        <v>94</v>
      </c>
      <c r="BU609" s="298">
        <f>BU344</f>
        <v>7</v>
      </c>
      <c r="BV609" s="7">
        <f>BU609-BT609</f>
        <v>-87</v>
      </c>
      <c r="BW609" s="258"/>
      <c r="BX609" s="242"/>
      <c r="BY609" s="35">
        <f>BT609+BW609-BX609</f>
        <v>94</v>
      </c>
      <c r="BZ609" s="121"/>
      <c r="CA609" s="6"/>
      <c r="CB609" s="35"/>
      <c r="CC609" s="612"/>
      <c r="CD609" s="121"/>
      <c r="CE609" s="6"/>
      <c r="CF609" s="35"/>
      <c r="CG609" s="612"/>
      <c r="CH609" s="21"/>
      <c r="CI609" s="6"/>
      <c r="CJ609" s="35"/>
      <c r="CK609" s="234"/>
      <c r="CL609" s="234"/>
      <c r="CM609" s="395">
        <f t="shared" si="1273"/>
        <v>-149</v>
      </c>
      <c r="CN609" s="29">
        <f>BY609</f>
        <v>94</v>
      </c>
      <c r="CO609" s="298">
        <f>CO344</f>
        <v>0</v>
      </c>
      <c r="CP609" s="7">
        <f>CO609-CN609</f>
        <v>-94</v>
      </c>
      <c r="CQ609" s="242"/>
      <c r="CR609" s="242"/>
      <c r="CS609" s="35">
        <f>CN609+CQ609-CR609</f>
        <v>94</v>
      </c>
      <c r="CT609" s="121"/>
      <c r="CU609" s="6"/>
      <c r="CV609" s="35"/>
      <c r="CW609" s="612"/>
      <c r="CX609" s="121"/>
      <c r="CY609" s="6"/>
      <c r="CZ609" s="35"/>
      <c r="DA609" s="612"/>
      <c r="DB609" s="21"/>
      <c r="DC609" s="6"/>
      <c r="DD609" s="35"/>
      <c r="DE609" s="234"/>
      <c r="DF609" s="234"/>
      <c r="DG609" s="395">
        <f t="shared" si="1274"/>
        <v>-149</v>
      </c>
      <c r="DH609" s="32">
        <f t="shared" si="1259"/>
        <v>94</v>
      </c>
      <c r="DI609" s="298">
        <f>DI344</f>
        <v>0</v>
      </c>
      <c r="DJ609" s="7">
        <f>DI609-DH609</f>
        <v>-94</v>
      </c>
      <c r="DK609" s="242"/>
      <c r="DL609" s="242"/>
      <c r="DM609" s="35">
        <f>DH609+DK609-DL609</f>
        <v>94</v>
      </c>
    </row>
    <row r="610" spans="1:117" ht="30" x14ac:dyDescent="0.25">
      <c r="A610" s="18"/>
      <c r="B610" s="15" t="s">
        <v>508</v>
      </c>
      <c r="C610" s="18">
        <v>1</v>
      </c>
      <c r="D610" s="11"/>
      <c r="E610" s="11"/>
      <c r="F610" s="149"/>
      <c r="G610" s="11" t="s">
        <v>761</v>
      </c>
      <c r="H610" s="25"/>
      <c r="I610" s="25"/>
      <c r="J610" s="530">
        <f t="shared" si="1270"/>
        <v>-150</v>
      </c>
      <c r="K610" s="395">
        <f t="shared" si="1256"/>
        <v>-159</v>
      </c>
      <c r="L610" s="544">
        <v>160</v>
      </c>
      <c r="M610" s="298">
        <f>SUM(M274:M275)</f>
        <v>1</v>
      </c>
      <c r="N610" s="7">
        <f t="shared" ref="N610:N614" si="1275">M610-L610</f>
        <v>-159</v>
      </c>
      <c r="O610" s="258"/>
      <c r="P610" s="242">
        <f>1+1+1+1+1+1+1+1+1</f>
        <v>9</v>
      </c>
      <c r="Q610" s="35">
        <f t="shared" ref="Q610:Q614" si="1276">L610+O610-P610</f>
        <v>151</v>
      </c>
      <c r="R610" s="21"/>
      <c r="S610" s="6"/>
      <c r="T610" s="35"/>
      <c r="U610" s="612"/>
      <c r="V610" s="121"/>
      <c r="W610" s="6"/>
      <c r="X610" s="35"/>
      <c r="Y610" s="612"/>
      <c r="Z610" s="21"/>
      <c r="AA610" s="6"/>
      <c r="AB610" s="35"/>
      <c r="AC610" s="234"/>
      <c r="AD610" s="234"/>
      <c r="AE610" s="395">
        <f t="shared" si="1257"/>
        <v>-158</v>
      </c>
      <c r="AF610" s="29">
        <f t="shared" si="1258"/>
        <v>151</v>
      </c>
      <c r="AG610" s="298">
        <f>SUM(AG274:AG275)</f>
        <v>1</v>
      </c>
      <c r="AH610" s="7">
        <f t="shared" ref="AH610:AH614" si="1277">AG610-AF610</f>
        <v>-150</v>
      </c>
      <c r="AI610" s="258"/>
      <c r="AJ610" s="242">
        <f>1+1+1+1+1+1+1+1+1+1+1</f>
        <v>11</v>
      </c>
      <c r="AK610" s="35">
        <f t="shared" ref="AK610:AK614" si="1278">AF610+AI610-AJ610</f>
        <v>140</v>
      </c>
      <c r="AL610" s="21"/>
      <c r="AM610" s="6"/>
      <c r="AN610" s="35"/>
      <c r="AO610" s="612"/>
      <c r="AP610" s="121"/>
      <c r="AQ610" s="6"/>
      <c r="AR610" s="35"/>
      <c r="AS610" s="612"/>
      <c r="AT610" s="21"/>
      <c r="AU610" s="6"/>
      <c r="AV610" s="35"/>
      <c r="AW610" s="234"/>
      <c r="AX610" s="234"/>
      <c r="AY610" s="395">
        <f t="shared" si="1271"/>
        <v>-156</v>
      </c>
      <c r="AZ610" s="613">
        <v>91</v>
      </c>
      <c r="BA610" s="298">
        <f>SUM(BA274:BA275)</f>
        <v>2</v>
      </c>
      <c r="BB610" s="7">
        <f t="shared" ref="BB610:BB614" si="1279">BA610-AZ610</f>
        <v>-89</v>
      </c>
      <c r="BC610" s="258"/>
      <c r="BD610" s="242">
        <f>1+1+1+1+1+1+1+1</f>
        <v>8</v>
      </c>
      <c r="BE610" s="35">
        <f t="shared" ref="BE610:BE614" si="1280">AZ610+BC610-BD610</f>
        <v>83</v>
      </c>
      <c r="BF610" s="21"/>
      <c r="BG610" s="6"/>
      <c r="BH610" s="35"/>
      <c r="BI610" s="612"/>
      <c r="BJ610" s="121"/>
      <c r="BK610" s="6"/>
      <c r="BL610" s="35"/>
      <c r="BM610" s="612"/>
      <c r="BN610" s="21"/>
      <c r="BO610" s="6"/>
      <c r="BP610" s="35"/>
      <c r="BQ610" s="234"/>
      <c r="BR610" s="234"/>
      <c r="BS610" s="395">
        <f t="shared" si="1272"/>
        <v>-150</v>
      </c>
      <c r="BT610" s="29">
        <f t="shared" ref="BT610:BT614" si="1281">BE610</f>
        <v>83</v>
      </c>
      <c r="BU610" s="298">
        <f>SUM(BU274:BU275)</f>
        <v>6</v>
      </c>
      <c r="BV610" s="7">
        <f t="shared" ref="BV610:BV614" si="1282">BU610-BT610</f>
        <v>-77</v>
      </c>
      <c r="BW610" s="258"/>
      <c r="BX610" s="242">
        <f>1+1+1+1+2+2+1</f>
        <v>9</v>
      </c>
      <c r="BY610" s="35">
        <f t="shared" ref="BY610:BY614" si="1283">BT610+BW610-BX610</f>
        <v>74</v>
      </c>
      <c r="BZ610" s="21"/>
      <c r="CA610" s="6"/>
      <c r="CB610" s="35"/>
      <c r="CC610" s="612"/>
      <c r="CD610" s="121"/>
      <c r="CE610" s="6"/>
      <c r="CF610" s="35"/>
      <c r="CG610" s="612"/>
      <c r="CH610" s="21"/>
      <c r="CI610" s="6"/>
      <c r="CJ610" s="35"/>
      <c r="CK610" s="234"/>
      <c r="CL610" s="234"/>
      <c r="CM610" s="395">
        <f t="shared" si="1273"/>
        <v>-150</v>
      </c>
      <c r="CN610" s="29">
        <f t="shared" ref="CN610:CN614" si="1284">BY610</f>
        <v>74</v>
      </c>
      <c r="CO610" s="298">
        <f>SUM(CO274:CO275)</f>
        <v>0</v>
      </c>
      <c r="CP610" s="7">
        <f t="shared" ref="CP610:CP614" si="1285">CO610-CN610</f>
        <v>-74</v>
      </c>
      <c r="CQ610" s="242"/>
      <c r="CR610" s="242"/>
      <c r="CS610" s="35">
        <f t="shared" ref="CS610:CS614" si="1286">CN610+CQ610-CR610</f>
        <v>74</v>
      </c>
      <c r="CT610" s="21"/>
      <c r="CU610" s="6"/>
      <c r="CV610" s="35"/>
      <c r="CW610" s="612"/>
      <c r="CX610" s="121"/>
      <c r="CY610" s="6"/>
      <c r="CZ610" s="35"/>
      <c r="DA610" s="612"/>
      <c r="DB610" s="21"/>
      <c r="DC610" s="6"/>
      <c r="DD610" s="35"/>
      <c r="DE610" s="234"/>
      <c r="DF610" s="234"/>
      <c r="DG610" s="395">
        <f t="shared" si="1274"/>
        <v>-150</v>
      </c>
      <c r="DH610" s="32">
        <f t="shared" si="1259"/>
        <v>74</v>
      </c>
      <c r="DI610" s="298">
        <f>SUM(DI274:DI275)</f>
        <v>0</v>
      </c>
      <c r="DJ610" s="7">
        <f t="shared" ref="DJ610:DJ614" si="1287">DI610-DH610</f>
        <v>-74</v>
      </c>
      <c r="DK610" s="242"/>
      <c r="DL610" s="242"/>
      <c r="DM610" s="35">
        <f t="shared" ref="DM610:DM614" si="1288">DH610+DK610-DL610</f>
        <v>74</v>
      </c>
    </row>
    <row r="611" spans="1:117" x14ac:dyDescent="0.25">
      <c r="A611" s="18"/>
      <c r="B611" s="11" t="s">
        <v>509</v>
      </c>
      <c r="C611" s="18">
        <v>1</v>
      </c>
      <c r="D611" s="11"/>
      <c r="E611" s="11"/>
      <c r="F611" s="149"/>
      <c r="G611" s="11" t="s">
        <v>761</v>
      </c>
      <c r="H611" s="25"/>
      <c r="I611" s="25"/>
      <c r="J611" s="530">
        <f t="shared" si="1270"/>
        <v>-185</v>
      </c>
      <c r="K611" s="395">
        <f t="shared" si="1256"/>
        <v>-194</v>
      </c>
      <c r="L611" s="544">
        <v>195</v>
      </c>
      <c r="M611" s="298">
        <f>SUM(M274:M275)</f>
        <v>1</v>
      </c>
      <c r="N611" s="7">
        <f t="shared" si="1275"/>
        <v>-194</v>
      </c>
      <c r="O611" s="258"/>
      <c r="P611" s="242">
        <f>1+1+1+1+1+1+1+1+1</f>
        <v>9</v>
      </c>
      <c r="Q611" s="35">
        <f t="shared" si="1276"/>
        <v>186</v>
      </c>
      <c r="R611" s="21"/>
      <c r="S611" s="6"/>
      <c r="T611" s="35"/>
      <c r="U611" s="612"/>
      <c r="V611" s="121"/>
      <c r="W611" s="6"/>
      <c r="X611" s="35"/>
      <c r="Y611" s="612"/>
      <c r="Z611" s="21"/>
      <c r="AA611" s="6"/>
      <c r="AB611" s="35"/>
      <c r="AC611" s="234"/>
      <c r="AD611" s="234"/>
      <c r="AE611" s="395">
        <f t="shared" si="1257"/>
        <v>-193</v>
      </c>
      <c r="AF611" s="29">
        <f t="shared" si="1258"/>
        <v>186</v>
      </c>
      <c r="AG611" s="298">
        <f>SUM(AG274:AG275)</f>
        <v>1</v>
      </c>
      <c r="AH611" s="7">
        <f t="shared" si="1277"/>
        <v>-185</v>
      </c>
      <c r="AI611" s="258"/>
      <c r="AJ611" s="242">
        <f>1+1+1+1+1+1+1+1+1+1+1</f>
        <v>11</v>
      </c>
      <c r="AK611" s="35">
        <f t="shared" si="1278"/>
        <v>175</v>
      </c>
      <c r="AL611" s="21"/>
      <c r="AM611" s="6"/>
      <c r="AN611" s="35"/>
      <c r="AO611" s="612"/>
      <c r="AP611" s="121"/>
      <c r="AQ611" s="6"/>
      <c r="AR611" s="35"/>
      <c r="AS611" s="612"/>
      <c r="AT611" s="21"/>
      <c r="AU611" s="6"/>
      <c r="AV611" s="35"/>
      <c r="AW611" s="234"/>
      <c r="AX611" s="234"/>
      <c r="AY611" s="395">
        <f t="shared" si="1271"/>
        <v>-191</v>
      </c>
      <c r="AZ611" s="613">
        <v>91</v>
      </c>
      <c r="BA611" s="298">
        <f>SUM(BA274:BA275)</f>
        <v>2</v>
      </c>
      <c r="BB611" s="7">
        <f t="shared" si="1279"/>
        <v>-89</v>
      </c>
      <c r="BC611" s="258"/>
      <c r="BD611" s="242">
        <f>1+1+1+1+1+1+1</f>
        <v>7</v>
      </c>
      <c r="BE611" s="35">
        <f t="shared" si="1280"/>
        <v>84</v>
      </c>
      <c r="BF611" s="21"/>
      <c r="BG611" s="6"/>
      <c r="BH611" s="35"/>
      <c r="BI611" s="612"/>
      <c r="BJ611" s="121"/>
      <c r="BK611" s="6"/>
      <c r="BL611" s="35"/>
      <c r="BM611" s="612"/>
      <c r="BN611" s="21"/>
      <c r="BO611" s="6"/>
      <c r="BP611" s="35"/>
      <c r="BQ611" s="234"/>
      <c r="BR611" s="234"/>
      <c r="BS611" s="395">
        <f t="shared" si="1272"/>
        <v>-185</v>
      </c>
      <c r="BT611" s="29">
        <f t="shared" si="1281"/>
        <v>84</v>
      </c>
      <c r="BU611" s="298">
        <f>SUM(BU274:BU275)</f>
        <v>6</v>
      </c>
      <c r="BV611" s="7">
        <f t="shared" si="1282"/>
        <v>-78</v>
      </c>
      <c r="BW611" s="258"/>
      <c r="BX611" s="242"/>
      <c r="BY611" s="35">
        <f t="shared" si="1283"/>
        <v>84</v>
      </c>
      <c r="BZ611" s="21"/>
      <c r="CA611" s="6"/>
      <c r="CB611" s="35"/>
      <c r="CC611" s="612"/>
      <c r="CD611" s="121"/>
      <c r="CE611" s="6"/>
      <c r="CF611" s="35"/>
      <c r="CG611" s="612"/>
      <c r="CH611" s="21"/>
      <c r="CI611" s="6"/>
      <c r="CJ611" s="35"/>
      <c r="CK611" s="234"/>
      <c r="CL611" s="234"/>
      <c r="CM611" s="395">
        <f t="shared" si="1273"/>
        <v>-185</v>
      </c>
      <c r="CN611" s="29">
        <f t="shared" si="1284"/>
        <v>84</v>
      </c>
      <c r="CO611" s="298">
        <f>SUM(CO274:CO275)</f>
        <v>0</v>
      </c>
      <c r="CP611" s="7">
        <f t="shared" si="1285"/>
        <v>-84</v>
      </c>
      <c r="CQ611" s="242"/>
      <c r="CR611" s="242"/>
      <c r="CS611" s="35">
        <f t="shared" si="1286"/>
        <v>84</v>
      </c>
      <c r="CT611" s="21"/>
      <c r="CU611" s="6"/>
      <c r="CV611" s="35"/>
      <c r="CW611" s="612"/>
      <c r="CX611" s="121"/>
      <c r="CY611" s="6"/>
      <c r="CZ611" s="35"/>
      <c r="DA611" s="612"/>
      <c r="DB611" s="21"/>
      <c r="DC611" s="6"/>
      <c r="DD611" s="35"/>
      <c r="DE611" s="234"/>
      <c r="DF611" s="234"/>
      <c r="DG611" s="395">
        <f t="shared" si="1274"/>
        <v>-185</v>
      </c>
      <c r="DH611" s="32">
        <f t="shared" si="1259"/>
        <v>84</v>
      </c>
      <c r="DI611" s="298">
        <f>SUM(DI274:DI275)</f>
        <v>0</v>
      </c>
      <c r="DJ611" s="7">
        <f t="shared" si="1287"/>
        <v>-84</v>
      </c>
      <c r="DK611" s="242"/>
      <c r="DL611" s="242"/>
      <c r="DM611" s="35">
        <f t="shared" si="1288"/>
        <v>84</v>
      </c>
    </row>
    <row r="612" spans="1:117" ht="30" x14ac:dyDescent="0.25">
      <c r="A612" s="18"/>
      <c r="B612" s="15" t="s">
        <v>510</v>
      </c>
      <c r="C612" s="18">
        <v>1</v>
      </c>
      <c r="D612" s="11"/>
      <c r="E612" s="11"/>
      <c r="F612" s="149"/>
      <c r="G612" s="11" t="s">
        <v>761</v>
      </c>
      <c r="H612" s="25"/>
      <c r="I612" s="25"/>
      <c r="J612" s="530">
        <f t="shared" si="1270"/>
        <v>-137</v>
      </c>
      <c r="K612" s="395">
        <f t="shared" si="1256"/>
        <v>-142</v>
      </c>
      <c r="L612" s="544">
        <v>142</v>
      </c>
      <c r="M612" s="298">
        <f>M441</f>
        <v>0</v>
      </c>
      <c r="N612" s="7">
        <f t="shared" si="1275"/>
        <v>-142</v>
      </c>
      <c r="O612" s="258"/>
      <c r="P612" s="242">
        <f>1+1+1+1+1+1+1+1+1+1+1+1+1</f>
        <v>13</v>
      </c>
      <c r="Q612" s="35">
        <f t="shared" si="1276"/>
        <v>129</v>
      </c>
      <c r="R612" s="21"/>
      <c r="S612" s="6"/>
      <c r="T612" s="35"/>
      <c r="U612" s="612"/>
      <c r="V612" s="121"/>
      <c r="W612" s="6"/>
      <c r="X612" s="35"/>
      <c r="Y612" s="612"/>
      <c r="Z612" s="21"/>
      <c r="AA612" s="6"/>
      <c r="AB612" s="35"/>
      <c r="AC612" s="234"/>
      <c r="AD612" s="234"/>
      <c r="AE612" s="395">
        <f t="shared" si="1257"/>
        <v>-142</v>
      </c>
      <c r="AF612" s="29">
        <f t="shared" si="1258"/>
        <v>129</v>
      </c>
      <c r="AG612" s="298">
        <f>AG441</f>
        <v>0</v>
      </c>
      <c r="AH612" s="7">
        <f t="shared" si="1277"/>
        <v>-129</v>
      </c>
      <c r="AI612" s="258"/>
      <c r="AJ612" s="242">
        <f>1+1+1+1+1+1+1+1+2+1+1+1+1+1</f>
        <v>15</v>
      </c>
      <c r="AK612" s="35">
        <f t="shared" si="1278"/>
        <v>114</v>
      </c>
      <c r="AL612" s="21"/>
      <c r="AM612" s="6"/>
      <c r="AN612" s="35"/>
      <c r="AO612" s="612"/>
      <c r="AP612" s="121"/>
      <c r="AQ612" s="6"/>
      <c r="AR612" s="35"/>
      <c r="AS612" s="612"/>
      <c r="AT612" s="21"/>
      <c r="AU612" s="6"/>
      <c r="AV612" s="35"/>
      <c r="AW612" s="234"/>
      <c r="AX612" s="234"/>
      <c r="AY612" s="395">
        <f t="shared" si="1271"/>
        <v>-141</v>
      </c>
      <c r="AZ612" s="613">
        <v>98</v>
      </c>
      <c r="BA612" s="298">
        <f>BA441</f>
        <v>1</v>
      </c>
      <c r="BB612" s="7">
        <f t="shared" si="1279"/>
        <v>-97</v>
      </c>
      <c r="BC612" s="258"/>
      <c r="BD612" s="242">
        <f>1+1+1+1+1</f>
        <v>5</v>
      </c>
      <c r="BE612" s="35">
        <f t="shared" si="1280"/>
        <v>93</v>
      </c>
      <c r="BF612" s="21"/>
      <c r="BG612" s="6" t="s">
        <v>219</v>
      </c>
      <c r="BH612" s="35"/>
      <c r="BI612" s="612"/>
      <c r="BJ612" s="121"/>
      <c r="BK612" s="6"/>
      <c r="BL612" s="35"/>
      <c r="BM612" s="612"/>
      <c r="BN612" s="21"/>
      <c r="BO612" s="6"/>
      <c r="BP612" s="35"/>
      <c r="BQ612" s="234"/>
      <c r="BR612" s="234"/>
      <c r="BS612" s="395">
        <f t="shared" si="1272"/>
        <v>-137</v>
      </c>
      <c r="BT612" s="29">
        <f t="shared" si="1281"/>
        <v>93</v>
      </c>
      <c r="BU612" s="298">
        <f>BU441</f>
        <v>4</v>
      </c>
      <c r="BV612" s="7">
        <f t="shared" si="1282"/>
        <v>-89</v>
      </c>
      <c r="BW612" s="258"/>
      <c r="BX612" s="242">
        <f>1+1+1+1+1+1+1+1+1+1+1</f>
        <v>11</v>
      </c>
      <c r="BY612" s="35">
        <f t="shared" si="1283"/>
        <v>82</v>
      </c>
      <c r="BZ612" s="21"/>
      <c r="CA612" s="6"/>
      <c r="CB612" s="35"/>
      <c r="CC612" s="612"/>
      <c r="CD612" s="121"/>
      <c r="CE612" s="6"/>
      <c r="CF612" s="35"/>
      <c r="CG612" s="612"/>
      <c r="CH612" s="21"/>
      <c r="CI612" s="6"/>
      <c r="CJ612" s="35"/>
      <c r="CK612" s="234"/>
      <c r="CL612" s="234"/>
      <c r="CM612" s="395">
        <f t="shared" si="1273"/>
        <v>-137</v>
      </c>
      <c r="CN612" s="29">
        <f t="shared" si="1284"/>
        <v>82</v>
      </c>
      <c r="CO612" s="298">
        <f>CO441</f>
        <v>0</v>
      </c>
      <c r="CP612" s="7">
        <f t="shared" si="1285"/>
        <v>-82</v>
      </c>
      <c r="CQ612" s="242"/>
      <c r="CR612" s="242"/>
      <c r="CS612" s="35">
        <f t="shared" si="1286"/>
        <v>82</v>
      </c>
      <c r="CT612" s="21"/>
      <c r="CU612" s="6"/>
      <c r="CV612" s="35"/>
      <c r="CW612" s="612"/>
      <c r="CX612" s="121"/>
      <c r="CY612" s="6"/>
      <c r="CZ612" s="35"/>
      <c r="DA612" s="612"/>
      <c r="DB612" s="21"/>
      <c r="DC612" s="6"/>
      <c r="DD612" s="35"/>
      <c r="DE612" s="234"/>
      <c r="DF612" s="234"/>
      <c r="DG612" s="395">
        <f t="shared" si="1274"/>
        <v>-137</v>
      </c>
      <c r="DH612" s="32">
        <f t="shared" si="1259"/>
        <v>82</v>
      </c>
      <c r="DI612" s="298">
        <f>DI441</f>
        <v>0</v>
      </c>
      <c r="DJ612" s="7">
        <f t="shared" si="1287"/>
        <v>-82</v>
      </c>
      <c r="DK612" s="242"/>
      <c r="DL612" s="242"/>
      <c r="DM612" s="35">
        <f t="shared" si="1288"/>
        <v>82</v>
      </c>
    </row>
    <row r="613" spans="1:117" x14ac:dyDescent="0.25">
      <c r="A613" s="18"/>
      <c r="B613" s="11" t="s">
        <v>511</v>
      </c>
      <c r="C613" s="18">
        <v>1</v>
      </c>
      <c r="D613" s="11"/>
      <c r="E613" s="11"/>
      <c r="F613" s="149"/>
      <c r="G613" s="11" t="s">
        <v>761</v>
      </c>
      <c r="H613" s="25"/>
      <c r="I613" s="25"/>
      <c r="J613" s="530">
        <f t="shared" si="1270"/>
        <v>-137</v>
      </c>
      <c r="K613" s="395">
        <f t="shared" si="1256"/>
        <v>-142</v>
      </c>
      <c r="L613" s="544">
        <v>142</v>
      </c>
      <c r="M613" s="298">
        <f>M441</f>
        <v>0</v>
      </c>
      <c r="N613" s="7">
        <f t="shared" si="1275"/>
        <v>-142</v>
      </c>
      <c r="O613" s="258"/>
      <c r="P613" s="242">
        <f>1+1+1+1+1+1+1+1+1+1+1+1+1</f>
        <v>13</v>
      </c>
      <c r="Q613" s="35">
        <f t="shared" si="1276"/>
        <v>129</v>
      </c>
      <c r="R613" s="21"/>
      <c r="S613" s="6"/>
      <c r="T613" s="35"/>
      <c r="U613" s="612"/>
      <c r="V613" s="121"/>
      <c r="W613" s="6"/>
      <c r="X613" s="35"/>
      <c r="Y613" s="612"/>
      <c r="Z613" s="21"/>
      <c r="AA613" s="6"/>
      <c r="AB613" s="35"/>
      <c r="AC613" s="234"/>
      <c r="AD613" s="234"/>
      <c r="AE613" s="395">
        <f t="shared" si="1257"/>
        <v>-142</v>
      </c>
      <c r="AF613" s="29">
        <f t="shared" si="1258"/>
        <v>129</v>
      </c>
      <c r="AG613" s="298">
        <f>AG441</f>
        <v>0</v>
      </c>
      <c r="AH613" s="7">
        <f t="shared" si="1277"/>
        <v>-129</v>
      </c>
      <c r="AI613" s="258"/>
      <c r="AJ613" s="242">
        <f>1+1+1+1+1+1+1+1+2+1+1+1+1+1</f>
        <v>15</v>
      </c>
      <c r="AK613" s="35">
        <f t="shared" si="1278"/>
        <v>114</v>
      </c>
      <c r="AL613" s="21"/>
      <c r="AM613" s="6"/>
      <c r="AN613" s="35"/>
      <c r="AO613" s="612"/>
      <c r="AP613" s="121"/>
      <c r="AQ613" s="6"/>
      <c r="AR613" s="35"/>
      <c r="AS613" s="612"/>
      <c r="AT613" s="21"/>
      <c r="AU613" s="6"/>
      <c r="AV613" s="35"/>
      <c r="AW613" s="234"/>
      <c r="AX613" s="234"/>
      <c r="AY613" s="395">
        <f t="shared" si="1271"/>
        <v>-141</v>
      </c>
      <c r="AZ613" s="613">
        <v>98</v>
      </c>
      <c r="BA613" s="298">
        <f>BA441</f>
        <v>1</v>
      </c>
      <c r="BB613" s="7">
        <f t="shared" si="1279"/>
        <v>-97</v>
      </c>
      <c r="BC613" s="258"/>
      <c r="BD613" s="242">
        <f>1+1+1+1</f>
        <v>4</v>
      </c>
      <c r="BE613" s="35">
        <f t="shared" si="1280"/>
        <v>94</v>
      </c>
      <c r="BF613" s="21"/>
      <c r="BG613" s="6"/>
      <c r="BH613" s="35"/>
      <c r="BI613" s="612"/>
      <c r="BJ613" s="121"/>
      <c r="BK613" s="6"/>
      <c r="BL613" s="35"/>
      <c r="BM613" s="612"/>
      <c r="BN613" s="21"/>
      <c r="BO613" s="6"/>
      <c r="BP613" s="35"/>
      <c r="BQ613" s="234"/>
      <c r="BR613" s="234"/>
      <c r="BS613" s="395">
        <f t="shared" si="1272"/>
        <v>-137</v>
      </c>
      <c r="BT613" s="29">
        <f t="shared" si="1281"/>
        <v>94</v>
      </c>
      <c r="BU613" s="298">
        <f>BU441</f>
        <v>4</v>
      </c>
      <c r="BV613" s="7">
        <f t="shared" si="1282"/>
        <v>-90</v>
      </c>
      <c r="BW613" s="258"/>
      <c r="BX613" s="242"/>
      <c r="BY613" s="35">
        <f t="shared" si="1283"/>
        <v>94</v>
      </c>
      <c r="BZ613" s="21"/>
      <c r="CA613" s="6"/>
      <c r="CB613" s="35"/>
      <c r="CC613" s="612"/>
      <c r="CD613" s="121"/>
      <c r="CE613" s="6"/>
      <c r="CF613" s="35"/>
      <c r="CG613" s="612"/>
      <c r="CH613" s="21"/>
      <c r="CI613" s="6"/>
      <c r="CJ613" s="35"/>
      <c r="CK613" s="234"/>
      <c r="CL613" s="234"/>
      <c r="CM613" s="395">
        <f t="shared" si="1273"/>
        <v>-137</v>
      </c>
      <c r="CN613" s="29">
        <f t="shared" si="1284"/>
        <v>94</v>
      </c>
      <c r="CO613" s="298">
        <f>CO441</f>
        <v>0</v>
      </c>
      <c r="CP613" s="7">
        <f t="shared" si="1285"/>
        <v>-94</v>
      </c>
      <c r="CQ613" s="242"/>
      <c r="CR613" s="242"/>
      <c r="CS613" s="35">
        <f t="shared" si="1286"/>
        <v>94</v>
      </c>
      <c r="CT613" s="21"/>
      <c r="CU613" s="6"/>
      <c r="CV613" s="35"/>
      <c r="CW613" s="612"/>
      <c r="CX613" s="121"/>
      <c r="CY613" s="6"/>
      <c r="CZ613" s="35"/>
      <c r="DA613" s="612"/>
      <c r="DB613" s="21"/>
      <c r="DC613" s="6"/>
      <c r="DD613" s="35"/>
      <c r="DE613" s="234"/>
      <c r="DF613" s="234"/>
      <c r="DG613" s="395">
        <f t="shared" si="1274"/>
        <v>-137</v>
      </c>
      <c r="DH613" s="32">
        <f t="shared" si="1259"/>
        <v>94</v>
      </c>
      <c r="DI613" s="298">
        <f>DI441</f>
        <v>0</v>
      </c>
      <c r="DJ613" s="7">
        <f t="shared" si="1287"/>
        <v>-94</v>
      </c>
      <c r="DK613" s="242"/>
      <c r="DL613" s="242"/>
      <c r="DM613" s="35">
        <f t="shared" si="1288"/>
        <v>94</v>
      </c>
    </row>
    <row r="614" spans="1:117" ht="30" x14ac:dyDescent="0.25">
      <c r="A614" s="18"/>
      <c r="B614" s="317" t="s">
        <v>674</v>
      </c>
      <c r="C614" s="18">
        <v>1</v>
      </c>
      <c r="D614" s="11"/>
      <c r="E614" s="11"/>
      <c r="F614" s="149"/>
      <c r="G614" s="11" t="s">
        <v>761</v>
      </c>
      <c r="H614" s="25"/>
      <c r="I614" s="25"/>
      <c r="J614" s="530">
        <f t="shared" si="1270"/>
        <v>-226</v>
      </c>
      <c r="K614" s="395">
        <f t="shared" si="1256"/>
        <v>-230</v>
      </c>
      <c r="L614" s="544">
        <v>230</v>
      </c>
      <c r="M614" s="298">
        <f>M453</f>
        <v>0</v>
      </c>
      <c r="N614" s="7">
        <f t="shared" si="1275"/>
        <v>-230</v>
      </c>
      <c r="O614" s="258"/>
      <c r="P614" s="242">
        <f>1+1+1+1+1+1+1+1+1+1+1+1+1+1</f>
        <v>14</v>
      </c>
      <c r="Q614" s="35">
        <f t="shared" si="1276"/>
        <v>216</v>
      </c>
      <c r="R614" s="21"/>
      <c r="S614" s="6"/>
      <c r="T614" s="35"/>
      <c r="U614" s="612"/>
      <c r="V614" s="121"/>
      <c r="W614" s="6"/>
      <c r="X614" s="35"/>
      <c r="Y614" s="612"/>
      <c r="Z614" s="21"/>
      <c r="AA614" s="6"/>
      <c r="AB614" s="35"/>
      <c r="AC614" s="234"/>
      <c r="AD614" s="234"/>
      <c r="AE614" s="395">
        <f t="shared" si="1257"/>
        <v>-230</v>
      </c>
      <c r="AF614" s="29">
        <f t="shared" si="1258"/>
        <v>216</v>
      </c>
      <c r="AG614" s="298">
        <f>AG453</f>
        <v>0</v>
      </c>
      <c r="AH614" s="7">
        <f t="shared" si="1277"/>
        <v>-216</v>
      </c>
      <c r="AI614" s="258"/>
      <c r="AJ614" s="242">
        <f>1+1+1+1+1+1+1+1+1+1+1+1+1+1+1+1+1+1+1+1</f>
        <v>20</v>
      </c>
      <c r="AK614" s="35">
        <f t="shared" si="1278"/>
        <v>196</v>
      </c>
      <c r="AL614" s="21"/>
      <c r="AM614" s="6"/>
      <c r="AN614" s="35"/>
      <c r="AO614" s="612"/>
      <c r="AP614" s="121"/>
      <c r="AQ614" s="6"/>
      <c r="AR614" s="35"/>
      <c r="AS614" s="612"/>
      <c r="AT614" s="21"/>
      <c r="AU614" s="6"/>
      <c r="AV614" s="35"/>
      <c r="AW614" s="234"/>
      <c r="AX614" s="234"/>
      <c r="AY614" s="395">
        <f t="shared" si="1271"/>
        <v>-229</v>
      </c>
      <c r="AZ614" s="613">
        <v>97</v>
      </c>
      <c r="BA614" s="298">
        <f>BA453</f>
        <v>1</v>
      </c>
      <c r="BB614" s="7">
        <f t="shared" si="1279"/>
        <v>-96</v>
      </c>
      <c r="BC614" s="258"/>
      <c r="BD614" s="242">
        <f>1+1+1+1+1+1+1+1</f>
        <v>8</v>
      </c>
      <c r="BE614" s="35">
        <f t="shared" si="1280"/>
        <v>89</v>
      </c>
      <c r="BF614" s="21"/>
      <c r="BG614" s="6"/>
      <c r="BH614" s="35"/>
      <c r="BI614" s="612"/>
      <c r="BJ614" s="121"/>
      <c r="BK614" s="6"/>
      <c r="BL614" s="35"/>
      <c r="BM614" s="612"/>
      <c r="BN614" s="21"/>
      <c r="BO614" s="6"/>
      <c r="BP614" s="35"/>
      <c r="BQ614" s="234"/>
      <c r="BR614" s="234"/>
      <c r="BS614" s="395">
        <f t="shared" si="1272"/>
        <v>-226</v>
      </c>
      <c r="BT614" s="29">
        <f t="shared" si="1281"/>
        <v>89</v>
      </c>
      <c r="BU614" s="298">
        <f>BU453</f>
        <v>3</v>
      </c>
      <c r="BV614" s="7">
        <f t="shared" si="1282"/>
        <v>-86</v>
      </c>
      <c r="BW614" s="258"/>
      <c r="BX614" s="242">
        <f>1+1+1+1+1+1+1+1+1+1+1+4+1+1+1+1+1+1+1+1+1+1+1+1</f>
        <v>27</v>
      </c>
      <c r="BY614" s="35">
        <f t="shared" si="1283"/>
        <v>62</v>
      </c>
      <c r="BZ614" s="21"/>
      <c r="CA614" s="6"/>
      <c r="CB614" s="35"/>
      <c r="CC614" s="612"/>
      <c r="CD614" s="121"/>
      <c r="CE614" s="6"/>
      <c r="CF614" s="35"/>
      <c r="CG614" s="612"/>
      <c r="CH614" s="21"/>
      <c r="CI614" s="6"/>
      <c r="CJ614" s="35"/>
      <c r="CK614" s="234"/>
      <c r="CL614" s="234"/>
      <c r="CM614" s="395">
        <f t="shared" si="1273"/>
        <v>-226</v>
      </c>
      <c r="CN614" s="29">
        <f t="shared" si="1284"/>
        <v>62</v>
      </c>
      <c r="CO614" s="298">
        <f>CO453</f>
        <v>0</v>
      </c>
      <c r="CP614" s="7">
        <f t="shared" si="1285"/>
        <v>-62</v>
      </c>
      <c r="CQ614" s="242"/>
      <c r="CR614" s="242"/>
      <c r="CS614" s="35">
        <f t="shared" si="1286"/>
        <v>62</v>
      </c>
      <c r="CT614" s="21"/>
      <c r="CU614" s="6"/>
      <c r="CV614" s="35"/>
      <c r="CW614" s="612"/>
      <c r="CX614" s="121"/>
      <c r="CY614" s="6"/>
      <c r="CZ614" s="35"/>
      <c r="DA614" s="612"/>
      <c r="DB614" s="21"/>
      <c r="DC614" s="6"/>
      <c r="DD614" s="35"/>
      <c r="DE614" s="234"/>
      <c r="DF614" s="234"/>
      <c r="DG614" s="395">
        <f t="shared" si="1274"/>
        <v>-226</v>
      </c>
      <c r="DH614" s="32">
        <f t="shared" si="1259"/>
        <v>62</v>
      </c>
      <c r="DI614" s="298">
        <f>DI453</f>
        <v>0</v>
      </c>
      <c r="DJ614" s="7">
        <f t="shared" si="1287"/>
        <v>-62</v>
      </c>
      <c r="DK614" s="242"/>
      <c r="DL614" s="242"/>
      <c r="DM614" s="35">
        <f t="shared" si="1288"/>
        <v>62</v>
      </c>
    </row>
    <row r="615" spans="1:117" x14ac:dyDescent="0.25">
      <c r="A615" s="18"/>
      <c r="B615" s="11" t="s">
        <v>512</v>
      </c>
      <c r="C615" s="18">
        <v>1</v>
      </c>
      <c r="D615" s="11"/>
      <c r="E615" s="11"/>
      <c r="F615" s="149"/>
      <c r="G615" s="11" t="s">
        <v>761</v>
      </c>
      <c r="H615" s="25"/>
      <c r="I615" s="25"/>
      <c r="J615" s="530">
        <f t="shared" si="1270"/>
        <v>-255</v>
      </c>
      <c r="K615" s="395">
        <f t="shared" si="1256"/>
        <v>-259</v>
      </c>
      <c r="L615" s="544">
        <v>259</v>
      </c>
      <c r="M615" s="298">
        <f>M453</f>
        <v>0</v>
      </c>
      <c r="N615" s="7">
        <f>M615-L615</f>
        <v>-259</v>
      </c>
      <c r="O615" s="258"/>
      <c r="P615" s="242">
        <f>1+1+1+1+1+1+1+1+1+1+1+1+1+1</f>
        <v>14</v>
      </c>
      <c r="Q615" s="35">
        <f>L615+O615-P615</f>
        <v>245</v>
      </c>
      <c r="R615" s="21"/>
      <c r="S615" s="6"/>
      <c r="T615" s="35"/>
      <c r="U615" s="612"/>
      <c r="V615" s="121"/>
      <c r="W615" s="6"/>
      <c r="X615" s="35"/>
      <c r="Y615" s="612"/>
      <c r="Z615" s="21"/>
      <c r="AA615" s="6"/>
      <c r="AB615" s="35"/>
      <c r="AC615" s="234"/>
      <c r="AD615" s="234"/>
      <c r="AE615" s="395">
        <f t="shared" si="1257"/>
        <v>-259</v>
      </c>
      <c r="AF615" s="29">
        <f t="shared" si="1258"/>
        <v>245</v>
      </c>
      <c r="AG615" s="298">
        <f>AG453</f>
        <v>0</v>
      </c>
      <c r="AH615" s="7">
        <f>AG615-AF615</f>
        <v>-245</v>
      </c>
      <c r="AI615" s="258"/>
      <c r="AJ615" s="242">
        <f>1+1+1+1+1+1+1+1+1+1+1+1+1+1+1+1+1+1+1+1</f>
        <v>20</v>
      </c>
      <c r="AK615" s="35">
        <f>AF615+AI615-AJ615</f>
        <v>225</v>
      </c>
      <c r="AL615" s="21"/>
      <c r="AM615" s="6"/>
      <c r="AN615" s="35"/>
      <c r="AO615" s="612"/>
      <c r="AP615" s="121"/>
      <c r="AQ615" s="6"/>
      <c r="AR615" s="35"/>
      <c r="AS615" s="612"/>
      <c r="AT615" s="21"/>
      <c r="AU615" s="6"/>
      <c r="AV615" s="35"/>
      <c r="AW615" s="234"/>
      <c r="AX615" s="234"/>
      <c r="AY615" s="395">
        <f t="shared" si="1271"/>
        <v>-258</v>
      </c>
      <c r="AZ615" s="613">
        <v>97</v>
      </c>
      <c r="BA615" s="298">
        <f>BA453</f>
        <v>1</v>
      </c>
      <c r="BB615" s="7">
        <f>BA615-AZ615</f>
        <v>-96</v>
      </c>
      <c r="BC615" s="258"/>
      <c r="BD615" s="242">
        <f>1+1</f>
        <v>2</v>
      </c>
      <c r="BE615" s="35">
        <f>AZ615+BC615-BD615</f>
        <v>95</v>
      </c>
      <c r="BF615" s="21"/>
      <c r="BG615" s="6"/>
      <c r="BH615" s="35"/>
      <c r="BI615" s="612"/>
      <c r="BJ615" s="121"/>
      <c r="BK615" s="6"/>
      <c r="BL615" s="35"/>
      <c r="BM615" s="612"/>
      <c r="BN615" s="21"/>
      <c r="BO615" s="6"/>
      <c r="BP615" s="35"/>
      <c r="BQ615" s="234"/>
      <c r="BR615" s="234"/>
      <c r="BS615" s="395">
        <f t="shared" si="1272"/>
        <v>-255</v>
      </c>
      <c r="BT615" s="29">
        <f>BE615</f>
        <v>95</v>
      </c>
      <c r="BU615" s="298">
        <f>BU453</f>
        <v>3</v>
      </c>
      <c r="BV615" s="7">
        <f>BU615-BT615</f>
        <v>-92</v>
      </c>
      <c r="BW615" s="258"/>
      <c r="BX615" s="242"/>
      <c r="BY615" s="35">
        <f>BT615+BW615-BX615</f>
        <v>95</v>
      </c>
      <c r="BZ615" s="21"/>
      <c r="CA615" s="6"/>
      <c r="CB615" s="35"/>
      <c r="CC615" s="612"/>
      <c r="CD615" s="121"/>
      <c r="CE615" s="6"/>
      <c r="CF615" s="35"/>
      <c r="CG615" s="612"/>
      <c r="CH615" s="21"/>
      <c r="CI615" s="6"/>
      <c r="CJ615" s="35"/>
      <c r="CK615" s="234"/>
      <c r="CL615" s="234"/>
      <c r="CM615" s="395">
        <f t="shared" si="1273"/>
        <v>-255</v>
      </c>
      <c r="CN615" s="29">
        <f>BY615</f>
        <v>95</v>
      </c>
      <c r="CO615" s="298">
        <f>CO453</f>
        <v>0</v>
      </c>
      <c r="CP615" s="7">
        <f>CO615-CN615</f>
        <v>-95</v>
      </c>
      <c r="CQ615" s="242"/>
      <c r="CR615" s="242"/>
      <c r="CS615" s="35">
        <f>CN615+CQ615-CR615</f>
        <v>95</v>
      </c>
      <c r="CT615" s="21"/>
      <c r="CU615" s="6"/>
      <c r="CV615" s="35"/>
      <c r="CW615" s="612"/>
      <c r="CX615" s="121"/>
      <c r="CY615" s="6"/>
      <c r="CZ615" s="35"/>
      <c r="DA615" s="612"/>
      <c r="DB615" s="21"/>
      <c r="DC615" s="6"/>
      <c r="DD615" s="35"/>
      <c r="DE615" s="234"/>
      <c r="DF615" s="234"/>
      <c r="DG615" s="395">
        <f t="shared" si="1274"/>
        <v>-255</v>
      </c>
      <c r="DH615" s="32">
        <f t="shared" si="1259"/>
        <v>95</v>
      </c>
      <c r="DI615" s="298">
        <f>DI453</f>
        <v>0</v>
      </c>
      <c r="DJ615" s="7">
        <f>DI615-DH615</f>
        <v>-95</v>
      </c>
      <c r="DK615" s="242"/>
      <c r="DL615" s="242"/>
      <c r="DM615" s="35">
        <f>DH615+DK615-DL615</f>
        <v>95</v>
      </c>
    </row>
    <row r="616" spans="1:117" ht="30" x14ac:dyDescent="0.25">
      <c r="A616" s="18"/>
      <c r="B616" s="317" t="s">
        <v>675</v>
      </c>
      <c r="C616" s="18">
        <v>1</v>
      </c>
      <c r="D616" s="11"/>
      <c r="E616" s="11"/>
      <c r="F616" s="149"/>
      <c r="G616" s="11" t="s">
        <v>761</v>
      </c>
      <c r="H616" s="25"/>
      <c r="I616" s="25"/>
      <c r="J616" s="530">
        <f t="shared" si="1270"/>
        <v>-80</v>
      </c>
      <c r="K616" s="395">
        <f t="shared" ref="K616:K617" si="1289">M616-O616-L616</f>
        <v>-89</v>
      </c>
      <c r="L616" s="544">
        <v>89</v>
      </c>
      <c r="M616" s="298">
        <f>M266</f>
        <v>0</v>
      </c>
      <c r="N616" s="7">
        <f t="shared" ref="N616" si="1290">M616-L616</f>
        <v>-89</v>
      </c>
      <c r="O616" s="258"/>
      <c r="P616" s="242">
        <f>1+1+1+1+1+1+1+1</f>
        <v>8</v>
      </c>
      <c r="Q616" s="35">
        <f t="shared" ref="Q616" si="1291">L616+O616-P616</f>
        <v>81</v>
      </c>
      <c r="R616" s="21"/>
      <c r="S616" s="6"/>
      <c r="T616" s="35"/>
      <c r="U616" s="612"/>
      <c r="V616" s="121"/>
      <c r="W616" s="6"/>
      <c r="X616" s="35"/>
      <c r="Y616" s="612"/>
      <c r="Z616" s="21"/>
      <c r="AA616" s="6"/>
      <c r="AB616" s="35"/>
      <c r="AC616" s="234"/>
      <c r="AD616" s="234"/>
      <c r="AE616" s="395">
        <f t="shared" si="1257"/>
        <v>-89</v>
      </c>
      <c r="AF616" s="29">
        <f t="shared" si="1258"/>
        <v>81</v>
      </c>
      <c r="AG616" s="298">
        <f>AG266</f>
        <v>0</v>
      </c>
      <c r="AH616" s="7">
        <f t="shared" ref="AH616" si="1292">AG616-AF616</f>
        <v>-81</v>
      </c>
      <c r="AI616" s="258"/>
      <c r="AJ616" s="242">
        <f>1+1+1+1+1+1+1+1+1+1+1+1+1</f>
        <v>13</v>
      </c>
      <c r="AK616" s="35">
        <f t="shared" ref="AK616" si="1293">AF616+AI616-AJ616</f>
        <v>68</v>
      </c>
      <c r="AL616" s="21"/>
      <c r="AM616" s="6"/>
      <c r="AN616" s="35"/>
      <c r="AO616" s="612"/>
      <c r="AP616" s="121"/>
      <c r="AQ616" s="6"/>
      <c r="AR616" s="35"/>
      <c r="AS616" s="612"/>
      <c r="AT616" s="21"/>
      <c r="AU616" s="6"/>
      <c r="AV616" s="35"/>
      <c r="AW616" s="234"/>
      <c r="AX616" s="234"/>
      <c r="AY616" s="395">
        <f t="shared" si="1271"/>
        <v>-83</v>
      </c>
      <c r="AZ616" s="613">
        <v>85</v>
      </c>
      <c r="BA616" s="298">
        <f>BA266</f>
        <v>6</v>
      </c>
      <c r="BB616" s="7">
        <f t="shared" ref="BB616" si="1294">BA616-AZ616</f>
        <v>-79</v>
      </c>
      <c r="BC616" s="258"/>
      <c r="BD616" s="242">
        <f>1+1+1+1+1+1</f>
        <v>6</v>
      </c>
      <c r="BE616" s="35">
        <f t="shared" ref="BE616" si="1295">AZ616+BC616-BD616</f>
        <v>79</v>
      </c>
      <c r="BF616" s="21"/>
      <c r="BG616" s="6"/>
      <c r="BH616" s="35"/>
      <c r="BI616" s="612"/>
      <c r="BJ616" s="121"/>
      <c r="BK616" s="6"/>
      <c r="BL616" s="35"/>
      <c r="BM616" s="612"/>
      <c r="BN616" s="21"/>
      <c r="BO616" s="6"/>
      <c r="BP616" s="35"/>
      <c r="BQ616" s="234"/>
      <c r="BR616" s="234"/>
      <c r="BS616" s="395">
        <f t="shared" si="1272"/>
        <v>-80</v>
      </c>
      <c r="BT616" s="29">
        <f t="shared" ref="BT616" si="1296">BE616</f>
        <v>79</v>
      </c>
      <c r="BU616" s="298">
        <f>BU266</f>
        <v>3</v>
      </c>
      <c r="BV616" s="7">
        <f t="shared" ref="BV616" si="1297">BU616-BT616</f>
        <v>-76</v>
      </c>
      <c r="BW616" s="258"/>
      <c r="BX616" s="242">
        <f>1+1+1+1+1+1+1+1+9+1+1</f>
        <v>19</v>
      </c>
      <c r="BY616" s="35">
        <f t="shared" ref="BY616" si="1298">BT616+BW616-BX616</f>
        <v>60</v>
      </c>
      <c r="BZ616" s="21"/>
      <c r="CA616" s="6"/>
      <c r="CB616" s="35"/>
      <c r="CC616" s="612"/>
      <c r="CD616" s="121"/>
      <c r="CE616" s="6"/>
      <c r="CF616" s="35"/>
      <c r="CG616" s="612"/>
      <c r="CH616" s="21"/>
      <c r="CI616" s="6"/>
      <c r="CJ616" s="35"/>
      <c r="CK616" s="234"/>
      <c r="CL616" s="234"/>
      <c r="CM616" s="395">
        <f t="shared" si="1273"/>
        <v>-80</v>
      </c>
      <c r="CN616" s="29">
        <f t="shared" ref="CN616" si="1299">BY616</f>
        <v>60</v>
      </c>
      <c r="CO616" s="298">
        <f>CO266</f>
        <v>0</v>
      </c>
      <c r="CP616" s="7">
        <f t="shared" ref="CP616" si="1300">CO616-CN616</f>
        <v>-60</v>
      </c>
      <c r="CQ616" s="242"/>
      <c r="CR616" s="242"/>
      <c r="CS616" s="35">
        <f t="shared" ref="CS616" si="1301">CN616+CQ616-CR616</f>
        <v>60</v>
      </c>
      <c r="CT616" s="21"/>
      <c r="CU616" s="6"/>
      <c r="CV616" s="35"/>
      <c r="CW616" s="612"/>
      <c r="CX616" s="121"/>
      <c r="CY616" s="6"/>
      <c r="CZ616" s="35"/>
      <c r="DA616" s="612"/>
      <c r="DB616" s="21"/>
      <c r="DC616" s="6"/>
      <c r="DD616" s="35"/>
      <c r="DE616" s="234"/>
      <c r="DF616" s="234"/>
      <c r="DG616" s="395">
        <f t="shared" si="1274"/>
        <v>-80</v>
      </c>
      <c r="DH616" s="32">
        <f t="shared" ref="DH616:DH617" si="1302">BY616</f>
        <v>60</v>
      </c>
      <c r="DI616" s="298">
        <f>DI266</f>
        <v>0</v>
      </c>
      <c r="DJ616" s="7">
        <f t="shared" ref="DJ616" si="1303">DI616-DH616</f>
        <v>-60</v>
      </c>
      <c r="DK616" s="242"/>
      <c r="DL616" s="242"/>
      <c r="DM616" s="35">
        <f t="shared" ref="DM616" si="1304">DH616+DK616-DL616</f>
        <v>60</v>
      </c>
    </row>
    <row r="617" spans="1:117" x14ac:dyDescent="0.25">
      <c r="A617" s="18"/>
      <c r="B617" s="11" t="s">
        <v>672</v>
      </c>
      <c r="C617" s="18">
        <v>1</v>
      </c>
      <c r="D617" s="11"/>
      <c r="E617" s="11"/>
      <c r="F617" s="149"/>
      <c r="G617" s="11" t="s">
        <v>761</v>
      </c>
      <c r="H617" s="25"/>
      <c r="I617" s="25"/>
      <c r="J617" s="530">
        <f t="shared" si="1270"/>
        <v>-80</v>
      </c>
      <c r="K617" s="395">
        <f t="shared" si="1289"/>
        <v>-89</v>
      </c>
      <c r="L617" s="544">
        <v>89</v>
      </c>
      <c r="M617" s="298">
        <f>M266</f>
        <v>0</v>
      </c>
      <c r="N617" s="7">
        <f>M617-L617</f>
        <v>-89</v>
      </c>
      <c r="O617" s="258"/>
      <c r="P617" s="242">
        <f>1+1+1+1+1+1+1+1</f>
        <v>8</v>
      </c>
      <c r="Q617" s="35">
        <f>L617+O617-P617</f>
        <v>81</v>
      </c>
      <c r="R617" s="21"/>
      <c r="S617" s="6"/>
      <c r="T617" s="35"/>
      <c r="U617" s="612"/>
      <c r="V617" s="121"/>
      <c r="W617" s="6"/>
      <c r="X617" s="35"/>
      <c r="Y617" s="612"/>
      <c r="Z617" s="21"/>
      <c r="AA617" s="6"/>
      <c r="AB617" s="35"/>
      <c r="AC617" s="234"/>
      <c r="AD617" s="234"/>
      <c r="AE617" s="395">
        <f t="shared" si="1257"/>
        <v>-89</v>
      </c>
      <c r="AF617" s="29">
        <f t="shared" si="1258"/>
        <v>81</v>
      </c>
      <c r="AG617" s="298">
        <f>AG266</f>
        <v>0</v>
      </c>
      <c r="AH617" s="7">
        <f>AG617-AF617</f>
        <v>-81</v>
      </c>
      <c r="AI617" s="258"/>
      <c r="AJ617" s="242">
        <f>1+1+1+1+1+1+1+1+1+1+1+1+1</f>
        <v>13</v>
      </c>
      <c r="AK617" s="35">
        <f>AF617+AI617-AJ617</f>
        <v>68</v>
      </c>
      <c r="AL617" s="21"/>
      <c r="AM617" s="6"/>
      <c r="AN617" s="35"/>
      <c r="AO617" s="612"/>
      <c r="AP617" s="121"/>
      <c r="AQ617" s="6"/>
      <c r="AR617" s="35"/>
      <c r="AS617" s="612"/>
      <c r="AT617" s="21"/>
      <c r="AU617" s="6"/>
      <c r="AV617" s="35"/>
      <c r="AW617" s="234"/>
      <c r="AX617" s="234"/>
      <c r="AY617" s="395">
        <f t="shared" si="1271"/>
        <v>-83</v>
      </c>
      <c r="AZ617" s="613">
        <v>85</v>
      </c>
      <c r="BA617" s="298">
        <f>BA266</f>
        <v>6</v>
      </c>
      <c r="BB617" s="7">
        <f>BA617-AZ617</f>
        <v>-79</v>
      </c>
      <c r="BC617" s="258"/>
      <c r="BD617" s="242">
        <f>1+1+1+1+1</f>
        <v>5</v>
      </c>
      <c r="BE617" s="35">
        <f>AZ617+BC617-BD617</f>
        <v>80</v>
      </c>
      <c r="BF617" s="21"/>
      <c r="BG617" s="6"/>
      <c r="BH617" s="35"/>
      <c r="BI617" s="612"/>
      <c r="BJ617" s="121"/>
      <c r="BK617" s="6"/>
      <c r="BL617" s="35"/>
      <c r="BM617" s="612"/>
      <c r="BN617" s="21"/>
      <c r="BO617" s="6"/>
      <c r="BP617" s="35"/>
      <c r="BQ617" s="234"/>
      <c r="BR617" s="234"/>
      <c r="BS617" s="395">
        <f t="shared" si="1272"/>
        <v>-80</v>
      </c>
      <c r="BT617" s="29">
        <f>BE617</f>
        <v>80</v>
      </c>
      <c r="BU617" s="298">
        <f>BU266</f>
        <v>3</v>
      </c>
      <c r="BV617" s="7">
        <f>BU617-BT617</f>
        <v>-77</v>
      </c>
      <c r="BW617" s="258"/>
      <c r="BX617" s="242"/>
      <c r="BY617" s="35">
        <f>BT617+BW617-BX617</f>
        <v>80</v>
      </c>
      <c r="BZ617" s="21"/>
      <c r="CA617" s="6"/>
      <c r="CB617" s="35"/>
      <c r="CC617" s="612"/>
      <c r="CD617" s="121"/>
      <c r="CE617" s="6"/>
      <c r="CF617" s="35"/>
      <c r="CG617" s="612"/>
      <c r="CH617" s="21"/>
      <c r="CI617" s="6"/>
      <c r="CJ617" s="35"/>
      <c r="CK617" s="234"/>
      <c r="CL617" s="234"/>
      <c r="CM617" s="395">
        <f t="shared" si="1273"/>
        <v>-80</v>
      </c>
      <c r="CN617" s="29">
        <f>BY617</f>
        <v>80</v>
      </c>
      <c r="CO617" s="298">
        <f>CO266</f>
        <v>0</v>
      </c>
      <c r="CP617" s="7">
        <f>CO617-CN617</f>
        <v>-80</v>
      </c>
      <c r="CQ617" s="242"/>
      <c r="CR617" s="242"/>
      <c r="CS617" s="35">
        <f>CN617+CQ617-CR617</f>
        <v>80</v>
      </c>
      <c r="CT617" s="21"/>
      <c r="CU617" s="6"/>
      <c r="CV617" s="35"/>
      <c r="CW617" s="612"/>
      <c r="CX617" s="121"/>
      <c r="CY617" s="6"/>
      <c r="CZ617" s="35"/>
      <c r="DA617" s="612"/>
      <c r="DB617" s="21"/>
      <c r="DC617" s="6"/>
      <c r="DD617" s="35"/>
      <c r="DE617" s="234"/>
      <c r="DF617" s="234"/>
      <c r="DG617" s="395">
        <f t="shared" si="1274"/>
        <v>-80</v>
      </c>
      <c r="DH617" s="32">
        <f t="shared" si="1302"/>
        <v>80</v>
      </c>
      <c r="DI617" s="298">
        <f>DI266</f>
        <v>0</v>
      </c>
      <c r="DJ617" s="7">
        <f>DI617-DH617</f>
        <v>-80</v>
      </c>
      <c r="DK617" s="242"/>
      <c r="DL617" s="242"/>
      <c r="DM617" s="35">
        <f>DH617+DK617-DL617</f>
        <v>80</v>
      </c>
    </row>
    <row r="618" spans="1:117" x14ac:dyDescent="0.25">
      <c r="A618" s="75"/>
      <c r="B618" s="74" t="s">
        <v>832</v>
      </c>
      <c r="C618" s="75"/>
      <c r="D618" s="74"/>
      <c r="E618" s="74"/>
      <c r="F618" s="275"/>
      <c r="G618" s="74"/>
      <c r="H618" s="77"/>
      <c r="I618" s="77"/>
      <c r="J618" s="614"/>
      <c r="K618" s="406"/>
      <c r="L618" s="615"/>
      <c r="M618" s="299"/>
      <c r="N618" s="432"/>
      <c r="O618" s="425"/>
      <c r="P618" s="315"/>
      <c r="Q618" s="79"/>
      <c r="R618" s="131"/>
      <c r="S618" s="130"/>
      <c r="T618" s="79"/>
      <c r="U618" s="712"/>
      <c r="V618" s="129"/>
      <c r="W618" s="130"/>
      <c r="X618" s="79"/>
      <c r="Y618" s="712"/>
      <c r="Z618" s="131"/>
      <c r="AA618" s="130"/>
      <c r="AB618" s="79"/>
      <c r="AC618" s="619"/>
      <c r="AD618" s="619"/>
      <c r="AE618" s="406"/>
      <c r="AF618" s="276"/>
      <c r="AG618" s="299"/>
      <c r="AH618" s="432"/>
      <c r="AI618" s="425"/>
      <c r="AJ618" s="315"/>
      <c r="AK618" s="79"/>
      <c r="AL618" s="131"/>
      <c r="AM618" s="130"/>
      <c r="AN618" s="79"/>
      <c r="AO618" s="712"/>
      <c r="AP618" s="129"/>
      <c r="AQ618" s="130"/>
      <c r="AR618" s="79"/>
      <c r="AS618" s="712"/>
      <c r="AT618" s="131"/>
      <c r="AU618" s="130"/>
      <c r="AV618" s="79"/>
      <c r="AW618" s="619"/>
      <c r="AX618" s="619"/>
      <c r="AY618" s="406"/>
      <c r="AZ618" s="616"/>
      <c r="BA618" s="298"/>
      <c r="BB618" s="5"/>
      <c r="BC618" s="256"/>
      <c r="BD618" s="240">
        <f>1</f>
        <v>1</v>
      </c>
      <c r="BE618" s="79"/>
      <c r="BF618" s="131"/>
      <c r="BG618" s="130"/>
      <c r="BH618" s="79"/>
      <c r="BI618" s="712"/>
      <c r="BJ618" s="129"/>
      <c r="BK618" s="130"/>
      <c r="BL618" s="79"/>
      <c r="BM618" s="712"/>
      <c r="BN618" s="131"/>
      <c r="BO618" s="130"/>
      <c r="BP618" s="79"/>
      <c r="BQ618" s="619"/>
      <c r="BR618" s="619"/>
      <c r="BS618" s="406"/>
      <c r="BT618" s="276"/>
      <c r="BU618" s="299"/>
      <c r="BV618" s="5"/>
      <c r="BW618" s="256"/>
      <c r="BX618" s="240">
        <f>1+1+1+1+1+1</f>
        <v>6</v>
      </c>
      <c r="BY618" s="35"/>
      <c r="BZ618" s="131"/>
      <c r="CA618" s="130"/>
      <c r="CB618" s="79"/>
      <c r="CC618" s="712"/>
      <c r="CD618" s="129"/>
      <c r="CE618" s="130"/>
      <c r="CF618" s="79"/>
      <c r="CG618" s="712"/>
      <c r="CH618" s="131"/>
      <c r="CI618" s="130"/>
      <c r="CJ618" s="79"/>
      <c r="CK618" s="619"/>
      <c r="CL618" s="619"/>
      <c r="CM618" s="406"/>
      <c r="CN618" s="276"/>
      <c r="CO618" s="299"/>
      <c r="CP618" s="5"/>
      <c r="CQ618" s="240"/>
      <c r="CR618" s="240"/>
      <c r="CS618" s="79"/>
      <c r="CT618" s="131"/>
      <c r="CU618" s="130"/>
      <c r="CV618" s="79"/>
      <c r="CW618" s="712"/>
      <c r="CX618" s="129"/>
      <c r="CY618" s="130"/>
      <c r="CZ618" s="79"/>
      <c r="DA618" s="712"/>
      <c r="DB618" s="131"/>
      <c r="DC618" s="130"/>
      <c r="DD618" s="79"/>
      <c r="DE618" s="619"/>
      <c r="DF618" s="619"/>
      <c r="DG618" s="406"/>
      <c r="DH618" s="451"/>
      <c r="DI618" s="299"/>
      <c r="DJ618" s="432"/>
      <c r="DK618" s="315"/>
      <c r="DL618" s="315"/>
      <c r="DM618" s="79"/>
    </row>
    <row r="619" spans="1:117" x14ac:dyDescent="0.25">
      <c r="A619" s="75"/>
      <c r="B619" s="74" t="s">
        <v>833</v>
      </c>
      <c r="C619" s="75"/>
      <c r="D619" s="74"/>
      <c r="E619" s="74"/>
      <c r="F619" s="275"/>
      <c r="G619" s="74"/>
      <c r="H619" s="77"/>
      <c r="I619" s="77"/>
      <c r="J619" s="614"/>
      <c r="K619" s="406"/>
      <c r="L619" s="615"/>
      <c r="M619" s="299"/>
      <c r="N619" s="432"/>
      <c r="O619" s="425"/>
      <c r="P619" s="315"/>
      <c r="Q619" s="79"/>
      <c r="R619" s="131"/>
      <c r="S619" s="130"/>
      <c r="T619" s="79"/>
      <c r="U619" s="712"/>
      <c r="V619" s="129"/>
      <c r="W619" s="130"/>
      <c r="X619" s="79"/>
      <c r="Y619" s="712"/>
      <c r="Z619" s="131"/>
      <c r="AA619" s="130"/>
      <c r="AB619" s="79"/>
      <c r="AC619" s="619"/>
      <c r="AD619" s="619"/>
      <c r="AE619" s="406"/>
      <c r="AF619" s="276"/>
      <c r="AG619" s="299"/>
      <c r="AH619" s="432"/>
      <c r="AI619" s="425"/>
      <c r="AJ619" s="315"/>
      <c r="AK619" s="79"/>
      <c r="AL619" s="131"/>
      <c r="AM619" s="130"/>
      <c r="AN619" s="79"/>
      <c r="AO619" s="712"/>
      <c r="AP619" s="129"/>
      <c r="AQ619" s="130"/>
      <c r="AR619" s="79"/>
      <c r="AS619" s="712"/>
      <c r="AT619" s="131"/>
      <c r="AU619" s="130"/>
      <c r="AV619" s="79"/>
      <c r="AW619" s="619"/>
      <c r="AX619" s="619"/>
      <c r="AY619" s="406"/>
      <c r="AZ619" s="616"/>
      <c r="BA619" s="298"/>
      <c r="BB619" s="5"/>
      <c r="BC619" s="256"/>
      <c r="BD619" s="240">
        <f>1</f>
        <v>1</v>
      </c>
      <c r="BE619" s="79"/>
      <c r="BF619" s="131"/>
      <c r="BG619" s="130"/>
      <c r="BH619" s="79"/>
      <c r="BI619" s="712"/>
      <c r="BJ619" s="129"/>
      <c r="BK619" s="130"/>
      <c r="BL619" s="79"/>
      <c r="BM619" s="712"/>
      <c r="BN619" s="131"/>
      <c r="BO619" s="130"/>
      <c r="BP619" s="79"/>
      <c r="BQ619" s="619"/>
      <c r="BR619" s="619"/>
      <c r="BS619" s="406"/>
      <c r="BT619" s="276"/>
      <c r="BU619" s="299"/>
      <c r="BV619" s="5"/>
      <c r="BW619" s="256"/>
      <c r="BX619" s="240">
        <f>4+1+1+1+1+1+1+1+1+1+1+1+1+1</f>
        <v>17</v>
      </c>
      <c r="BY619" s="35"/>
      <c r="BZ619" s="131"/>
      <c r="CA619" s="130"/>
      <c r="CB619" s="79"/>
      <c r="CC619" s="712"/>
      <c r="CD619" s="129"/>
      <c r="CE619" s="130"/>
      <c r="CF619" s="79"/>
      <c r="CG619" s="712"/>
      <c r="CH619" s="131"/>
      <c r="CI619" s="130"/>
      <c r="CJ619" s="79"/>
      <c r="CK619" s="619"/>
      <c r="CL619" s="619"/>
      <c r="CM619" s="406"/>
      <c r="CN619" s="276"/>
      <c r="CO619" s="299"/>
      <c r="CP619" s="5"/>
      <c r="CQ619" s="240"/>
      <c r="CR619" s="240"/>
      <c r="CS619" s="79"/>
      <c r="CT619" s="131"/>
      <c r="CU619" s="130"/>
      <c r="CV619" s="79"/>
      <c r="CW619" s="712"/>
      <c r="CX619" s="129"/>
      <c r="CY619" s="130"/>
      <c r="CZ619" s="79"/>
      <c r="DA619" s="712"/>
      <c r="DB619" s="131"/>
      <c r="DC619" s="130"/>
      <c r="DD619" s="79"/>
      <c r="DE619" s="619"/>
      <c r="DF619" s="619"/>
      <c r="DG619" s="406"/>
      <c r="DH619" s="451"/>
      <c r="DI619" s="299"/>
      <c r="DJ619" s="432"/>
      <c r="DK619" s="315"/>
      <c r="DL619" s="315"/>
      <c r="DM619" s="79"/>
    </row>
    <row r="620" spans="1:117" x14ac:dyDescent="0.25">
      <c r="A620" s="75"/>
      <c r="B620" s="74" t="s">
        <v>831</v>
      </c>
      <c r="C620" s="75"/>
      <c r="D620" s="74"/>
      <c r="E620" s="74"/>
      <c r="F620" s="275"/>
      <c r="G620" s="74"/>
      <c r="H620" s="77"/>
      <c r="I620" s="77"/>
      <c r="J620" s="614"/>
      <c r="K620" s="406"/>
      <c r="L620" s="615"/>
      <c r="M620" s="299"/>
      <c r="N620" s="432"/>
      <c r="O620" s="425"/>
      <c r="P620" s="315"/>
      <c r="Q620" s="79"/>
      <c r="R620" s="131"/>
      <c r="S620" s="130"/>
      <c r="T620" s="79"/>
      <c r="U620" s="712"/>
      <c r="V620" s="129"/>
      <c r="W620" s="130"/>
      <c r="X620" s="79"/>
      <c r="Y620" s="712"/>
      <c r="Z620" s="131"/>
      <c r="AA620" s="130"/>
      <c r="AB620" s="79"/>
      <c r="AC620" s="619"/>
      <c r="AD620" s="619"/>
      <c r="AE620" s="406"/>
      <c r="AF620" s="276"/>
      <c r="AG620" s="299"/>
      <c r="AH620" s="432"/>
      <c r="AI620" s="425"/>
      <c r="AJ620" s="315"/>
      <c r="AK620" s="79"/>
      <c r="AL620" s="131"/>
      <c r="AM620" s="130"/>
      <c r="AN620" s="79"/>
      <c r="AO620" s="712"/>
      <c r="AP620" s="129"/>
      <c r="AQ620" s="130"/>
      <c r="AR620" s="79"/>
      <c r="AS620" s="712"/>
      <c r="AT620" s="131"/>
      <c r="AU620" s="130"/>
      <c r="AV620" s="79"/>
      <c r="AW620" s="619"/>
      <c r="AX620" s="619"/>
      <c r="AY620" s="406"/>
      <c r="AZ620" s="616"/>
      <c r="BA620" s="418"/>
      <c r="BB620" s="5"/>
      <c r="BC620" s="256"/>
      <c r="BD620" s="240">
        <f>1+1</f>
        <v>2</v>
      </c>
      <c r="BE620" s="79"/>
      <c r="BF620" s="131"/>
      <c r="BG620" s="130"/>
      <c r="BH620" s="79"/>
      <c r="BI620" s="712"/>
      <c r="BJ620" s="129"/>
      <c r="BK620" s="130"/>
      <c r="BL620" s="79"/>
      <c r="BM620" s="712"/>
      <c r="BN620" s="131"/>
      <c r="BO620" s="130"/>
      <c r="BP620" s="79"/>
      <c r="BQ620" s="619"/>
      <c r="BR620" s="619"/>
      <c r="BS620" s="406"/>
      <c r="BT620" s="276"/>
      <c r="BU620" s="299"/>
      <c r="BV620" s="5"/>
      <c r="BW620" s="256"/>
      <c r="BX620" s="240">
        <f>1+1</f>
        <v>2</v>
      </c>
      <c r="BY620" s="35"/>
      <c r="BZ620" s="131"/>
      <c r="CA620" s="130"/>
      <c r="CB620" s="79"/>
      <c r="CC620" s="712"/>
      <c r="CD620" s="129"/>
      <c r="CE620" s="130"/>
      <c r="CF620" s="79"/>
      <c r="CG620" s="712"/>
      <c r="CH620" s="131"/>
      <c r="CI620" s="130"/>
      <c r="CJ620" s="79"/>
      <c r="CK620" s="619"/>
      <c r="CL620" s="619"/>
      <c r="CM620" s="406"/>
      <c r="CN620" s="276"/>
      <c r="CO620" s="299"/>
      <c r="CP620" s="5"/>
      <c r="CQ620" s="240"/>
      <c r="CR620" s="240"/>
      <c r="CS620" s="79"/>
      <c r="CT620" s="131"/>
      <c r="CU620" s="130"/>
      <c r="CV620" s="79"/>
      <c r="CW620" s="712"/>
      <c r="CX620" s="129"/>
      <c r="CY620" s="130"/>
      <c r="CZ620" s="79"/>
      <c r="DA620" s="712"/>
      <c r="DB620" s="131"/>
      <c r="DC620" s="130"/>
      <c r="DD620" s="79"/>
      <c r="DE620" s="619"/>
      <c r="DF620" s="619"/>
      <c r="DG620" s="406"/>
      <c r="DH620" s="451"/>
      <c r="DI620" s="299"/>
      <c r="DJ620" s="432"/>
      <c r="DK620" s="315"/>
      <c r="DL620" s="315"/>
      <c r="DM620" s="79"/>
    </row>
    <row r="621" spans="1:117" x14ac:dyDescent="0.25">
      <c r="A621" s="75"/>
      <c r="B621" s="74" t="s">
        <v>834</v>
      </c>
      <c r="C621" s="75"/>
      <c r="D621" s="74"/>
      <c r="E621" s="74"/>
      <c r="F621" s="275"/>
      <c r="G621" s="74"/>
      <c r="H621" s="77"/>
      <c r="I621" s="77"/>
      <c r="J621" s="614"/>
      <c r="K621" s="406"/>
      <c r="L621" s="615"/>
      <c r="M621" s="299"/>
      <c r="N621" s="432"/>
      <c r="O621" s="425"/>
      <c r="P621" s="315"/>
      <c r="Q621" s="79"/>
      <c r="R621" s="131"/>
      <c r="S621" s="130"/>
      <c r="T621" s="79"/>
      <c r="U621" s="712"/>
      <c r="V621" s="129"/>
      <c r="W621" s="130"/>
      <c r="X621" s="79"/>
      <c r="Y621" s="712"/>
      <c r="Z621" s="131"/>
      <c r="AA621" s="130"/>
      <c r="AB621" s="79"/>
      <c r="AC621" s="619"/>
      <c r="AD621" s="619"/>
      <c r="AE621" s="406"/>
      <c r="AF621" s="276"/>
      <c r="AG621" s="299"/>
      <c r="AH621" s="432"/>
      <c r="AI621" s="425"/>
      <c r="AJ621" s="315"/>
      <c r="AK621" s="79"/>
      <c r="AL621" s="131"/>
      <c r="AM621" s="130"/>
      <c r="AN621" s="79"/>
      <c r="AO621" s="712"/>
      <c r="AP621" s="129"/>
      <c r="AQ621" s="130"/>
      <c r="AR621" s="79"/>
      <c r="AS621" s="712"/>
      <c r="AT621" s="131"/>
      <c r="AU621" s="130"/>
      <c r="AV621" s="79"/>
      <c r="AW621" s="619"/>
      <c r="AX621" s="619"/>
      <c r="AY621" s="406"/>
      <c r="AZ621" s="616"/>
      <c r="BA621" s="299"/>
      <c r="BB621" s="5"/>
      <c r="BC621" s="256"/>
      <c r="BD621" s="240">
        <f>1+1+1</f>
        <v>3</v>
      </c>
      <c r="BE621" s="79"/>
      <c r="BF621" s="131"/>
      <c r="BG621" s="130"/>
      <c r="BH621" s="79"/>
      <c r="BI621" s="712"/>
      <c r="BJ621" s="129"/>
      <c r="BK621" s="130"/>
      <c r="BL621" s="79"/>
      <c r="BM621" s="712"/>
      <c r="BN621" s="131"/>
      <c r="BO621" s="130"/>
      <c r="BP621" s="79"/>
      <c r="BQ621" s="619"/>
      <c r="BR621" s="619"/>
      <c r="BS621" s="406"/>
      <c r="BT621" s="276"/>
      <c r="BU621" s="299"/>
      <c r="BV621" s="5"/>
      <c r="BW621" s="256"/>
      <c r="BX621" s="240">
        <f>4+4+1+1+1+1+1+1+1+1+1</f>
        <v>17</v>
      </c>
      <c r="BY621" s="35"/>
      <c r="BZ621" s="131"/>
      <c r="CA621" s="130"/>
      <c r="CB621" s="79"/>
      <c r="CC621" s="712"/>
      <c r="CD621" s="129"/>
      <c r="CE621" s="130"/>
      <c r="CF621" s="79"/>
      <c r="CG621" s="712"/>
      <c r="CH621" s="131"/>
      <c r="CI621" s="130"/>
      <c r="CJ621" s="79"/>
      <c r="CK621" s="619"/>
      <c r="CL621" s="619"/>
      <c r="CM621" s="406"/>
      <c r="CN621" s="276"/>
      <c r="CO621" s="299"/>
      <c r="CP621" s="5"/>
      <c r="CQ621" s="240"/>
      <c r="CR621" s="240"/>
      <c r="CS621" s="79"/>
      <c r="CT621" s="131"/>
      <c r="CU621" s="130"/>
      <c r="CV621" s="79"/>
      <c r="CW621" s="712"/>
      <c r="CX621" s="129"/>
      <c r="CY621" s="130"/>
      <c r="CZ621" s="79"/>
      <c r="DA621" s="712"/>
      <c r="DB621" s="131"/>
      <c r="DC621" s="130"/>
      <c r="DD621" s="79"/>
      <c r="DE621" s="619"/>
      <c r="DF621" s="619"/>
      <c r="DG621" s="406"/>
      <c r="DH621" s="451"/>
      <c r="DI621" s="299"/>
      <c r="DJ621" s="432"/>
      <c r="DK621" s="315"/>
      <c r="DL621" s="315"/>
      <c r="DM621" s="79"/>
    </row>
    <row r="622" spans="1:117" x14ac:dyDescent="0.25">
      <c r="A622" s="75"/>
      <c r="B622" s="74" t="s">
        <v>835</v>
      </c>
      <c r="C622" s="75"/>
      <c r="D622" s="74"/>
      <c r="E622" s="74"/>
      <c r="F622" s="275"/>
      <c r="G622" s="74"/>
      <c r="H622" s="77"/>
      <c r="I622" s="77"/>
      <c r="J622" s="614"/>
      <c r="K622" s="406"/>
      <c r="L622" s="615"/>
      <c r="M622" s="299"/>
      <c r="N622" s="432"/>
      <c r="O622" s="425"/>
      <c r="P622" s="315"/>
      <c r="Q622" s="79"/>
      <c r="R622" s="131"/>
      <c r="S622" s="130"/>
      <c r="T622" s="79"/>
      <c r="U622" s="712"/>
      <c r="V622" s="129"/>
      <c r="W622" s="130"/>
      <c r="X622" s="79"/>
      <c r="Y622" s="712"/>
      <c r="Z622" s="131"/>
      <c r="AA622" s="130"/>
      <c r="AB622" s="79"/>
      <c r="AC622" s="619"/>
      <c r="AD622" s="619"/>
      <c r="AE622" s="406"/>
      <c r="AF622" s="276"/>
      <c r="AG622" s="299"/>
      <c r="AH622" s="432"/>
      <c r="AI622" s="425"/>
      <c r="AJ622" s="315"/>
      <c r="AK622" s="79"/>
      <c r="AL622" s="131"/>
      <c r="AM622" s="130"/>
      <c r="AN622" s="79"/>
      <c r="AO622" s="712"/>
      <c r="AP622" s="129"/>
      <c r="AQ622" s="130"/>
      <c r="AR622" s="79"/>
      <c r="AS622" s="712"/>
      <c r="AT622" s="131"/>
      <c r="AU622" s="130"/>
      <c r="AV622" s="79"/>
      <c r="AW622" s="619"/>
      <c r="AX622" s="619"/>
      <c r="AY622" s="406"/>
      <c r="AZ622" s="616"/>
      <c r="BA622" s="299"/>
      <c r="BB622" s="5"/>
      <c r="BC622" s="256"/>
      <c r="BD622" s="240">
        <f>1+1+1</f>
        <v>3</v>
      </c>
      <c r="BE622" s="79"/>
      <c r="BF622" s="131"/>
      <c r="BG622" s="130"/>
      <c r="BH622" s="79"/>
      <c r="BI622" s="712"/>
      <c r="BJ622" s="129"/>
      <c r="BK622" s="130"/>
      <c r="BL622" s="79"/>
      <c r="BM622" s="712"/>
      <c r="BN622" s="131"/>
      <c r="BO622" s="130"/>
      <c r="BP622" s="79"/>
      <c r="BQ622" s="619"/>
      <c r="BR622" s="619"/>
      <c r="BS622" s="406"/>
      <c r="BT622" s="276"/>
      <c r="BU622" s="299"/>
      <c r="BV622" s="5"/>
      <c r="BW622" s="256"/>
      <c r="BX622" s="240">
        <f>1+1+2+1+1+1+1+1+1+1+1+1+1+1</f>
        <v>15</v>
      </c>
      <c r="BY622" s="35"/>
      <c r="BZ622" s="131"/>
      <c r="CA622" s="130"/>
      <c r="CB622" s="79"/>
      <c r="CC622" s="712"/>
      <c r="CD622" s="129"/>
      <c r="CE622" s="130"/>
      <c r="CF622" s="79"/>
      <c r="CG622" s="712"/>
      <c r="CH622" s="131"/>
      <c r="CI622" s="130"/>
      <c r="CJ622" s="79"/>
      <c r="CK622" s="619"/>
      <c r="CL622" s="619"/>
      <c r="CM622" s="406"/>
      <c r="CN622" s="276"/>
      <c r="CO622" s="299"/>
      <c r="CP622" s="5"/>
      <c r="CQ622" s="240"/>
      <c r="CR622" s="240"/>
      <c r="CS622" s="79"/>
      <c r="CT622" s="131"/>
      <c r="CU622" s="130"/>
      <c r="CV622" s="79"/>
      <c r="CW622" s="712"/>
      <c r="CX622" s="129"/>
      <c r="CY622" s="130"/>
      <c r="CZ622" s="79"/>
      <c r="DA622" s="712"/>
      <c r="DB622" s="131"/>
      <c r="DC622" s="130"/>
      <c r="DD622" s="79"/>
      <c r="DE622" s="619"/>
      <c r="DF622" s="619"/>
      <c r="DG622" s="406"/>
      <c r="DH622" s="451"/>
      <c r="DI622" s="299"/>
      <c r="DJ622" s="432"/>
      <c r="DK622" s="315"/>
      <c r="DL622" s="315"/>
      <c r="DM622" s="79"/>
    </row>
    <row r="623" spans="1:117" x14ac:dyDescent="0.25">
      <c r="A623" s="75"/>
      <c r="B623" s="74" t="s">
        <v>840</v>
      </c>
      <c r="C623" s="75"/>
      <c r="D623" s="74"/>
      <c r="E623" s="74"/>
      <c r="F623" s="275"/>
      <c r="G623" s="74"/>
      <c r="H623" s="77"/>
      <c r="I623" s="77"/>
      <c r="J623" s="614"/>
      <c r="K623" s="406"/>
      <c r="L623" s="615"/>
      <c r="M623" s="299"/>
      <c r="N623" s="432"/>
      <c r="O623" s="425"/>
      <c r="P623" s="315"/>
      <c r="Q623" s="79"/>
      <c r="R623" s="131"/>
      <c r="S623" s="130"/>
      <c r="T623" s="79"/>
      <c r="U623" s="712"/>
      <c r="V623" s="129"/>
      <c r="W623" s="130"/>
      <c r="X623" s="79"/>
      <c r="Y623" s="712"/>
      <c r="Z623" s="131"/>
      <c r="AA623" s="130"/>
      <c r="AB623" s="79"/>
      <c r="AC623" s="619"/>
      <c r="AD623" s="619"/>
      <c r="AE623" s="406"/>
      <c r="AF623" s="276"/>
      <c r="AG623" s="299"/>
      <c r="AH623" s="432"/>
      <c r="AI623" s="425"/>
      <c r="AJ623" s="315"/>
      <c r="AK623" s="79"/>
      <c r="AL623" s="131"/>
      <c r="AM623" s="130"/>
      <c r="AN623" s="79"/>
      <c r="AO623" s="712"/>
      <c r="AP623" s="129"/>
      <c r="AQ623" s="130"/>
      <c r="AR623" s="79"/>
      <c r="AS623" s="712"/>
      <c r="AT623" s="131"/>
      <c r="AU623" s="130"/>
      <c r="AV623" s="79"/>
      <c r="AW623" s="619"/>
      <c r="AX623" s="619"/>
      <c r="AY623" s="406"/>
      <c r="AZ623" s="616"/>
      <c r="BA623" s="299"/>
      <c r="BB623" s="5"/>
      <c r="BC623" s="256"/>
      <c r="BD623" s="240"/>
      <c r="BE623" s="79"/>
      <c r="BF623" s="131"/>
      <c r="BG623" s="130"/>
      <c r="BH623" s="79"/>
      <c r="BI623" s="712"/>
      <c r="BJ623" s="129"/>
      <c r="BK623" s="130"/>
      <c r="BL623" s="79"/>
      <c r="BM623" s="712"/>
      <c r="BN623" s="131"/>
      <c r="BO623" s="130"/>
      <c r="BP623" s="79"/>
      <c r="BQ623" s="619"/>
      <c r="BR623" s="619"/>
      <c r="BS623" s="406"/>
      <c r="BT623" s="276"/>
      <c r="BU623" s="299"/>
      <c r="BV623" s="5"/>
      <c r="BW623" s="256"/>
      <c r="BX623" s="240">
        <f>1+1+1+1+1+2+1+1</f>
        <v>9</v>
      </c>
      <c r="BY623" s="35"/>
      <c r="BZ623" s="131"/>
      <c r="CA623" s="130"/>
      <c r="CB623" s="79"/>
      <c r="CC623" s="712"/>
      <c r="CD623" s="129"/>
      <c r="CE623" s="130"/>
      <c r="CF623" s="79"/>
      <c r="CG623" s="712"/>
      <c r="CH623" s="131"/>
      <c r="CI623" s="130"/>
      <c r="CJ623" s="79"/>
      <c r="CK623" s="619"/>
      <c r="CL623" s="619"/>
      <c r="CM623" s="406"/>
      <c r="CN623" s="276"/>
      <c r="CO623" s="299"/>
      <c r="CP623" s="5"/>
      <c r="CQ623" s="240"/>
      <c r="CR623" s="240"/>
      <c r="CS623" s="79"/>
      <c r="CT623" s="131"/>
      <c r="CU623" s="130"/>
      <c r="CV623" s="79"/>
      <c r="CW623" s="712"/>
      <c r="CX623" s="129"/>
      <c r="CY623" s="130"/>
      <c r="CZ623" s="79"/>
      <c r="DA623" s="712"/>
      <c r="DB623" s="131"/>
      <c r="DC623" s="130"/>
      <c r="DD623" s="79"/>
      <c r="DE623" s="619"/>
      <c r="DF623" s="619"/>
      <c r="DG623" s="406"/>
      <c r="DH623" s="451"/>
      <c r="DI623" s="299"/>
      <c r="DJ623" s="432"/>
      <c r="DK623" s="315"/>
      <c r="DL623" s="315"/>
      <c r="DM623" s="79"/>
    </row>
    <row r="624" spans="1:117" x14ac:dyDescent="0.25">
      <c r="A624" s="75"/>
      <c r="B624" s="74" t="s">
        <v>841</v>
      </c>
      <c r="C624" s="75"/>
      <c r="D624" s="74"/>
      <c r="E624" s="74"/>
      <c r="F624" s="275"/>
      <c r="G624" s="74"/>
      <c r="H624" s="77"/>
      <c r="I624" s="77"/>
      <c r="J624" s="614"/>
      <c r="K624" s="406"/>
      <c r="L624" s="615"/>
      <c r="M624" s="299"/>
      <c r="N624" s="432"/>
      <c r="O624" s="425"/>
      <c r="P624" s="315"/>
      <c r="Q624" s="79"/>
      <c r="R624" s="131"/>
      <c r="S624" s="130"/>
      <c r="T624" s="79"/>
      <c r="U624" s="712"/>
      <c r="V624" s="129"/>
      <c r="W624" s="130"/>
      <c r="X624" s="79"/>
      <c r="Y624" s="712"/>
      <c r="Z624" s="131"/>
      <c r="AA624" s="130"/>
      <c r="AB624" s="79"/>
      <c r="AC624" s="619"/>
      <c r="AD624" s="619"/>
      <c r="AE624" s="406"/>
      <c r="AF624" s="276"/>
      <c r="AG624" s="299"/>
      <c r="AH624" s="432"/>
      <c r="AI624" s="425"/>
      <c r="AJ624" s="315"/>
      <c r="AK624" s="79"/>
      <c r="AL624" s="131"/>
      <c r="AM624" s="130"/>
      <c r="AN624" s="79"/>
      <c r="AO624" s="712"/>
      <c r="AP624" s="129"/>
      <c r="AQ624" s="130"/>
      <c r="AR624" s="79"/>
      <c r="AS624" s="712"/>
      <c r="AT624" s="131"/>
      <c r="AU624" s="130"/>
      <c r="AV624" s="79"/>
      <c r="AW624" s="619"/>
      <c r="AX624" s="619"/>
      <c r="AY624" s="406"/>
      <c r="AZ624" s="616"/>
      <c r="BA624" s="299"/>
      <c r="BB624" s="5"/>
      <c r="BC624" s="256"/>
      <c r="BD624" s="240"/>
      <c r="BE624" s="79"/>
      <c r="BF624" s="131"/>
      <c r="BG624" s="130"/>
      <c r="BH624" s="79"/>
      <c r="BI624" s="712"/>
      <c r="BJ624" s="129"/>
      <c r="BK624" s="130"/>
      <c r="BL624" s="79"/>
      <c r="BM624" s="712"/>
      <c r="BN624" s="131"/>
      <c r="BO624" s="130"/>
      <c r="BP624" s="79"/>
      <c r="BQ624" s="619"/>
      <c r="BR624" s="619"/>
      <c r="BS624" s="406"/>
      <c r="BT624" s="276"/>
      <c r="BU624" s="299"/>
      <c r="BV624" s="5"/>
      <c r="BW624" s="256"/>
      <c r="BX624" s="240">
        <f>1</f>
        <v>1</v>
      </c>
      <c r="BY624" s="35"/>
      <c r="BZ624" s="131"/>
      <c r="CA624" s="130"/>
      <c r="CB624" s="79"/>
      <c r="CC624" s="712"/>
      <c r="CD624" s="129"/>
      <c r="CE624" s="130"/>
      <c r="CF624" s="79"/>
      <c r="CG624" s="712"/>
      <c r="CH624" s="131"/>
      <c r="CI624" s="130"/>
      <c r="CJ624" s="79"/>
      <c r="CK624" s="619"/>
      <c r="CL624" s="619"/>
      <c r="CM624" s="406"/>
      <c r="CN624" s="276"/>
      <c r="CO624" s="299"/>
      <c r="CP624" s="5"/>
      <c r="CQ624" s="240"/>
      <c r="CR624" s="240"/>
      <c r="CS624" s="79"/>
      <c r="CT624" s="131"/>
      <c r="CU624" s="130"/>
      <c r="CV624" s="79"/>
      <c r="CW624" s="712"/>
      <c r="CX624" s="129"/>
      <c r="CY624" s="130"/>
      <c r="CZ624" s="79"/>
      <c r="DA624" s="712"/>
      <c r="DB624" s="131"/>
      <c r="DC624" s="130"/>
      <c r="DD624" s="79"/>
      <c r="DE624" s="619"/>
      <c r="DF624" s="619"/>
      <c r="DG624" s="406"/>
      <c r="DH624" s="451"/>
      <c r="DI624" s="299"/>
      <c r="DJ624" s="432"/>
      <c r="DK624" s="315"/>
      <c r="DL624" s="315"/>
      <c r="DM624" s="79"/>
    </row>
    <row r="625" spans="1:117" x14ac:dyDescent="0.25">
      <c r="A625" s="75"/>
      <c r="B625" s="74" t="s">
        <v>842</v>
      </c>
      <c r="C625" s="75"/>
      <c r="D625" s="74"/>
      <c r="E625" s="74"/>
      <c r="F625" s="275"/>
      <c r="G625" s="74"/>
      <c r="H625" s="77"/>
      <c r="I625" s="77"/>
      <c r="J625" s="614"/>
      <c r="K625" s="406"/>
      <c r="L625" s="615"/>
      <c r="M625" s="299"/>
      <c r="N625" s="432"/>
      <c r="O625" s="425"/>
      <c r="P625" s="315"/>
      <c r="Q625" s="79"/>
      <c r="R625" s="131"/>
      <c r="S625" s="130"/>
      <c r="T625" s="79"/>
      <c r="U625" s="712"/>
      <c r="V625" s="129"/>
      <c r="W625" s="130"/>
      <c r="X625" s="79"/>
      <c r="Y625" s="712"/>
      <c r="Z625" s="131"/>
      <c r="AA625" s="130"/>
      <c r="AB625" s="79"/>
      <c r="AC625" s="619"/>
      <c r="AD625" s="619"/>
      <c r="AE625" s="406"/>
      <c r="AF625" s="276"/>
      <c r="AG625" s="299"/>
      <c r="AH625" s="432"/>
      <c r="AI625" s="425"/>
      <c r="AJ625" s="315"/>
      <c r="AK625" s="79"/>
      <c r="AL625" s="131"/>
      <c r="AM625" s="130"/>
      <c r="AN625" s="79"/>
      <c r="AO625" s="712"/>
      <c r="AP625" s="129"/>
      <c r="AQ625" s="130"/>
      <c r="AR625" s="79"/>
      <c r="AS625" s="712"/>
      <c r="AT625" s="131"/>
      <c r="AU625" s="130"/>
      <c r="AV625" s="79"/>
      <c r="AW625" s="619"/>
      <c r="AX625" s="619"/>
      <c r="AY625" s="406"/>
      <c r="AZ625" s="616"/>
      <c r="BA625" s="299"/>
      <c r="BB625" s="5"/>
      <c r="BC625" s="256"/>
      <c r="BD625" s="240"/>
      <c r="BE625" s="79"/>
      <c r="BF625" s="131"/>
      <c r="BG625" s="130"/>
      <c r="BH625" s="79"/>
      <c r="BI625" s="712"/>
      <c r="BJ625" s="129"/>
      <c r="BK625" s="130"/>
      <c r="BL625" s="79"/>
      <c r="BM625" s="712"/>
      <c r="BN625" s="131"/>
      <c r="BO625" s="130"/>
      <c r="BP625" s="79"/>
      <c r="BQ625" s="619"/>
      <c r="BR625" s="619"/>
      <c r="BS625" s="406"/>
      <c r="BT625" s="276"/>
      <c r="BU625" s="299"/>
      <c r="BV625" s="5"/>
      <c r="BW625" s="256"/>
      <c r="BX625" s="240">
        <f>1+1+1+1</f>
        <v>4</v>
      </c>
      <c r="BY625" s="35"/>
      <c r="BZ625" s="131"/>
      <c r="CA625" s="130"/>
      <c r="CB625" s="79"/>
      <c r="CC625" s="712"/>
      <c r="CD625" s="129"/>
      <c r="CE625" s="130"/>
      <c r="CF625" s="79"/>
      <c r="CG625" s="712"/>
      <c r="CH625" s="131"/>
      <c r="CI625" s="130"/>
      <c r="CJ625" s="79"/>
      <c r="CK625" s="619"/>
      <c r="CL625" s="619"/>
      <c r="CM625" s="406"/>
      <c r="CN625" s="276"/>
      <c r="CO625" s="299"/>
      <c r="CP625" s="5"/>
      <c r="CQ625" s="240"/>
      <c r="CR625" s="240"/>
      <c r="CS625" s="79"/>
      <c r="CT625" s="131"/>
      <c r="CU625" s="130"/>
      <c r="CV625" s="79"/>
      <c r="CW625" s="712"/>
      <c r="CX625" s="129"/>
      <c r="CY625" s="130"/>
      <c r="CZ625" s="79"/>
      <c r="DA625" s="712"/>
      <c r="DB625" s="131"/>
      <c r="DC625" s="130"/>
      <c r="DD625" s="79"/>
      <c r="DE625" s="619"/>
      <c r="DF625" s="619"/>
      <c r="DG625" s="406"/>
      <c r="DH625" s="451"/>
      <c r="DI625" s="299"/>
      <c r="DJ625" s="432"/>
      <c r="DK625" s="315"/>
      <c r="DL625" s="315"/>
      <c r="DM625" s="79"/>
    </row>
    <row r="626" spans="1:117" x14ac:dyDescent="0.25">
      <c r="A626" s="75"/>
      <c r="B626" s="74" t="s">
        <v>843</v>
      </c>
      <c r="C626" s="75"/>
      <c r="D626" s="74"/>
      <c r="E626" s="74"/>
      <c r="F626" s="275"/>
      <c r="G626" s="74"/>
      <c r="H626" s="77"/>
      <c r="I626" s="77"/>
      <c r="J626" s="614"/>
      <c r="K626" s="406"/>
      <c r="L626" s="615"/>
      <c r="M626" s="299"/>
      <c r="N626" s="432"/>
      <c r="O626" s="425"/>
      <c r="P626" s="315"/>
      <c r="Q626" s="79"/>
      <c r="R626" s="131"/>
      <c r="S626" s="130"/>
      <c r="T626" s="79"/>
      <c r="U626" s="712"/>
      <c r="V626" s="129"/>
      <c r="W626" s="130"/>
      <c r="X626" s="79"/>
      <c r="Y626" s="712"/>
      <c r="Z626" s="131"/>
      <c r="AA626" s="130"/>
      <c r="AB626" s="79"/>
      <c r="AC626" s="619"/>
      <c r="AD626" s="619"/>
      <c r="AE626" s="406"/>
      <c r="AF626" s="276"/>
      <c r="AG626" s="299"/>
      <c r="AH626" s="432"/>
      <c r="AI626" s="425"/>
      <c r="AJ626" s="315"/>
      <c r="AK626" s="79"/>
      <c r="AL626" s="131"/>
      <c r="AM626" s="130"/>
      <c r="AN626" s="79"/>
      <c r="AO626" s="712"/>
      <c r="AP626" s="129"/>
      <c r="AQ626" s="130"/>
      <c r="AR626" s="79"/>
      <c r="AS626" s="712"/>
      <c r="AT626" s="131"/>
      <c r="AU626" s="130"/>
      <c r="AV626" s="79"/>
      <c r="AW626" s="619"/>
      <c r="AX626" s="619"/>
      <c r="AY626" s="406"/>
      <c r="AZ626" s="616"/>
      <c r="BA626" s="299"/>
      <c r="BB626" s="5"/>
      <c r="BC626" s="256"/>
      <c r="BD626" s="240"/>
      <c r="BE626" s="79"/>
      <c r="BF626" s="131"/>
      <c r="BG626" s="130"/>
      <c r="BH626" s="79"/>
      <c r="BI626" s="712"/>
      <c r="BJ626" s="129"/>
      <c r="BK626" s="130"/>
      <c r="BL626" s="79"/>
      <c r="BM626" s="712"/>
      <c r="BN626" s="131"/>
      <c r="BO626" s="130"/>
      <c r="BP626" s="79"/>
      <c r="BQ626" s="619"/>
      <c r="BR626" s="619"/>
      <c r="BS626" s="406"/>
      <c r="BT626" s="276"/>
      <c r="BU626" s="299"/>
      <c r="BV626" s="5"/>
      <c r="BW626" s="256"/>
      <c r="BX626" s="240">
        <f>1</f>
        <v>1</v>
      </c>
      <c r="BY626" s="35"/>
      <c r="BZ626" s="131"/>
      <c r="CA626" s="130"/>
      <c r="CB626" s="79"/>
      <c r="CC626" s="712"/>
      <c r="CD626" s="129"/>
      <c r="CE626" s="130"/>
      <c r="CF626" s="79"/>
      <c r="CG626" s="712"/>
      <c r="CH626" s="131"/>
      <c r="CI626" s="130"/>
      <c r="CJ626" s="79"/>
      <c r="CK626" s="619"/>
      <c r="CL626" s="619"/>
      <c r="CM626" s="406"/>
      <c r="CN626" s="276"/>
      <c r="CO626" s="299"/>
      <c r="CP626" s="5"/>
      <c r="CQ626" s="240"/>
      <c r="CR626" s="240"/>
      <c r="CS626" s="79"/>
      <c r="CT626" s="131"/>
      <c r="CU626" s="130"/>
      <c r="CV626" s="79"/>
      <c r="CW626" s="712"/>
      <c r="CX626" s="129"/>
      <c r="CY626" s="130"/>
      <c r="CZ626" s="79"/>
      <c r="DA626" s="712"/>
      <c r="DB626" s="131"/>
      <c r="DC626" s="130"/>
      <c r="DD626" s="79"/>
      <c r="DE626" s="619"/>
      <c r="DF626" s="619"/>
      <c r="DG626" s="406"/>
      <c r="DH626" s="451"/>
      <c r="DI626" s="299"/>
      <c r="DJ626" s="432"/>
      <c r="DK626" s="315"/>
      <c r="DL626" s="315"/>
      <c r="DM626" s="79"/>
    </row>
    <row r="627" spans="1:117" x14ac:dyDescent="0.25">
      <c r="A627" s="75"/>
      <c r="B627" s="74" t="s">
        <v>836</v>
      </c>
      <c r="C627" s="75"/>
      <c r="D627" s="74"/>
      <c r="E627" s="74"/>
      <c r="F627" s="275"/>
      <c r="G627" s="74"/>
      <c r="H627" s="77"/>
      <c r="I627" s="77"/>
      <c r="J627" s="614"/>
      <c r="K627" s="406"/>
      <c r="L627" s="615"/>
      <c r="M627" s="299"/>
      <c r="N627" s="432"/>
      <c r="O627" s="425"/>
      <c r="P627" s="315"/>
      <c r="Q627" s="79"/>
      <c r="R627" s="131"/>
      <c r="S627" s="130"/>
      <c r="T627" s="79"/>
      <c r="U627" s="712"/>
      <c r="V627" s="129"/>
      <c r="W627" s="130"/>
      <c r="X627" s="79"/>
      <c r="Y627" s="712"/>
      <c r="Z627" s="131"/>
      <c r="AA627" s="130"/>
      <c r="AB627" s="79"/>
      <c r="AC627" s="619"/>
      <c r="AD627" s="619"/>
      <c r="AE627" s="406"/>
      <c r="AF627" s="276"/>
      <c r="AG627" s="299"/>
      <c r="AH627" s="432"/>
      <c r="AI627" s="425"/>
      <c r="AJ627" s="315"/>
      <c r="AK627" s="79"/>
      <c r="AL627" s="131"/>
      <c r="AM627" s="130"/>
      <c r="AN627" s="79"/>
      <c r="AO627" s="712"/>
      <c r="AP627" s="129"/>
      <c r="AQ627" s="130"/>
      <c r="AR627" s="79"/>
      <c r="AS627" s="712"/>
      <c r="AT627" s="131"/>
      <c r="AU627" s="130"/>
      <c r="AV627" s="79"/>
      <c r="AW627" s="619"/>
      <c r="AX627" s="619"/>
      <c r="AY627" s="406"/>
      <c r="AZ627" s="616"/>
      <c r="BA627" s="299"/>
      <c r="BB627" s="5"/>
      <c r="BC627" s="256"/>
      <c r="BD627" s="240">
        <f>1</f>
        <v>1</v>
      </c>
      <c r="BE627" s="79"/>
      <c r="BF627" s="131"/>
      <c r="BG627" s="130"/>
      <c r="BH627" s="79"/>
      <c r="BI627" s="712"/>
      <c r="BJ627" s="129"/>
      <c r="BK627" s="130"/>
      <c r="BL627" s="79"/>
      <c r="BM627" s="712"/>
      <c r="BN627" s="131"/>
      <c r="BO627" s="130"/>
      <c r="BP627" s="79"/>
      <c r="BQ627" s="619"/>
      <c r="BR627" s="619"/>
      <c r="BS627" s="406"/>
      <c r="BT627" s="276"/>
      <c r="BU627" s="299"/>
      <c r="BV627" s="5"/>
      <c r="BW627" s="256"/>
      <c r="BX627" s="240">
        <f>1+1+1</f>
        <v>3</v>
      </c>
      <c r="BY627" s="35"/>
      <c r="BZ627" s="131"/>
      <c r="CA627" s="130"/>
      <c r="CB627" s="79"/>
      <c r="CC627" s="712"/>
      <c r="CD627" s="129"/>
      <c r="CE627" s="130"/>
      <c r="CF627" s="79"/>
      <c r="CG627" s="712"/>
      <c r="CH627" s="131"/>
      <c r="CI627" s="130"/>
      <c r="CJ627" s="79"/>
      <c r="CK627" s="619"/>
      <c r="CL627" s="619"/>
      <c r="CM627" s="406"/>
      <c r="CN627" s="276"/>
      <c r="CO627" s="299"/>
      <c r="CP627" s="5"/>
      <c r="CQ627" s="240"/>
      <c r="CR627" s="240"/>
      <c r="CS627" s="79"/>
      <c r="CT627" s="131"/>
      <c r="CU627" s="130"/>
      <c r="CV627" s="79"/>
      <c r="CW627" s="712"/>
      <c r="CX627" s="129"/>
      <c r="CY627" s="130"/>
      <c r="CZ627" s="79"/>
      <c r="DA627" s="712"/>
      <c r="DB627" s="131"/>
      <c r="DC627" s="130"/>
      <c r="DD627" s="79"/>
      <c r="DE627" s="619"/>
      <c r="DF627" s="619"/>
      <c r="DG627" s="406"/>
      <c r="DH627" s="451"/>
      <c r="DI627" s="299"/>
      <c r="DJ627" s="432"/>
      <c r="DK627" s="315"/>
      <c r="DL627" s="315"/>
      <c r="DM627" s="79"/>
    </row>
    <row r="628" spans="1:117" x14ac:dyDescent="0.25">
      <c r="A628" s="75"/>
      <c r="B628" s="74" t="s">
        <v>837</v>
      </c>
      <c r="C628" s="75"/>
      <c r="D628" s="74"/>
      <c r="E628" s="74"/>
      <c r="F628" s="275"/>
      <c r="G628" s="74"/>
      <c r="H628" s="77"/>
      <c r="I628" s="77"/>
      <c r="J628" s="614"/>
      <c r="K628" s="406"/>
      <c r="L628" s="615"/>
      <c r="M628" s="299"/>
      <c r="N628" s="432"/>
      <c r="O628" s="425"/>
      <c r="P628" s="315"/>
      <c r="Q628" s="79"/>
      <c r="R628" s="131"/>
      <c r="S628" s="130"/>
      <c r="T628" s="79"/>
      <c r="U628" s="712"/>
      <c r="V628" s="129"/>
      <c r="W628" s="130"/>
      <c r="X628" s="79"/>
      <c r="Y628" s="712"/>
      <c r="Z628" s="131"/>
      <c r="AA628" s="130"/>
      <c r="AB628" s="79"/>
      <c r="AC628" s="619"/>
      <c r="AD628" s="619"/>
      <c r="AE628" s="406"/>
      <c r="AF628" s="276"/>
      <c r="AG628" s="299"/>
      <c r="AH628" s="432"/>
      <c r="AI628" s="425"/>
      <c r="AJ628" s="315"/>
      <c r="AK628" s="79"/>
      <c r="AL628" s="131"/>
      <c r="AM628" s="130"/>
      <c r="AN628" s="79"/>
      <c r="AO628" s="712"/>
      <c r="AP628" s="129"/>
      <c r="AQ628" s="130"/>
      <c r="AR628" s="79"/>
      <c r="AS628" s="712"/>
      <c r="AT628" s="131"/>
      <c r="AU628" s="130"/>
      <c r="AV628" s="79"/>
      <c r="AW628" s="619"/>
      <c r="AX628" s="619"/>
      <c r="AY628" s="406"/>
      <c r="AZ628" s="616"/>
      <c r="BA628" s="299"/>
      <c r="BB628" s="5"/>
      <c r="BC628" s="256"/>
      <c r="BD628" s="240">
        <f>1</f>
        <v>1</v>
      </c>
      <c r="BE628" s="79"/>
      <c r="BF628" s="131"/>
      <c r="BG628" s="130"/>
      <c r="BH628" s="79"/>
      <c r="BI628" s="712"/>
      <c r="BJ628" s="129"/>
      <c r="BK628" s="130"/>
      <c r="BL628" s="79"/>
      <c r="BM628" s="712"/>
      <c r="BN628" s="131"/>
      <c r="BO628" s="130"/>
      <c r="BP628" s="79"/>
      <c r="BQ628" s="619"/>
      <c r="BR628" s="619"/>
      <c r="BS628" s="406"/>
      <c r="BT628" s="276"/>
      <c r="BU628" s="299"/>
      <c r="BV628" s="5"/>
      <c r="BW628" s="256"/>
      <c r="BX628" s="240">
        <f>1+1+1</f>
        <v>3</v>
      </c>
      <c r="BY628" s="35"/>
      <c r="BZ628" s="131"/>
      <c r="CA628" s="130"/>
      <c r="CB628" s="79"/>
      <c r="CC628" s="712"/>
      <c r="CD628" s="129"/>
      <c r="CE628" s="130"/>
      <c r="CF628" s="79"/>
      <c r="CG628" s="712"/>
      <c r="CH628" s="131"/>
      <c r="CI628" s="130"/>
      <c r="CJ628" s="79"/>
      <c r="CK628" s="619"/>
      <c r="CL628" s="619"/>
      <c r="CM628" s="406"/>
      <c r="CN628" s="276"/>
      <c r="CO628" s="299"/>
      <c r="CP628" s="5"/>
      <c r="CQ628" s="240"/>
      <c r="CR628" s="240"/>
      <c r="CS628" s="79"/>
      <c r="CT628" s="131"/>
      <c r="CU628" s="130"/>
      <c r="CV628" s="79"/>
      <c r="CW628" s="712"/>
      <c r="CX628" s="129"/>
      <c r="CY628" s="130"/>
      <c r="CZ628" s="79"/>
      <c r="DA628" s="712"/>
      <c r="DB628" s="131"/>
      <c r="DC628" s="130"/>
      <c r="DD628" s="79"/>
      <c r="DE628" s="619"/>
      <c r="DF628" s="619"/>
      <c r="DG628" s="406"/>
      <c r="DH628" s="451"/>
      <c r="DI628" s="299"/>
      <c r="DJ628" s="432"/>
      <c r="DK628" s="315"/>
      <c r="DL628" s="315"/>
      <c r="DM628" s="79"/>
    </row>
    <row r="629" spans="1:117" x14ac:dyDescent="0.25">
      <c r="A629" s="75"/>
      <c r="B629" s="74" t="s">
        <v>838</v>
      </c>
      <c r="C629" s="75"/>
      <c r="D629" s="74"/>
      <c r="E629" s="74"/>
      <c r="F629" s="275"/>
      <c r="G629" s="74"/>
      <c r="H629" s="77"/>
      <c r="I629" s="77"/>
      <c r="J629" s="614"/>
      <c r="K629" s="406"/>
      <c r="L629" s="615"/>
      <c r="M629" s="299"/>
      <c r="N629" s="432"/>
      <c r="O629" s="425"/>
      <c r="P629" s="315"/>
      <c r="Q629" s="79"/>
      <c r="R629" s="131"/>
      <c r="S629" s="130"/>
      <c r="T629" s="79"/>
      <c r="U629" s="712"/>
      <c r="V629" s="129"/>
      <c r="W629" s="130"/>
      <c r="X629" s="79"/>
      <c r="Y629" s="712"/>
      <c r="Z629" s="131"/>
      <c r="AA629" s="130"/>
      <c r="AB629" s="79"/>
      <c r="AC629" s="619"/>
      <c r="AD629" s="619"/>
      <c r="AE629" s="406"/>
      <c r="AF629" s="276"/>
      <c r="AG629" s="299"/>
      <c r="AH629" s="432"/>
      <c r="AI629" s="425"/>
      <c r="AJ629" s="315"/>
      <c r="AK629" s="79"/>
      <c r="AL629" s="131"/>
      <c r="AM629" s="130"/>
      <c r="AN629" s="79"/>
      <c r="AO629" s="712"/>
      <c r="AP629" s="129"/>
      <c r="AQ629" s="130"/>
      <c r="AR629" s="79"/>
      <c r="AS629" s="712"/>
      <c r="AT629" s="131"/>
      <c r="AU629" s="130"/>
      <c r="AV629" s="79"/>
      <c r="AW629" s="619"/>
      <c r="AX629" s="619"/>
      <c r="AY629" s="406"/>
      <c r="AZ629" s="616"/>
      <c r="BA629" s="299"/>
      <c r="BB629" s="5"/>
      <c r="BC629" s="256"/>
      <c r="BD629" s="240">
        <f>1</f>
        <v>1</v>
      </c>
      <c r="BE629" s="79"/>
      <c r="BF629" s="131"/>
      <c r="BG629" s="130"/>
      <c r="BH629" s="79"/>
      <c r="BI629" s="712"/>
      <c r="BJ629" s="129"/>
      <c r="BK629" s="130"/>
      <c r="BL629" s="79"/>
      <c r="BM629" s="712"/>
      <c r="BN629" s="131"/>
      <c r="BO629" s="130"/>
      <c r="BP629" s="79"/>
      <c r="BQ629" s="619"/>
      <c r="BR629" s="619"/>
      <c r="BS629" s="406"/>
      <c r="BT629" s="276"/>
      <c r="BU629" s="299"/>
      <c r="BV629" s="5"/>
      <c r="BW629" s="256"/>
      <c r="BX629" s="240">
        <f>1</f>
        <v>1</v>
      </c>
      <c r="BY629" s="35"/>
      <c r="BZ629" s="131"/>
      <c r="CA629" s="130"/>
      <c r="CB629" s="79"/>
      <c r="CC629" s="712"/>
      <c r="CD629" s="129"/>
      <c r="CE629" s="130"/>
      <c r="CF629" s="79"/>
      <c r="CG629" s="712"/>
      <c r="CH629" s="131"/>
      <c r="CI629" s="130"/>
      <c r="CJ629" s="79"/>
      <c r="CK629" s="619"/>
      <c r="CL629" s="619"/>
      <c r="CM629" s="406"/>
      <c r="CN629" s="276"/>
      <c r="CO629" s="299"/>
      <c r="CP629" s="5"/>
      <c r="CQ629" s="240"/>
      <c r="CR629" s="240"/>
      <c r="CS629" s="79"/>
      <c r="CT629" s="131"/>
      <c r="CU629" s="130"/>
      <c r="CV629" s="79"/>
      <c r="CW629" s="712"/>
      <c r="CX629" s="129"/>
      <c r="CY629" s="130"/>
      <c r="CZ629" s="79"/>
      <c r="DA629" s="712"/>
      <c r="DB629" s="131"/>
      <c r="DC629" s="130"/>
      <c r="DD629" s="79"/>
      <c r="DE629" s="619"/>
      <c r="DF629" s="619"/>
      <c r="DG629" s="406"/>
      <c r="DH629" s="451"/>
      <c r="DI629" s="299"/>
      <c r="DJ629" s="432"/>
      <c r="DK629" s="315"/>
      <c r="DL629" s="315"/>
      <c r="DM629" s="79"/>
    </row>
    <row r="630" spans="1:117" x14ac:dyDescent="0.25">
      <c r="A630" s="75"/>
      <c r="B630" s="74" t="s">
        <v>839</v>
      </c>
      <c r="C630" s="75"/>
      <c r="D630" s="74"/>
      <c r="E630" s="74"/>
      <c r="F630" s="275"/>
      <c r="G630" s="74"/>
      <c r="H630" s="77"/>
      <c r="I630" s="77"/>
      <c r="J630" s="614"/>
      <c r="K630" s="406"/>
      <c r="L630" s="615"/>
      <c r="M630" s="299"/>
      <c r="N630" s="432"/>
      <c r="O630" s="425"/>
      <c r="P630" s="315"/>
      <c r="Q630" s="79"/>
      <c r="R630" s="131"/>
      <c r="S630" s="130"/>
      <c r="T630" s="79"/>
      <c r="U630" s="712"/>
      <c r="V630" s="129"/>
      <c r="W630" s="130"/>
      <c r="X630" s="79"/>
      <c r="Y630" s="712"/>
      <c r="Z630" s="131"/>
      <c r="AA630" s="130"/>
      <c r="AB630" s="79"/>
      <c r="AC630" s="619"/>
      <c r="AD630" s="619"/>
      <c r="AE630" s="406"/>
      <c r="AF630" s="276"/>
      <c r="AG630" s="299"/>
      <c r="AH630" s="432"/>
      <c r="AI630" s="425"/>
      <c r="AJ630" s="315"/>
      <c r="AK630" s="79"/>
      <c r="AL630" s="131"/>
      <c r="AM630" s="130"/>
      <c r="AN630" s="79"/>
      <c r="AO630" s="712"/>
      <c r="AP630" s="129"/>
      <c r="AQ630" s="130"/>
      <c r="AR630" s="79"/>
      <c r="AS630" s="712"/>
      <c r="AT630" s="131"/>
      <c r="AU630" s="130"/>
      <c r="AV630" s="79"/>
      <c r="AW630" s="619"/>
      <c r="AX630" s="619"/>
      <c r="AY630" s="406"/>
      <c r="AZ630" s="616"/>
      <c r="BA630" s="299"/>
      <c r="BB630" s="5"/>
      <c r="BC630" s="256"/>
      <c r="BD630" s="240">
        <f>1</f>
        <v>1</v>
      </c>
      <c r="BE630" s="79"/>
      <c r="BF630" s="131"/>
      <c r="BG630" s="130"/>
      <c r="BH630" s="79"/>
      <c r="BI630" s="712"/>
      <c r="BJ630" s="129"/>
      <c r="BK630" s="130"/>
      <c r="BL630" s="79"/>
      <c r="BM630" s="712"/>
      <c r="BN630" s="131"/>
      <c r="BO630" s="130"/>
      <c r="BP630" s="79"/>
      <c r="BQ630" s="619"/>
      <c r="BR630" s="619"/>
      <c r="BS630" s="406"/>
      <c r="BT630" s="276"/>
      <c r="BU630" s="299"/>
      <c r="BV630" s="5"/>
      <c r="BW630" s="256"/>
      <c r="BX630" s="240">
        <f>1+1</f>
        <v>2</v>
      </c>
      <c r="BY630" s="35"/>
      <c r="BZ630" s="131"/>
      <c r="CA630" s="130"/>
      <c r="CB630" s="79"/>
      <c r="CC630" s="712"/>
      <c r="CD630" s="129"/>
      <c r="CE630" s="130"/>
      <c r="CF630" s="79"/>
      <c r="CG630" s="712"/>
      <c r="CH630" s="131"/>
      <c r="CI630" s="130"/>
      <c r="CJ630" s="79"/>
      <c r="CK630" s="619"/>
      <c r="CL630" s="619"/>
      <c r="CM630" s="406"/>
      <c r="CN630" s="276"/>
      <c r="CO630" s="299"/>
      <c r="CP630" s="5"/>
      <c r="CQ630" s="240"/>
      <c r="CR630" s="240"/>
      <c r="CS630" s="79"/>
      <c r="CT630" s="131"/>
      <c r="CU630" s="130"/>
      <c r="CV630" s="79"/>
      <c r="CW630" s="712"/>
      <c r="CX630" s="129"/>
      <c r="CY630" s="130"/>
      <c r="CZ630" s="79"/>
      <c r="DA630" s="712"/>
      <c r="DB630" s="131"/>
      <c r="DC630" s="130"/>
      <c r="DD630" s="79"/>
      <c r="DE630" s="619"/>
      <c r="DF630" s="619"/>
      <c r="DG630" s="406"/>
      <c r="DH630" s="451"/>
      <c r="DI630" s="299"/>
      <c r="DJ630" s="432"/>
      <c r="DK630" s="315"/>
      <c r="DL630" s="315"/>
      <c r="DM630" s="79"/>
    </row>
    <row r="631" spans="1:117" ht="15.75" thickBot="1" x14ac:dyDescent="0.3">
      <c r="A631" s="19"/>
      <c r="B631" s="12"/>
      <c r="C631" s="19"/>
      <c r="D631" s="12"/>
      <c r="E631" s="12"/>
      <c r="F631" s="146"/>
      <c r="G631" s="12"/>
      <c r="H631" s="28"/>
      <c r="I631" s="28"/>
      <c r="J631" s="531">
        <f>SUM(M631,AG631,BA631,BU631)-L631</f>
        <v>0</v>
      </c>
      <c r="K631" s="396">
        <f t="shared" si="1256"/>
        <v>0</v>
      </c>
      <c r="L631" s="30">
        <v>0</v>
      </c>
      <c r="M631" s="31">
        <v>0</v>
      </c>
      <c r="N631" s="65">
        <f>M631-L631</f>
        <v>0</v>
      </c>
      <c r="O631" s="286"/>
      <c r="P631" s="250"/>
      <c r="Q631" s="36">
        <f>L631+O631-P631</f>
        <v>0</v>
      </c>
      <c r="R631" s="122"/>
      <c r="S631" s="201"/>
      <c r="T631" s="36"/>
      <c r="U631" s="220"/>
      <c r="V631" s="200"/>
      <c r="W631" s="201"/>
      <c r="X631" s="36"/>
      <c r="Y631" s="220"/>
      <c r="Z631" s="122"/>
      <c r="AA631" s="201"/>
      <c r="AB631" s="36"/>
      <c r="AC631" s="297"/>
      <c r="AD631" s="297"/>
      <c r="AE631" s="396">
        <f>SUM(M631,AG631)-SUM(O631,AI631)-L631</f>
        <v>0</v>
      </c>
      <c r="AF631" s="30">
        <f>Q631</f>
        <v>0</v>
      </c>
      <c r="AG631" s="31">
        <v>0</v>
      </c>
      <c r="AH631" s="65">
        <f>AG631-AF631</f>
        <v>0</v>
      </c>
      <c r="AI631" s="286"/>
      <c r="AJ631" s="286"/>
      <c r="AK631" s="36">
        <f>AF631+AI631-AJ631</f>
        <v>0</v>
      </c>
      <c r="AL631" s="122"/>
      <c r="AM631" s="201"/>
      <c r="AN631" s="36"/>
      <c r="AO631" s="220"/>
      <c r="AP631" s="200"/>
      <c r="AQ631" s="201"/>
      <c r="AR631" s="36"/>
      <c r="AS631" s="220"/>
      <c r="AT631" s="122"/>
      <c r="AU631" s="201"/>
      <c r="AV631" s="36"/>
      <c r="AW631" s="297"/>
      <c r="AX631" s="297"/>
      <c r="AY631" s="396">
        <f>SUM(M631,AG631,BA631)-SUM(O631,AI631,BC631)-L631</f>
        <v>0</v>
      </c>
      <c r="AZ631" s="30">
        <f>AK631</f>
        <v>0</v>
      </c>
      <c r="BA631" s="31">
        <v>0</v>
      </c>
      <c r="BB631" s="65">
        <f>BA631-AZ631</f>
        <v>0</v>
      </c>
      <c r="BC631" s="286"/>
      <c r="BD631" s="250"/>
      <c r="BE631" s="36">
        <f>AZ631+BC631-BD631</f>
        <v>0</v>
      </c>
      <c r="BF631" s="122"/>
      <c r="BG631" s="201"/>
      <c r="BH631" s="36"/>
      <c r="BI631" s="220"/>
      <c r="BJ631" s="200"/>
      <c r="BK631" s="201"/>
      <c r="BL631" s="36"/>
      <c r="BM631" s="220"/>
      <c r="BN631" s="122"/>
      <c r="BO631" s="201"/>
      <c r="BP631" s="36"/>
      <c r="BQ631" s="297"/>
      <c r="BR631" s="297"/>
      <c r="BS631" s="396">
        <f>SUM(M631,AG631,BA631,BU631)-SUM(O631,AI631,BC631,BW631)-L631</f>
        <v>0</v>
      </c>
      <c r="BT631" s="30">
        <f>BE631</f>
        <v>0</v>
      </c>
      <c r="BU631" s="31">
        <v>0</v>
      </c>
      <c r="BV631" s="65">
        <f>BU631-BT631</f>
        <v>0</v>
      </c>
      <c r="BW631" s="286"/>
      <c r="BX631" s="250"/>
      <c r="BY631" s="66">
        <f>BT631+BW631-BX631</f>
        <v>0</v>
      </c>
      <c r="BZ631" s="122"/>
      <c r="CA631" s="201"/>
      <c r="CB631" s="36"/>
      <c r="CC631" s="220"/>
      <c r="CD631" s="200"/>
      <c r="CE631" s="201"/>
      <c r="CF631" s="36"/>
      <c r="CG631" s="220"/>
      <c r="CH631" s="122"/>
      <c r="CI631" s="201"/>
      <c r="CJ631" s="36"/>
      <c r="CK631" s="297"/>
      <c r="CL631" s="297"/>
      <c r="CM631" s="396">
        <f>SUM(M631,AG631,BA631,BU631,CO631)-SUM(O631,AI631,BC631,BW631,CQ631)-L631</f>
        <v>0</v>
      </c>
      <c r="CN631" s="30">
        <f>BY631</f>
        <v>0</v>
      </c>
      <c r="CO631" s="31">
        <v>0</v>
      </c>
      <c r="CP631" s="65">
        <f>CO631-CN631</f>
        <v>0</v>
      </c>
      <c r="CQ631" s="250"/>
      <c r="CR631" s="250"/>
      <c r="CS631" s="36">
        <f>CN631+CQ631-CR631</f>
        <v>0</v>
      </c>
      <c r="CT631" s="122"/>
      <c r="CU631" s="201"/>
      <c r="CV631" s="36"/>
      <c r="CW631" s="220"/>
      <c r="CX631" s="200"/>
      <c r="CY631" s="201"/>
      <c r="CZ631" s="36"/>
      <c r="DA631" s="220"/>
      <c r="DB631" s="122"/>
      <c r="DC631" s="201"/>
      <c r="DD631" s="36"/>
      <c r="DE631" s="297"/>
      <c r="DF631" s="297"/>
      <c r="DG631" s="396">
        <f>SUM(M631,AG631,BA631,BU631,DI631)-SUM(O631,AI631,BC631,BW631,CQ631)-L631</f>
        <v>0</v>
      </c>
      <c r="DH631" s="296">
        <f t="shared" si="1259"/>
        <v>0</v>
      </c>
      <c r="DI631" s="31">
        <v>0</v>
      </c>
      <c r="DJ631" s="65">
        <f>DI631-DH631</f>
        <v>0</v>
      </c>
      <c r="DK631" s="250"/>
      <c r="DL631" s="250"/>
      <c r="DM631" s="36">
        <f>DH631+DK631-DL631</f>
        <v>0</v>
      </c>
    </row>
    <row r="632" spans="1:117" ht="15.75" thickBot="1" x14ac:dyDescent="0.3">
      <c r="P632" s="248"/>
      <c r="AJ632" s="248"/>
      <c r="BD632" s="248"/>
      <c r="BX632" s="248"/>
      <c r="CR632" s="248"/>
      <c r="DL632" s="248"/>
    </row>
    <row r="633" spans="1:117" ht="15.75" thickBot="1" x14ac:dyDescent="0.3">
      <c r="A633" s="103"/>
      <c r="B633" s="113" t="s">
        <v>139</v>
      </c>
      <c r="C633" s="103"/>
      <c r="D633" s="101"/>
      <c r="E633" s="101"/>
      <c r="F633" s="565"/>
      <c r="G633" s="101"/>
      <c r="H633" s="104"/>
      <c r="I633" s="104"/>
      <c r="J633" s="104"/>
      <c r="K633" s="104"/>
      <c r="L633" s="105"/>
      <c r="M633" s="106"/>
      <c r="N633" s="106"/>
      <c r="O633" s="106"/>
      <c r="P633" s="251"/>
      <c r="Q633" s="239"/>
      <c r="R633" s="133">
        <f>SUM(R634:R639)</f>
        <v>100000</v>
      </c>
      <c r="S633" s="134">
        <f>SUM(S634:S639)</f>
        <v>0</v>
      </c>
      <c r="T633" s="107"/>
      <c r="U633" s="222"/>
      <c r="V633" s="133">
        <f>SUM(V634:V639)</f>
        <v>100000</v>
      </c>
      <c r="W633" s="134">
        <f>SUM(W634:W639)</f>
        <v>0</v>
      </c>
      <c r="X633" s="107"/>
      <c r="Y633" s="222"/>
      <c r="Z633" s="133">
        <f>SUM(Z634:Z639)</f>
        <v>100000</v>
      </c>
      <c r="AA633" s="134">
        <f>SUM(AA634:AA639)</f>
        <v>0</v>
      </c>
      <c r="AB633" s="107"/>
      <c r="AC633" s="222"/>
      <c r="AD633" s="222"/>
      <c r="AE633" s="104"/>
      <c r="AF633" s="105"/>
      <c r="AG633" s="106"/>
      <c r="AH633" s="106"/>
      <c r="AI633" s="106"/>
      <c r="AJ633" s="251"/>
      <c r="AK633" s="239"/>
      <c r="AL633" s="133">
        <f>SUM(AL634:AL639)</f>
        <v>100000</v>
      </c>
      <c r="AM633" s="134">
        <f>SUM(AM634:AM639)</f>
        <v>0</v>
      </c>
      <c r="AN633" s="107"/>
      <c r="AO633" s="222"/>
      <c r="AP633" s="133">
        <f>SUM(AP634:AP639)</f>
        <v>100000</v>
      </c>
      <c r="AQ633" s="134">
        <f>SUM(AQ634:AQ639)</f>
        <v>0</v>
      </c>
      <c r="AR633" s="107"/>
      <c r="AS633" s="222"/>
      <c r="AT633" s="133">
        <f>SUM(AT634:AT639)</f>
        <v>100000</v>
      </c>
      <c r="AU633" s="134">
        <f>SUM(AU634:AU639)</f>
        <v>0</v>
      </c>
      <c r="AV633" s="107"/>
      <c r="AW633" s="222"/>
      <c r="AX633" s="222"/>
      <c r="AY633" s="104"/>
      <c r="AZ633" s="105"/>
      <c r="BA633" s="106"/>
      <c r="BB633" s="106"/>
      <c r="BC633" s="106"/>
      <c r="BD633" s="251"/>
      <c r="BE633" s="239"/>
      <c r="BF633" s="133">
        <f>SUM(BF634:BF639)</f>
        <v>100000</v>
      </c>
      <c r="BG633" s="134">
        <f>SUM(BG634:BG639)</f>
        <v>0</v>
      </c>
      <c r="BH633" s="107"/>
      <c r="BI633" s="222"/>
      <c r="BJ633" s="133">
        <f>SUM(BJ634:BJ639)</f>
        <v>100000</v>
      </c>
      <c r="BK633" s="134">
        <f>SUM(BK634:BK639)</f>
        <v>0</v>
      </c>
      <c r="BL633" s="107"/>
      <c r="BM633" s="222"/>
      <c r="BN633" s="133">
        <f>SUM(BN634:BN639)</f>
        <v>100000</v>
      </c>
      <c r="BO633" s="134">
        <f>SUM(BO634:BO639)</f>
        <v>0</v>
      </c>
      <c r="BP633" s="107"/>
      <c r="BQ633" s="222"/>
      <c r="BR633" s="222"/>
      <c r="BS633" s="104"/>
      <c r="BT633" s="105"/>
      <c r="BU633" s="106"/>
      <c r="BV633" s="106"/>
      <c r="BW633" s="106"/>
      <c r="BX633" s="251"/>
      <c r="BY633" s="239"/>
      <c r="BZ633" s="133">
        <f>SUM(BZ634:BZ639)</f>
        <v>100000</v>
      </c>
      <c r="CA633" s="134">
        <f>SUM(CA634:CA639)</f>
        <v>0</v>
      </c>
      <c r="CB633" s="107"/>
      <c r="CC633" s="222"/>
      <c r="CD633" s="133">
        <f>SUM(CD634:CD639)</f>
        <v>100000</v>
      </c>
      <c r="CE633" s="134">
        <f>SUM(CE634:CE639)</f>
        <v>17800</v>
      </c>
      <c r="CF633" s="107"/>
      <c r="CG633" s="222"/>
      <c r="CH633" s="133">
        <f>SUM(CH634:CH639)</f>
        <v>100000</v>
      </c>
      <c r="CI633" s="134">
        <f>SUM(CI634:CI639)</f>
        <v>0</v>
      </c>
      <c r="CJ633" s="107"/>
      <c r="CK633" s="222"/>
      <c r="CL633" s="222"/>
      <c r="CM633" s="104"/>
      <c r="CN633" s="105"/>
      <c r="CO633" s="106"/>
      <c r="CP633" s="106"/>
      <c r="CQ633" s="106"/>
      <c r="CR633" s="251"/>
      <c r="CS633" s="239"/>
      <c r="CT633" s="133">
        <f>SUM(CT634:CT639)</f>
        <v>100000</v>
      </c>
      <c r="CU633" s="134">
        <f>SUM(CU634:CU639)</f>
        <v>0</v>
      </c>
      <c r="CV633" s="107"/>
      <c r="CW633" s="222"/>
      <c r="CX633" s="133">
        <f>SUM(CX634:CX639)</f>
        <v>100000</v>
      </c>
      <c r="CY633" s="134">
        <f>SUM(CY634:CY639)</f>
        <v>0</v>
      </c>
      <c r="CZ633" s="107"/>
      <c r="DA633" s="222"/>
      <c r="DB633" s="133">
        <f>SUM(DB634:DB639)</f>
        <v>100000</v>
      </c>
      <c r="DC633" s="134">
        <f>SUM(DC634:DC639)</f>
        <v>0</v>
      </c>
      <c r="DD633" s="107"/>
      <c r="DE633" s="222"/>
      <c r="DF633" s="222"/>
      <c r="DG633" s="104"/>
      <c r="DH633" s="105"/>
      <c r="DI633" s="106"/>
      <c r="DJ633" s="106"/>
      <c r="DK633" s="106"/>
      <c r="DL633" s="251"/>
      <c r="DM633" s="239"/>
    </row>
    <row r="634" spans="1:117" x14ac:dyDescent="0.25">
      <c r="A634" s="17"/>
      <c r="B634" s="10" t="s">
        <v>140</v>
      </c>
      <c r="C634" s="17"/>
      <c r="D634" s="10" t="s">
        <v>141</v>
      </c>
      <c r="E634" s="10"/>
      <c r="F634" s="337"/>
      <c r="G634" s="10" t="s">
        <v>768</v>
      </c>
      <c r="H634" s="24"/>
      <c r="I634" s="24"/>
      <c r="J634" s="24"/>
      <c r="K634" s="24"/>
      <c r="L634" s="32"/>
      <c r="M634" s="7"/>
      <c r="N634" s="7"/>
      <c r="O634" s="258">
        <v>5000</v>
      </c>
      <c r="P634" s="242"/>
      <c r="Q634" s="234"/>
      <c r="R634" s="123"/>
      <c r="S634" s="8"/>
      <c r="T634" s="34"/>
      <c r="U634" s="713"/>
      <c r="V634" s="123"/>
      <c r="W634" s="8"/>
      <c r="X634" s="34"/>
      <c r="Y634" s="713"/>
      <c r="Z634" s="20"/>
      <c r="AA634" s="8"/>
      <c r="AB634" s="34"/>
      <c r="AC634" s="713"/>
      <c r="AD634" s="713"/>
      <c r="AE634" s="24"/>
      <c r="AF634" s="32"/>
      <c r="AG634" s="7"/>
      <c r="AH634" s="7"/>
      <c r="AI634" s="258"/>
      <c r="AJ634" s="242"/>
      <c r="AK634" s="234"/>
      <c r="AL634" s="123"/>
      <c r="AM634" s="8"/>
      <c r="AN634" s="34"/>
      <c r="AO634" s="713"/>
      <c r="AP634" s="123"/>
      <c r="AQ634" s="8"/>
      <c r="AR634" s="34"/>
      <c r="AS634" s="713"/>
      <c r="AT634" s="20"/>
      <c r="AU634" s="8"/>
      <c r="AV634" s="34"/>
      <c r="AW634" s="713"/>
      <c r="AX634" s="713"/>
      <c r="AY634" s="24"/>
      <c r="AZ634" s="32"/>
      <c r="BA634" s="7"/>
      <c r="BB634" s="7"/>
      <c r="BC634" s="7"/>
      <c r="BD634" s="242"/>
      <c r="BE634" s="234"/>
      <c r="BF634" s="123"/>
      <c r="BG634" s="8"/>
      <c r="BH634" s="34"/>
      <c r="BI634" s="713"/>
      <c r="BJ634" s="123"/>
      <c r="BK634" s="8"/>
      <c r="BL634" s="34"/>
      <c r="BM634" s="713"/>
      <c r="BN634" s="20"/>
      <c r="BO634" s="8"/>
      <c r="BP634" s="34"/>
      <c r="BQ634" s="713"/>
      <c r="BR634" s="713"/>
      <c r="BS634" s="24"/>
      <c r="BT634" s="32"/>
      <c r="BU634" s="7"/>
      <c r="BV634" s="7"/>
      <c r="BW634" s="623">
        <v>10000</v>
      </c>
      <c r="BX634" s="242"/>
      <c r="BY634" s="234"/>
      <c r="BZ634" s="123"/>
      <c r="CA634" s="8"/>
      <c r="CB634" s="34"/>
      <c r="CC634" s="713"/>
      <c r="CD634" s="123"/>
      <c r="CE634" s="684">
        <v>17800</v>
      </c>
      <c r="CF634" s="685" t="s">
        <v>940</v>
      </c>
      <c r="CG634" s="800"/>
      <c r="CH634" s="20"/>
      <c r="CI634" s="8"/>
      <c r="CJ634" s="34"/>
      <c r="CK634" s="713"/>
      <c r="CL634" s="713"/>
      <c r="CM634" s="24"/>
      <c r="CN634" s="32"/>
      <c r="CO634" s="7"/>
      <c r="CP634" s="7"/>
      <c r="CQ634" s="7"/>
      <c r="CR634" s="242"/>
      <c r="CS634" s="234"/>
      <c r="CT634" s="123"/>
      <c r="CU634" s="8"/>
      <c r="CV634" s="34"/>
      <c r="CW634" s="713"/>
      <c r="CX634" s="123"/>
      <c r="CY634" s="8"/>
      <c r="CZ634" s="34"/>
      <c r="DA634" s="713"/>
      <c r="DB634" s="20"/>
      <c r="DC634" s="8"/>
      <c r="DD634" s="34"/>
      <c r="DE634" s="713"/>
      <c r="DF634" s="713"/>
      <c r="DG634" s="24"/>
      <c r="DH634" s="32"/>
      <c r="DI634" s="7"/>
      <c r="DJ634" s="7"/>
      <c r="DK634" s="7"/>
      <c r="DL634" s="242"/>
      <c r="DM634" s="234"/>
    </row>
    <row r="635" spans="1:117" x14ac:dyDescent="0.25">
      <c r="A635" s="17"/>
      <c r="B635" s="10" t="s">
        <v>995</v>
      </c>
      <c r="C635" s="17"/>
      <c r="D635" s="10"/>
      <c r="E635" s="10"/>
      <c r="F635" s="337"/>
      <c r="G635" s="10"/>
      <c r="H635" s="24"/>
      <c r="I635" s="24"/>
      <c r="J635" s="24"/>
      <c r="K635" s="24"/>
      <c r="L635" s="32"/>
      <c r="M635" s="7"/>
      <c r="N635" s="7"/>
      <c r="O635" s="258"/>
      <c r="P635" s="242"/>
      <c r="Q635" s="234"/>
      <c r="R635" s="20"/>
      <c r="S635" s="8"/>
      <c r="T635" s="34"/>
      <c r="U635" s="713"/>
      <c r="V635" s="20"/>
      <c r="W635" s="8"/>
      <c r="X635" s="34"/>
      <c r="Y635" s="713"/>
      <c r="Z635" s="20"/>
      <c r="AA635" s="8"/>
      <c r="AB635" s="34"/>
      <c r="AC635" s="713"/>
      <c r="AD635" s="713"/>
      <c r="AE635" s="24"/>
      <c r="AF635" s="32"/>
      <c r="AG635" s="7"/>
      <c r="AH635" s="7"/>
      <c r="AI635" s="258"/>
      <c r="AJ635" s="242"/>
      <c r="AK635" s="234"/>
      <c r="AL635" s="20"/>
      <c r="AM635" s="8"/>
      <c r="AN635" s="34"/>
      <c r="AO635" s="713"/>
      <c r="AP635" s="20"/>
      <c r="AQ635" s="8"/>
      <c r="AR635" s="34"/>
      <c r="AS635" s="713"/>
      <c r="AT635" s="20"/>
      <c r="AU635" s="8"/>
      <c r="AV635" s="34"/>
      <c r="AW635" s="713"/>
      <c r="AX635" s="713"/>
      <c r="AY635" s="24"/>
      <c r="AZ635" s="32"/>
      <c r="BA635" s="7"/>
      <c r="BB635" s="7"/>
      <c r="BC635" s="7"/>
      <c r="BD635" s="242"/>
      <c r="BE635" s="234"/>
      <c r="BF635" s="20"/>
      <c r="BG635" s="8"/>
      <c r="BH635" s="34"/>
      <c r="BI635" s="713"/>
      <c r="BJ635" s="20"/>
      <c r="BK635" s="8"/>
      <c r="BL635" s="34"/>
      <c r="BM635" s="713"/>
      <c r="BN635" s="20"/>
      <c r="BO635" s="8"/>
      <c r="BP635" s="34"/>
      <c r="BQ635" s="713"/>
      <c r="BR635" s="713"/>
      <c r="BS635" s="24"/>
      <c r="BT635" s="32"/>
      <c r="BU635" s="7"/>
      <c r="BV635" s="7"/>
      <c r="BW635" s="242"/>
      <c r="BX635" s="623">
        <v>10</v>
      </c>
      <c r="BY635" s="234"/>
      <c r="BZ635" s="20"/>
      <c r="CA635" s="8"/>
      <c r="CB635" s="34"/>
      <c r="CC635" s="713"/>
      <c r="CD635" s="20"/>
      <c r="CE635" s="213"/>
      <c r="CF635" s="642" t="s">
        <v>996</v>
      </c>
      <c r="CG635" s="818"/>
      <c r="CH635" s="20"/>
      <c r="CI635" s="8"/>
      <c r="CJ635" s="34"/>
      <c r="CK635" s="713"/>
      <c r="CL635" s="713"/>
      <c r="CM635" s="24"/>
      <c r="CN635" s="32"/>
      <c r="CO635" s="7"/>
      <c r="CP635" s="7"/>
      <c r="CQ635" s="242">
        <v>10</v>
      </c>
      <c r="CR635" s="242"/>
      <c r="CS635" s="234"/>
      <c r="CT635" s="20"/>
      <c r="CU635" s="8"/>
      <c r="CV635" s="34"/>
      <c r="CW635" s="713"/>
      <c r="CX635" s="20"/>
      <c r="CY635" s="8"/>
      <c r="CZ635" s="34"/>
      <c r="DA635" s="713"/>
      <c r="DB635" s="20"/>
      <c r="DC635" s="8"/>
      <c r="DD635" s="212" t="s">
        <v>997</v>
      </c>
      <c r="DE635" s="713"/>
      <c r="DF635" s="713"/>
      <c r="DG635" s="24"/>
      <c r="DH635" s="32"/>
      <c r="DI635" s="7"/>
      <c r="DJ635" s="7"/>
      <c r="DK635" s="7"/>
      <c r="DL635" s="242"/>
      <c r="DM635" s="234"/>
    </row>
    <row r="636" spans="1:117" x14ac:dyDescent="0.25">
      <c r="A636" s="18"/>
      <c r="B636" s="11" t="s">
        <v>142</v>
      </c>
      <c r="C636" s="18"/>
      <c r="D636" s="11" t="s">
        <v>141</v>
      </c>
      <c r="E636" s="11"/>
      <c r="F636" s="149"/>
      <c r="G636" s="11"/>
      <c r="H636" s="25"/>
      <c r="I636" s="25"/>
      <c r="J636" s="25"/>
      <c r="K636" s="25"/>
      <c r="L636" s="29"/>
      <c r="M636" s="5"/>
      <c r="N636" s="5"/>
      <c r="O636" s="5"/>
      <c r="P636" s="240"/>
      <c r="Q636" s="231"/>
      <c r="R636" s="21">
        <v>100000</v>
      </c>
      <c r="S636" s="6"/>
      <c r="T636" s="35"/>
      <c r="U636" s="612"/>
      <c r="V636" s="21">
        <v>100000</v>
      </c>
      <c r="W636" s="6"/>
      <c r="X636" s="35"/>
      <c r="Y636" s="612"/>
      <c r="Z636" s="21">
        <v>100000</v>
      </c>
      <c r="AA636" s="6"/>
      <c r="AB636" s="35"/>
      <c r="AC636" s="612"/>
      <c r="AD636" s="612"/>
      <c r="AE636" s="25"/>
      <c r="AF636" s="29"/>
      <c r="AG636" s="5"/>
      <c r="AH636" s="5"/>
      <c r="AI636" s="5"/>
      <c r="AJ636" s="240"/>
      <c r="AK636" s="231"/>
      <c r="AL636" s="21">
        <v>100000</v>
      </c>
      <c r="AM636" s="6"/>
      <c r="AN636" s="35"/>
      <c r="AO636" s="612"/>
      <c r="AP636" s="21">
        <v>100000</v>
      </c>
      <c r="AQ636" s="6"/>
      <c r="AR636" s="35"/>
      <c r="AS636" s="612"/>
      <c r="AT636" s="21">
        <v>100000</v>
      </c>
      <c r="AU636" s="6"/>
      <c r="AV636" s="35"/>
      <c r="AW636" s="612"/>
      <c r="AX636" s="612"/>
      <c r="AY636" s="25"/>
      <c r="AZ636" s="29"/>
      <c r="BA636" s="5"/>
      <c r="BB636" s="5"/>
      <c r="BC636" s="5"/>
      <c r="BD636" s="240"/>
      <c r="BE636" s="231"/>
      <c r="BF636" s="21">
        <v>100000</v>
      </c>
      <c r="BG636" s="6"/>
      <c r="BH636" s="35"/>
      <c r="BI636" s="612"/>
      <c r="BJ636" s="21">
        <v>100000</v>
      </c>
      <c r="BK636" s="6"/>
      <c r="BL636" s="35"/>
      <c r="BM636" s="612"/>
      <c r="BN636" s="21">
        <v>100000</v>
      </c>
      <c r="BO636" s="6"/>
      <c r="BP636" s="35"/>
      <c r="BQ636" s="612"/>
      <c r="BR636" s="612"/>
      <c r="BS636" s="25"/>
      <c r="BT636" s="29"/>
      <c r="BU636" s="5"/>
      <c r="BV636" s="5"/>
      <c r="BW636" s="5"/>
      <c r="BX636" s="240"/>
      <c r="BY636" s="231"/>
      <c r="BZ636" s="21">
        <v>100000</v>
      </c>
      <c r="CA636" s="6"/>
      <c r="CB636" s="35"/>
      <c r="CC636" s="612"/>
      <c r="CD636" s="21">
        <v>100000</v>
      </c>
      <c r="CE636" s="6"/>
      <c r="CF636" s="35"/>
      <c r="CG636" s="612"/>
      <c r="CH636" s="21">
        <v>100000</v>
      </c>
      <c r="CI636" s="6"/>
      <c r="CJ636" s="35"/>
      <c r="CK636" s="612"/>
      <c r="CL636" s="612"/>
      <c r="CM636" s="25"/>
      <c r="CN636" s="29"/>
      <c r="CO636" s="5"/>
      <c r="CP636" s="5"/>
      <c r="CQ636" s="5"/>
      <c r="CR636" s="240"/>
      <c r="CS636" s="231"/>
      <c r="CT636" s="21">
        <v>100000</v>
      </c>
      <c r="CU636" s="6"/>
      <c r="CV636" s="35"/>
      <c r="CW636" s="612"/>
      <c r="CX636" s="21">
        <v>100000</v>
      </c>
      <c r="CY636" s="6"/>
      <c r="CZ636" s="35"/>
      <c r="DA636" s="612"/>
      <c r="DB636" s="21">
        <v>100000</v>
      </c>
      <c r="DC636" s="6"/>
      <c r="DD636" s="35"/>
      <c r="DE636" s="612"/>
      <c r="DF636" s="612"/>
      <c r="DG636" s="25"/>
      <c r="DH636" s="29"/>
      <c r="DI636" s="5"/>
      <c r="DJ636" s="5"/>
      <c r="DK636" s="5"/>
      <c r="DL636" s="240"/>
      <c r="DM636" s="231"/>
    </row>
    <row r="637" spans="1:117" x14ac:dyDescent="0.25">
      <c r="A637" s="18"/>
      <c r="B637" s="11"/>
      <c r="C637" s="18"/>
      <c r="D637" s="11"/>
      <c r="E637" s="11"/>
      <c r="F637" s="149"/>
      <c r="G637" s="11"/>
      <c r="H637" s="25"/>
      <c r="I637" s="25"/>
      <c r="J637" s="25"/>
      <c r="K637" s="25"/>
      <c r="L637" s="29"/>
      <c r="M637" s="5"/>
      <c r="N637" s="5"/>
      <c r="O637" s="5"/>
      <c r="P637" s="240"/>
      <c r="Q637" s="231"/>
      <c r="R637" s="21"/>
      <c r="S637" s="6"/>
      <c r="T637" s="35"/>
      <c r="U637" s="612"/>
      <c r="V637" s="21"/>
      <c r="W637" s="6"/>
      <c r="X637" s="35"/>
      <c r="Y637" s="612"/>
      <c r="Z637" s="21"/>
      <c r="AA637" s="6"/>
      <c r="AB637" s="35"/>
      <c r="AC637" s="612"/>
      <c r="AD637" s="612"/>
      <c r="AE637" s="25"/>
      <c r="AF637" s="29"/>
      <c r="AG637" s="5"/>
      <c r="AH637" s="5"/>
      <c r="AI637" s="5"/>
      <c r="AJ637" s="240"/>
      <c r="AK637" s="231"/>
      <c r="AL637" s="21"/>
      <c r="AM637" s="6"/>
      <c r="AN637" s="35"/>
      <c r="AO637" s="612"/>
      <c r="AP637" s="21"/>
      <c r="AQ637" s="6"/>
      <c r="AR637" s="35"/>
      <c r="AS637" s="612"/>
      <c r="AT637" s="21"/>
      <c r="AU637" s="6"/>
      <c r="AV637" s="35"/>
      <c r="AW637" s="612"/>
      <c r="AX637" s="612"/>
      <c r="AY637" s="25"/>
      <c r="AZ637" s="29"/>
      <c r="BA637" s="5"/>
      <c r="BB637" s="5"/>
      <c r="BC637" s="5"/>
      <c r="BD637" s="240"/>
      <c r="BE637" s="231"/>
      <c r="BF637" s="21"/>
      <c r="BG637" s="6"/>
      <c r="BH637" s="35"/>
      <c r="BI637" s="612"/>
      <c r="BJ637" s="21"/>
      <c r="BK637" s="6"/>
      <c r="BL637" s="35"/>
      <c r="BM637" s="612"/>
      <c r="BN637" s="21"/>
      <c r="BO637" s="6"/>
      <c r="BP637" s="35"/>
      <c r="BQ637" s="612"/>
      <c r="BR637" s="612"/>
      <c r="BS637" s="25"/>
      <c r="BT637" s="29"/>
      <c r="BU637" s="5"/>
      <c r="BV637" s="5"/>
      <c r="BW637" s="5"/>
      <c r="BX637" s="240"/>
      <c r="BY637" s="231"/>
      <c r="BZ637" s="21"/>
      <c r="CA637" s="6"/>
      <c r="CB637" s="35"/>
      <c r="CC637" s="612"/>
      <c r="CD637" s="21"/>
      <c r="CE637" s="6"/>
      <c r="CF637" s="35"/>
      <c r="CG637" s="612"/>
      <c r="CH637" s="21"/>
      <c r="CI637" s="6"/>
      <c r="CJ637" s="35"/>
      <c r="CK637" s="612"/>
      <c r="CL637" s="612"/>
      <c r="CM637" s="25"/>
      <c r="CN637" s="29"/>
      <c r="CO637" s="5"/>
      <c r="CP637" s="5"/>
      <c r="CQ637" s="5"/>
      <c r="CR637" s="240"/>
      <c r="CS637" s="231"/>
      <c r="CT637" s="21"/>
      <c r="CU637" s="6"/>
      <c r="CV637" s="35"/>
      <c r="CW637" s="612"/>
      <c r="CX637" s="21"/>
      <c r="CY637" s="6"/>
      <c r="CZ637" s="35"/>
      <c r="DA637" s="612"/>
      <c r="DB637" s="21"/>
      <c r="DC637" s="6"/>
      <c r="DD637" s="35"/>
      <c r="DE637" s="612"/>
      <c r="DF637" s="612"/>
      <c r="DG637" s="25"/>
      <c r="DH637" s="29"/>
      <c r="DI637" s="5"/>
      <c r="DJ637" s="5"/>
      <c r="DK637" s="5"/>
      <c r="DL637" s="240"/>
      <c r="DM637" s="231"/>
    </row>
    <row r="638" spans="1:117" x14ac:dyDescent="0.25">
      <c r="A638" s="18"/>
      <c r="B638" s="11"/>
      <c r="C638" s="18"/>
      <c r="D638" s="11"/>
      <c r="E638" s="11"/>
      <c r="F638" s="149"/>
      <c r="G638" s="11"/>
      <c r="H638" s="25"/>
      <c r="I638" s="25"/>
      <c r="J638" s="25"/>
      <c r="K638" s="25"/>
      <c r="L638" s="29"/>
      <c r="M638" s="5"/>
      <c r="N638" s="5"/>
      <c r="O638" s="5"/>
      <c r="P638" s="240"/>
      <c r="Q638" s="231"/>
      <c r="R638" s="21"/>
      <c r="S638" s="6"/>
      <c r="T638" s="35"/>
      <c r="U638" s="612"/>
      <c r="V638" s="21"/>
      <c r="W638" s="6"/>
      <c r="X638" s="35"/>
      <c r="Y638" s="612"/>
      <c r="Z638" s="21"/>
      <c r="AA638" s="6"/>
      <c r="AB638" s="35"/>
      <c r="AC638" s="612"/>
      <c r="AD638" s="612"/>
      <c r="AE638" s="25"/>
      <c r="AF638" s="29"/>
      <c r="AG638" s="5"/>
      <c r="AH638" s="5"/>
      <c r="AI638" s="5"/>
      <c r="AJ638" s="240"/>
      <c r="AK638" s="231"/>
      <c r="AL638" s="21"/>
      <c r="AM638" s="6"/>
      <c r="AN638" s="35"/>
      <c r="AO638" s="612"/>
      <c r="AP638" s="21"/>
      <c r="AQ638" s="6"/>
      <c r="AR638" s="35"/>
      <c r="AS638" s="612"/>
      <c r="AT638" s="21"/>
      <c r="AU638" s="6"/>
      <c r="AV638" s="35"/>
      <c r="AW638" s="612"/>
      <c r="AX638" s="612"/>
      <c r="AY638" s="25"/>
      <c r="AZ638" s="29"/>
      <c r="BA638" s="5"/>
      <c r="BB638" s="5"/>
      <c r="BC638" s="5"/>
      <c r="BD638" s="240"/>
      <c r="BE638" s="231"/>
      <c r="BF638" s="21"/>
      <c r="BG638" s="6"/>
      <c r="BH638" s="35"/>
      <c r="BI638" s="612"/>
      <c r="BJ638" s="21"/>
      <c r="BK638" s="6"/>
      <c r="BL638" s="35"/>
      <c r="BM638" s="612"/>
      <c r="BN638" s="21"/>
      <c r="BO638" s="6"/>
      <c r="BP638" s="35"/>
      <c r="BQ638" s="612"/>
      <c r="BR638" s="612"/>
      <c r="BS638" s="25"/>
      <c r="BT638" s="29"/>
      <c r="BU638" s="5"/>
      <c r="BV638" s="5"/>
      <c r="BW638" s="5"/>
      <c r="BX638" s="240"/>
      <c r="BY638" s="231"/>
      <c r="BZ638" s="21"/>
      <c r="CA638" s="6"/>
      <c r="CB638" s="35"/>
      <c r="CC638" s="612"/>
      <c r="CD638" s="21"/>
      <c r="CE638" s="6"/>
      <c r="CF638" s="35"/>
      <c r="CG638" s="612"/>
      <c r="CH638" s="21"/>
      <c r="CI638" s="6"/>
      <c r="CJ638" s="35"/>
      <c r="CK638" s="612"/>
      <c r="CL638" s="612"/>
      <c r="CM638" s="25"/>
      <c r="CN638" s="29"/>
      <c r="CO638" s="5"/>
      <c r="CP638" s="5"/>
      <c r="CQ638" s="5"/>
      <c r="CR638" s="240"/>
      <c r="CS638" s="231"/>
      <c r="CT638" s="21"/>
      <c r="CU638" s="6"/>
      <c r="CV638" s="35"/>
      <c r="CW638" s="612"/>
      <c r="CX638" s="21"/>
      <c r="CY638" s="6"/>
      <c r="CZ638" s="35"/>
      <c r="DA638" s="612"/>
      <c r="DB638" s="21"/>
      <c r="DC638" s="6"/>
      <c r="DD638" s="35"/>
      <c r="DE638" s="612"/>
      <c r="DF638" s="612"/>
      <c r="DG638" s="25"/>
      <c r="DH638" s="29"/>
      <c r="DI638" s="5"/>
      <c r="DJ638" s="5"/>
      <c r="DK638" s="5"/>
      <c r="DL638" s="240"/>
      <c r="DM638" s="231"/>
    </row>
    <row r="639" spans="1:117" ht="15.75" thickBot="1" x14ac:dyDescent="0.3">
      <c r="A639" s="19"/>
      <c r="B639" s="12"/>
      <c r="C639" s="19"/>
      <c r="D639" s="12"/>
      <c r="E639" s="12"/>
      <c r="F639" s="146"/>
      <c r="G639" s="12"/>
      <c r="H639" s="28"/>
      <c r="I639" s="28"/>
      <c r="J639" s="28"/>
      <c r="K639" s="28"/>
      <c r="L639" s="30"/>
      <c r="M639" s="31"/>
      <c r="N639" s="31"/>
      <c r="O639" s="31"/>
      <c r="P639" s="241"/>
      <c r="Q639" s="232"/>
      <c r="R639" s="200"/>
      <c r="S639" s="201"/>
      <c r="T639" s="36"/>
      <c r="U639" s="220"/>
      <c r="V639" s="200"/>
      <c r="W639" s="201"/>
      <c r="X639" s="36"/>
      <c r="Y639" s="220"/>
      <c r="Z639" s="122"/>
      <c r="AA639" s="201"/>
      <c r="AB639" s="36"/>
      <c r="AC639" s="220"/>
      <c r="AD639" s="220"/>
      <c r="AE639" s="28"/>
      <c r="AF639" s="30"/>
      <c r="AG639" s="31"/>
      <c r="AH639" s="31"/>
      <c r="AI639" s="31"/>
      <c r="AJ639" s="241"/>
      <c r="AK639" s="232"/>
      <c r="AL639" s="200"/>
      <c r="AM639" s="201"/>
      <c r="AN639" s="36"/>
      <c r="AO639" s="220"/>
      <c r="AP639" s="200"/>
      <c r="AQ639" s="201"/>
      <c r="AR639" s="36"/>
      <c r="AS639" s="220"/>
      <c r="AT639" s="122"/>
      <c r="AU639" s="201"/>
      <c r="AV639" s="36"/>
      <c r="AW639" s="220"/>
      <c r="AX639" s="220"/>
      <c r="AY639" s="28"/>
      <c r="AZ639" s="30"/>
      <c r="BA639" s="31"/>
      <c r="BB639" s="31"/>
      <c r="BC639" s="31"/>
      <c r="BD639" s="241"/>
      <c r="BE639" s="232"/>
      <c r="BF639" s="200"/>
      <c r="BG639" s="201"/>
      <c r="BH639" s="36"/>
      <c r="BI639" s="220"/>
      <c r="BJ639" s="200"/>
      <c r="BK639" s="201"/>
      <c r="BL639" s="36"/>
      <c r="BM639" s="220"/>
      <c r="BN639" s="122"/>
      <c r="BO639" s="201"/>
      <c r="BP639" s="36"/>
      <c r="BQ639" s="220"/>
      <c r="BR639" s="220"/>
      <c r="BS639" s="28"/>
      <c r="BT639" s="30"/>
      <c r="BU639" s="31"/>
      <c r="BV639" s="31"/>
      <c r="BW639" s="31"/>
      <c r="BX639" s="241"/>
      <c r="BY639" s="232"/>
      <c r="BZ639" s="200"/>
      <c r="CA639" s="201"/>
      <c r="CB639" s="36"/>
      <c r="CC639" s="220"/>
      <c r="CD639" s="200"/>
      <c r="CE639" s="201"/>
      <c r="CF639" s="36"/>
      <c r="CG639" s="220"/>
      <c r="CH639" s="122"/>
      <c r="CI639" s="201"/>
      <c r="CJ639" s="36"/>
      <c r="CK639" s="220"/>
      <c r="CL639" s="220"/>
      <c r="CM639" s="28"/>
      <c r="CN639" s="30"/>
      <c r="CO639" s="31"/>
      <c r="CP639" s="31"/>
      <c r="CQ639" s="31"/>
      <c r="CR639" s="241"/>
      <c r="CS639" s="232"/>
      <c r="CT639" s="200"/>
      <c r="CU639" s="201"/>
      <c r="CV639" s="36"/>
      <c r="CW639" s="220"/>
      <c r="CX639" s="200"/>
      <c r="CY639" s="201"/>
      <c r="CZ639" s="36"/>
      <c r="DA639" s="220"/>
      <c r="DB639" s="122"/>
      <c r="DC639" s="201"/>
      <c r="DD639" s="36"/>
      <c r="DE639" s="220"/>
      <c r="DF639" s="220"/>
      <c r="DG639" s="28"/>
      <c r="DH639" s="30"/>
      <c r="DI639" s="31"/>
      <c r="DJ639" s="31"/>
      <c r="DK639" s="31"/>
      <c r="DL639" s="241"/>
      <c r="DM639" s="232"/>
    </row>
    <row r="640" spans="1:117" ht="15.75" thickBot="1" x14ac:dyDescent="0.3"/>
    <row r="641" spans="1:117" x14ac:dyDescent="0.25">
      <c r="A641" s="141"/>
      <c r="B641" s="140" t="s">
        <v>155</v>
      </c>
      <c r="C641" s="141"/>
      <c r="D641" s="139"/>
      <c r="E641" s="139"/>
      <c r="F641" s="566"/>
      <c r="G641" s="139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2" t="s">
        <v>340</v>
      </c>
      <c r="S641" s="143" t="s">
        <v>366</v>
      </c>
      <c r="T641" s="144" t="s">
        <v>157</v>
      </c>
      <c r="U641" s="729"/>
      <c r="V641" s="142" t="s">
        <v>340</v>
      </c>
      <c r="W641" s="143" t="s">
        <v>366</v>
      </c>
      <c r="X641" s="144" t="s">
        <v>157</v>
      </c>
      <c r="Y641" s="729"/>
      <c r="Z641" s="142" t="s">
        <v>340</v>
      </c>
      <c r="AA641" s="143" t="s">
        <v>366</v>
      </c>
      <c r="AB641" s="144" t="s">
        <v>157</v>
      </c>
      <c r="AC641" s="141"/>
      <c r="AD641" s="141"/>
      <c r="AE641" s="141"/>
      <c r="AF641" s="141"/>
      <c r="AG641" s="141"/>
      <c r="AH641" s="141"/>
      <c r="AI641" s="141"/>
      <c r="AJ641" s="141"/>
      <c r="AK641" s="141"/>
      <c r="AL641" s="142" t="s">
        <v>340</v>
      </c>
      <c r="AM641" s="143" t="s">
        <v>366</v>
      </c>
      <c r="AN641" s="144" t="s">
        <v>157</v>
      </c>
      <c r="AO641" s="729"/>
      <c r="AP641" s="142" t="s">
        <v>340</v>
      </c>
      <c r="AQ641" s="143" t="s">
        <v>366</v>
      </c>
      <c r="AR641" s="144" t="s">
        <v>157</v>
      </c>
      <c r="AS641" s="729"/>
      <c r="AT641" s="142" t="s">
        <v>340</v>
      </c>
      <c r="AU641" s="143" t="s">
        <v>366</v>
      </c>
      <c r="AV641" s="144" t="s">
        <v>157</v>
      </c>
      <c r="AW641" s="141"/>
      <c r="AX641" s="141"/>
      <c r="AY641" s="141"/>
      <c r="AZ641" s="141"/>
      <c r="BA641" s="141"/>
      <c r="BB641" s="141"/>
      <c r="BC641" s="141"/>
      <c r="BD641" s="141"/>
      <c r="BE641" s="141"/>
      <c r="BF641" s="142" t="s">
        <v>340</v>
      </c>
      <c r="BG641" s="143" t="s">
        <v>366</v>
      </c>
      <c r="BH641" s="144" t="s">
        <v>157</v>
      </c>
      <c r="BI641" s="729"/>
      <c r="BJ641" s="142" t="s">
        <v>340</v>
      </c>
      <c r="BK641" s="143" t="s">
        <v>366</v>
      </c>
      <c r="BL641" s="144" t="s">
        <v>157</v>
      </c>
      <c r="BM641" s="729"/>
      <c r="BN641" s="142" t="s">
        <v>340</v>
      </c>
      <c r="BO641" s="143" t="s">
        <v>366</v>
      </c>
      <c r="BP641" s="144" t="s">
        <v>157</v>
      </c>
      <c r="BQ641" s="141"/>
      <c r="BR641" s="141"/>
      <c r="BS641" s="141"/>
      <c r="BT641" s="141"/>
      <c r="BU641" s="141"/>
      <c r="BV641" s="141"/>
      <c r="BW641" s="141"/>
      <c r="BX641" s="141"/>
      <c r="BY641" s="141"/>
      <c r="BZ641" s="142" t="s">
        <v>340</v>
      </c>
      <c r="CA641" s="143" t="s">
        <v>366</v>
      </c>
      <c r="CB641" s="144" t="s">
        <v>157</v>
      </c>
      <c r="CC641" s="729"/>
      <c r="CD641" s="142" t="s">
        <v>340</v>
      </c>
      <c r="CE641" s="143" t="s">
        <v>366</v>
      </c>
      <c r="CF641" s="144" t="s">
        <v>157</v>
      </c>
      <c r="CG641" s="729"/>
      <c r="CH641" s="142" t="s">
        <v>340</v>
      </c>
      <c r="CI641" s="143" t="s">
        <v>366</v>
      </c>
      <c r="CJ641" s="144" t="s">
        <v>157</v>
      </c>
      <c r="CK641" s="141"/>
      <c r="CL641" s="141"/>
      <c r="CM641" s="141"/>
      <c r="CN641" s="141"/>
      <c r="CO641" s="141"/>
      <c r="CP641" s="141"/>
      <c r="CQ641" s="141"/>
      <c r="CR641" s="141"/>
      <c r="CS641" s="141"/>
      <c r="CT641" s="142" t="s">
        <v>340</v>
      </c>
      <c r="CU641" s="143" t="s">
        <v>366</v>
      </c>
      <c r="CV641" s="144" t="s">
        <v>157</v>
      </c>
      <c r="CW641" s="729"/>
      <c r="CX641" s="142" t="s">
        <v>340</v>
      </c>
      <c r="CY641" s="143" t="s">
        <v>366</v>
      </c>
      <c r="CZ641" s="144" t="s">
        <v>157</v>
      </c>
      <c r="DA641" s="729"/>
      <c r="DB641" s="142" t="s">
        <v>340</v>
      </c>
      <c r="DC641" s="143" t="s">
        <v>366</v>
      </c>
      <c r="DD641" s="144" t="s">
        <v>157</v>
      </c>
      <c r="DE641" s="141"/>
      <c r="DF641" s="141"/>
      <c r="DG641" s="141"/>
      <c r="DH641" s="141"/>
      <c r="DI641" s="141"/>
      <c r="DJ641" s="141"/>
      <c r="DK641" s="141"/>
      <c r="DL641" s="141"/>
      <c r="DM641" s="141"/>
    </row>
    <row r="642" spans="1:117" ht="15.75" thickBot="1" x14ac:dyDescent="0.3">
      <c r="R642" s="200">
        <f>SUM(R4,R81,R186,R202,R246,R266,R275,R340,R344,R363,R380,R385,R432,R441,R464,R477,R501,R510,R528,R532,R545,R552,R558,R587,R591,R597,R239,R212,R633,R604,R453)</f>
        <v>737082.5</v>
      </c>
      <c r="S642" s="201">
        <f>SUM(S4,S81,S186,S202,S246,S266,S275,S340,S344,S363,S380,S385,S432,S441,S464,S477,S501,S510,S528,S532,S545,S552,S558,S587,S591,S239,S212,S597,S633,S604,S453)</f>
        <v>123900</v>
      </c>
      <c r="T642" s="75" t="s">
        <v>156</v>
      </c>
      <c r="U642" s="77"/>
      <c r="V642" s="200">
        <f>SUM(V4,V81,V186,V202,V246,V266,V275,V340,V344,V363,V380,V385,V432,V441,V464,V477,V501,V510,V528,V532,V545,V552,V558,V587,V591,V597,V239,V212,V633,V604,V453)</f>
        <v>1758024.3</v>
      </c>
      <c r="W642" s="201">
        <f>SUM(W4,W81,W186,W202,W246,W266,W275,W340,W344,W363,W380,W385,W432,W441,W464,W477,W501,W510,W528,W532,W545,W552,W558,W587,W591,W239,W212,W597,W633,W604,W453)</f>
        <v>1652713</v>
      </c>
      <c r="X642" s="75" t="s">
        <v>156</v>
      </c>
      <c r="Y642" s="77"/>
      <c r="Z642" s="200">
        <f>SUM(Z4,Z81,Z186,Z202,Z246,Z266,Z275,Z340,Z344,Z363,Z380,Z385,Z432,Z441,Z464,Z477,Z501,Z510,Z528,Z532,Z545,Z552,Z558,Z587,Z591,Z597,Z239,Z212,Z633,Z604,Z453)</f>
        <v>623364.64</v>
      </c>
      <c r="AA642" s="201">
        <f>SUM(AA4,AA81,AA186,AA202,AA246,AA266,AA275,AA340,AA344,AA363,AA380,AA385,AA432,AA441,AA464,AA477,AA501,AA510,AA528,AA532,AA545,AA552,AA558,AA587,AA591,AA239,AA212,AA597,AA633,AA604,AA453)</f>
        <v>767954.64</v>
      </c>
      <c r="AB642" s="75" t="s">
        <v>156</v>
      </c>
      <c r="AL642" s="200">
        <f>SUM(AL4,AL81,AL186,AL202,AL246,AL266,AL275,AL340,AL344,AL363,AL380,AL385,AL432,AL441,AL464,AL477,AL501,AL510,AL528,AL532,AL545,AL552,AL558,AL587,AL591,AL597,AL239,AL212,AL633,AL604,AL453)</f>
        <v>454950</v>
      </c>
      <c r="AM642" s="201">
        <f>SUM(AM4,AM81,AM186,AM202,AM246,AM266,AM275,AM340,AM344,AM363,AM380,AM385,AM432,AM441,AM464,AM477,AM501,AM510,AM528,AM532,AM545,AM552,AM558,AM587,AM591,AM239,AM212,AM597,AM633,AM604,AM453)</f>
        <v>375837.6</v>
      </c>
      <c r="AN642" s="75" t="s">
        <v>156</v>
      </c>
      <c r="AO642" s="77"/>
      <c r="AP642" s="200">
        <f>SUM(AP4,AP81,AP186,AP202,AP246,AP266,AP275,AP340,AP344,AP363,AP380,AP385,AP432,AP441,AP464,AP477,AP501,AP510,AP528,AP532,AP545,AP552,AP558,AP587,AP591,AP597,AP239,AP212,AP633,AP604,AP453)</f>
        <v>197215</v>
      </c>
      <c r="AQ642" s="201">
        <f>SUM(AQ4,AQ81,AQ186,AQ202,AQ246,AQ266,AQ275,AQ340,AQ344,AQ363,AQ380,AQ385,AQ432,AQ441,AQ464,AQ477,AQ501,AQ510,AQ528,AQ532,AQ545,AQ552,AQ558,AQ587,AQ591,AQ239,AQ212,AQ597,AQ633,AQ604,AQ453)</f>
        <v>889350</v>
      </c>
      <c r="AR642" s="75" t="s">
        <v>156</v>
      </c>
      <c r="AS642" s="77"/>
      <c r="AT642" s="200">
        <f>SUM(AT4,AT81,AT186,AT202,AT246,AT266,AT275,AT340,AT344,AT363,AT380,AT385,AT432,AT441,AT464,AT477,AT501,AT510,AT528,AT532,AT545,AT552,AT558,AT587,AT591,AT597,AT239,AT212,AT633,AT604,AT453)</f>
        <v>1281576.3999999999</v>
      </c>
      <c r="AU642" s="201">
        <f>SUM(AU4,AU81,AU186,AU202,AU246,AU266,AU275,AU340,AU344,AU363,AU380,AU385,AU432,AU441,AU464,AU477,AU501,AU510,AU528,AU532,AU545,AU552,AU558,AU587,AU591,AU239,AU212,AU597,AU633,AU604,AU453)</f>
        <v>1022516.7999999999</v>
      </c>
      <c r="AV642" s="75" t="s">
        <v>156</v>
      </c>
      <c r="BF642" s="200">
        <f>SUM(BF4,BF81,BF186,BF202,BF246,BF266,BF275,BF340,BF344,BF363,BF380,BF385,BF432,BF441,BF464,BF477,BF501,BF510,BF528,BF532,BF545,BF552,BF558,BF587,BF591,BF597,BF239,BF212,BF633,BF604,BF453)</f>
        <v>192000</v>
      </c>
      <c r="BG642" s="201">
        <f>SUM(BG4,BG81,BG186,BG202,BG246,BG266,BG275,BG340,BG344,BG363,BG380,BG385,BG432,BG441,BG464,BG477,BG501,BG510,BG528,BG532,BG545,BG552,BG558,BG587,BG591,BG239,BG212,BG597,BG633,BG604,BG453)</f>
        <v>624710</v>
      </c>
      <c r="BH642" s="75" t="s">
        <v>156</v>
      </c>
      <c r="BI642" s="77"/>
      <c r="BJ642" s="200">
        <f>SUM(BJ4,BJ81,BJ186,BJ202,BJ246,BJ266,BJ275,BJ340,BJ344,BJ363,BJ380,BJ385,BJ432,BJ441,BJ464,BJ477,BJ501,BJ510,BJ528,BJ532,BJ545,BJ552,BJ558,BJ587,BJ591,BJ597,BJ239,BJ212,BJ633,BJ604,BJ453)</f>
        <v>781126.6</v>
      </c>
      <c r="BK642" s="201">
        <f>SUM(BK4,BK81,BK186,BK202,BK246,BK266,BK275,BK340,BK344,BK363,BK380,BK385,BK432,BK441,BK464,BK477,BK501,BK510,BK528,BK532,BK545,BK552,BK558,BK587,BK591,BK239,BK212,BK597,BK633,BK604,BK453)</f>
        <v>514234.4</v>
      </c>
      <c r="BL642" s="75" t="s">
        <v>156</v>
      </c>
      <c r="BM642" s="77"/>
      <c r="BN642" s="200">
        <f>SUM(BN4,BN81,BN186,BN202,BN246,BN266,BN275,BN340,BN344,BN363,BN380,BN385,BN432,BN441,BN464,BN477,BN501,BN510,BN528,BN532,BN545,BN552,BN558,BN587,BN591,BN597,BN239,BN212,BN633,BN604,BN453)</f>
        <v>956785.9</v>
      </c>
      <c r="BO642" s="201">
        <f>SUM(BO4,BO81,BO186,BO202,BO246,BO266,BO275,BO340,BO344,BO363,BO380,BO385,BO432,BO441,BO464,BO477,BO501,BO510,BO528,BO532,BO545,BO552,BO558,BO587,BO591,BO239,BO212,BO597,BO633,BO604,BO453)</f>
        <v>971179.45</v>
      </c>
      <c r="BP642" s="75" t="s">
        <v>156</v>
      </c>
      <c r="BZ642" s="200">
        <f>SUM(BZ4,BZ81,BZ186,BZ202,BZ246,BZ266,BZ275,BZ340,BZ344,BZ363,BZ380,BZ385,BZ432,BZ441,BZ464,BZ477,BZ501,BZ510,BZ528,BZ532,BZ545,BZ552,BZ558,BZ587,BZ591,BZ597,BZ239,BZ212,BZ633,BZ604,BZ453)</f>
        <v>743484</v>
      </c>
      <c r="CA642" s="201">
        <f>SUM(CA4,CA81,CA186,CA202,CA246,CA266,CA275,CA340,CA344,CA363,CA380,CA385,CA432,CA441,CA464,CA477,CA501,CA510,CA528,CA532,CA545,CA552,CA558,CA587,CA591,CA239,CA212,CA597,CA633,CA604,CA453)</f>
        <v>362214.6</v>
      </c>
      <c r="CB642" s="75" t="s">
        <v>156</v>
      </c>
      <c r="CC642" s="77"/>
      <c r="CD642" s="200">
        <f>SUM(CD4,CD81,CD186,CD202,CD246,CD266,CD275,CD340,CD344,CD363,CD380,CD385,CD432,CD441,CD464,CD477,CD501,CD510,CD528,CD532,CD545,CD552,CD558,CD587,CD591,CD597,CD239,CD212,CD633,CD604,CD453)</f>
        <v>4933619.26</v>
      </c>
      <c r="CE642" s="201">
        <f>SUM(CE4,CE81,CE186,CE202,CE246,CE266,CE275,CE340,CE344,CE363,CE380,CE385,CE432,CE441,CE464,CE477,CE501,CE510,CE528,CE532,CE545,CE552,CE558,CE587,CE591,CE239,CE212,CE597,CE633,CE604,CE453)</f>
        <v>696319.89</v>
      </c>
      <c r="CF642" s="75" t="s">
        <v>156</v>
      </c>
      <c r="CG642" s="77"/>
      <c r="CH642" s="200">
        <f>SUM(CH4,CH81,CH186,CH202,CH246,CH266,CH275,CH340,CH344,CH363,CH380,CH385,CH432,CH441,CH464,CH477,CH501,CH510,CH528,CH532,CH545,CH552,CH558,CH587,CH591,CH597,CH239,CH212,CH633,CH604,CH453)</f>
        <v>1811630.6600000001</v>
      </c>
      <c r="CI642" s="201">
        <f>SUM(CI4,CI81,CI186,CI202,CI246,CI266,CI275,CI340,CI344,CI363,CI380,CI385,CI432,CI441,CI464,CI477,CI501,CI510,CI528,CI532,CI545,CI552,CI558,CI587,CI591,CI239,CI212,CI597,CI633,CI604,CI453)</f>
        <v>6149251.5</v>
      </c>
      <c r="CJ642" s="75" t="s">
        <v>156</v>
      </c>
      <c r="CT642" s="200">
        <f>SUM(CT4,CT81,CT186,CT202,CT246,CT266,CT275,CT340,CT344,CT363,CT380,CT385,CT432,CT441,CT464,CT477,CT501,CT510,CT528,CT532,CT545,CT552,CT558,CT587,CT591,CT597,CT239,CT212,CT633,CT604,CT453)</f>
        <v>100000</v>
      </c>
      <c r="CU642" s="201">
        <f>SUM(CU4,CU81,CU186,CU202,CU246,CU266,CU275,CU340,CU344,CU363,CU380,CU385,CU432,CU441,CU464,CU477,CU501,CU510,CU528,CU532,CU545,CU552,CU558,CU587,CU591,CU239,CU212,CU597,CU633,CU604,CU453)</f>
        <v>1945367.075</v>
      </c>
      <c r="CV642" s="75" t="s">
        <v>156</v>
      </c>
      <c r="CW642" s="77"/>
      <c r="CX642" s="200">
        <f>SUM(CX4,CX81,CX186,CX202,CX246,CX266,CX275,CX340,CX344,CX363,CX380,CX385,CX432,CX441,CX464,CX477,CX501,CX510,CX528,CX532,CX545,CX552,CX558,CX587,CX591,CX597,CX239,CX212,CX633,CX604,CX453)</f>
        <v>100000</v>
      </c>
      <c r="CY642" s="201">
        <f>SUM(CY4,CY81,CY186,CY202,CY246,CY266,CY275,CY340,CY344,CY363,CY380,CY385,CY432,CY441,CY464,CY477,CY501,CY510,CY528,CY532,CY545,CY552,CY558,CY587,CY591,CY239,CY212,CY597,CY633,CY604,CY453)</f>
        <v>3199777.3</v>
      </c>
      <c r="CZ642" s="75" t="s">
        <v>156</v>
      </c>
      <c r="DA642" s="77"/>
      <c r="DB642" s="200">
        <f>SUM(DB4,DB81,DB186,DB202,DB246,DB266,DB275,DB340,DB344,DB363,DB380,DB385,DB432,DB441,DB464,DB477,DB501,DB510,DB528,DB532,DB545,DB552,DB558,DB587,DB591,DB597,DB239,DB212,DB633,DB604,DB453)</f>
        <v>1530500</v>
      </c>
      <c r="DC642" s="201">
        <f>SUM(DC4,DC81,DC186,DC202,DC246,DC266,DC275,DC340,DC344,DC363,DC380,DC385,DC432,DC441,DC464,DC477,DC501,DC510,DC528,DC532,DC545,DC552,DC558,DC587,DC591,DC239,DC212,DC597,DC633,DC604,DC453)</f>
        <v>364625</v>
      </c>
      <c r="DD642" s="75" t="s">
        <v>156</v>
      </c>
    </row>
    <row r="643" spans="1:117" ht="15.75" thickBot="1" x14ac:dyDescent="0.3">
      <c r="B643" s="438">
        <f>SUM(R643,V643,Z643,AL643,AP643,AT643,BF643,BJ643,BN643,BZ643,CD643,CH643)</f>
        <v>28621041.139999997</v>
      </c>
      <c r="M643" s="4"/>
      <c r="R643" s="834">
        <f>SUM(R642:S642)</f>
        <v>860982.5</v>
      </c>
      <c r="S643" s="835"/>
      <c r="T643" s="383" t="s">
        <v>158</v>
      </c>
      <c r="U643" s="676"/>
      <c r="V643" s="834">
        <f>SUM(V642:W642)</f>
        <v>3410737.3</v>
      </c>
      <c r="W643" s="835"/>
      <c r="X643" s="383" t="s">
        <v>158</v>
      </c>
      <c r="Y643" s="676"/>
      <c r="Z643" s="836">
        <f>SUM(Z642:AA642)</f>
        <v>1391319.28</v>
      </c>
      <c r="AA643" s="837"/>
      <c r="AB643" s="383" t="s">
        <v>158</v>
      </c>
      <c r="AC643" s="4"/>
      <c r="AD643" s="4"/>
      <c r="AG643" s="4"/>
      <c r="AL643" s="834">
        <f>SUM(AL642:AM642)</f>
        <v>830787.6</v>
      </c>
      <c r="AM643" s="835"/>
      <c r="AN643" s="383" t="s">
        <v>158</v>
      </c>
      <c r="AO643" s="676"/>
      <c r="AP643" s="834">
        <f>SUM(AP642:AQ642)</f>
        <v>1086565</v>
      </c>
      <c r="AQ643" s="835"/>
      <c r="AR643" s="383" t="s">
        <v>158</v>
      </c>
      <c r="AS643" s="676"/>
      <c r="AT643" s="834">
        <f>SUM(AT642:AU642)</f>
        <v>2304093.1999999997</v>
      </c>
      <c r="AU643" s="835"/>
      <c r="AV643" s="383" t="s">
        <v>158</v>
      </c>
      <c r="AW643" s="4"/>
      <c r="AX643" s="4"/>
      <c r="BA643" s="4"/>
      <c r="BF643" s="834">
        <f>SUM(BF642:BG642)</f>
        <v>816710</v>
      </c>
      <c r="BG643" s="835"/>
      <c r="BH643" s="383" t="s">
        <v>158</v>
      </c>
      <c r="BI643" s="676"/>
      <c r="BJ643" s="834">
        <f>SUM(BJ642:BK642)</f>
        <v>1295361</v>
      </c>
      <c r="BK643" s="835"/>
      <c r="BL643" s="383" t="s">
        <v>158</v>
      </c>
      <c r="BM643" s="676"/>
      <c r="BN643" s="834">
        <f>SUM(BN642:BO642)</f>
        <v>1927965.35</v>
      </c>
      <c r="BO643" s="835"/>
      <c r="BP643" s="383" t="s">
        <v>158</v>
      </c>
      <c r="BQ643" s="4"/>
      <c r="BR643" s="4"/>
      <c r="BU643" s="4"/>
      <c r="BZ643" s="836">
        <f>SUM(BZ642:CA642)</f>
        <v>1105698.6000000001</v>
      </c>
      <c r="CA643" s="837"/>
      <c r="CB643" s="383" t="s">
        <v>158</v>
      </c>
      <c r="CC643" s="676"/>
      <c r="CD643" s="834">
        <f>SUM(CD642:CE642)</f>
        <v>5629939.1499999994</v>
      </c>
      <c r="CE643" s="835"/>
      <c r="CF643" s="383" t="s">
        <v>158</v>
      </c>
      <c r="CG643" s="676"/>
      <c r="CH643" s="834">
        <f>SUM(CH642:CI642)</f>
        <v>7960882.1600000001</v>
      </c>
      <c r="CI643" s="835"/>
      <c r="CJ643" s="383" t="s">
        <v>158</v>
      </c>
      <c r="CK643" s="4"/>
      <c r="CL643" s="4"/>
      <c r="CO643" s="4"/>
      <c r="CT643" s="834">
        <f>SUM(CT642:CU642)</f>
        <v>2045367.075</v>
      </c>
      <c r="CU643" s="835"/>
      <c r="CV643" s="383" t="s">
        <v>158</v>
      </c>
      <c r="CW643" s="676"/>
      <c r="CX643" s="834">
        <f>SUM(CX642:CY642)</f>
        <v>3299777.3</v>
      </c>
      <c r="CY643" s="835"/>
      <c r="CZ643" s="383" t="s">
        <v>158</v>
      </c>
      <c r="DA643" s="676"/>
      <c r="DB643" s="834">
        <f>SUM(DB642:DC642)</f>
        <v>1895125</v>
      </c>
      <c r="DC643" s="835"/>
      <c r="DD643" s="383" t="s">
        <v>158</v>
      </c>
      <c r="DE643" s="4"/>
      <c r="DF643" s="4"/>
      <c r="DI643" s="4"/>
    </row>
    <row r="644" spans="1:117" x14ac:dyDescent="0.25">
      <c r="T644" s="4"/>
      <c r="U644" s="4"/>
      <c r="X644" s="4"/>
      <c r="Y644" s="4"/>
      <c r="AB644" s="4"/>
      <c r="AC644" s="4"/>
      <c r="AD644" s="4"/>
      <c r="AN644" s="4"/>
      <c r="AO644" s="4"/>
      <c r="AR644" s="4"/>
      <c r="AS644" s="4"/>
      <c r="AV644" s="4"/>
      <c r="AW644" s="4"/>
      <c r="AX644" s="4"/>
      <c r="BH644" s="4"/>
      <c r="BI644" s="4"/>
      <c r="BL644" s="4"/>
      <c r="BM644" s="4"/>
      <c r="BP644" s="4"/>
      <c r="BQ644" s="4"/>
      <c r="BR644" s="4"/>
      <c r="CB644" s="4"/>
      <c r="CC644" s="4"/>
      <c r="CF644" s="4"/>
      <c r="CG644" s="4"/>
      <c r="CJ644" s="4"/>
      <c r="CK644" s="4"/>
      <c r="CL644" s="4"/>
      <c r="CV644" s="4"/>
      <c r="CW644" s="4"/>
      <c r="CZ644" s="4"/>
      <c r="DA644" s="4"/>
      <c r="DD644" s="4"/>
      <c r="DE644" s="4"/>
      <c r="DF644" s="4"/>
    </row>
  </sheetData>
  <mergeCells count="65">
    <mergeCell ref="DH2:DM2"/>
    <mergeCell ref="CT643:CU643"/>
    <mergeCell ref="CX643:CY643"/>
    <mergeCell ref="DB643:DC643"/>
    <mergeCell ref="BZ1:CJ1"/>
    <mergeCell ref="CT1:DD1"/>
    <mergeCell ref="CN2:CS2"/>
    <mergeCell ref="CT2:CV2"/>
    <mergeCell ref="CX2:CZ2"/>
    <mergeCell ref="DB2:DD2"/>
    <mergeCell ref="CC2:CC3"/>
    <mergeCell ref="CG2:CG3"/>
    <mergeCell ref="CK2:CK3"/>
    <mergeCell ref="CL2:CL3"/>
    <mergeCell ref="CW2:CW3"/>
    <mergeCell ref="DA2:DA3"/>
    <mergeCell ref="BN643:BO643"/>
    <mergeCell ref="BZ643:CA643"/>
    <mergeCell ref="CD643:CE643"/>
    <mergeCell ref="CH643:CI643"/>
    <mergeCell ref="AX2:AX3"/>
    <mergeCell ref="BQ2:BQ3"/>
    <mergeCell ref="BR2:BR3"/>
    <mergeCell ref="AL643:AM643"/>
    <mergeCell ref="AP643:AQ643"/>
    <mergeCell ref="AT643:AU643"/>
    <mergeCell ref="BF643:BG643"/>
    <mergeCell ref="BJ643:BK643"/>
    <mergeCell ref="BF1:BP1"/>
    <mergeCell ref="AZ2:BE2"/>
    <mergeCell ref="BF2:BH2"/>
    <mergeCell ref="BJ2:BL2"/>
    <mergeCell ref="BN2:BP2"/>
    <mergeCell ref="BI2:BI3"/>
    <mergeCell ref="BM2:BM3"/>
    <mergeCell ref="AL1:AV1"/>
    <mergeCell ref="AF2:AK2"/>
    <mergeCell ref="AL2:AN2"/>
    <mergeCell ref="AP2:AR2"/>
    <mergeCell ref="AT2:AV2"/>
    <mergeCell ref="R643:S643"/>
    <mergeCell ref="V643:W643"/>
    <mergeCell ref="Z643:AA643"/>
    <mergeCell ref="R1:AB1"/>
    <mergeCell ref="L2:Q2"/>
    <mergeCell ref="R2:T2"/>
    <mergeCell ref="V2:X2"/>
    <mergeCell ref="Z2:AB2"/>
    <mergeCell ref="Y2:Y3"/>
    <mergeCell ref="F2:H2"/>
    <mergeCell ref="I2:I3"/>
    <mergeCell ref="E2:E3"/>
    <mergeCell ref="C2:D2"/>
    <mergeCell ref="U2:U3"/>
    <mergeCell ref="DE2:DE3"/>
    <mergeCell ref="DF2:DF3"/>
    <mergeCell ref="AC2:AC3"/>
    <mergeCell ref="AD2:AD3"/>
    <mergeCell ref="AO2:AO3"/>
    <mergeCell ref="AS2:AS3"/>
    <mergeCell ref="AW2:AW3"/>
    <mergeCell ref="BT2:BY2"/>
    <mergeCell ref="BZ2:CB2"/>
    <mergeCell ref="CD2:CF2"/>
    <mergeCell ref="CH2:CJ2"/>
  </mergeCells>
  <conditionalFormatting sqref="K6:K23 AE6:AE23">
    <cfRule type="cellIs" dxfId="279" priority="366" operator="greaterThan">
      <formula>0</formula>
    </cfRule>
  </conditionalFormatting>
  <conditionalFormatting sqref="K25:K37 AE25:AE37">
    <cfRule type="cellIs" dxfId="278" priority="367" operator="greaterThan">
      <formula>0</formula>
    </cfRule>
  </conditionalFormatting>
  <conditionalFormatting sqref="K48:K49 AE48:AE49 K51:K52 AE51:AE52 K54 AE54 K56:K59 AE56:AE59 K61:K63 AE61:AE63">
    <cfRule type="cellIs" dxfId="277" priority="368" operator="greaterThan">
      <formula>0</formula>
    </cfRule>
  </conditionalFormatting>
  <conditionalFormatting sqref="K65:K68 AE65:AE68 K70:K75 AE70:AE75 K77:K79 AE77:AE79">
    <cfRule type="cellIs" dxfId="276" priority="369" operator="greaterThan">
      <formula>0</formula>
    </cfRule>
  </conditionalFormatting>
  <conditionalFormatting sqref="K83:K91 AE83:AE91 K93:K95 AE93:AE95 K97:K99 AE97:AE99 K101 AE101">
    <cfRule type="cellIs" dxfId="275" priority="370" operator="greaterThan">
      <formula>0</formula>
    </cfRule>
  </conditionalFormatting>
  <conditionalFormatting sqref="K103:K105 AE103:AE105 K107:K109 AE107:AE109 K111:K112 AE111:AE112">
    <cfRule type="cellIs" dxfId="274" priority="371" operator="greaterThan">
      <formula>0</formula>
    </cfRule>
  </conditionalFormatting>
  <conditionalFormatting sqref="K114:K118 AE114:AE118">
    <cfRule type="cellIs" dxfId="273" priority="43" operator="greaterThan">
      <formula>0</formula>
    </cfRule>
  </conditionalFormatting>
  <conditionalFormatting sqref="K120:K126 AE120:AE126 K128:K133 AE128:AE133 K135:K136 AE135:AE136">
    <cfRule type="cellIs" dxfId="272" priority="372" operator="greaterThan">
      <formula>0</formula>
    </cfRule>
  </conditionalFormatting>
  <conditionalFormatting sqref="K139:K141 AE139:AE141 K143:K144 AE143:AE144 K147:K149 AE147:AE149 K151:K152 AE151:AE152 K155:K158 AE155:AE158 K160:K161 AE160:AE161">
    <cfRule type="cellIs" dxfId="271" priority="373" operator="greaterThan">
      <formula>0</formula>
    </cfRule>
  </conditionalFormatting>
  <conditionalFormatting sqref="K164:K169 AE164:AE169 K171:K180 AE171:AE180 K182:K184 AE182:AE184">
    <cfRule type="cellIs" dxfId="270" priority="374" operator="greaterThan">
      <formula>0</formula>
    </cfRule>
  </conditionalFormatting>
  <conditionalFormatting sqref="K187:K200 AE187:AE200 K204 AE204 K207:K209 AE207:AE209">
    <cfRule type="cellIs" dxfId="269" priority="375" operator="greaterThan">
      <formula>0</formula>
    </cfRule>
  </conditionalFormatting>
  <conditionalFormatting sqref="K213:K237 AE213:AE237 K241 AE241">
    <cfRule type="cellIs" dxfId="268" priority="376" operator="greaterThan">
      <formula>0</formula>
    </cfRule>
  </conditionalFormatting>
  <conditionalFormatting sqref="K247:K254 AE247:AE254 K256:K260 AE256:AE260 AE262:AE264 K262:K265 K267:K269 AE267:AE269">
    <cfRule type="cellIs" dxfId="267" priority="377" operator="greaterThan">
      <formula>0</formula>
    </cfRule>
  </conditionalFormatting>
  <conditionalFormatting sqref="K277:K288 AE277:AE288">
    <cfRule type="cellIs" dxfId="266" priority="378" operator="greaterThan">
      <formula>0</formula>
    </cfRule>
  </conditionalFormatting>
  <conditionalFormatting sqref="K291:K298 AE291:AE298">
    <cfRule type="cellIs" dxfId="265" priority="379" operator="greaterThan">
      <formula>0</formula>
    </cfRule>
  </conditionalFormatting>
  <conditionalFormatting sqref="K300:K303 AE300:AE303 K305:K310 AE305:AE310 K312:K317 AE312:AE317">
    <cfRule type="cellIs" dxfId="264" priority="380" operator="greaterThan">
      <formula>0</formula>
    </cfRule>
  </conditionalFormatting>
  <conditionalFormatting sqref="K319:K326 AE319:AE326 K328:K333 AE328:AE333 K335:K336 AE335:AE336">
    <cfRule type="cellIs" dxfId="263" priority="381" operator="greaterThan">
      <formula>0</formula>
    </cfRule>
  </conditionalFormatting>
  <conditionalFormatting sqref="K338 AE338 K341:K342 AE341:AE342 K347:K351 AE347:AE351 K354:K361 AE354:AE361">
    <cfRule type="cellIs" dxfId="262" priority="382" operator="greaterThan">
      <formula>0</formula>
    </cfRule>
  </conditionalFormatting>
  <conditionalFormatting sqref="K364:K378 AE364:AE378 K381:K383 AE381:AE383">
    <cfRule type="cellIs" dxfId="261" priority="383" operator="greaterThan">
      <formula>0</formula>
    </cfRule>
  </conditionalFormatting>
  <conditionalFormatting sqref="K387 AE387 K389:K404 AE389:AE404">
    <cfRule type="cellIs" dxfId="260" priority="384" operator="greaterThan">
      <formula>0</formula>
    </cfRule>
  </conditionalFormatting>
  <conditionalFormatting sqref="K406:K412 AE406:AE412 K414:K420 AE414:AE420 K422:K425 AE422:AE425 K427:K430 AE427:AE430">
    <cfRule type="cellIs" dxfId="259" priority="385" operator="greaterThan">
      <formula>0</formula>
    </cfRule>
  </conditionalFormatting>
  <conditionalFormatting sqref="K433:K439 AE433:AE439 K442:K451 AE442:AE451 K454:K462 AE454:AE462 K465:K467 AE465:AE467">
    <cfRule type="cellIs" dxfId="258" priority="386" operator="greaterThan">
      <formula>0</formula>
    </cfRule>
  </conditionalFormatting>
  <conditionalFormatting sqref="K470:K475">
    <cfRule type="cellIs" dxfId="257" priority="8" operator="greaterThan">
      <formula>0</formula>
    </cfRule>
  </conditionalFormatting>
  <conditionalFormatting sqref="K478:K497 AE478:AE497">
    <cfRule type="cellIs" dxfId="256" priority="387" operator="greaterThan">
      <formula>0</formula>
    </cfRule>
  </conditionalFormatting>
  <conditionalFormatting sqref="K502:K508 AE502:AE508">
    <cfRule type="cellIs" dxfId="255" priority="389" operator="greaterThan">
      <formula>0</formula>
    </cfRule>
  </conditionalFormatting>
  <conditionalFormatting sqref="K511:K513 AE511:AE513 K515:K519 AE515:AE519 K521 AE521 K523:K525 AE523:AE525">
    <cfRule type="cellIs" dxfId="254" priority="390" operator="greaterThan">
      <formula>0</formula>
    </cfRule>
  </conditionalFormatting>
  <conditionalFormatting sqref="K533:K542 AE533:AE542">
    <cfRule type="cellIs" dxfId="253" priority="391" operator="greaterThan">
      <formula>0</formula>
    </cfRule>
  </conditionalFormatting>
  <conditionalFormatting sqref="K559:K563 AE559:AE563 K565:K567 AE565:AE567 K569:K572 AE569:AE572 K574:K580 AE574:AE580 K582:K585 AE582:AE585 K588:K589 AE588:AE589">
    <cfRule type="cellIs" dxfId="252" priority="393" operator="greaterThan">
      <formula>0</formula>
    </cfRule>
  </conditionalFormatting>
  <conditionalFormatting sqref="K592:K595 AE592:AE595 K598:K601 AE598:AE601">
    <cfRule type="cellIs" dxfId="251" priority="394" operator="greaterThan">
      <formula>0</formula>
    </cfRule>
  </conditionalFormatting>
  <conditionalFormatting sqref="K605:K631 AE605:AE631">
    <cfRule type="cellIs" dxfId="250" priority="55" operator="greaterThan">
      <formula>0</formula>
    </cfRule>
  </conditionalFormatting>
  <conditionalFormatting sqref="N6:N23 AH6:AH23 BB6:BB23">
    <cfRule type="cellIs" dxfId="249" priority="298" operator="greaterThan">
      <formula>0</formula>
    </cfRule>
  </conditionalFormatting>
  <conditionalFormatting sqref="N25:N37 AH25:AH37 BB25:BB37">
    <cfRule type="cellIs" dxfId="248" priority="299" operator="greaterThan">
      <formula>0</formula>
    </cfRule>
  </conditionalFormatting>
  <conditionalFormatting sqref="N48:N49 AH48:AH49 BB48:BB49 N51:N52 AH51:AH52 BB51:BB52 N54 AH54 BB54 N56:N59 AH56:AH59 BB56:BB59 N61:N63 AH61:AH63 BB61:BB63">
    <cfRule type="cellIs" dxfId="247" priority="300" operator="greaterThan">
      <formula>0</formula>
    </cfRule>
  </conditionalFormatting>
  <conditionalFormatting sqref="N65:N68 AH65:AH68 BB65:BB68 N70:N75 AH70:AH75 BB70:BB75 N77:N79 AH77:AH79 BB77:BB79">
    <cfRule type="cellIs" dxfId="246" priority="301" operator="greaterThan">
      <formula>0</formula>
    </cfRule>
  </conditionalFormatting>
  <conditionalFormatting sqref="N83:N91 AH83:AH91 BB83:BB91 N93:N95 AH93:AH95 BB93:BB95 N97:N99 AH97:AH99 BB97:BB99">
    <cfRule type="cellIs" dxfId="245" priority="302" operator="greaterThan">
      <formula>0</formula>
    </cfRule>
  </conditionalFormatting>
  <conditionalFormatting sqref="N101 AH101 BB101 N103:N105 AH103:AH105 BB103:BB105 N107:N109 AH107:AH109 BB107:BB109 N111:N112 AH111:AH112 BB111:BB112">
    <cfRule type="cellIs" dxfId="244" priority="303" operator="greaterThan">
      <formula>0</formula>
    </cfRule>
  </conditionalFormatting>
  <conditionalFormatting sqref="N114:N118 AH114:AH118 BB114:BB118">
    <cfRule type="cellIs" dxfId="243" priority="41" operator="greaterThan">
      <formula>0</formula>
    </cfRule>
  </conditionalFormatting>
  <conditionalFormatting sqref="N120:N126 AH120:AH126 BB120:BB126 N128:N133 AH128:AH133 BB128:BB133 N135:N136 AH135:AH136 BB135:BB136">
    <cfRule type="cellIs" dxfId="242" priority="304" operator="greaterThan">
      <formula>0</formula>
    </cfRule>
  </conditionalFormatting>
  <conditionalFormatting sqref="N139:N141 AH139:AH141 BB139:BB141 N143:N144 AH143:AH144 BB143:BB144 N147:N149 AH147:AH149 BB147:BB149 N151:N152 AH151:AH152 BB151:BB152 N155:N158 AH155:AH158 BB155:BB158 N160:N161 AH160:AH162 BB160:BB162">
    <cfRule type="cellIs" dxfId="241" priority="305" operator="greaterThan">
      <formula>0</formula>
    </cfRule>
  </conditionalFormatting>
  <conditionalFormatting sqref="N164:N169 AH164:AH169 BB164:BB169">
    <cfRule type="cellIs" dxfId="240" priority="306" operator="greaterThan">
      <formula>0</formula>
    </cfRule>
  </conditionalFormatting>
  <conditionalFormatting sqref="N171:N180 AH171:AH180 BB171:BB180 N182:N184 AH182:AH184 BB182:BB184">
    <cfRule type="cellIs" dxfId="239" priority="307" operator="greaterThan">
      <formula>0</formula>
    </cfRule>
  </conditionalFormatting>
  <conditionalFormatting sqref="N187:N200 AH187:AH200 BB187:BB200 N203:N205 AH203:AH205 BB203:BB205 N207:N209 AH207:AH209 BB207:BB209">
    <cfRule type="cellIs" dxfId="238" priority="308" operator="greaterThan">
      <formula>0</formula>
    </cfRule>
  </conditionalFormatting>
  <conditionalFormatting sqref="N213:N237">
    <cfRule type="cellIs" dxfId="237" priority="63" operator="greaterThan">
      <formula>0</formula>
    </cfRule>
  </conditionalFormatting>
  <conditionalFormatting sqref="N247:N254 AH247:AH254 BB247:BB254 N256:N260 AH256:AH260 BB256:BB260 N262:N264 AH262:AH264 BB262:BB264 N267:N269 AH267:AH269 BB267:BB269">
    <cfRule type="cellIs" dxfId="236" priority="310" operator="greaterThan">
      <formula>0</formula>
    </cfRule>
  </conditionalFormatting>
  <conditionalFormatting sqref="N276:N288 AH276:AH288 BB276:BB288">
    <cfRule type="cellIs" dxfId="235" priority="311" operator="greaterThan">
      <formula>0</formula>
    </cfRule>
  </conditionalFormatting>
  <conditionalFormatting sqref="N291:N298 AH291:AH298 BB291:BB298">
    <cfRule type="cellIs" dxfId="234" priority="312" operator="greaterThan">
      <formula>0</formula>
    </cfRule>
  </conditionalFormatting>
  <conditionalFormatting sqref="N300:N303 AH300:AH303 BB300:BB303 N305:N310 AH305:AH310 BB305:BB310">
    <cfRule type="cellIs" dxfId="233" priority="313" operator="greaterThan">
      <formula>0</formula>
    </cfRule>
  </conditionalFormatting>
  <conditionalFormatting sqref="N312:N317 AH312:AH317 BB312:BB317 N319:N326 AH319:AH326 BB319:BB326">
    <cfRule type="cellIs" dxfId="232" priority="314" operator="greaterThan">
      <formula>0</formula>
    </cfRule>
  </conditionalFormatting>
  <conditionalFormatting sqref="N328:N333 AH328:AH333 BB328:BB333 N335:N336 AH335:AH336 BB335:BB336 N338 AH338 BB338">
    <cfRule type="cellIs" dxfId="231" priority="315" operator="greaterThan">
      <formula>0</formula>
    </cfRule>
  </conditionalFormatting>
  <conditionalFormatting sqref="N341:N342 AH341:AH342 BB341:BB342 N347:N351 AH347:AH351 BB347:BB351 N354:N361 AH354:AH361 BB354:BB361">
    <cfRule type="cellIs" dxfId="230" priority="316" operator="greaterThan">
      <formula>0</formula>
    </cfRule>
  </conditionalFormatting>
  <conditionalFormatting sqref="N364:N378 AH364:AH378 BB364:BB378 N381:N383 AH381:AH383 BB381:BB383">
    <cfRule type="cellIs" dxfId="229" priority="317" operator="greaterThan">
      <formula>0</formula>
    </cfRule>
  </conditionalFormatting>
  <conditionalFormatting sqref="N387 AH387 BB387 N389:N404 AH389:AH404 BB389:BB404 N406:N412 AH406:AH412 BB406:BB412">
    <cfRule type="cellIs" dxfId="228" priority="318" operator="greaterThan">
      <formula>0</formula>
    </cfRule>
  </conditionalFormatting>
  <conditionalFormatting sqref="N414:N420 AH414:AH420 N422:N425 AH422:AH425 BB422:BB425 N427:N430 AH427:AH430 BB427:BB430 N434:N438 AH434:AH438 BB434:BB438">
    <cfRule type="cellIs" dxfId="227" priority="319" operator="greaterThan">
      <formula>0</formula>
    </cfRule>
  </conditionalFormatting>
  <conditionalFormatting sqref="N442:N451 AH442:AH451 BB442:BB451 N454:N462 AH454:AH462 BB454:BB462 N465:N467 AH465:AH467 BB465:BB467">
    <cfRule type="cellIs" dxfId="226" priority="320" operator="greaterThan">
      <formula>0</formula>
    </cfRule>
  </conditionalFormatting>
  <conditionalFormatting sqref="N470:N475 AH470:AH475 BB470:BB475">
    <cfRule type="cellIs" dxfId="225" priority="29" operator="greaterThan">
      <formula>0</formula>
    </cfRule>
  </conditionalFormatting>
  <conditionalFormatting sqref="N478:N498 AH478:AH498 BB478:BB498">
    <cfRule type="cellIs" dxfId="224" priority="321" operator="greaterThan">
      <formula>0</formula>
    </cfRule>
  </conditionalFormatting>
  <conditionalFormatting sqref="N502:N508 AH502:AH508 BB502:BB508">
    <cfRule type="cellIs" dxfId="223" priority="323" operator="greaterThan">
      <formula>0</formula>
    </cfRule>
  </conditionalFormatting>
  <conditionalFormatting sqref="N512:N513 AH512:AH513 BB512:BB513 N515:N525 AH515:AH525 BB515:BB525">
    <cfRule type="cellIs" dxfId="222" priority="324" operator="greaterThan">
      <formula>0</formula>
    </cfRule>
  </conditionalFormatting>
  <conditionalFormatting sqref="N533:N542 AH533:AH542 BB533:BB542">
    <cfRule type="cellIs" dxfId="221" priority="325" operator="greaterThan">
      <formula>0</formula>
    </cfRule>
  </conditionalFormatting>
  <conditionalFormatting sqref="N547:N549 AH547:AH549 BB547:BB549 N553:N555 AH553:AH555 BB553:BB555">
    <cfRule type="cellIs" dxfId="220" priority="326" operator="greaterThan">
      <formula>0</formula>
    </cfRule>
  </conditionalFormatting>
  <conditionalFormatting sqref="N559:N563 AH559:AH563 BB559:BB563 N565:N567 AH565:AH567 BB565:BB567 N569:N572 AH569:AH572 BB569:BB572 N574:N580 AH574:AH580 BB574:BB580 N582:N585">
    <cfRule type="cellIs" dxfId="219" priority="327" operator="greaterThan">
      <formula>0</formula>
    </cfRule>
  </conditionalFormatting>
  <conditionalFormatting sqref="N588:N589 AH588:AH589 BB588:BB589 N592:N595 AH592:AH595 BB592:BB595 N598:N601 AH598:AH601 BB598:BB601">
    <cfRule type="cellIs" dxfId="218" priority="328" operator="greaterThan">
      <formula>0</formula>
    </cfRule>
  </conditionalFormatting>
  <conditionalFormatting sqref="N605:N631 AH605:AH631">
    <cfRule type="cellIs" dxfId="217" priority="53" operator="greaterThan">
      <formula>0</formula>
    </cfRule>
  </conditionalFormatting>
  <conditionalFormatting sqref="Q5:Q631">
    <cfRule type="cellIs" dxfId="216" priority="26" operator="lessThan">
      <formula>0</formula>
    </cfRule>
  </conditionalFormatting>
  <conditionalFormatting sqref="AE470:AE475">
    <cfRule type="cellIs" dxfId="215" priority="7" operator="greaterThan">
      <formula>0</formula>
    </cfRule>
  </conditionalFormatting>
  <conditionalFormatting sqref="AE547:AE549 K548:K549 K553:K555 AE553:AE555">
    <cfRule type="cellIs" dxfId="214" priority="392" operator="greaterThan">
      <formula>0</formula>
    </cfRule>
  </conditionalFormatting>
  <conditionalFormatting sqref="AH213:AH237 BB213:BB237 N240:N243 AH240:AH243 BB240:BB243">
    <cfRule type="cellIs" dxfId="213" priority="309" operator="greaterThan">
      <formula>0</formula>
    </cfRule>
  </conditionalFormatting>
  <conditionalFormatting sqref="AH582:AH585">
    <cfRule type="cellIs" dxfId="212" priority="61" operator="greaterThan">
      <formula>0</formula>
    </cfRule>
  </conditionalFormatting>
  <conditionalFormatting sqref="AK5:AK631">
    <cfRule type="cellIs" dxfId="211" priority="25" operator="lessThan">
      <formula>0</formula>
    </cfRule>
  </conditionalFormatting>
  <conditionalFormatting sqref="AY6:AY23">
    <cfRule type="cellIs" dxfId="210" priority="429" operator="greaterThan">
      <formula>0</formula>
    </cfRule>
  </conditionalFormatting>
  <conditionalFormatting sqref="AY25:AY37">
    <cfRule type="cellIs" dxfId="209" priority="428" operator="greaterThan">
      <formula>0</formula>
    </cfRule>
  </conditionalFormatting>
  <conditionalFormatting sqref="AY48:AY49 BS48:BS49 CM48:CM49">
    <cfRule type="cellIs" dxfId="208" priority="425" operator="greaterThan">
      <formula>0</formula>
    </cfRule>
  </conditionalFormatting>
  <conditionalFormatting sqref="AY51:AY52 BS51:BS52 CM51:CM52 AY54 BS54 CM54 AY56:AY59 BS56:BS59 CM56:CM59 AY61:AY63 BS61:BS63 CM61:CM63">
    <cfRule type="cellIs" dxfId="207" priority="424" operator="greaterThan">
      <formula>0</formula>
    </cfRule>
  </conditionalFormatting>
  <conditionalFormatting sqref="AY65:AY68 BS65:BS68 CM65:CM68 AY70:AY75 BS70:BS75 CM70:CM75 AY77:AY79 BS77:BS79 CM77:CM79">
    <cfRule type="cellIs" dxfId="206" priority="423" operator="greaterThan">
      <formula>0</formula>
    </cfRule>
  </conditionalFormatting>
  <conditionalFormatting sqref="AY83:AY91 BS83:BS91 CM83:CM91 AY93:AY95 BS93:BS95 CM93:CM95 AY97:AY99 BS97:BS99 CM97:CM99 AY101 BS101 CM101">
    <cfRule type="cellIs" dxfId="205" priority="422" operator="greaterThan">
      <formula>0</formula>
    </cfRule>
  </conditionalFormatting>
  <conditionalFormatting sqref="AY103:AY105 BS103:BS105 CM103:CM105 AY107:AY109 BS107:BS109 CM107:CM109 AY111:AY112 BS111:BS112 CM111:CM112 AY120:AY126 BS120:BS126 CM120:CM126">
    <cfRule type="cellIs" dxfId="204" priority="421" operator="greaterThan">
      <formula>0</formula>
    </cfRule>
  </conditionalFormatting>
  <conditionalFormatting sqref="AY114:AY118 BS114:BS118 CM114:CM118">
    <cfRule type="cellIs" dxfId="203" priority="44" operator="greaterThan">
      <formula>0</formula>
    </cfRule>
  </conditionalFormatting>
  <conditionalFormatting sqref="AY128:AY133 BS128:BS133 CM128:CM133 AY135:AY136 BS135:BS136 CM135:CM136 AY139:AY141 BS139:BS141 CM139:CM141 AY143:AY144 BS143:BS144 CM143:CM144">
    <cfRule type="cellIs" dxfId="202" priority="420" operator="greaterThan">
      <formula>0</formula>
    </cfRule>
  </conditionalFormatting>
  <conditionalFormatting sqref="AY147:AY149 BS147:BS149 CM147:CM149 AY151:AY152 BS151:BS152 CM151:CM152 AY155:AY158 BS155:BS158 CM155:CM158 AY160:AY161 BS160:BS161 CM160:CM161">
    <cfRule type="cellIs" dxfId="201" priority="419" operator="greaterThan">
      <formula>0</formula>
    </cfRule>
  </conditionalFormatting>
  <conditionalFormatting sqref="AY164:AY169 BS164:BS169 CM164:CM169 AY171:AY180 BS171:BS180 CM171:CM180 AY182:AY184 BS182:BS184 CM182:CM184">
    <cfRule type="cellIs" dxfId="200" priority="418" operator="greaterThan">
      <formula>0</formula>
    </cfRule>
  </conditionalFormatting>
  <conditionalFormatting sqref="AY187:AY200 BS187:BS200 CM187:CM200">
    <cfRule type="cellIs" dxfId="199" priority="417" operator="greaterThan">
      <formula>0</formula>
    </cfRule>
  </conditionalFormatting>
  <conditionalFormatting sqref="AY204 BS204 CM204 AY207:AY209 BS207:BS209 CM207:CM209">
    <cfRule type="cellIs" dxfId="198" priority="416" operator="greaterThan">
      <formula>0</formula>
    </cfRule>
  </conditionalFormatting>
  <conditionalFormatting sqref="AY213:AY237 BS213:BS237 CM213:CM237">
    <cfRule type="cellIs" dxfId="197" priority="415" operator="greaterThan">
      <formula>0</formula>
    </cfRule>
  </conditionalFormatting>
  <conditionalFormatting sqref="AY241 BS241 CM241">
    <cfRule type="cellIs" dxfId="196" priority="414" operator="greaterThan">
      <formula>0</formula>
    </cfRule>
  </conditionalFormatting>
  <conditionalFormatting sqref="AY247:AY254 BS247:BS254 CM247:CM254 AY256:AY260 BS256:BS260 CM256:CM260 AY262:AY264 BS262:BS264 CM262:CM264 AY267:AY269 BS267:BS269 CM267:CM269">
    <cfRule type="cellIs" dxfId="195" priority="413" operator="greaterThan">
      <formula>0</formula>
    </cfRule>
  </conditionalFormatting>
  <conditionalFormatting sqref="AY277:AY288 BS277:BS288 CM277:CM288">
    <cfRule type="cellIs" dxfId="194" priority="412" operator="greaterThan">
      <formula>0</formula>
    </cfRule>
  </conditionalFormatting>
  <conditionalFormatting sqref="AY291:AY298 BS291:BS298 CM291:CM298 AY300:AY303 BS300:BS303 CM300:CM303">
    <cfRule type="cellIs" dxfId="193" priority="411" operator="greaterThan">
      <formula>0</formula>
    </cfRule>
  </conditionalFormatting>
  <conditionalFormatting sqref="AY305:AY310 BS305:BS310 CM305:CM310 AY312:AY317 BS312:BS317 CM312:CM317 AY319:AY326 BS319:BS326 CM319:CM326">
    <cfRule type="cellIs" dxfId="192" priority="410" operator="greaterThan">
      <formula>0</formula>
    </cfRule>
  </conditionalFormatting>
  <conditionalFormatting sqref="AY328:AY333 BS328:BS333 CM328:CM333 AY335:AY336 BS335:BS336 CM335:CM336 AY338 BS338 CM338">
    <cfRule type="cellIs" dxfId="191" priority="409" operator="greaterThan">
      <formula>0</formula>
    </cfRule>
  </conditionalFormatting>
  <conditionalFormatting sqref="AY341:AY342 BS341:BS342 CM341:CM342 AY347:AY351 BS347:BS351 CM347:CM351 AY354:AY361 BS354:BS361 CM354:CM361">
    <cfRule type="cellIs" dxfId="190" priority="408" operator="greaterThan">
      <formula>0</formula>
    </cfRule>
  </conditionalFormatting>
  <conditionalFormatting sqref="AY364:AY378 BS364:BS378 CM364:CM378 AY381:AY383 BS381:BS383 CM381:CM383">
    <cfRule type="cellIs" dxfId="189" priority="407" operator="greaterThan">
      <formula>0</formula>
    </cfRule>
  </conditionalFormatting>
  <conditionalFormatting sqref="AY387 BS387 CM387">
    <cfRule type="cellIs" dxfId="188" priority="406" operator="greaterThan">
      <formula>0</formula>
    </cfRule>
  </conditionalFormatting>
  <conditionalFormatting sqref="AY389:AY404 BS389:BS404 CM389:CM404 AY406:AY412 BS406:BS412 CM406:CM412 AY414:AY420 BS414:BS420 CM414:CM420">
    <cfRule type="cellIs" dxfId="187" priority="405" operator="greaterThan">
      <formula>0</formula>
    </cfRule>
  </conditionalFormatting>
  <conditionalFormatting sqref="AY422:AY425 BS422:BS425 CM422:CM425 AY427:AY430 BS427:BS430 CM427:CM430 AY433:AY439 BS433:BS439 CM433:CM439 AY442:AY451 BS442:BS451 CM442:CM451">
    <cfRule type="cellIs" dxfId="186" priority="404" operator="greaterThan">
      <formula>0</formula>
    </cfRule>
  </conditionalFormatting>
  <conditionalFormatting sqref="AY454:AY462 BS454:BS462 CM454:CM462 AY465:AY467 BS465:BS467 CM465:CM467">
    <cfRule type="cellIs" dxfId="185" priority="403" operator="greaterThan">
      <formula>0</formula>
    </cfRule>
  </conditionalFormatting>
  <conditionalFormatting sqref="AY470:AY475">
    <cfRule type="cellIs" dxfId="184" priority="6" operator="greaterThan">
      <formula>0</formula>
    </cfRule>
  </conditionalFormatting>
  <conditionalFormatting sqref="AY478:AY497 BS478:BS497 CM478:CM497">
    <cfRule type="cellIs" dxfId="183" priority="401" operator="greaterThan">
      <formula>0</formula>
    </cfRule>
  </conditionalFormatting>
  <conditionalFormatting sqref="AY502:AY508 BS502:BS508 CM502:CM508">
    <cfRule type="cellIs" dxfId="182" priority="400" operator="greaterThan">
      <formula>0</formula>
    </cfRule>
  </conditionalFormatting>
  <conditionalFormatting sqref="AY511:AY513 BS511:BS513 CM511:CM513 AY515:AY519 BS515:BS519 CM515:CM519 AY521:AY525 BS521:BS525 CM521:CM525">
    <cfRule type="cellIs" dxfId="181" priority="399" operator="greaterThan">
      <formula>0</formula>
    </cfRule>
  </conditionalFormatting>
  <conditionalFormatting sqref="AY533:AY542 BS533:BS542 CM533:CM542 AY547:AY549 BS547:BS549 CM547:CM549">
    <cfRule type="cellIs" dxfId="180" priority="398" operator="greaterThan">
      <formula>0</formula>
    </cfRule>
  </conditionalFormatting>
  <conditionalFormatting sqref="AY553:AY555 BS553:BS555 CM553:CM555">
    <cfRule type="cellIs" dxfId="179" priority="397" operator="greaterThan">
      <formula>0</formula>
    </cfRule>
  </conditionalFormatting>
  <conditionalFormatting sqref="AY559:AY563 BS559:BS563 CM559:CM563 AY565:AY567 BS565:BS567 CM565:CM567 AY569:AY572 BS569:BS572 CM569:CM572 AY574:AY580 BS574:BS580 CM574:CM580 AY582:AY585 BS582:BS585 CM582:CM585">
    <cfRule type="cellIs" dxfId="178" priority="396" operator="greaterThan">
      <formula>0</formula>
    </cfRule>
  </conditionalFormatting>
  <conditionalFormatting sqref="AY588:AY589 BS588:BS589 CM588:CM589 AY592:AY595 BS592:BS595 CM592:CM595 AY598:AY601 BS598:BS601 CM598:CM601">
    <cfRule type="cellIs" dxfId="177" priority="395" operator="greaterThan">
      <formula>0</formula>
    </cfRule>
  </conditionalFormatting>
  <conditionalFormatting sqref="AY605:AY631">
    <cfRule type="cellIs" dxfId="176" priority="20" operator="greaterThan">
      <formula>0</formula>
    </cfRule>
  </conditionalFormatting>
  <conditionalFormatting sqref="BB414:BB420">
    <cfRule type="cellIs" dxfId="175" priority="157" operator="greaterThan">
      <formula>0</formula>
    </cfRule>
  </conditionalFormatting>
  <conditionalFormatting sqref="BB582:BB585">
    <cfRule type="cellIs" dxfId="174" priority="60" operator="greaterThan">
      <formula>0</formula>
    </cfRule>
  </conditionalFormatting>
  <conditionalFormatting sqref="BB605:BB631">
    <cfRule type="cellIs" dxfId="173" priority="19" operator="greaterThan">
      <formula>0</formula>
    </cfRule>
  </conditionalFormatting>
  <conditionalFormatting sqref="BE5:BE631">
    <cfRule type="cellIs" dxfId="172" priority="18" operator="lessThan">
      <formula>0</formula>
    </cfRule>
  </conditionalFormatting>
  <conditionalFormatting sqref="BS6:BS23">
    <cfRule type="cellIs" dxfId="171" priority="430" operator="greaterThan">
      <formula>0</formula>
    </cfRule>
  </conditionalFormatting>
  <conditionalFormatting sqref="BS25:BS37">
    <cfRule type="cellIs" dxfId="170" priority="427" operator="greaterThan">
      <formula>0</formula>
    </cfRule>
  </conditionalFormatting>
  <conditionalFormatting sqref="BS470:BS475">
    <cfRule type="cellIs" dxfId="169" priority="5" operator="greaterThan">
      <formula>0</formula>
    </cfRule>
  </conditionalFormatting>
  <conditionalFormatting sqref="BS605:BS631">
    <cfRule type="cellIs" dxfId="168" priority="17" operator="greaterThan">
      <formula>0</formula>
    </cfRule>
  </conditionalFormatting>
  <conditionalFormatting sqref="BV6:BV23">
    <cfRule type="cellIs" dxfId="167" priority="365" operator="greaterThan">
      <formula>0</formula>
    </cfRule>
  </conditionalFormatting>
  <conditionalFormatting sqref="BV25:BV37">
    <cfRule type="cellIs" dxfId="166" priority="2" operator="greaterThan">
      <formula>0</formula>
    </cfRule>
  </conditionalFormatting>
  <conditionalFormatting sqref="BV48:BV49 CP48:CP49">
    <cfRule type="cellIs" dxfId="165" priority="362" operator="greaterThan">
      <formula>0</formula>
    </cfRule>
  </conditionalFormatting>
  <conditionalFormatting sqref="BV54 CP54 BV56:BV59 CP56:CP59 BV65:BV68 CP65:CP68">
    <cfRule type="cellIs" dxfId="164" priority="361" operator="greaterThan">
      <formula>0</formula>
    </cfRule>
  </conditionalFormatting>
  <conditionalFormatting sqref="BV61:BV63">
    <cfRule type="cellIs" dxfId="163" priority="66" operator="greaterThan">
      <formula>0</formula>
    </cfRule>
  </conditionalFormatting>
  <conditionalFormatting sqref="BV70:BV75 CP70:CP75 BV77:BV79 CP77:CP79">
    <cfRule type="cellIs" dxfId="162" priority="360" operator="greaterThan">
      <formula>0</formula>
    </cfRule>
  </conditionalFormatting>
  <conditionalFormatting sqref="BV83:BV91 CP83:CP91">
    <cfRule type="cellIs" dxfId="161" priority="359" operator="greaterThan">
      <formula>0</formula>
    </cfRule>
  </conditionalFormatting>
  <conditionalFormatting sqref="BV93:BV95 CP93:CP95 BV97:BV99 CP97:CP99 BV101 CP101">
    <cfRule type="cellIs" dxfId="160" priority="358" operator="greaterThan">
      <formula>0</formula>
    </cfRule>
  </conditionalFormatting>
  <conditionalFormatting sqref="BV103:BV105 CP103:CP105 BV107:BV109 CP107:CP109 BV111:BV112 CP111:CP112">
    <cfRule type="cellIs" dxfId="159" priority="357" operator="greaterThan">
      <formula>0</formula>
    </cfRule>
  </conditionalFormatting>
  <conditionalFormatting sqref="BV114:BV118 CP114:CP118">
    <cfRule type="cellIs" dxfId="158" priority="42" operator="greaterThan">
      <formula>0</formula>
    </cfRule>
  </conditionalFormatting>
  <conditionalFormatting sqref="BV120:BV126 CP120:CP126 BV128:BV133 CP128:CP133 BV135:BV137 CP135:CP137">
    <cfRule type="cellIs" dxfId="157" priority="356" operator="greaterThan">
      <formula>0</formula>
    </cfRule>
  </conditionalFormatting>
  <conditionalFormatting sqref="BV139:BV141 CP139:CP141 BV143:BV145 CP143:CP145 BV147:BV149 CP147:CP149 BV151:BV153 CP151:CP153 BV155:BV158 CP155:CP158 BV160:BV162 CP160:CP162">
    <cfRule type="cellIs" dxfId="156" priority="355" operator="greaterThan">
      <formula>0</formula>
    </cfRule>
  </conditionalFormatting>
  <conditionalFormatting sqref="BV164:BV169 CP164:CP169 BV171:BV180 CP171:CP180 BV182:BV184 CP182:CP184">
    <cfRule type="cellIs" dxfId="155" priority="354" operator="greaterThan">
      <formula>0</formula>
    </cfRule>
  </conditionalFormatting>
  <conditionalFormatting sqref="BV187:BV200 CP187:CP200">
    <cfRule type="cellIs" dxfId="154" priority="353" operator="greaterThan">
      <formula>0</formula>
    </cfRule>
  </conditionalFormatting>
  <conditionalFormatting sqref="BV203:BV205 CP203:CP205 BV207:BV209 CP207:CP209">
    <cfRule type="cellIs" dxfId="153" priority="352" operator="greaterThan">
      <formula>0</formula>
    </cfRule>
  </conditionalFormatting>
  <conditionalFormatting sqref="BV213:BV237 CP213:CP237 BV240:BV243 CP240:CP243">
    <cfRule type="cellIs" dxfId="152" priority="351" operator="greaterThan">
      <formula>0</formula>
    </cfRule>
  </conditionalFormatting>
  <conditionalFormatting sqref="BV247:BV254 CP247:CP254 BV256:BV260 CP256:CP260 BV262:BV264 CP262:CP264">
    <cfRule type="cellIs" dxfId="151" priority="350" operator="greaterThan">
      <formula>0</formula>
    </cfRule>
  </conditionalFormatting>
  <conditionalFormatting sqref="BV267:BV269 CP267:CP269">
    <cfRule type="cellIs" dxfId="150" priority="349" operator="greaterThan">
      <formula>0</formula>
    </cfRule>
  </conditionalFormatting>
  <conditionalFormatting sqref="BV276:BV288 CP276:CP288">
    <cfRule type="cellIs" dxfId="149" priority="348" operator="greaterThan">
      <formula>0</formula>
    </cfRule>
  </conditionalFormatting>
  <conditionalFormatting sqref="BV291:BV298 CP291:CP298 BV300:BV303 CP300:CP303">
    <cfRule type="cellIs" dxfId="148" priority="347" operator="greaterThan">
      <formula>0</formula>
    </cfRule>
  </conditionalFormatting>
  <conditionalFormatting sqref="BV305:BV310 CP305:CP310">
    <cfRule type="cellIs" dxfId="147" priority="346" operator="greaterThan">
      <formula>0</formula>
    </cfRule>
  </conditionalFormatting>
  <conditionalFormatting sqref="BV312:BV317 CP312:CP317 BV319:BV326 CP319:CP326">
    <cfRule type="cellIs" dxfId="146" priority="345" operator="greaterThan">
      <formula>0</formula>
    </cfRule>
  </conditionalFormatting>
  <conditionalFormatting sqref="BV328:BV333 CP328:CP333 BV335:BV336 CP335:CP336 BV338 CP338 BV341:BV342 CP341:CP342">
    <cfRule type="cellIs" dxfId="145" priority="344" operator="greaterThan">
      <formula>0</formula>
    </cfRule>
  </conditionalFormatting>
  <conditionalFormatting sqref="BV347:BV351 CP347:CP351 BV354:BV361 CP354:CP361 BV364:BV378 CP364:CP378">
    <cfRule type="cellIs" dxfId="144" priority="343" operator="greaterThan">
      <formula>0</formula>
    </cfRule>
  </conditionalFormatting>
  <conditionalFormatting sqref="BV381:BV383 CP381:CP383">
    <cfRule type="cellIs" dxfId="143" priority="342" operator="greaterThan">
      <formula>0</formula>
    </cfRule>
  </conditionalFormatting>
  <conditionalFormatting sqref="BV387 CP387">
    <cfRule type="cellIs" dxfId="142" priority="341" operator="greaterThan">
      <formula>0</formula>
    </cfRule>
  </conditionalFormatting>
  <conditionalFormatting sqref="BV389:BV404 CP389:CP404 BV406:BV412 CP406:CP412 BV422:BV425 CP422:CP425 BV427:BV430 CP427:CP430">
    <cfRule type="cellIs" dxfId="141" priority="340" operator="greaterThan">
      <formula>0</formula>
    </cfRule>
  </conditionalFormatting>
  <conditionalFormatting sqref="BV414:BV420">
    <cfRule type="cellIs" dxfId="140" priority="156" operator="greaterThan">
      <formula>0</formula>
    </cfRule>
  </conditionalFormatting>
  <conditionalFormatting sqref="BV434:BV438 CP434:CP438">
    <cfRule type="cellIs" dxfId="139" priority="339" operator="greaterThan">
      <formula>0</formula>
    </cfRule>
  </conditionalFormatting>
  <conditionalFormatting sqref="BV442:BV451 CP442:CP451 BV454:BV462 CP454:CP462 BV465:BV467 CP465:CP467">
    <cfRule type="cellIs" dxfId="138" priority="338" operator="greaterThan">
      <formula>0</formula>
    </cfRule>
  </conditionalFormatting>
  <conditionalFormatting sqref="BV470:BV475 CP470:CP475">
    <cfRule type="cellIs" dxfId="137" priority="30" operator="greaterThan">
      <formula>0</formula>
    </cfRule>
  </conditionalFormatting>
  <conditionalFormatting sqref="BV478:BV499 CP478:CP499">
    <cfRule type="cellIs" dxfId="136" priority="336" operator="greaterThan">
      <formula>0</formula>
    </cfRule>
  </conditionalFormatting>
  <conditionalFormatting sqref="BV502:BV508 CP502:CP508">
    <cfRule type="cellIs" dxfId="135" priority="335" operator="greaterThan">
      <formula>0</formula>
    </cfRule>
  </conditionalFormatting>
  <conditionalFormatting sqref="BV512:BV513 CP512:CP513 BV515:BV525 CP515:CP525">
    <cfRule type="cellIs" dxfId="134" priority="334" operator="greaterThan">
      <formula>0</formula>
    </cfRule>
  </conditionalFormatting>
  <conditionalFormatting sqref="BV533:BV542 CP533:CP542">
    <cfRule type="cellIs" dxfId="133" priority="333" operator="greaterThan">
      <formula>0</formula>
    </cfRule>
  </conditionalFormatting>
  <conditionalFormatting sqref="BV547:BV549 CP547:CP549 BV553:BV555 CP553:CP555">
    <cfRule type="cellIs" dxfId="132" priority="332" operator="greaterThan">
      <formula>0</formula>
    </cfRule>
  </conditionalFormatting>
  <conditionalFormatting sqref="BV559:BV563 CP559:CP563 BV565:BV567 CP565:CP567 BV569:BV572 CP569:CP572 BV574:BV580 CP574:CP580">
    <cfRule type="cellIs" dxfId="131" priority="331" operator="greaterThan">
      <formula>0</formula>
    </cfRule>
  </conditionalFormatting>
  <conditionalFormatting sqref="BV582:BV585">
    <cfRule type="cellIs" dxfId="130" priority="59" operator="greaterThan">
      <formula>0</formula>
    </cfRule>
  </conditionalFormatting>
  <conditionalFormatting sqref="BV588:BV589 CP588:CP589 BV592:BV595 CP592:CP595 BV598:BV602 CP598:CP602">
    <cfRule type="cellIs" dxfId="129" priority="330" operator="greaterThan">
      <formula>0</formula>
    </cfRule>
  </conditionalFormatting>
  <conditionalFormatting sqref="BV605:BV631">
    <cfRule type="cellIs" dxfId="128" priority="16" operator="greaterThan">
      <formula>0</formula>
    </cfRule>
  </conditionalFormatting>
  <conditionalFormatting sqref="BY5:BY631">
    <cfRule type="cellIs" dxfId="127" priority="1" operator="lessThan">
      <formula>0</formula>
    </cfRule>
  </conditionalFormatting>
  <conditionalFormatting sqref="CM6:CM23">
    <cfRule type="cellIs" dxfId="126" priority="431" operator="greaterThan">
      <formula>0</formula>
    </cfRule>
  </conditionalFormatting>
  <conditionalFormatting sqref="CM25:CM37">
    <cfRule type="cellIs" dxfId="125" priority="426" operator="greaterThan">
      <formula>0</formula>
    </cfRule>
  </conditionalFormatting>
  <conditionalFormatting sqref="CM470:CM475">
    <cfRule type="cellIs" dxfId="124" priority="4" operator="greaterThan">
      <formula>0</formula>
    </cfRule>
  </conditionalFormatting>
  <conditionalFormatting sqref="CM605:CM631">
    <cfRule type="cellIs" dxfId="123" priority="14" operator="greaterThan">
      <formula>0</formula>
    </cfRule>
  </conditionalFormatting>
  <conditionalFormatting sqref="CP6:CP23">
    <cfRule type="cellIs" dxfId="122" priority="364" operator="greaterThan">
      <formula>0</formula>
    </cfRule>
  </conditionalFormatting>
  <conditionalFormatting sqref="CP25:CP37">
    <cfRule type="cellIs" dxfId="121" priority="363" operator="greaterThan">
      <formula>0</formula>
    </cfRule>
  </conditionalFormatting>
  <conditionalFormatting sqref="CP61:CP63">
    <cfRule type="cellIs" dxfId="120" priority="65" operator="greaterThan">
      <formula>0</formula>
    </cfRule>
  </conditionalFormatting>
  <conditionalFormatting sqref="CP414:CP420">
    <cfRule type="cellIs" dxfId="119" priority="155" operator="greaterThan">
      <formula>0</formula>
    </cfRule>
  </conditionalFormatting>
  <conditionalFormatting sqref="CP582:CP585">
    <cfRule type="cellIs" dxfId="118" priority="58" operator="greaterThan">
      <formula>0</formula>
    </cfRule>
  </conditionalFormatting>
  <conditionalFormatting sqref="CP605:CP631">
    <cfRule type="cellIs" dxfId="117" priority="13" operator="greaterThan">
      <formula>0</formula>
    </cfRule>
  </conditionalFormatting>
  <conditionalFormatting sqref="CS5:CS631">
    <cfRule type="cellIs" dxfId="116" priority="12" operator="lessThan">
      <formula>0</formula>
    </cfRule>
  </conditionalFormatting>
  <conditionalFormatting sqref="DG6:DG23">
    <cfRule type="cellIs" dxfId="115" priority="151" operator="greaterThan">
      <formula>0</formula>
    </cfRule>
  </conditionalFormatting>
  <conditionalFormatting sqref="DG25:DG37">
    <cfRule type="cellIs" dxfId="114" priority="152" operator="greaterThan">
      <formula>0</formula>
    </cfRule>
  </conditionalFormatting>
  <conditionalFormatting sqref="DG48:DG49">
    <cfRule type="cellIs" dxfId="113" priority="153" operator="greaterThan">
      <formula>0</formula>
    </cfRule>
  </conditionalFormatting>
  <conditionalFormatting sqref="DG51:DG52">
    <cfRule type="cellIs" dxfId="112" priority="294" operator="greaterThan">
      <formula>0</formula>
    </cfRule>
  </conditionalFormatting>
  <conditionalFormatting sqref="DG54">
    <cfRule type="cellIs" dxfId="111" priority="154" operator="greaterThan">
      <formula>0</formula>
    </cfRule>
  </conditionalFormatting>
  <conditionalFormatting sqref="DG56:DG59">
    <cfRule type="cellIs" dxfId="110" priority="227" operator="greaterThan">
      <formula>0</formula>
    </cfRule>
  </conditionalFormatting>
  <conditionalFormatting sqref="DG61:DG63">
    <cfRule type="cellIs" dxfId="109" priority="150" operator="greaterThan">
      <formula>0</formula>
    </cfRule>
  </conditionalFormatting>
  <conditionalFormatting sqref="DG65:DG68">
    <cfRule type="cellIs" dxfId="108" priority="293" operator="greaterThan">
      <formula>0</formula>
    </cfRule>
  </conditionalFormatting>
  <conditionalFormatting sqref="DG70:DG75">
    <cfRule type="cellIs" dxfId="107" priority="149" operator="greaterThan">
      <formula>0</formula>
    </cfRule>
  </conditionalFormatting>
  <conditionalFormatting sqref="DG77:DG79">
    <cfRule type="cellIs" dxfId="106" priority="148" operator="greaterThan">
      <formula>0</formula>
    </cfRule>
  </conditionalFormatting>
  <conditionalFormatting sqref="DG83:DG91">
    <cfRule type="cellIs" dxfId="105" priority="147" operator="greaterThan">
      <formula>0</formula>
    </cfRule>
  </conditionalFormatting>
  <conditionalFormatting sqref="DG93:DG95">
    <cfRule type="cellIs" dxfId="104" priority="146" operator="greaterThan">
      <formula>0</formula>
    </cfRule>
  </conditionalFormatting>
  <conditionalFormatting sqref="DG97:DG99">
    <cfRule type="cellIs" dxfId="103" priority="145" operator="greaterThan">
      <formula>0</formula>
    </cfRule>
  </conditionalFormatting>
  <conditionalFormatting sqref="DG101">
    <cfRule type="cellIs" dxfId="102" priority="144" operator="greaterThan">
      <formula>0</formula>
    </cfRule>
  </conditionalFormatting>
  <conditionalFormatting sqref="DG103:DG105">
    <cfRule type="cellIs" dxfId="101" priority="143" operator="greaterThan">
      <formula>0</formula>
    </cfRule>
  </conditionalFormatting>
  <conditionalFormatting sqref="DG107:DG109">
    <cfRule type="cellIs" dxfId="100" priority="142" operator="greaterThan">
      <formula>0</formula>
    </cfRule>
  </conditionalFormatting>
  <conditionalFormatting sqref="DG111:DG112">
    <cfRule type="cellIs" dxfId="99" priority="141" operator="greaterThan">
      <formula>0</formula>
    </cfRule>
  </conditionalFormatting>
  <conditionalFormatting sqref="DG114:DG118">
    <cfRule type="cellIs" dxfId="98" priority="39" operator="greaterThan">
      <formula>0</formula>
    </cfRule>
  </conditionalFormatting>
  <conditionalFormatting sqref="DG120:DG126">
    <cfRule type="cellIs" dxfId="97" priority="139" operator="greaterThan">
      <formula>0</formula>
    </cfRule>
  </conditionalFormatting>
  <conditionalFormatting sqref="DG128:DG133">
    <cfRule type="cellIs" dxfId="96" priority="138" operator="greaterThan">
      <formula>0</formula>
    </cfRule>
  </conditionalFormatting>
  <conditionalFormatting sqref="DG135:DG137">
    <cfRule type="cellIs" dxfId="95" priority="137" operator="greaterThan">
      <formula>0</formula>
    </cfRule>
  </conditionalFormatting>
  <conditionalFormatting sqref="DG139:DG141">
    <cfRule type="cellIs" dxfId="94" priority="136" operator="greaterThan">
      <formula>0</formula>
    </cfRule>
  </conditionalFormatting>
  <conditionalFormatting sqref="DG143:DG144">
    <cfRule type="cellIs" dxfId="93" priority="135" operator="greaterThan">
      <formula>0</formula>
    </cfRule>
  </conditionalFormatting>
  <conditionalFormatting sqref="DG147:DG149">
    <cfRule type="cellIs" dxfId="92" priority="134" operator="greaterThan">
      <formula>0</formula>
    </cfRule>
  </conditionalFormatting>
  <conditionalFormatting sqref="DG151:DG152">
    <cfRule type="cellIs" dxfId="91" priority="133" operator="greaterThan">
      <formula>0</formula>
    </cfRule>
  </conditionalFormatting>
  <conditionalFormatting sqref="DG155:DG158">
    <cfRule type="cellIs" dxfId="90" priority="132" operator="greaterThan">
      <formula>0</formula>
    </cfRule>
  </conditionalFormatting>
  <conditionalFormatting sqref="DG160:DG161">
    <cfRule type="cellIs" dxfId="89" priority="131" operator="greaterThan">
      <formula>0</formula>
    </cfRule>
  </conditionalFormatting>
  <conditionalFormatting sqref="DG164:DG169">
    <cfRule type="cellIs" dxfId="88" priority="130" operator="greaterThan">
      <formula>0</formula>
    </cfRule>
  </conditionalFormatting>
  <conditionalFormatting sqref="DG171:DG180">
    <cfRule type="cellIs" dxfId="87" priority="128" operator="greaterThan">
      <formula>0</formula>
    </cfRule>
  </conditionalFormatting>
  <conditionalFormatting sqref="DG182:DG184">
    <cfRule type="cellIs" dxfId="86" priority="127" operator="greaterThan">
      <formula>0</formula>
    </cfRule>
  </conditionalFormatting>
  <conditionalFormatting sqref="DG187:DG200">
    <cfRule type="cellIs" dxfId="85" priority="124" operator="greaterThan">
      <formula>0</formula>
    </cfRule>
  </conditionalFormatting>
  <conditionalFormatting sqref="DG204">
    <cfRule type="cellIs" dxfId="84" priority="123" operator="greaterThan">
      <formula>0</formula>
    </cfRule>
  </conditionalFormatting>
  <conditionalFormatting sqref="DG207:DG209">
    <cfRule type="cellIs" dxfId="83" priority="122" operator="greaterThan">
      <formula>0</formula>
    </cfRule>
  </conditionalFormatting>
  <conditionalFormatting sqref="DG213:DG237">
    <cfRule type="cellIs" dxfId="82" priority="120" operator="greaterThan">
      <formula>0</formula>
    </cfRule>
  </conditionalFormatting>
  <conditionalFormatting sqref="DG241">
    <cfRule type="cellIs" dxfId="81" priority="119" operator="greaterThan">
      <formula>0</formula>
    </cfRule>
  </conditionalFormatting>
  <conditionalFormatting sqref="DG247:DG254 DG256:DG260 DG262:DG264 DG267:DG269">
    <cfRule type="cellIs" dxfId="80" priority="283" operator="greaterThan">
      <formula>0</formula>
    </cfRule>
  </conditionalFormatting>
  <conditionalFormatting sqref="DG277:DG288">
    <cfRule type="cellIs" dxfId="79" priority="118" operator="greaterThan">
      <formula>0</formula>
    </cfRule>
  </conditionalFormatting>
  <conditionalFormatting sqref="DG291:DG298">
    <cfRule type="cellIs" dxfId="78" priority="117" operator="greaterThan">
      <formula>0</formula>
    </cfRule>
  </conditionalFormatting>
  <conditionalFormatting sqref="DG300:DG303">
    <cfRule type="cellIs" dxfId="77" priority="116" operator="greaterThan">
      <formula>0</formula>
    </cfRule>
  </conditionalFormatting>
  <conditionalFormatting sqref="DG305:DG310">
    <cfRule type="cellIs" dxfId="76" priority="115" operator="greaterThan">
      <formula>0</formula>
    </cfRule>
  </conditionalFormatting>
  <conditionalFormatting sqref="DG312:DG317">
    <cfRule type="cellIs" dxfId="75" priority="114" operator="greaterThan">
      <formula>0</formula>
    </cfRule>
  </conditionalFormatting>
  <conditionalFormatting sqref="DG319:DG326">
    <cfRule type="cellIs" dxfId="74" priority="113" operator="greaterThan">
      <formula>0</formula>
    </cfRule>
  </conditionalFormatting>
  <conditionalFormatting sqref="DG328:DG336">
    <cfRule type="cellIs" dxfId="73" priority="112" operator="greaterThan">
      <formula>0</formula>
    </cfRule>
  </conditionalFormatting>
  <conditionalFormatting sqref="DG338">
    <cfRule type="cellIs" dxfId="72" priority="111" operator="greaterThan">
      <formula>0</formula>
    </cfRule>
  </conditionalFormatting>
  <conditionalFormatting sqref="DG341:DG342">
    <cfRule type="cellIs" dxfId="71" priority="109" operator="greaterThan">
      <formula>0</formula>
    </cfRule>
  </conditionalFormatting>
  <conditionalFormatting sqref="DG347:DG351">
    <cfRule type="cellIs" dxfId="70" priority="108" operator="greaterThan">
      <formula>0</formula>
    </cfRule>
  </conditionalFormatting>
  <conditionalFormatting sqref="DG354:DG361">
    <cfRule type="cellIs" dxfId="69" priority="107" operator="greaterThan">
      <formula>0</formula>
    </cfRule>
  </conditionalFormatting>
  <conditionalFormatting sqref="DG364:DG378">
    <cfRule type="cellIs" dxfId="68" priority="106" operator="greaterThan">
      <formula>0</formula>
    </cfRule>
  </conditionalFormatting>
  <conditionalFormatting sqref="DG381:DG383">
    <cfRule type="cellIs" dxfId="67" priority="105" operator="greaterThan">
      <formula>0</formula>
    </cfRule>
  </conditionalFormatting>
  <conditionalFormatting sqref="DG387">
    <cfRule type="cellIs" dxfId="66" priority="104" operator="greaterThan">
      <formula>0</formula>
    </cfRule>
  </conditionalFormatting>
  <conditionalFormatting sqref="DG389:DG404">
    <cfRule type="cellIs" dxfId="65" priority="103" operator="greaterThan">
      <formula>0</formula>
    </cfRule>
  </conditionalFormatting>
  <conditionalFormatting sqref="DG406:DG412">
    <cfRule type="cellIs" dxfId="64" priority="101" operator="greaterThan">
      <formula>0</formula>
    </cfRule>
  </conditionalFormatting>
  <conditionalFormatting sqref="DG414:DG420">
    <cfRule type="cellIs" dxfId="63" priority="100" operator="greaterThan">
      <formula>0</formula>
    </cfRule>
  </conditionalFormatting>
  <conditionalFormatting sqref="DG422:DG425">
    <cfRule type="cellIs" dxfId="62" priority="99" operator="greaterThan">
      <formula>0</formula>
    </cfRule>
  </conditionalFormatting>
  <conditionalFormatting sqref="DG427:DG430">
    <cfRule type="cellIs" dxfId="61" priority="98" operator="greaterThan">
      <formula>0</formula>
    </cfRule>
  </conditionalFormatting>
  <conditionalFormatting sqref="DG433:DG439">
    <cfRule type="cellIs" dxfId="60" priority="97" operator="greaterThan">
      <formula>0</formula>
    </cfRule>
  </conditionalFormatting>
  <conditionalFormatting sqref="DG442:DG451">
    <cfRule type="cellIs" dxfId="59" priority="274" operator="greaterThan">
      <formula>0</formula>
    </cfRule>
  </conditionalFormatting>
  <conditionalFormatting sqref="DG454:DG462 DG465:DG467">
    <cfRule type="cellIs" dxfId="58" priority="273" operator="greaterThan">
      <formula>0</formula>
    </cfRule>
  </conditionalFormatting>
  <conditionalFormatting sqref="DG470:DG475">
    <cfRule type="cellIs" dxfId="57" priority="3" operator="greaterThan">
      <formula>0</formula>
    </cfRule>
  </conditionalFormatting>
  <conditionalFormatting sqref="DG478:DG497">
    <cfRule type="cellIs" dxfId="56" priority="96" operator="greaterThan">
      <formula>0</formula>
    </cfRule>
  </conditionalFormatting>
  <conditionalFormatting sqref="DG502:DG508">
    <cfRule type="cellIs" dxfId="55" priority="95" operator="greaterThan">
      <formula>0</formula>
    </cfRule>
  </conditionalFormatting>
  <conditionalFormatting sqref="DG511:DG513">
    <cfRule type="cellIs" dxfId="54" priority="94" operator="greaterThan">
      <formula>0</formula>
    </cfRule>
  </conditionalFormatting>
  <conditionalFormatting sqref="DG515:DG519">
    <cfRule type="cellIs" dxfId="53" priority="93" operator="greaterThan">
      <formula>0</formula>
    </cfRule>
  </conditionalFormatting>
  <conditionalFormatting sqref="DG521:DG525">
    <cfRule type="cellIs" dxfId="52" priority="90" operator="greaterThan">
      <formula>0</formula>
    </cfRule>
  </conditionalFormatting>
  <conditionalFormatting sqref="DG533:DG542">
    <cfRule type="cellIs" dxfId="51" priority="89" operator="greaterThan">
      <formula>0</formula>
    </cfRule>
  </conditionalFormatting>
  <conditionalFormatting sqref="DG547:DG549">
    <cfRule type="cellIs" dxfId="50" priority="88" operator="greaterThan">
      <formula>0</formula>
    </cfRule>
  </conditionalFormatting>
  <conditionalFormatting sqref="DG553:DG555">
    <cfRule type="cellIs" dxfId="49" priority="87" operator="greaterThan">
      <formula>0</formula>
    </cfRule>
  </conditionalFormatting>
  <conditionalFormatting sqref="DG559:DG563">
    <cfRule type="cellIs" dxfId="48" priority="86" operator="greaterThan">
      <formula>0</formula>
    </cfRule>
  </conditionalFormatting>
  <conditionalFormatting sqref="DG565:DG567">
    <cfRule type="cellIs" dxfId="47" priority="85" operator="greaterThan">
      <formula>0</formula>
    </cfRule>
  </conditionalFormatting>
  <conditionalFormatting sqref="DG569:DG572">
    <cfRule type="cellIs" dxfId="46" priority="84" operator="greaterThan">
      <formula>0</formula>
    </cfRule>
  </conditionalFormatting>
  <conditionalFormatting sqref="DG574:DG580">
    <cfRule type="cellIs" dxfId="45" priority="83" operator="greaterThan">
      <formula>0</formula>
    </cfRule>
  </conditionalFormatting>
  <conditionalFormatting sqref="DG582:DG585">
    <cfRule type="cellIs" dxfId="44" priority="82" operator="greaterThan">
      <formula>0</formula>
    </cfRule>
  </conditionalFormatting>
  <conditionalFormatting sqref="DG588:DG589">
    <cfRule type="cellIs" dxfId="43" priority="81" operator="greaterThan">
      <formula>0</formula>
    </cfRule>
  </conditionalFormatting>
  <conditionalFormatting sqref="DG592:DG595">
    <cfRule type="cellIs" dxfId="42" priority="80" operator="greaterThan">
      <formula>0</formula>
    </cfRule>
  </conditionalFormatting>
  <conditionalFormatting sqref="DG598:DG601">
    <cfRule type="cellIs" dxfId="41" priority="265" operator="greaterThan">
      <formula>0</formula>
    </cfRule>
  </conditionalFormatting>
  <conditionalFormatting sqref="DG605:DG631">
    <cfRule type="cellIs" dxfId="40" priority="11" operator="greaterThan">
      <formula>0</formula>
    </cfRule>
  </conditionalFormatting>
  <conditionalFormatting sqref="DJ6:DJ23">
    <cfRule type="cellIs" dxfId="39" priority="264" operator="greaterThan">
      <formula>0</formula>
    </cfRule>
  </conditionalFormatting>
  <conditionalFormatting sqref="DJ25:DJ37">
    <cfRule type="cellIs" dxfId="38" priority="263" operator="greaterThan">
      <formula>0</formula>
    </cfRule>
  </conditionalFormatting>
  <conditionalFormatting sqref="DJ48:DJ49">
    <cfRule type="cellIs" dxfId="37" priority="262" operator="greaterThan">
      <formula>0</formula>
    </cfRule>
  </conditionalFormatting>
  <conditionalFormatting sqref="DJ54 DJ56:DJ59 DJ65:DJ68">
    <cfRule type="cellIs" dxfId="36" priority="261" operator="greaterThan">
      <formula>0</formula>
    </cfRule>
  </conditionalFormatting>
  <conditionalFormatting sqref="DJ61:DJ63">
    <cfRule type="cellIs" dxfId="35" priority="64" operator="greaterThan">
      <formula>0</formula>
    </cfRule>
  </conditionalFormatting>
  <conditionalFormatting sqref="DJ70:DJ75 DJ77:DJ79">
    <cfRule type="cellIs" dxfId="34" priority="260" operator="greaterThan">
      <formula>0</formula>
    </cfRule>
  </conditionalFormatting>
  <conditionalFormatting sqref="DJ83:DJ91">
    <cfRule type="cellIs" dxfId="33" priority="259" operator="greaterThan">
      <formula>0</formula>
    </cfRule>
  </conditionalFormatting>
  <conditionalFormatting sqref="DJ93:DJ95 DJ97:DJ99 DJ101">
    <cfRule type="cellIs" dxfId="32" priority="258" operator="greaterThan">
      <formula>0</formula>
    </cfRule>
  </conditionalFormatting>
  <conditionalFormatting sqref="DJ103:DJ105 DJ107:DJ109 DJ111:DJ112">
    <cfRule type="cellIs" dxfId="31" priority="257" operator="greaterThan">
      <formula>0</formula>
    </cfRule>
  </conditionalFormatting>
  <conditionalFormatting sqref="DJ114:DJ118">
    <cfRule type="cellIs" dxfId="30" priority="40" operator="greaterThan">
      <formula>0</formula>
    </cfRule>
  </conditionalFormatting>
  <conditionalFormatting sqref="DJ120:DJ126 DJ128:DJ133 DJ135:DJ137">
    <cfRule type="cellIs" dxfId="29" priority="256" operator="greaterThan">
      <formula>0</formula>
    </cfRule>
  </conditionalFormatting>
  <conditionalFormatting sqref="DJ139:DJ141 DJ143:DJ145 DJ147:DJ149 DJ151:DJ153 DJ155:DJ158 DJ160:DJ162">
    <cfRule type="cellIs" dxfId="28" priority="255" operator="greaterThan">
      <formula>0</formula>
    </cfRule>
  </conditionalFormatting>
  <conditionalFormatting sqref="DJ164:DJ169 DJ171:DJ180 DJ182:DJ184">
    <cfRule type="cellIs" dxfId="27" priority="254" operator="greaterThan">
      <formula>0</formula>
    </cfRule>
  </conditionalFormatting>
  <conditionalFormatting sqref="DJ187:DJ200">
    <cfRule type="cellIs" dxfId="26" priority="253" operator="greaterThan">
      <formula>0</formula>
    </cfRule>
  </conditionalFormatting>
  <conditionalFormatting sqref="DJ203:DJ205 DJ207:DJ209">
    <cfRule type="cellIs" dxfId="25" priority="252" operator="greaterThan">
      <formula>0</formula>
    </cfRule>
  </conditionalFormatting>
  <conditionalFormatting sqref="DJ213:DJ237 DJ240:DJ243">
    <cfRule type="cellIs" dxfId="24" priority="251" operator="greaterThan">
      <formula>0</formula>
    </cfRule>
  </conditionalFormatting>
  <conditionalFormatting sqref="DJ247:DJ254 DJ256:DJ260 DJ262:DJ264">
    <cfRule type="cellIs" dxfId="23" priority="250" operator="greaterThan">
      <formula>0</formula>
    </cfRule>
  </conditionalFormatting>
  <conditionalFormatting sqref="DJ267:DJ269">
    <cfRule type="cellIs" dxfId="22" priority="249" operator="greaterThan">
      <formula>0</formula>
    </cfRule>
  </conditionalFormatting>
  <conditionalFormatting sqref="DJ276:DJ288">
    <cfRule type="cellIs" dxfId="21" priority="248" operator="greaterThan">
      <formula>0</formula>
    </cfRule>
  </conditionalFormatting>
  <conditionalFormatting sqref="DJ291:DJ298 DJ300:DJ303">
    <cfRule type="cellIs" dxfId="20" priority="247" operator="greaterThan">
      <formula>0</formula>
    </cfRule>
  </conditionalFormatting>
  <conditionalFormatting sqref="DJ305:DJ310">
    <cfRule type="cellIs" dxfId="19" priority="246" operator="greaterThan">
      <formula>0</formula>
    </cfRule>
  </conditionalFormatting>
  <conditionalFormatting sqref="DJ312:DJ317 DJ319:DJ326">
    <cfRule type="cellIs" dxfId="18" priority="245" operator="greaterThan">
      <formula>0</formula>
    </cfRule>
  </conditionalFormatting>
  <conditionalFormatting sqref="DJ328:DJ333 DJ335:DJ336 DJ338 DJ341:DJ342">
    <cfRule type="cellIs" dxfId="17" priority="244" operator="greaterThan">
      <formula>0</formula>
    </cfRule>
  </conditionalFormatting>
  <conditionalFormatting sqref="DJ347:DJ351 DJ354:DJ361 DJ364:DJ378">
    <cfRule type="cellIs" dxfId="16" priority="243" operator="greaterThan">
      <formula>0</formula>
    </cfRule>
  </conditionalFormatting>
  <conditionalFormatting sqref="DJ381:DJ383">
    <cfRule type="cellIs" dxfId="15" priority="242" operator="greaterThan">
      <formula>0</formula>
    </cfRule>
  </conditionalFormatting>
  <conditionalFormatting sqref="DJ387">
    <cfRule type="cellIs" dxfId="14" priority="241" operator="greaterThan">
      <formula>0</formula>
    </cfRule>
  </conditionalFormatting>
  <conditionalFormatting sqref="DJ389:DJ404 DJ406:DJ412 DJ414:DJ420 DJ422:DJ425 DJ427:DJ430">
    <cfRule type="cellIs" dxfId="13" priority="240" operator="greaterThan">
      <formula>0</formula>
    </cfRule>
  </conditionalFormatting>
  <conditionalFormatting sqref="DJ434:DJ438">
    <cfRule type="cellIs" dxfId="12" priority="239" operator="greaterThan">
      <formula>0</formula>
    </cfRule>
  </conditionalFormatting>
  <conditionalFormatting sqref="DJ442:DJ451 DJ454:DJ462 DJ465:DJ467">
    <cfRule type="cellIs" dxfId="11" priority="238" operator="greaterThan">
      <formula>0</formula>
    </cfRule>
  </conditionalFormatting>
  <conditionalFormatting sqref="DJ470:DJ475">
    <cfRule type="cellIs" dxfId="10" priority="27" operator="greaterThan">
      <formula>0</formula>
    </cfRule>
  </conditionalFormatting>
  <conditionalFormatting sqref="DJ478:DJ499">
    <cfRule type="cellIs" dxfId="9" priority="236" operator="greaterThan">
      <formula>0</formula>
    </cfRule>
  </conditionalFormatting>
  <conditionalFormatting sqref="DJ502:DJ508">
    <cfRule type="cellIs" dxfId="8" priority="235" operator="greaterThan">
      <formula>0</formula>
    </cfRule>
  </conditionalFormatting>
  <conditionalFormatting sqref="DJ512:DJ513 DJ515:DJ525">
    <cfRule type="cellIs" dxfId="7" priority="234" operator="greaterThan">
      <formula>0</formula>
    </cfRule>
  </conditionalFormatting>
  <conditionalFormatting sqref="DJ533:DJ542">
    <cfRule type="cellIs" dxfId="6" priority="233" operator="greaterThan">
      <formula>0</formula>
    </cfRule>
  </conditionalFormatting>
  <conditionalFormatting sqref="DJ547:DJ549 DJ553:DJ555">
    <cfRule type="cellIs" dxfId="5" priority="232" operator="greaterThan">
      <formula>0</formula>
    </cfRule>
  </conditionalFormatting>
  <conditionalFormatting sqref="DJ559:DJ563 DJ565:DJ567 DJ569:DJ572 DJ574:DJ580">
    <cfRule type="cellIs" dxfId="4" priority="231" operator="greaterThan">
      <formula>0</formula>
    </cfRule>
  </conditionalFormatting>
  <conditionalFormatting sqref="DJ582:DJ585">
    <cfRule type="cellIs" dxfId="3" priority="57" operator="greaterThan">
      <formula>0</formula>
    </cfRule>
  </conditionalFormatting>
  <conditionalFormatting sqref="DJ588:DJ589 DJ592:DJ595 DJ598:DJ602">
    <cfRule type="cellIs" dxfId="2" priority="230" operator="greaterThan">
      <formula>0</formula>
    </cfRule>
  </conditionalFormatting>
  <conditionalFormatting sqref="DJ605:DJ631">
    <cfRule type="cellIs" dxfId="1" priority="10" operator="greaterThan">
      <formula>0</formula>
    </cfRule>
  </conditionalFormatting>
  <conditionalFormatting sqref="DM5:DM631">
    <cfRule type="cellIs" dxfId="0" priority="9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BX7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S64"/>
  <sheetViews>
    <sheetView workbookViewId="0">
      <selection activeCell="P8" sqref="P8"/>
    </sheetView>
  </sheetViews>
  <sheetFormatPr defaultRowHeight="15" x14ac:dyDescent="0.25"/>
  <cols>
    <col min="1" max="1" width="12.28515625" customWidth="1"/>
    <col min="2" max="2" width="6" bestFit="1" customWidth="1"/>
    <col min="3" max="9" width="11.42578125" bestFit="1" customWidth="1"/>
    <col min="10" max="10" width="12.42578125" bestFit="1" customWidth="1"/>
    <col min="11" max="12" width="11.42578125" bestFit="1" customWidth="1"/>
    <col min="13" max="14" width="12.42578125" bestFit="1" customWidth="1"/>
    <col min="15" max="15" width="11.42578125" bestFit="1" customWidth="1"/>
    <col min="16" max="16" width="12.42578125" bestFit="1" customWidth="1"/>
    <col min="17" max="17" width="11.42578125" bestFit="1" customWidth="1"/>
    <col min="18" max="19" width="12.42578125" bestFit="1" customWidth="1"/>
  </cols>
  <sheetData>
    <row r="1" spans="1:19" s="1" customFormat="1" ht="15.75" thickBot="1" x14ac:dyDescent="0.3">
      <c r="B1" s="112"/>
      <c r="C1" s="150" t="s">
        <v>143</v>
      </c>
      <c r="D1" s="151" t="s">
        <v>144</v>
      </c>
      <c r="E1" s="152" t="s">
        <v>145</v>
      </c>
      <c r="F1" s="202" t="s">
        <v>160</v>
      </c>
      <c r="G1" s="162" t="s">
        <v>12</v>
      </c>
      <c r="H1" s="163" t="s">
        <v>13</v>
      </c>
      <c r="I1" s="164" t="s">
        <v>14</v>
      </c>
      <c r="J1" s="202" t="s">
        <v>161</v>
      </c>
      <c r="K1" s="174" t="s">
        <v>159</v>
      </c>
      <c r="L1" s="175" t="s">
        <v>162</v>
      </c>
      <c r="M1" s="176" t="s">
        <v>163</v>
      </c>
      <c r="N1" s="202" t="s">
        <v>165</v>
      </c>
      <c r="O1" s="186" t="s">
        <v>164</v>
      </c>
      <c r="P1" s="187" t="s">
        <v>166</v>
      </c>
      <c r="Q1" s="188" t="s">
        <v>167</v>
      </c>
      <c r="R1" s="202" t="s">
        <v>168</v>
      </c>
      <c r="S1" s="206" t="s">
        <v>169</v>
      </c>
    </row>
    <row r="2" spans="1:19" x14ac:dyDescent="0.25">
      <c r="B2" s="10"/>
      <c r="C2" s="153" t="e">
        <f>Детализация!#REF!</f>
        <v>#REF!</v>
      </c>
      <c r="D2" s="154" t="e">
        <f>Детализация!#REF!</f>
        <v>#REF!</v>
      </c>
      <c r="E2" s="155" t="e">
        <f>Детализация!#REF!</f>
        <v>#REF!</v>
      </c>
      <c r="F2" s="203" t="e">
        <f>SUM(C2:E2)</f>
        <v>#REF!</v>
      </c>
      <c r="G2" s="165" t="e">
        <f>Детализация!#REF!</f>
        <v>#REF!</v>
      </c>
      <c r="H2" s="166" t="e">
        <f>Детализация!#REF!</f>
        <v>#REF!</v>
      </c>
      <c r="I2" s="167" t="e">
        <f>Детализация!#REF!</f>
        <v>#REF!</v>
      </c>
      <c r="J2" s="203" t="e">
        <f>SUM(G2:I2)</f>
        <v>#REF!</v>
      </c>
      <c r="K2" s="177" t="e">
        <f>Детализация!#REF!</f>
        <v>#REF!</v>
      </c>
      <c r="L2" s="178" t="e">
        <f>Детализация!#REF!</f>
        <v>#REF!</v>
      </c>
      <c r="M2" s="179" t="e">
        <f>Детализация!#REF!</f>
        <v>#REF!</v>
      </c>
      <c r="N2" s="203" t="e">
        <f>SUM(K2:M2)</f>
        <v>#REF!</v>
      </c>
      <c r="O2" s="189" t="e">
        <f>Детализация!#REF!</f>
        <v>#REF!</v>
      </c>
      <c r="P2" s="190" t="e">
        <f>Детализация!#REF!</f>
        <v>#REF!</v>
      </c>
      <c r="Q2" s="191" t="e">
        <f>Детализация!#REF!</f>
        <v>#REF!</v>
      </c>
      <c r="R2" s="203" t="e">
        <f>SUM(O2:Q2)</f>
        <v>#REF!</v>
      </c>
      <c r="S2" s="207" t="e">
        <f>SUM(F2,J2,N2,R2)</f>
        <v>#REF!</v>
      </c>
    </row>
    <row r="3" spans="1:19" ht="15.75" thickBot="1" x14ac:dyDescent="0.3">
      <c r="B3" s="74"/>
      <c r="C3" s="156" t="e">
        <f>Детализация!#REF!</f>
        <v>#REF!</v>
      </c>
      <c r="D3" s="157" t="e">
        <f>Детализация!#REF!</f>
        <v>#REF!</v>
      </c>
      <c r="E3" s="158" t="e">
        <f>Детализация!#REF!</f>
        <v>#REF!</v>
      </c>
      <c r="F3" s="204" t="e">
        <f>SUM(C3:E3)</f>
        <v>#REF!</v>
      </c>
      <c r="G3" s="168" t="e">
        <f>Детализация!#REF!</f>
        <v>#REF!</v>
      </c>
      <c r="H3" s="169" t="e">
        <f>Детализация!#REF!</f>
        <v>#REF!</v>
      </c>
      <c r="I3" s="170" t="e">
        <f>Детализация!#REF!</f>
        <v>#REF!</v>
      </c>
      <c r="J3" s="204" t="e">
        <f>SUM(G3:I3)</f>
        <v>#REF!</v>
      </c>
      <c r="K3" s="180" t="e">
        <f>Детализация!#REF!</f>
        <v>#REF!</v>
      </c>
      <c r="L3" s="181" t="e">
        <f>Детализация!#REF!</f>
        <v>#REF!</v>
      </c>
      <c r="M3" s="182" t="e">
        <f>Детализация!#REF!</f>
        <v>#REF!</v>
      </c>
      <c r="N3" s="204" t="e">
        <f>SUM(K3:M3)</f>
        <v>#REF!</v>
      </c>
      <c r="O3" s="192" t="e">
        <f>Детализация!#REF!</f>
        <v>#REF!</v>
      </c>
      <c r="P3" s="193" t="e">
        <f>Детализация!#REF!</f>
        <v>#REF!</v>
      </c>
      <c r="Q3" s="194" t="e">
        <f>Детализация!#REF!</f>
        <v>#REF!</v>
      </c>
      <c r="R3" s="204" t="e">
        <f>SUM(O3:Q3)</f>
        <v>#REF!</v>
      </c>
      <c r="S3" s="208" t="e">
        <f>SUM(F3,J3,N3,R3)</f>
        <v>#REF!</v>
      </c>
    </row>
    <row r="4" spans="1:19" ht="15.75" thickBot="1" x14ac:dyDescent="0.3">
      <c r="B4" s="111" t="s">
        <v>158</v>
      </c>
      <c r="C4" s="159" t="e">
        <f>SUM(C2:C3)</f>
        <v>#REF!</v>
      </c>
      <c r="D4" s="160" t="e">
        <f t="shared" ref="D4:S4" si="0">SUM(D2:D3)</f>
        <v>#REF!</v>
      </c>
      <c r="E4" s="161" t="e">
        <f t="shared" si="0"/>
        <v>#REF!</v>
      </c>
      <c r="F4" s="205" t="e">
        <f t="shared" si="0"/>
        <v>#REF!</v>
      </c>
      <c r="G4" s="171" t="e">
        <f t="shared" si="0"/>
        <v>#REF!</v>
      </c>
      <c r="H4" s="172" t="e">
        <f t="shared" si="0"/>
        <v>#REF!</v>
      </c>
      <c r="I4" s="173" t="e">
        <f t="shared" si="0"/>
        <v>#REF!</v>
      </c>
      <c r="J4" s="205" t="e">
        <f t="shared" si="0"/>
        <v>#REF!</v>
      </c>
      <c r="K4" s="183" t="e">
        <f t="shared" si="0"/>
        <v>#REF!</v>
      </c>
      <c r="L4" s="184" t="e">
        <f t="shared" si="0"/>
        <v>#REF!</v>
      </c>
      <c r="M4" s="185" t="e">
        <f t="shared" si="0"/>
        <v>#REF!</v>
      </c>
      <c r="N4" s="205" t="e">
        <f t="shared" si="0"/>
        <v>#REF!</v>
      </c>
      <c r="O4" s="195" t="e">
        <f t="shared" si="0"/>
        <v>#REF!</v>
      </c>
      <c r="P4" s="196" t="e">
        <f t="shared" si="0"/>
        <v>#REF!</v>
      </c>
      <c r="Q4" s="197" t="e">
        <f t="shared" si="0"/>
        <v>#REF!</v>
      </c>
      <c r="R4" s="205" t="e">
        <f t="shared" si="0"/>
        <v>#REF!</v>
      </c>
      <c r="S4" s="209" t="e">
        <f t="shared" si="0"/>
        <v>#REF!</v>
      </c>
    </row>
    <row r="6" spans="1:19" ht="15.75" thickBot="1" x14ac:dyDescent="0.3"/>
    <row r="7" spans="1:19" ht="15.75" thickBot="1" x14ac:dyDescent="0.3">
      <c r="C7" s="150" t="s">
        <v>143</v>
      </c>
      <c r="D7" s="151" t="s">
        <v>144</v>
      </c>
      <c r="E7" s="152" t="s">
        <v>145</v>
      </c>
      <c r="F7" s="202" t="s">
        <v>160</v>
      </c>
      <c r="G7" s="162" t="s">
        <v>12</v>
      </c>
      <c r="H7" s="163" t="s">
        <v>13</v>
      </c>
      <c r="I7" s="164" t="s">
        <v>14</v>
      </c>
      <c r="J7" s="202" t="s">
        <v>161</v>
      </c>
      <c r="K7" s="174" t="s">
        <v>159</v>
      </c>
      <c r="L7" s="175" t="s">
        <v>162</v>
      </c>
      <c r="M7" s="176" t="s">
        <v>163</v>
      </c>
      <c r="N7" s="202" t="s">
        <v>165</v>
      </c>
      <c r="O7" s="186" t="s">
        <v>164</v>
      </c>
      <c r="P7" s="187" t="s">
        <v>166</v>
      </c>
      <c r="Q7" s="188" t="s">
        <v>167</v>
      </c>
      <c r="R7" s="202" t="s">
        <v>168</v>
      </c>
      <c r="S7" s="206" t="s">
        <v>169</v>
      </c>
    </row>
    <row r="8" spans="1:19" x14ac:dyDescent="0.25">
      <c r="A8" s="846" t="s">
        <v>18</v>
      </c>
      <c r="B8" s="44"/>
      <c r="C8" s="322"/>
      <c r="D8" s="323"/>
      <c r="E8" s="324"/>
      <c r="F8" s="325">
        <f>SUM(C8:E8)</f>
        <v>0</v>
      </c>
      <c r="G8" s="326"/>
      <c r="H8" s="327"/>
      <c r="I8" s="328"/>
      <c r="J8" s="325">
        <f>SUM(G8:I8)</f>
        <v>0</v>
      </c>
      <c r="K8" s="329"/>
      <c r="L8" s="330" t="e">
        <f>SUM(Детализация!#REF!)</f>
        <v>#REF!</v>
      </c>
      <c r="M8" s="331" t="e">
        <f>SUM(Детализация!#REF!)</f>
        <v>#REF!</v>
      </c>
      <c r="N8" s="325" t="e">
        <f>SUM(K8:M8)</f>
        <v>#REF!</v>
      </c>
      <c r="O8" s="332" t="e">
        <f>SUM(Детализация!#REF!)</f>
        <v>#REF!</v>
      </c>
      <c r="P8" s="333" t="e">
        <f>SUM(Детализация!#REF!)</f>
        <v>#REF!</v>
      </c>
      <c r="Q8" s="334" t="e">
        <f>SUM(Детализация!#REF!)</f>
        <v>#REF!</v>
      </c>
      <c r="R8" s="325" t="e">
        <f>SUM(O8:Q8)</f>
        <v>#REF!</v>
      </c>
      <c r="S8" s="335" t="e">
        <f>SUM(F8,J8,N8,R8)</f>
        <v>#REF!</v>
      </c>
    </row>
    <row r="9" spans="1:19" ht="15.75" thickBot="1" x14ac:dyDescent="0.3">
      <c r="A9" s="847"/>
      <c r="B9" s="74"/>
      <c r="C9" s="156"/>
      <c r="D9" s="157"/>
      <c r="E9" s="158"/>
      <c r="F9" s="204">
        <f>SUM(C9:E9)</f>
        <v>0</v>
      </c>
      <c r="G9" s="168"/>
      <c r="H9" s="169"/>
      <c r="I9" s="170"/>
      <c r="J9" s="204">
        <f>SUM(G9:I9)</f>
        <v>0</v>
      </c>
      <c r="K9" s="180"/>
      <c r="L9" s="181" t="e">
        <f>SUM(Детализация!#REF!)</f>
        <v>#REF!</v>
      </c>
      <c r="M9" s="182" t="e">
        <f>SUM(Детализация!#REF!)</f>
        <v>#REF!</v>
      </c>
      <c r="N9" s="204" t="e">
        <f>SUM(K9:M9)</f>
        <v>#REF!</v>
      </c>
      <c r="O9" s="192" t="e">
        <f>SUM(Детализация!#REF!)</f>
        <v>#REF!</v>
      </c>
      <c r="P9" s="193" t="e">
        <f>SUM(Детализация!#REF!)</f>
        <v>#REF!</v>
      </c>
      <c r="Q9" s="194" t="e">
        <f>SUM(Детализация!#REF!)</f>
        <v>#REF!</v>
      </c>
      <c r="R9" s="204" t="e">
        <f>SUM(O9:Q9)</f>
        <v>#REF!</v>
      </c>
      <c r="S9" s="208" t="e">
        <f>SUM(F9,J9,N9,R9)</f>
        <v>#REF!</v>
      </c>
    </row>
    <row r="10" spans="1:19" ht="15.75" thickBot="1" x14ac:dyDescent="0.3">
      <c r="A10" s="848"/>
      <c r="B10" s="111" t="s">
        <v>158</v>
      </c>
      <c r="C10" s="159">
        <f>SUM(C8:C9)</f>
        <v>0</v>
      </c>
      <c r="D10" s="160">
        <f t="shared" ref="D10:S10" si="1">SUM(D8:D9)</f>
        <v>0</v>
      </c>
      <c r="E10" s="161">
        <f t="shared" si="1"/>
        <v>0</v>
      </c>
      <c r="F10" s="205">
        <f t="shared" si="1"/>
        <v>0</v>
      </c>
      <c r="G10" s="171">
        <f t="shared" si="1"/>
        <v>0</v>
      </c>
      <c r="H10" s="172">
        <f t="shared" si="1"/>
        <v>0</v>
      </c>
      <c r="I10" s="173">
        <f t="shared" si="1"/>
        <v>0</v>
      </c>
      <c r="J10" s="205">
        <f t="shared" si="1"/>
        <v>0</v>
      </c>
      <c r="K10" s="183">
        <f t="shared" si="1"/>
        <v>0</v>
      </c>
      <c r="L10" s="184" t="e">
        <f t="shared" si="1"/>
        <v>#REF!</v>
      </c>
      <c r="M10" s="185" t="e">
        <f t="shared" si="1"/>
        <v>#REF!</v>
      </c>
      <c r="N10" s="205" t="e">
        <f t="shared" si="1"/>
        <v>#REF!</v>
      </c>
      <c r="O10" s="195" t="e">
        <f t="shared" si="1"/>
        <v>#REF!</v>
      </c>
      <c r="P10" s="196" t="e">
        <f t="shared" si="1"/>
        <v>#REF!</v>
      </c>
      <c r="Q10" s="197" t="e">
        <f t="shared" si="1"/>
        <v>#REF!</v>
      </c>
      <c r="R10" s="205" t="e">
        <f t="shared" si="1"/>
        <v>#REF!</v>
      </c>
      <c r="S10" s="209" t="e">
        <f t="shared" si="1"/>
        <v>#REF!</v>
      </c>
    </row>
    <row r="11" spans="1:19" x14ac:dyDescent="0.25">
      <c r="A11" s="846" t="s">
        <v>61</v>
      </c>
      <c r="B11" s="44"/>
      <c r="C11" s="322"/>
      <c r="D11" s="323"/>
      <c r="E11" s="324"/>
      <c r="F11" s="325">
        <f>SUM(C11:E11)</f>
        <v>0</v>
      </c>
      <c r="G11" s="326"/>
      <c r="H11" s="327"/>
      <c r="I11" s="328"/>
      <c r="J11" s="325">
        <f>SUM(G11:I11)</f>
        <v>0</v>
      </c>
      <c r="K11" s="329"/>
      <c r="L11" s="330" t="e">
        <f>SUM(Детализация!#REF!)</f>
        <v>#REF!</v>
      </c>
      <c r="M11" s="331" t="e">
        <f>SUM(Детализация!#REF!)</f>
        <v>#REF!</v>
      </c>
      <c r="N11" s="325" t="e">
        <f>SUM(K11:M11)</f>
        <v>#REF!</v>
      </c>
      <c r="O11" s="332" t="e">
        <f>SUM(Детализация!#REF!)</f>
        <v>#REF!</v>
      </c>
      <c r="P11" s="333" t="e">
        <f>SUM(Детализация!#REF!)</f>
        <v>#REF!</v>
      </c>
      <c r="Q11" s="334" t="e">
        <f>SUM(Детализация!#REF!)</f>
        <v>#REF!</v>
      </c>
      <c r="R11" s="325" t="e">
        <f>SUM(O11:Q11)</f>
        <v>#REF!</v>
      </c>
      <c r="S11" s="335" t="e">
        <f>SUM(F11,J11,N11,R11)</f>
        <v>#REF!</v>
      </c>
    </row>
    <row r="12" spans="1:19" ht="15.75" thickBot="1" x14ac:dyDescent="0.3">
      <c r="A12" s="847"/>
      <c r="B12" s="74"/>
      <c r="C12" s="156"/>
      <c r="D12" s="157"/>
      <c r="E12" s="158"/>
      <c r="F12" s="204">
        <f>SUM(C12:E12)</f>
        <v>0</v>
      </c>
      <c r="G12" s="168"/>
      <c r="H12" s="169"/>
      <c r="I12" s="170"/>
      <c r="J12" s="204">
        <f>SUM(G12:I12)</f>
        <v>0</v>
      </c>
      <c r="K12" s="180"/>
      <c r="L12" s="181" t="e">
        <f>SUM(Детализация!#REF!)</f>
        <v>#REF!</v>
      </c>
      <c r="M12" s="182" t="e">
        <f>SUM(Детализация!#REF!)</f>
        <v>#REF!</v>
      </c>
      <c r="N12" s="204" t="e">
        <f>SUM(K12:M12)</f>
        <v>#REF!</v>
      </c>
      <c r="O12" s="192" t="e">
        <f>SUM(Детализация!#REF!)</f>
        <v>#REF!</v>
      </c>
      <c r="P12" s="193" t="e">
        <f>SUM(Детализация!#REF!)</f>
        <v>#REF!</v>
      </c>
      <c r="Q12" s="194" t="e">
        <f>SUM(Детализация!#REF!)</f>
        <v>#REF!</v>
      </c>
      <c r="R12" s="204" t="e">
        <f>SUM(O12:Q12)</f>
        <v>#REF!</v>
      </c>
      <c r="S12" s="208" t="e">
        <f>SUM(F12,J12,N12,R12)</f>
        <v>#REF!</v>
      </c>
    </row>
    <row r="13" spans="1:19" ht="15.75" thickBot="1" x14ac:dyDescent="0.3">
      <c r="A13" s="848"/>
      <c r="B13" s="111" t="s">
        <v>158</v>
      </c>
      <c r="C13" s="159">
        <f>SUM(C11:C12)</f>
        <v>0</v>
      </c>
      <c r="D13" s="160">
        <f t="shared" ref="D13:S13" si="2">SUM(D11:D12)</f>
        <v>0</v>
      </c>
      <c r="E13" s="161">
        <f t="shared" si="2"/>
        <v>0</v>
      </c>
      <c r="F13" s="205">
        <f t="shared" si="2"/>
        <v>0</v>
      </c>
      <c r="G13" s="171">
        <f t="shared" si="2"/>
        <v>0</v>
      </c>
      <c r="H13" s="172">
        <f t="shared" si="2"/>
        <v>0</v>
      </c>
      <c r="I13" s="173">
        <f t="shared" si="2"/>
        <v>0</v>
      </c>
      <c r="J13" s="205">
        <f t="shared" si="2"/>
        <v>0</v>
      </c>
      <c r="K13" s="183">
        <f t="shared" si="2"/>
        <v>0</v>
      </c>
      <c r="L13" s="184" t="e">
        <f t="shared" si="2"/>
        <v>#REF!</v>
      </c>
      <c r="M13" s="185" t="e">
        <f t="shared" si="2"/>
        <v>#REF!</v>
      </c>
      <c r="N13" s="205" t="e">
        <f t="shared" si="2"/>
        <v>#REF!</v>
      </c>
      <c r="O13" s="195" t="e">
        <f t="shared" si="2"/>
        <v>#REF!</v>
      </c>
      <c r="P13" s="196" t="e">
        <f t="shared" si="2"/>
        <v>#REF!</v>
      </c>
      <c r="Q13" s="197" t="e">
        <f t="shared" si="2"/>
        <v>#REF!</v>
      </c>
      <c r="R13" s="205" t="e">
        <f t="shared" si="2"/>
        <v>#REF!</v>
      </c>
      <c r="S13" s="209" t="e">
        <f t="shared" si="2"/>
        <v>#REF!</v>
      </c>
    </row>
    <row r="14" spans="1:19" x14ac:dyDescent="0.25">
      <c r="A14" s="846" t="s">
        <v>251</v>
      </c>
      <c r="B14" s="44"/>
      <c r="C14" s="322"/>
      <c r="D14" s="323"/>
      <c r="E14" s="324"/>
      <c r="F14" s="325">
        <f>SUM(C14:E14)</f>
        <v>0</v>
      </c>
      <c r="G14" s="326"/>
      <c r="H14" s="327"/>
      <c r="I14" s="328"/>
      <c r="J14" s="325">
        <f>SUM(G14:I14)</f>
        <v>0</v>
      </c>
      <c r="K14" s="329"/>
      <c r="L14" s="330" t="e">
        <f>SUM(Детализация!#REF!)</f>
        <v>#REF!</v>
      </c>
      <c r="M14" s="331" t="e">
        <f>SUM(Детализация!#REF!)</f>
        <v>#REF!</v>
      </c>
      <c r="N14" s="325" t="e">
        <f>SUM(K14:M14)</f>
        <v>#REF!</v>
      </c>
      <c r="O14" s="332" t="e">
        <f>SUM(Детализация!#REF!)</f>
        <v>#REF!</v>
      </c>
      <c r="P14" s="333" t="e">
        <f>SUM(Детализация!#REF!)</f>
        <v>#REF!</v>
      </c>
      <c r="Q14" s="334" t="e">
        <f>SUM(Детализация!#REF!)</f>
        <v>#REF!</v>
      </c>
      <c r="R14" s="325" t="e">
        <f>SUM(O14:Q14)</f>
        <v>#REF!</v>
      </c>
      <c r="S14" s="335" t="e">
        <f>SUM(F14,J14,N14,R14)</f>
        <v>#REF!</v>
      </c>
    </row>
    <row r="15" spans="1:19" ht="15.75" thickBot="1" x14ac:dyDescent="0.3">
      <c r="A15" s="847"/>
      <c r="B15" s="74"/>
      <c r="C15" s="156"/>
      <c r="D15" s="157"/>
      <c r="E15" s="158"/>
      <c r="F15" s="204">
        <f>SUM(C15:E15)</f>
        <v>0</v>
      </c>
      <c r="G15" s="168"/>
      <c r="H15" s="169"/>
      <c r="I15" s="170"/>
      <c r="J15" s="204">
        <f>SUM(G15:I15)</f>
        <v>0</v>
      </c>
      <c r="K15" s="180"/>
      <c r="L15" s="181" t="e">
        <f>SUM(Детализация!#REF!)</f>
        <v>#REF!</v>
      </c>
      <c r="M15" s="182" t="e">
        <f>SUM(Детализация!#REF!)</f>
        <v>#REF!</v>
      </c>
      <c r="N15" s="204" t="e">
        <f>SUM(K15:M15)</f>
        <v>#REF!</v>
      </c>
      <c r="O15" s="192" t="e">
        <f>SUM(Детализация!#REF!)</f>
        <v>#REF!</v>
      </c>
      <c r="P15" s="193" t="e">
        <f>SUM(Детализация!#REF!)</f>
        <v>#REF!</v>
      </c>
      <c r="Q15" s="194" t="e">
        <f>SUM(Детализация!#REF!)</f>
        <v>#REF!</v>
      </c>
      <c r="R15" s="204" t="e">
        <f>SUM(O15:Q15)</f>
        <v>#REF!</v>
      </c>
      <c r="S15" s="208" t="e">
        <f>SUM(F15,J15,N15,R15)</f>
        <v>#REF!</v>
      </c>
    </row>
    <row r="16" spans="1:19" ht="15.75" thickBot="1" x14ac:dyDescent="0.3">
      <c r="A16" s="848"/>
      <c r="B16" s="111" t="s">
        <v>158</v>
      </c>
      <c r="C16" s="159">
        <f>SUM(C14:C15)</f>
        <v>0</v>
      </c>
      <c r="D16" s="160">
        <f t="shared" ref="D16:S16" si="3">SUM(D14:D15)</f>
        <v>0</v>
      </c>
      <c r="E16" s="161">
        <f t="shared" si="3"/>
        <v>0</v>
      </c>
      <c r="F16" s="205">
        <f t="shared" si="3"/>
        <v>0</v>
      </c>
      <c r="G16" s="171">
        <f t="shared" si="3"/>
        <v>0</v>
      </c>
      <c r="H16" s="172">
        <f t="shared" si="3"/>
        <v>0</v>
      </c>
      <c r="I16" s="173">
        <f t="shared" si="3"/>
        <v>0</v>
      </c>
      <c r="J16" s="205">
        <f t="shared" si="3"/>
        <v>0</v>
      </c>
      <c r="K16" s="183">
        <f t="shared" si="3"/>
        <v>0</v>
      </c>
      <c r="L16" s="184" t="e">
        <f t="shared" si="3"/>
        <v>#REF!</v>
      </c>
      <c r="M16" s="185" t="e">
        <f t="shared" si="3"/>
        <v>#REF!</v>
      </c>
      <c r="N16" s="205" t="e">
        <f t="shared" si="3"/>
        <v>#REF!</v>
      </c>
      <c r="O16" s="195" t="e">
        <f t="shared" si="3"/>
        <v>#REF!</v>
      </c>
      <c r="P16" s="196" t="e">
        <f t="shared" si="3"/>
        <v>#REF!</v>
      </c>
      <c r="Q16" s="197" t="e">
        <f t="shared" si="3"/>
        <v>#REF!</v>
      </c>
      <c r="R16" s="205" t="e">
        <f t="shared" si="3"/>
        <v>#REF!</v>
      </c>
      <c r="S16" s="209" t="e">
        <f t="shared" si="3"/>
        <v>#REF!</v>
      </c>
    </row>
    <row r="17" spans="1:19" x14ac:dyDescent="0.25">
      <c r="A17" s="846" t="s">
        <v>197</v>
      </c>
      <c r="B17" s="44"/>
      <c r="C17" s="322"/>
      <c r="D17" s="323"/>
      <c r="E17" s="324"/>
      <c r="F17" s="325">
        <f>SUM(C17:E17)</f>
        <v>0</v>
      </c>
      <c r="G17" s="326"/>
      <c r="H17" s="327"/>
      <c r="I17" s="328"/>
      <c r="J17" s="325">
        <f>SUM(G17:I17)</f>
        <v>0</v>
      </c>
      <c r="K17" s="329"/>
      <c r="L17" s="330" t="e">
        <f>SUM(Детализация!#REF!)</f>
        <v>#REF!</v>
      </c>
      <c r="M17" s="331" t="e">
        <f>SUM(Детализация!#REF!)</f>
        <v>#REF!</v>
      </c>
      <c r="N17" s="325" t="e">
        <f>SUM(K17:M17)</f>
        <v>#REF!</v>
      </c>
      <c r="O17" s="332" t="e">
        <f>SUM(Детализация!#REF!)</f>
        <v>#REF!</v>
      </c>
      <c r="P17" s="333" t="e">
        <f>SUM(Детализация!#REF!)</f>
        <v>#REF!</v>
      </c>
      <c r="Q17" s="334" t="e">
        <f>SUM(Детализация!#REF!)</f>
        <v>#REF!</v>
      </c>
      <c r="R17" s="325" t="e">
        <f>SUM(O17:Q17)</f>
        <v>#REF!</v>
      </c>
      <c r="S17" s="335" t="e">
        <f>SUM(F17,J17,N17,R17)</f>
        <v>#REF!</v>
      </c>
    </row>
    <row r="18" spans="1:19" ht="15.75" thickBot="1" x14ac:dyDescent="0.3">
      <c r="A18" s="847"/>
      <c r="B18" s="74"/>
      <c r="C18" s="156"/>
      <c r="D18" s="157"/>
      <c r="E18" s="158"/>
      <c r="F18" s="204">
        <f>SUM(C18:E18)</f>
        <v>0</v>
      </c>
      <c r="G18" s="168"/>
      <c r="H18" s="169"/>
      <c r="I18" s="170"/>
      <c r="J18" s="204">
        <f>SUM(G18:I18)</f>
        <v>0</v>
      </c>
      <c r="K18" s="180"/>
      <c r="L18" s="181" t="e">
        <f>SUM(Детализация!#REF!)</f>
        <v>#REF!</v>
      </c>
      <c r="M18" s="182" t="e">
        <f>SUM(Детализация!#REF!)</f>
        <v>#REF!</v>
      </c>
      <c r="N18" s="204" t="e">
        <f>SUM(K18:M18)</f>
        <v>#REF!</v>
      </c>
      <c r="O18" s="192" t="e">
        <f>SUM(Детализация!#REF!)</f>
        <v>#REF!</v>
      </c>
      <c r="P18" s="193" t="e">
        <f>SUM(Детализация!#REF!)</f>
        <v>#REF!</v>
      </c>
      <c r="Q18" s="194" t="e">
        <f>SUM(Детализация!#REF!)</f>
        <v>#REF!</v>
      </c>
      <c r="R18" s="204" t="e">
        <f>SUM(O18:Q18)</f>
        <v>#REF!</v>
      </c>
      <c r="S18" s="208" t="e">
        <f>SUM(F18,J18,N18,R18)</f>
        <v>#REF!</v>
      </c>
    </row>
    <row r="19" spans="1:19" ht="15.75" thickBot="1" x14ac:dyDescent="0.3">
      <c r="A19" s="848"/>
      <c r="B19" s="111" t="s">
        <v>158</v>
      </c>
      <c r="C19" s="159">
        <f>SUM(C17:C18)</f>
        <v>0</v>
      </c>
      <c r="D19" s="160">
        <f t="shared" ref="D19:S19" si="4">SUM(D17:D18)</f>
        <v>0</v>
      </c>
      <c r="E19" s="161">
        <f t="shared" si="4"/>
        <v>0</v>
      </c>
      <c r="F19" s="205">
        <f t="shared" si="4"/>
        <v>0</v>
      </c>
      <c r="G19" s="171">
        <f t="shared" si="4"/>
        <v>0</v>
      </c>
      <c r="H19" s="172">
        <f t="shared" si="4"/>
        <v>0</v>
      </c>
      <c r="I19" s="173">
        <f t="shared" si="4"/>
        <v>0</v>
      </c>
      <c r="J19" s="205">
        <f t="shared" si="4"/>
        <v>0</v>
      </c>
      <c r="K19" s="183">
        <f t="shared" si="4"/>
        <v>0</v>
      </c>
      <c r="L19" s="184" t="e">
        <f t="shared" si="4"/>
        <v>#REF!</v>
      </c>
      <c r="M19" s="185" t="e">
        <f t="shared" si="4"/>
        <v>#REF!</v>
      </c>
      <c r="N19" s="205" t="e">
        <f t="shared" si="4"/>
        <v>#REF!</v>
      </c>
      <c r="O19" s="195" t="e">
        <f t="shared" si="4"/>
        <v>#REF!</v>
      </c>
      <c r="P19" s="196" t="e">
        <f t="shared" si="4"/>
        <v>#REF!</v>
      </c>
      <c r="Q19" s="197" t="e">
        <f t="shared" si="4"/>
        <v>#REF!</v>
      </c>
      <c r="R19" s="205" t="e">
        <f t="shared" si="4"/>
        <v>#REF!</v>
      </c>
      <c r="S19" s="209" t="e">
        <f t="shared" si="4"/>
        <v>#REF!</v>
      </c>
    </row>
    <row r="20" spans="1:19" x14ac:dyDescent="0.25">
      <c r="A20" s="846" t="s">
        <v>252</v>
      </c>
      <c r="B20" s="44"/>
      <c r="C20" s="322"/>
      <c r="D20" s="323"/>
      <c r="E20" s="324"/>
      <c r="F20" s="325">
        <f>SUM(C20:E20)</f>
        <v>0</v>
      </c>
      <c r="G20" s="326"/>
      <c r="H20" s="327"/>
      <c r="I20" s="328"/>
      <c r="J20" s="325">
        <f>SUM(G20:I20)</f>
        <v>0</v>
      </c>
      <c r="K20" s="329"/>
      <c r="L20" s="330" t="e">
        <f>SUM(Детализация!#REF!)</f>
        <v>#REF!</v>
      </c>
      <c r="M20" s="331" t="e">
        <f>SUM(Детализация!#REF!)</f>
        <v>#REF!</v>
      </c>
      <c r="N20" s="325" t="e">
        <f>SUM(K20:M20)</f>
        <v>#REF!</v>
      </c>
      <c r="O20" s="332" t="e">
        <f>SUM(Детализация!#REF!)</f>
        <v>#REF!</v>
      </c>
      <c r="P20" s="333" t="e">
        <f>SUM(Детализация!#REF!)</f>
        <v>#REF!</v>
      </c>
      <c r="Q20" s="334" t="e">
        <f>SUM(Детализация!#REF!)</f>
        <v>#REF!</v>
      </c>
      <c r="R20" s="325" t="e">
        <f>SUM(O20:Q20)</f>
        <v>#REF!</v>
      </c>
      <c r="S20" s="335" t="e">
        <f>SUM(F20,J20,N20,R20)</f>
        <v>#REF!</v>
      </c>
    </row>
    <row r="21" spans="1:19" ht="15.75" thickBot="1" x14ac:dyDescent="0.3">
      <c r="A21" s="847"/>
      <c r="B21" s="74"/>
      <c r="C21" s="156"/>
      <c r="D21" s="157"/>
      <c r="E21" s="158"/>
      <c r="F21" s="204">
        <f>SUM(C21:E21)</f>
        <v>0</v>
      </c>
      <c r="G21" s="168"/>
      <c r="H21" s="169"/>
      <c r="I21" s="170"/>
      <c r="J21" s="204">
        <f>SUM(G21:I21)</f>
        <v>0</v>
      </c>
      <c r="K21" s="180"/>
      <c r="L21" s="181" t="e">
        <f>SUM(Детализация!#REF!)</f>
        <v>#REF!</v>
      </c>
      <c r="M21" s="182" t="e">
        <f>SUM(Детализация!#REF!)</f>
        <v>#REF!</v>
      </c>
      <c r="N21" s="204" t="e">
        <f>SUM(K21:M21)</f>
        <v>#REF!</v>
      </c>
      <c r="O21" s="192" t="e">
        <f>SUM(Детализация!#REF!)</f>
        <v>#REF!</v>
      </c>
      <c r="P21" s="193" t="e">
        <f>SUM(Детализация!#REF!)</f>
        <v>#REF!</v>
      </c>
      <c r="Q21" s="194" t="e">
        <f>SUM(Детализация!#REF!)</f>
        <v>#REF!</v>
      </c>
      <c r="R21" s="204" t="e">
        <f>SUM(O21:Q21)</f>
        <v>#REF!</v>
      </c>
      <c r="S21" s="208" t="e">
        <f>SUM(F21,J21,N21,R21)</f>
        <v>#REF!</v>
      </c>
    </row>
    <row r="22" spans="1:19" ht="15.75" thickBot="1" x14ac:dyDescent="0.3">
      <c r="A22" s="848"/>
      <c r="B22" s="111" t="s">
        <v>158</v>
      </c>
      <c r="C22" s="159">
        <f>SUM(C20:C21)</f>
        <v>0</v>
      </c>
      <c r="D22" s="160">
        <f t="shared" ref="D22:S22" si="5">SUM(D20:D21)</f>
        <v>0</v>
      </c>
      <c r="E22" s="161">
        <f t="shared" si="5"/>
        <v>0</v>
      </c>
      <c r="F22" s="205">
        <f t="shared" si="5"/>
        <v>0</v>
      </c>
      <c r="G22" s="171">
        <f t="shared" si="5"/>
        <v>0</v>
      </c>
      <c r="H22" s="172">
        <f t="shared" si="5"/>
        <v>0</v>
      </c>
      <c r="I22" s="173">
        <f t="shared" si="5"/>
        <v>0</v>
      </c>
      <c r="J22" s="205">
        <f t="shared" si="5"/>
        <v>0</v>
      </c>
      <c r="K22" s="183">
        <f t="shared" si="5"/>
        <v>0</v>
      </c>
      <c r="L22" s="184" t="e">
        <f t="shared" si="5"/>
        <v>#REF!</v>
      </c>
      <c r="M22" s="185" t="e">
        <f t="shared" si="5"/>
        <v>#REF!</v>
      </c>
      <c r="N22" s="205" t="e">
        <f t="shared" si="5"/>
        <v>#REF!</v>
      </c>
      <c r="O22" s="195" t="e">
        <f t="shared" si="5"/>
        <v>#REF!</v>
      </c>
      <c r="P22" s="196" t="e">
        <f t="shared" si="5"/>
        <v>#REF!</v>
      </c>
      <c r="Q22" s="197" t="e">
        <f t="shared" si="5"/>
        <v>#REF!</v>
      </c>
      <c r="R22" s="205" t="e">
        <f t="shared" si="5"/>
        <v>#REF!</v>
      </c>
      <c r="S22" s="209" t="e">
        <f t="shared" si="5"/>
        <v>#REF!</v>
      </c>
    </row>
    <row r="23" spans="1:19" x14ac:dyDescent="0.25">
      <c r="A23" s="846" t="s">
        <v>253</v>
      </c>
      <c r="B23" s="44"/>
      <c r="C23" s="322"/>
      <c r="D23" s="323"/>
      <c r="E23" s="324"/>
      <c r="F23" s="325">
        <f>SUM(C23:E23)</f>
        <v>0</v>
      </c>
      <c r="G23" s="326"/>
      <c r="H23" s="327"/>
      <c r="I23" s="328"/>
      <c r="J23" s="325">
        <f>SUM(G23:I23)</f>
        <v>0</v>
      </c>
      <c r="K23" s="329"/>
      <c r="L23" s="330" t="e">
        <f>SUM(Детализация!#REF!)</f>
        <v>#REF!</v>
      </c>
      <c r="M23" s="331" t="e">
        <f>SUM(Детализация!#REF!)</f>
        <v>#REF!</v>
      </c>
      <c r="N23" s="325" t="e">
        <f>SUM(K23:M23)</f>
        <v>#REF!</v>
      </c>
      <c r="O23" s="332" t="e">
        <f>SUM(Детализация!#REF!)</f>
        <v>#REF!</v>
      </c>
      <c r="P23" s="333" t="e">
        <f>SUM(Детализация!#REF!)</f>
        <v>#REF!</v>
      </c>
      <c r="Q23" s="334" t="e">
        <f>SUM(Детализация!#REF!)</f>
        <v>#REF!</v>
      </c>
      <c r="R23" s="325" t="e">
        <f>SUM(O23:Q23)</f>
        <v>#REF!</v>
      </c>
      <c r="S23" s="335" t="e">
        <f>SUM(F23,J23,N23,R23)</f>
        <v>#REF!</v>
      </c>
    </row>
    <row r="24" spans="1:19" ht="15.75" thickBot="1" x14ac:dyDescent="0.3">
      <c r="A24" s="847"/>
      <c r="B24" s="74"/>
      <c r="C24" s="156"/>
      <c r="D24" s="157"/>
      <c r="E24" s="158"/>
      <c r="F24" s="204">
        <f>SUM(C24:E24)</f>
        <v>0</v>
      </c>
      <c r="G24" s="168"/>
      <c r="H24" s="169"/>
      <c r="I24" s="170"/>
      <c r="J24" s="204">
        <f>SUM(G24:I24)</f>
        <v>0</v>
      </c>
      <c r="K24" s="180"/>
      <c r="L24" s="181" t="e">
        <f>SUM(Детализация!#REF!)</f>
        <v>#REF!</v>
      </c>
      <c r="M24" s="182" t="e">
        <f>SUM(Детализация!#REF!)</f>
        <v>#REF!</v>
      </c>
      <c r="N24" s="204" t="e">
        <f>SUM(K24:M24)</f>
        <v>#REF!</v>
      </c>
      <c r="O24" s="192" t="e">
        <f>SUM(Детализация!#REF!)</f>
        <v>#REF!</v>
      </c>
      <c r="P24" s="193" t="e">
        <f>SUM(Детализация!#REF!)</f>
        <v>#REF!</v>
      </c>
      <c r="Q24" s="194" t="e">
        <f>SUM(Детализация!#REF!)</f>
        <v>#REF!</v>
      </c>
      <c r="R24" s="204" t="e">
        <f>SUM(O24:Q24)</f>
        <v>#REF!</v>
      </c>
      <c r="S24" s="208" t="e">
        <f>SUM(F24,J24,N24,R24)</f>
        <v>#REF!</v>
      </c>
    </row>
    <row r="25" spans="1:19" ht="15.75" thickBot="1" x14ac:dyDescent="0.3">
      <c r="A25" s="848"/>
      <c r="B25" s="111" t="s">
        <v>158</v>
      </c>
      <c r="C25" s="159">
        <f>SUM(C23:C24)</f>
        <v>0</v>
      </c>
      <c r="D25" s="160">
        <f t="shared" ref="D25:S25" si="6">SUM(D23:D24)</f>
        <v>0</v>
      </c>
      <c r="E25" s="161">
        <f t="shared" si="6"/>
        <v>0</v>
      </c>
      <c r="F25" s="205">
        <f t="shared" si="6"/>
        <v>0</v>
      </c>
      <c r="G25" s="171">
        <f t="shared" si="6"/>
        <v>0</v>
      </c>
      <c r="H25" s="172">
        <f t="shared" si="6"/>
        <v>0</v>
      </c>
      <c r="I25" s="173">
        <f t="shared" si="6"/>
        <v>0</v>
      </c>
      <c r="J25" s="205">
        <f t="shared" si="6"/>
        <v>0</v>
      </c>
      <c r="K25" s="183">
        <f t="shared" si="6"/>
        <v>0</v>
      </c>
      <c r="L25" s="184" t="e">
        <f t="shared" si="6"/>
        <v>#REF!</v>
      </c>
      <c r="M25" s="185" t="e">
        <f t="shared" si="6"/>
        <v>#REF!</v>
      </c>
      <c r="N25" s="205" t="e">
        <f t="shared" si="6"/>
        <v>#REF!</v>
      </c>
      <c r="O25" s="195" t="e">
        <f t="shared" si="6"/>
        <v>#REF!</v>
      </c>
      <c r="P25" s="196" t="e">
        <f t="shared" si="6"/>
        <v>#REF!</v>
      </c>
      <c r="Q25" s="197" t="e">
        <f t="shared" si="6"/>
        <v>#REF!</v>
      </c>
      <c r="R25" s="205" t="e">
        <f t="shared" si="6"/>
        <v>#REF!</v>
      </c>
      <c r="S25" s="209" t="e">
        <f t="shared" si="6"/>
        <v>#REF!</v>
      </c>
    </row>
    <row r="26" spans="1:19" x14ac:dyDescent="0.25">
      <c r="A26" s="846" t="s">
        <v>254</v>
      </c>
      <c r="B26" s="44"/>
      <c r="C26" s="322"/>
      <c r="D26" s="323"/>
      <c r="E26" s="324"/>
      <c r="F26" s="325">
        <f>SUM(C26:E26)</f>
        <v>0</v>
      </c>
      <c r="G26" s="326"/>
      <c r="H26" s="327"/>
      <c r="I26" s="328"/>
      <c r="J26" s="325">
        <f>SUM(G26:I26)</f>
        <v>0</v>
      </c>
      <c r="K26" s="329"/>
      <c r="L26" s="330" t="e">
        <f>SUM(Детализация!#REF!)</f>
        <v>#REF!</v>
      </c>
      <c r="M26" s="331" t="e">
        <f>SUM(Детализация!#REF!)</f>
        <v>#REF!</v>
      </c>
      <c r="N26" s="325" t="e">
        <f>SUM(K26:M26)</f>
        <v>#REF!</v>
      </c>
      <c r="O26" s="332" t="e">
        <f>SUM(Детализация!#REF!)</f>
        <v>#REF!</v>
      </c>
      <c r="P26" s="333" t="e">
        <f>SUM(Детализация!#REF!)</f>
        <v>#REF!</v>
      </c>
      <c r="Q26" s="334" t="e">
        <f>SUM(Детализация!#REF!)</f>
        <v>#REF!</v>
      </c>
      <c r="R26" s="325" t="e">
        <f>SUM(O26:Q26)</f>
        <v>#REF!</v>
      </c>
      <c r="S26" s="335" t="e">
        <f>SUM(F26,J26,N26,R26)</f>
        <v>#REF!</v>
      </c>
    </row>
    <row r="27" spans="1:19" ht="15.75" thickBot="1" x14ac:dyDescent="0.3">
      <c r="A27" s="847"/>
      <c r="B27" s="74"/>
      <c r="C27" s="156"/>
      <c r="D27" s="157"/>
      <c r="E27" s="158"/>
      <c r="F27" s="204">
        <f>SUM(C27:E27)</f>
        <v>0</v>
      </c>
      <c r="G27" s="168"/>
      <c r="H27" s="169"/>
      <c r="I27" s="170"/>
      <c r="J27" s="204">
        <f>SUM(G27:I27)</f>
        <v>0</v>
      </c>
      <c r="K27" s="180"/>
      <c r="L27" s="181" t="e">
        <f>SUM(Детализация!#REF!)</f>
        <v>#REF!</v>
      </c>
      <c r="M27" s="182" t="e">
        <f>SUM(Детализация!#REF!)</f>
        <v>#REF!</v>
      </c>
      <c r="N27" s="204" t="e">
        <f>SUM(K27:M27)</f>
        <v>#REF!</v>
      </c>
      <c r="O27" s="192" t="e">
        <f>SUM(Детализация!#REF!)</f>
        <v>#REF!</v>
      </c>
      <c r="P27" s="193" t="e">
        <f>SUM(Детализация!#REF!)</f>
        <v>#REF!</v>
      </c>
      <c r="Q27" s="194" t="e">
        <f>SUM(Детализация!#REF!)</f>
        <v>#REF!</v>
      </c>
      <c r="R27" s="204" t="e">
        <f>SUM(O27:Q27)</f>
        <v>#REF!</v>
      </c>
      <c r="S27" s="208" t="e">
        <f>SUM(F27,J27,N27,R27)</f>
        <v>#REF!</v>
      </c>
    </row>
    <row r="28" spans="1:19" ht="15.75" thickBot="1" x14ac:dyDescent="0.3">
      <c r="A28" s="848"/>
      <c r="B28" s="111" t="s">
        <v>158</v>
      </c>
      <c r="C28" s="159">
        <f>SUM(C26:C27)</f>
        <v>0</v>
      </c>
      <c r="D28" s="160">
        <f t="shared" ref="D28:S28" si="7">SUM(D26:D27)</f>
        <v>0</v>
      </c>
      <c r="E28" s="161">
        <f t="shared" si="7"/>
        <v>0</v>
      </c>
      <c r="F28" s="205">
        <f t="shared" si="7"/>
        <v>0</v>
      </c>
      <c r="G28" s="171">
        <f t="shared" si="7"/>
        <v>0</v>
      </c>
      <c r="H28" s="172">
        <f t="shared" si="7"/>
        <v>0</v>
      </c>
      <c r="I28" s="173">
        <f t="shared" si="7"/>
        <v>0</v>
      </c>
      <c r="J28" s="205">
        <f t="shared" si="7"/>
        <v>0</v>
      </c>
      <c r="K28" s="183">
        <f t="shared" si="7"/>
        <v>0</v>
      </c>
      <c r="L28" s="184" t="e">
        <f t="shared" si="7"/>
        <v>#REF!</v>
      </c>
      <c r="M28" s="185" t="e">
        <f t="shared" si="7"/>
        <v>#REF!</v>
      </c>
      <c r="N28" s="205" t="e">
        <f t="shared" si="7"/>
        <v>#REF!</v>
      </c>
      <c r="O28" s="195" t="e">
        <f t="shared" si="7"/>
        <v>#REF!</v>
      </c>
      <c r="P28" s="196" t="e">
        <f t="shared" si="7"/>
        <v>#REF!</v>
      </c>
      <c r="Q28" s="197" t="e">
        <f t="shared" si="7"/>
        <v>#REF!</v>
      </c>
      <c r="R28" s="205" t="e">
        <f t="shared" si="7"/>
        <v>#REF!</v>
      </c>
      <c r="S28" s="209" t="e">
        <f t="shared" si="7"/>
        <v>#REF!</v>
      </c>
    </row>
    <row r="29" spans="1:19" x14ac:dyDescent="0.25">
      <c r="A29" s="846" t="s">
        <v>255</v>
      </c>
      <c r="B29" s="44"/>
      <c r="C29" s="322"/>
      <c r="D29" s="323"/>
      <c r="E29" s="324"/>
      <c r="F29" s="325">
        <f>SUM(C29:E29)</f>
        <v>0</v>
      </c>
      <c r="G29" s="326"/>
      <c r="H29" s="327"/>
      <c r="I29" s="328"/>
      <c r="J29" s="325">
        <f>SUM(G29:I29)</f>
        <v>0</v>
      </c>
      <c r="K29" s="329"/>
      <c r="L29" s="330" t="e">
        <f>SUM(Детализация!#REF!)</f>
        <v>#REF!</v>
      </c>
      <c r="M29" s="331" t="e">
        <f>SUM(Детализация!#REF!)</f>
        <v>#REF!</v>
      </c>
      <c r="N29" s="325" t="e">
        <f>SUM(K29:M29)</f>
        <v>#REF!</v>
      </c>
      <c r="O29" s="332" t="e">
        <f>SUM(Детализация!#REF!)</f>
        <v>#REF!</v>
      </c>
      <c r="P29" s="333" t="e">
        <f>SUM(Детализация!#REF!)</f>
        <v>#REF!</v>
      </c>
      <c r="Q29" s="334" t="e">
        <f>SUM(Детализация!#REF!)</f>
        <v>#REF!</v>
      </c>
      <c r="R29" s="325" t="e">
        <f>SUM(O29:Q29)</f>
        <v>#REF!</v>
      </c>
      <c r="S29" s="335" t="e">
        <f>SUM(F29,J29,N29,R29)</f>
        <v>#REF!</v>
      </c>
    </row>
    <row r="30" spans="1:19" ht="15.75" thickBot="1" x14ac:dyDescent="0.3">
      <c r="A30" s="847"/>
      <c r="B30" s="74"/>
      <c r="C30" s="156"/>
      <c r="D30" s="157"/>
      <c r="E30" s="158"/>
      <c r="F30" s="204">
        <f>SUM(C30:E30)</f>
        <v>0</v>
      </c>
      <c r="G30" s="168"/>
      <c r="H30" s="169"/>
      <c r="I30" s="170"/>
      <c r="J30" s="204">
        <f>SUM(G30:I30)</f>
        <v>0</v>
      </c>
      <c r="K30" s="180"/>
      <c r="L30" s="181" t="e">
        <f>SUM(Детализация!#REF!)</f>
        <v>#REF!</v>
      </c>
      <c r="M30" s="182" t="e">
        <f>SUM(Детализация!#REF!)</f>
        <v>#REF!</v>
      </c>
      <c r="N30" s="204" t="e">
        <f>SUM(K30:M30)</f>
        <v>#REF!</v>
      </c>
      <c r="O30" s="192" t="e">
        <f>SUM(Детализация!#REF!)</f>
        <v>#REF!</v>
      </c>
      <c r="P30" s="193" t="e">
        <f>SUM(Детализация!#REF!)</f>
        <v>#REF!</v>
      </c>
      <c r="Q30" s="194" t="e">
        <f>SUM(Детализация!#REF!)</f>
        <v>#REF!</v>
      </c>
      <c r="R30" s="204" t="e">
        <f>SUM(O30:Q30)</f>
        <v>#REF!</v>
      </c>
      <c r="S30" s="208" t="e">
        <f>SUM(F30,J30,N30,R30)</f>
        <v>#REF!</v>
      </c>
    </row>
    <row r="31" spans="1:19" ht="15.75" thickBot="1" x14ac:dyDescent="0.3">
      <c r="A31" s="848"/>
      <c r="B31" s="111" t="s">
        <v>158</v>
      </c>
      <c r="C31" s="159">
        <f>SUM(C29:C30)</f>
        <v>0</v>
      </c>
      <c r="D31" s="160">
        <f t="shared" ref="D31:S31" si="8">SUM(D29:D30)</f>
        <v>0</v>
      </c>
      <c r="E31" s="161">
        <f t="shared" si="8"/>
        <v>0</v>
      </c>
      <c r="F31" s="205">
        <f t="shared" si="8"/>
        <v>0</v>
      </c>
      <c r="G31" s="171">
        <f t="shared" si="8"/>
        <v>0</v>
      </c>
      <c r="H31" s="172">
        <f t="shared" si="8"/>
        <v>0</v>
      </c>
      <c r="I31" s="173">
        <f t="shared" si="8"/>
        <v>0</v>
      </c>
      <c r="J31" s="205">
        <f t="shared" si="8"/>
        <v>0</v>
      </c>
      <c r="K31" s="183">
        <f t="shared" si="8"/>
        <v>0</v>
      </c>
      <c r="L31" s="184" t="e">
        <f t="shared" si="8"/>
        <v>#REF!</v>
      </c>
      <c r="M31" s="185" t="e">
        <f t="shared" si="8"/>
        <v>#REF!</v>
      </c>
      <c r="N31" s="205" t="e">
        <f t="shared" si="8"/>
        <v>#REF!</v>
      </c>
      <c r="O31" s="195" t="e">
        <f t="shared" si="8"/>
        <v>#REF!</v>
      </c>
      <c r="P31" s="196" t="e">
        <f t="shared" si="8"/>
        <v>#REF!</v>
      </c>
      <c r="Q31" s="197" t="e">
        <f t="shared" si="8"/>
        <v>#REF!</v>
      </c>
      <c r="R31" s="205" t="e">
        <f t="shared" si="8"/>
        <v>#REF!</v>
      </c>
      <c r="S31" s="209" t="e">
        <f t="shared" si="8"/>
        <v>#REF!</v>
      </c>
    </row>
    <row r="32" spans="1:19" x14ac:dyDescent="0.25">
      <c r="A32" s="846" t="s">
        <v>125</v>
      </c>
      <c r="B32" s="44"/>
      <c r="C32" s="322"/>
      <c r="D32" s="323"/>
      <c r="E32" s="324"/>
      <c r="F32" s="325">
        <f>SUM(C32:E32)</f>
        <v>0</v>
      </c>
      <c r="G32" s="326"/>
      <c r="H32" s="327"/>
      <c r="I32" s="328"/>
      <c r="J32" s="325">
        <f>SUM(G32:I32)</f>
        <v>0</v>
      </c>
      <c r="K32" s="329"/>
      <c r="L32" s="330" t="e">
        <f>SUM(Детализация!#REF!)</f>
        <v>#REF!</v>
      </c>
      <c r="M32" s="331" t="e">
        <f>SUM(Детализация!#REF!)</f>
        <v>#REF!</v>
      </c>
      <c r="N32" s="325" t="e">
        <f>SUM(K32:M32)</f>
        <v>#REF!</v>
      </c>
      <c r="O32" s="332" t="e">
        <f>SUM(Детализация!#REF!)</f>
        <v>#REF!</v>
      </c>
      <c r="P32" s="333" t="e">
        <f>SUM(Детализация!#REF!)</f>
        <v>#REF!</v>
      </c>
      <c r="Q32" s="334" t="e">
        <f>SUM(Детализация!#REF!)</f>
        <v>#REF!</v>
      </c>
      <c r="R32" s="325" t="e">
        <f>SUM(O32:Q32)</f>
        <v>#REF!</v>
      </c>
      <c r="S32" s="335" t="e">
        <f>SUM(F32,J32,N32,R32)</f>
        <v>#REF!</v>
      </c>
    </row>
    <row r="33" spans="1:19" ht="15.75" thickBot="1" x14ac:dyDescent="0.3">
      <c r="A33" s="847"/>
      <c r="B33" s="74"/>
      <c r="C33" s="156"/>
      <c r="D33" s="157"/>
      <c r="E33" s="158"/>
      <c r="F33" s="204">
        <f>SUM(C33:E33)</f>
        <v>0</v>
      </c>
      <c r="G33" s="168"/>
      <c r="H33" s="169"/>
      <c r="I33" s="170"/>
      <c r="J33" s="204">
        <f>SUM(G33:I33)</f>
        <v>0</v>
      </c>
      <c r="K33" s="180"/>
      <c r="L33" s="181" t="e">
        <f>SUM(Детализация!#REF!)</f>
        <v>#REF!</v>
      </c>
      <c r="M33" s="182" t="e">
        <f>SUM(Детализация!#REF!)</f>
        <v>#REF!</v>
      </c>
      <c r="N33" s="204" t="e">
        <f>SUM(K33:M33)</f>
        <v>#REF!</v>
      </c>
      <c r="O33" s="192" t="e">
        <f>SUM(Детализация!#REF!)</f>
        <v>#REF!</v>
      </c>
      <c r="P33" s="193" t="e">
        <f>SUM(Детализация!#REF!)</f>
        <v>#REF!</v>
      </c>
      <c r="Q33" s="194" t="e">
        <f>SUM(Детализация!#REF!)</f>
        <v>#REF!</v>
      </c>
      <c r="R33" s="204" t="e">
        <f>SUM(O33:Q33)</f>
        <v>#REF!</v>
      </c>
      <c r="S33" s="208" t="e">
        <f>SUM(F33,J33,N33,R33)</f>
        <v>#REF!</v>
      </c>
    </row>
    <row r="34" spans="1:19" ht="15.75" thickBot="1" x14ac:dyDescent="0.3">
      <c r="A34" s="848"/>
      <c r="B34" s="111" t="s">
        <v>158</v>
      </c>
      <c r="C34" s="159">
        <f>SUM(C32:C33)</f>
        <v>0</v>
      </c>
      <c r="D34" s="160">
        <f t="shared" ref="D34:S34" si="9">SUM(D32:D33)</f>
        <v>0</v>
      </c>
      <c r="E34" s="161">
        <f t="shared" si="9"/>
        <v>0</v>
      </c>
      <c r="F34" s="205">
        <f t="shared" si="9"/>
        <v>0</v>
      </c>
      <c r="G34" s="171">
        <f t="shared" si="9"/>
        <v>0</v>
      </c>
      <c r="H34" s="172">
        <f t="shared" si="9"/>
        <v>0</v>
      </c>
      <c r="I34" s="173">
        <f t="shared" si="9"/>
        <v>0</v>
      </c>
      <c r="J34" s="205">
        <f t="shared" si="9"/>
        <v>0</v>
      </c>
      <c r="K34" s="183">
        <f t="shared" si="9"/>
        <v>0</v>
      </c>
      <c r="L34" s="184" t="e">
        <f t="shared" si="9"/>
        <v>#REF!</v>
      </c>
      <c r="M34" s="185" t="e">
        <f t="shared" si="9"/>
        <v>#REF!</v>
      </c>
      <c r="N34" s="205" t="e">
        <f t="shared" si="9"/>
        <v>#REF!</v>
      </c>
      <c r="O34" s="195" t="e">
        <f t="shared" si="9"/>
        <v>#REF!</v>
      </c>
      <c r="P34" s="196" t="e">
        <f t="shared" si="9"/>
        <v>#REF!</v>
      </c>
      <c r="Q34" s="197" t="e">
        <f t="shared" si="9"/>
        <v>#REF!</v>
      </c>
      <c r="R34" s="205" t="e">
        <f t="shared" si="9"/>
        <v>#REF!</v>
      </c>
      <c r="S34" s="209" t="e">
        <f t="shared" si="9"/>
        <v>#REF!</v>
      </c>
    </row>
    <row r="35" spans="1:19" x14ac:dyDescent="0.25">
      <c r="A35" s="846" t="s">
        <v>256</v>
      </c>
      <c r="B35" s="44"/>
      <c r="C35" s="322"/>
      <c r="D35" s="323"/>
      <c r="E35" s="324"/>
      <c r="F35" s="325">
        <f>SUM(C35:E35)</f>
        <v>0</v>
      </c>
      <c r="G35" s="326"/>
      <c r="H35" s="327"/>
      <c r="I35" s="328"/>
      <c r="J35" s="325">
        <f>SUM(G35:I35)</f>
        <v>0</v>
      </c>
      <c r="K35" s="329"/>
      <c r="L35" s="330" t="e">
        <f>SUM(Детализация!#REF!)</f>
        <v>#REF!</v>
      </c>
      <c r="M35" s="331" t="e">
        <f>SUM(Детализация!#REF!)</f>
        <v>#REF!</v>
      </c>
      <c r="N35" s="325" t="e">
        <f>SUM(K35:M35)</f>
        <v>#REF!</v>
      </c>
      <c r="O35" s="332" t="e">
        <f>SUM(Детализация!#REF!)</f>
        <v>#REF!</v>
      </c>
      <c r="P35" s="333" t="e">
        <f>SUM(Детализация!#REF!)</f>
        <v>#REF!</v>
      </c>
      <c r="Q35" s="334" t="e">
        <f>SUM(Детализация!#REF!)</f>
        <v>#REF!</v>
      </c>
      <c r="R35" s="325" t="e">
        <f>SUM(O35:Q35)</f>
        <v>#REF!</v>
      </c>
      <c r="S35" s="335" t="e">
        <f>SUM(F35,J35,N35,R35)</f>
        <v>#REF!</v>
      </c>
    </row>
    <row r="36" spans="1:19" ht="15.75" thickBot="1" x14ac:dyDescent="0.3">
      <c r="A36" s="847"/>
      <c r="B36" s="74"/>
      <c r="C36" s="156"/>
      <c r="D36" s="157"/>
      <c r="E36" s="158"/>
      <c r="F36" s="204">
        <f>SUM(C36:E36)</f>
        <v>0</v>
      </c>
      <c r="G36" s="168"/>
      <c r="H36" s="169"/>
      <c r="I36" s="170"/>
      <c r="J36" s="204">
        <f>SUM(G36:I36)</f>
        <v>0</v>
      </c>
      <c r="K36" s="180"/>
      <c r="L36" s="181" t="e">
        <f>SUM(Детализация!#REF!)</f>
        <v>#REF!</v>
      </c>
      <c r="M36" s="182" t="e">
        <f>SUM(Детализация!#REF!)</f>
        <v>#REF!</v>
      </c>
      <c r="N36" s="204" t="e">
        <f>SUM(K36:M36)</f>
        <v>#REF!</v>
      </c>
      <c r="O36" s="192" t="e">
        <f>SUM(Детализация!#REF!)</f>
        <v>#REF!</v>
      </c>
      <c r="P36" s="193" t="e">
        <f>SUM(Детализация!#REF!)</f>
        <v>#REF!</v>
      </c>
      <c r="Q36" s="194" t="e">
        <f>SUM(Детализация!#REF!)</f>
        <v>#REF!</v>
      </c>
      <c r="R36" s="204" t="e">
        <f>SUM(O36:Q36)</f>
        <v>#REF!</v>
      </c>
      <c r="S36" s="208" t="e">
        <f>SUM(F36,J36,N36,R36)</f>
        <v>#REF!</v>
      </c>
    </row>
    <row r="37" spans="1:19" ht="15.75" thickBot="1" x14ac:dyDescent="0.3">
      <c r="A37" s="848"/>
      <c r="B37" s="111" t="s">
        <v>158</v>
      </c>
      <c r="C37" s="159">
        <f>SUM(C35:C36)</f>
        <v>0</v>
      </c>
      <c r="D37" s="160">
        <f t="shared" ref="D37:S37" si="10">SUM(D35:D36)</f>
        <v>0</v>
      </c>
      <c r="E37" s="161">
        <f t="shared" si="10"/>
        <v>0</v>
      </c>
      <c r="F37" s="205">
        <f t="shared" si="10"/>
        <v>0</v>
      </c>
      <c r="G37" s="171">
        <f t="shared" si="10"/>
        <v>0</v>
      </c>
      <c r="H37" s="172">
        <f t="shared" si="10"/>
        <v>0</v>
      </c>
      <c r="I37" s="173">
        <f t="shared" si="10"/>
        <v>0</v>
      </c>
      <c r="J37" s="205">
        <f t="shared" si="10"/>
        <v>0</v>
      </c>
      <c r="K37" s="183">
        <f t="shared" si="10"/>
        <v>0</v>
      </c>
      <c r="L37" s="184" t="e">
        <f t="shared" si="10"/>
        <v>#REF!</v>
      </c>
      <c r="M37" s="185" t="e">
        <f t="shared" si="10"/>
        <v>#REF!</v>
      </c>
      <c r="N37" s="205" t="e">
        <f t="shared" si="10"/>
        <v>#REF!</v>
      </c>
      <c r="O37" s="195" t="e">
        <f t="shared" si="10"/>
        <v>#REF!</v>
      </c>
      <c r="P37" s="196" t="e">
        <f t="shared" si="10"/>
        <v>#REF!</v>
      </c>
      <c r="Q37" s="197" t="e">
        <f t="shared" si="10"/>
        <v>#REF!</v>
      </c>
      <c r="R37" s="205" t="e">
        <f t="shared" si="10"/>
        <v>#REF!</v>
      </c>
      <c r="S37" s="209" t="e">
        <f t="shared" si="10"/>
        <v>#REF!</v>
      </c>
    </row>
    <row r="38" spans="1:19" x14ac:dyDescent="0.25">
      <c r="A38" s="843" t="s">
        <v>257</v>
      </c>
      <c r="B38" s="44"/>
      <c r="C38" s="322"/>
      <c r="D38" s="323"/>
      <c r="E38" s="324"/>
      <c r="F38" s="325">
        <f>SUM(C38:E38)</f>
        <v>0</v>
      </c>
      <c r="G38" s="326"/>
      <c r="H38" s="327"/>
      <c r="I38" s="328"/>
      <c r="J38" s="325">
        <f>SUM(G38:I38)</f>
        <v>0</v>
      </c>
      <c r="K38" s="329"/>
      <c r="L38" s="330" t="e">
        <f>SUM(Детализация!#REF!)</f>
        <v>#REF!</v>
      </c>
      <c r="M38" s="331" t="e">
        <f>SUM(Детализация!#REF!)</f>
        <v>#REF!</v>
      </c>
      <c r="N38" s="325" t="e">
        <f>SUM(K38:M38)</f>
        <v>#REF!</v>
      </c>
      <c r="O38" s="332" t="e">
        <f>SUM(Детализация!#REF!)</f>
        <v>#REF!</v>
      </c>
      <c r="P38" s="333" t="e">
        <f>SUM(Детализация!#REF!)</f>
        <v>#REF!</v>
      </c>
      <c r="Q38" s="334" t="e">
        <f>SUM(Детализация!#REF!)</f>
        <v>#REF!</v>
      </c>
      <c r="R38" s="325" t="e">
        <f>SUM(O38:Q38)</f>
        <v>#REF!</v>
      </c>
      <c r="S38" s="335" t="e">
        <f>SUM(F38,J38,N38,R38)</f>
        <v>#REF!</v>
      </c>
    </row>
    <row r="39" spans="1:19" ht="15.75" thickBot="1" x14ac:dyDescent="0.3">
      <c r="A39" s="844"/>
      <c r="B39" s="74"/>
      <c r="C39" s="156"/>
      <c r="D39" s="157"/>
      <c r="E39" s="158"/>
      <c r="F39" s="204">
        <f>SUM(C39:E39)</f>
        <v>0</v>
      </c>
      <c r="G39" s="168"/>
      <c r="H39" s="169"/>
      <c r="I39" s="170"/>
      <c r="J39" s="204">
        <f>SUM(G39:I39)</f>
        <v>0</v>
      </c>
      <c r="K39" s="180"/>
      <c r="L39" s="181" t="e">
        <f>SUM(Детализация!#REF!)</f>
        <v>#REF!</v>
      </c>
      <c r="M39" s="182" t="e">
        <f>SUM(Детализация!#REF!)</f>
        <v>#REF!</v>
      </c>
      <c r="N39" s="204" t="e">
        <f>SUM(K39:M39)</f>
        <v>#REF!</v>
      </c>
      <c r="O39" s="192" t="e">
        <f>SUM(Детализация!#REF!)</f>
        <v>#REF!</v>
      </c>
      <c r="P39" s="193" t="e">
        <f>SUM(Детализация!#REF!)</f>
        <v>#REF!</v>
      </c>
      <c r="Q39" s="194" t="e">
        <f>SUM(Детализация!#REF!)</f>
        <v>#REF!</v>
      </c>
      <c r="R39" s="204" t="e">
        <f>SUM(O39:Q39)</f>
        <v>#REF!</v>
      </c>
      <c r="S39" s="208" t="e">
        <f>SUM(F39,J39,N39,R39)</f>
        <v>#REF!</v>
      </c>
    </row>
    <row r="40" spans="1:19" ht="15.75" thickBot="1" x14ac:dyDescent="0.3">
      <c r="A40" s="845"/>
      <c r="B40" s="111" t="s">
        <v>158</v>
      </c>
      <c r="C40" s="159">
        <f>SUM(C38:C39)</f>
        <v>0</v>
      </c>
      <c r="D40" s="160">
        <f t="shared" ref="D40:S40" si="11">SUM(D38:D39)</f>
        <v>0</v>
      </c>
      <c r="E40" s="161">
        <f t="shared" si="11"/>
        <v>0</v>
      </c>
      <c r="F40" s="205">
        <f t="shared" si="11"/>
        <v>0</v>
      </c>
      <c r="G40" s="171">
        <f t="shared" si="11"/>
        <v>0</v>
      </c>
      <c r="H40" s="172">
        <f t="shared" si="11"/>
        <v>0</v>
      </c>
      <c r="I40" s="173">
        <f t="shared" si="11"/>
        <v>0</v>
      </c>
      <c r="J40" s="205">
        <f t="shared" si="11"/>
        <v>0</v>
      </c>
      <c r="K40" s="183">
        <f t="shared" si="11"/>
        <v>0</v>
      </c>
      <c r="L40" s="184" t="e">
        <f t="shared" si="11"/>
        <v>#REF!</v>
      </c>
      <c r="M40" s="185" t="e">
        <f t="shared" si="11"/>
        <v>#REF!</v>
      </c>
      <c r="N40" s="205" t="e">
        <f t="shared" si="11"/>
        <v>#REF!</v>
      </c>
      <c r="O40" s="195" t="e">
        <f t="shared" si="11"/>
        <v>#REF!</v>
      </c>
      <c r="P40" s="196" t="e">
        <f t="shared" si="11"/>
        <v>#REF!</v>
      </c>
      <c r="Q40" s="197" t="e">
        <f t="shared" si="11"/>
        <v>#REF!</v>
      </c>
      <c r="R40" s="205" t="e">
        <f t="shared" si="11"/>
        <v>#REF!</v>
      </c>
      <c r="S40" s="209" t="e">
        <f t="shared" si="11"/>
        <v>#REF!</v>
      </c>
    </row>
    <row r="41" spans="1:19" x14ac:dyDescent="0.25">
      <c r="A41" s="843" t="s">
        <v>258</v>
      </c>
      <c r="B41" s="44"/>
      <c r="C41" s="322"/>
      <c r="D41" s="323"/>
      <c r="E41" s="324"/>
      <c r="F41" s="325">
        <f>SUM(C41:E41)</f>
        <v>0</v>
      </c>
      <c r="G41" s="326"/>
      <c r="H41" s="327"/>
      <c r="I41" s="328"/>
      <c r="J41" s="325">
        <f>SUM(G41:I41)</f>
        <v>0</v>
      </c>
      <c r="K41" s="329"/>
      <c r="L41" s="330" t="e">
        <f>SUM(Детализация!#REF!)</f>
        <v>#REF!</v>
      </c>
      <c r="M41" s="331" t="e">
        <f>SUM(Детализация!#REF!)</f>
        <v>#REF!</v>
      </c>
      <c r="N41" s="325" t="e">
        <f>SUM(K41:M41)</f>
        <v>#REF!</v>
      </c>
      <c r="O41" s="332" t="e">
        <f>SUM(Детализация!#REF!)</f>
        <v>#REF!</v>
      </c>
      <c r="P41" s="333" t="e">
        <f>SUM(Детализация!#REF!)</f>
        <v>#REF!</v>
      </c>
      <c r="Q41" s="334" t="e">
        <f>SUM(Детализация!#REF!)</f>
        <v>#REF!</v>
      </c>
      <c r="R41" s="325" t="e">
        <f>SUM(O41:Q41)</f>
        <v>#REF!</v>
      </c>
      <c r="S41" s="335" t="e">
        <f>SUM(F41,J41,N41,R41)</f>
        <v>#REF!</v>
      </c>
    </row>
    <row r="42" spans="1:19" ht="15.75" thickBot="1" x14ac:dyDescent="0.3">
      <c r="A42" s="844"/>
      <c r="B42" s="74"/>
      <c r="C42" s="156"/>
      <c r="D42" s="157"/>
      <c r="E42" s="158"/>
      <c r="F42" s="204">
        <f>SUM(C42:E42)</f>
        <v>0</v>
      </c>
      <c r="G42" s="168"/>
      <c r="H42" s="169"/>
      <c r="I42" s="170"/>
      <c r="J42" s="204">
        <f>SUM(G42:I42)</f>
        <v>0</v>
      </c>
      <c r="K42" s="180"/>
      <c r="L42" s="181" t="e">
        <f>SUM(Детализация!#REF!)</f>
        <v>#REF!</v>
      </c>
      <c r="M42" s="182" t="e">
        <f>SUM(Детализация!#REF!)</f>
        <v>#REF!</v>
      </c>
      <c r="N42" s="204" t="e">
        <f>SUM(K42:M42)</f>
        <v>#REF!</v>
      </c>
      <c r="O42" s="192" t="e">
        <f>SUM(Детализация!#REF!)</f>
        <v>#REF!</v>
      </c>
      <c r="P42" s="193" t="e">
        <f>SUM(Детализация!#REF!)</f>
        <v>#REF!</v>
      </c>
      <c r="Q42" s="194" t="e">
        <f>SUM(Детализация!#REF!)</f>
        <v>#REF!</v>
      </c>
      <c r="R42" s="204" t="e">
        <f>SUM(O42:Q42)</f>
        <v>#REF!</v>
      </c>
      <c r="S42" s="208" t="e">
        <f>SUM(F42,J42,N42,R42)</f>
        <v>#REF!</v>
      </c>
    </row>
    <row r="43" spans="1:19" ht="15.75" thickBot="1" x14ac:dyDescent="0.3">
      <c r="A43" s="845"/>
      <c r="B43" s="111" t="s">
        <v>158</v>
      </c>
      <c r="C43" s="159">
        <f>SUM(C41:C42)</f>
        <v>0</v>
      </c>
      <c r="D43" s="160">
        <f t="shared" ref="D43:S43" si="12">SUM(D41:D42)</f>
        <v>0</v>
      </c>
      <c r="E43" s="161">
        <f t="shared" si="12"/>
        <v>0</v>
      </c>
      <c r="F43" s="205">
        <f t="shared" si="12"/>
        <v>0</v>
      </c>
      <c r="G43" s="171">
        <f t="shared" si="12"/>
        <v>0</v>
      </c>
      <c r="H43" s="172">
        <f t="shared" si="12"/>
        <v>0</v>
      </c>
      <c r="I43" s="173">
        <f t="shared" si="12"/>
        <v>0</v>
      </c>
      <c r="J43" s="205">
        <f t="shared" si="12"/>
        <v>0</v>
      </c>
      <c r="K43" s="183">
        <f t="shared" si="12"/>
        <v>0</v>
      </c>
      <c r="L43" s="184" t="e">
        <f t="shared" si="12"/>
        <v>#REF!</v>
      </c>
      <c r="M43" s="185" t="e">
        <f t="shared" si="12"/>
        <v>#REF!</v>
      </c>
      <c r="N43" s="205" t="e">
        <f t="shared" si="12"/>
        <v>#REF!</v>
      </c>
      <c r="O43" s="195" t="e">
        <f t="shared" si="12"/>
        <v>#REF!</v>
      </c>
      <c r="P43" s="196" t="e">
        <f t="shared" si="12"/>
        <v>#REF!</v>
      </c>
      <c r="Q43" s="197" t="e">
        <f t="shared" si="12"/>
        <v>#REF!</v>
      </c>
      <c r="R43" s="205" t="e">
        <f t="shared" si="12"/>
        <v>#REF!</v>
      </c>
      <c r="S43" s="209" t="e">
        <f t="shared" si="12"/>
        <v>#REF!</v>
      </c>
    </row>
    <row r="44" spans="1:19" x14ac:dyDescent="0.25">
      <c r="A44" s="843" t="s">
        <v>259</v>
      </c>
      <c r="B44" s="44"/>
      <c r="C44" s="322"/>
      <c r="D44" s="323"/>
      <c r="E44" s="324"/>
      <c r="F44" s="325">
        <f>SUM(C44:E44)</f>
        <v>0</v>
      </c>
      <c r="G44" s="326"/>
      <c r="H44" s="327"/>
      <c r="I44" s="328"/>
      <c r="J44" s="325">
        <f>SUM(G44:I44)</f>
        <v>0</v>
      </c>
      <c r="K44" s="329"/>
      <c r="L44" s="330" t="e">
        <f>SUM(Детализация!#REF!)</f>
        <v>#REF!</v>
      </c>
      <c r="M44" s="331" t="e">
        <f>SUM(Детализация!#REF!)</f>
        <v>#REF!</v>
      </c>
      <c r="N44" s="325" t="e">
        <f>SUM(K44:M44)</f>
        <v>#REF!</v>
      </c>
      <c r="O44" s="332" t="e">
        <f>SUM(Детализация!#REF!)</f>
        <v>#REF!</v>
      </c>
      <c r="P44" s="333" t="e">
        <f>SUM(Детализация!#REF!)</f>
        <v>#REF!</v>
      </c>
      <c r="Q44" s="334" t="e">
        <f>SUM(Детализация!#REF!)</f>
        <v>#REF!</v>
      </c>
      <c r="R44" s="325" t="e">
        <f>SUM(O44:Q44)</f>
        <v>#REF!</v>
      </c>
      <c r="S44" s="335" t="e">
        <f>SUM(F44,J44,N44,R44)</f>
        <v>#REF!</v>
      </c>
    </row>
    <row r="45" spans="1:19" ht="15.75" thickBot="1" x14ac:dyDescent="0.3">
      <c r="A45" s="844"/>
      <c r="B45" s="74"/>
      <c r="C45" s="156"/>
      <c r="D45" s="157"/>
      <c r="E45" s="158"/>
      <c r="F45" s="204">
        <f>SUM(C45:E45)</f>
        <v>0</v>
      </c>
      <c r="G45" s="168"/>
      <c r="H45" s="169"/>
      <c r="I45" s="170"/>
      <c r="J45" s="204">
        <f>SUM(G45:I45)</f>
        <v>0</v>
      </c>
      <c r="K45" s="180"/>
      <c r="L45" s="181" t="e">
        <f>SUM(Детализация!#REF!)</f>
        <v>#REF!</v>
      </c>
      <c r="M45" s="182" t="e">
        <f>SUM(Детализация!#REF!)</f>
        <v>#REF!</v>
      </c>
      <c r="N45" s="204" t="e">
        <f>SUM(K45:M45)</f>
        <v>#REF!</v>
      </c>
      <c r="O45" s="192" t="e">
        <f>SUM(Детализация!#REF!)</f>
        <v>#REF!</v>
      </c>
      <c r="P45" s="193" t="e">
        <f>SUM(Детализация!#REF!)</f>
        <v>#REF!</v>
      </c>
      <c r="Q45" s="194" t="e">
        <f>SUM(Детализация!#REF!)</f>
        <v>#REF!</v>
      </c>
      <c r="R45" s="204" t="e">
        <f>SUM(O45:Q45)</f>
        <v>#REF!</v>
      </c>
      <c r="S45" s="208" t="e">
        <f>SUM(F45,J45,N45,R45)</f>
        <v>#REF!</v>
      </c>
    </row>
    <row r="46" spans="1:19" ht="15.75" thickBot="1" x14ac:dyDescent="0.3">
      <c r="A46" s="845"/>
      <c r="B46" s="111" t="s">
        <v>158</v>
      </c>
      <c r="C46" s="159">
        <f>SUM(C44:C45)</f>
        <v>0</v>
      </c>
      <c r="D46" s="160">
        <f t="shared" ref="D46:S46" si="13">SUM(D44:D45)</f>
        <v>0</v>
      </c>
      <c r="E46" s="161">
        <f t="shared" si="13"/>
        <v>0</v>
      </c>
      <c r="F46" s="205">
        <f t="shared" si="13"/>
        <v>0</v>
      </c>
      <c r="G46" s="171">
        <f t="shared" si="13"/>
        <v>0</v>
      </c>
      <c r="H46" s="172">
        <f t="shared" si="13"/>
        <v>0</v>
      </c>
      <c r="I46" s="173">
        <f t="shared" si="13"/>
        <v>0</v>
      </c>
      <c r="J46" s="205">
        <f t="shared" si="13"/>
        <v>0</v>
      </c>
      <c r="K46" s="183">
        <f t="shared" si="13"/>
        <v>0</v>
      </c>
      <c r="L46" s="184" t="e">
        <f t="shared" si="13"/>
        <v>#REF!</v>
      </c>
      <c r="M46" s="185" t="e">
        <f t="shared" si="13"/>
        <v>#REF!</v>
      </c>
      <c r="N46" s="205" t="e">
        <f t="shared" si="13"/>
        <v>#REF!</v>
      </c>
      <c r="O46" s="195" t="e">
        <f t="shared" si="13"/>
        <v>#REF!</v>
      </c>
      <c r="P46" s="196" t="e">
        <f t="shared" si="13"/>
        <v>#REF!</v>
      </c>
      <c r="Q46" s="197" t="e">
        <f t="shared" si="13"/>
        <v>#REF!</v>
      </c>
      <c r="R46" s="205" t="e">
        <f t="shared" si="13"/>
        <v>#REF!</v>
      </c>
      <c r="S46" s="209" t="e">
        <f t="shared" si="13"/>
        <v>#REF!</v>
      </c>
    </row>
    <row r="47" spans="1:19" x14ac:dyDescent="0.25">
      <c r="A47" s="843" t="s">
        <v>74</v>
      </c>
      <c r="B47" s="44"/>
      <c r="C47" s="322"/>
      <c r="D47" s="323"/>
      <c r="E47" s="324"/>
      <c r="F47" s="325">
        <f>SUM(C47:E47)</f>
        <v>0</v>
      </c>
      <c r="G47" s="326"/>
      <c r="H47" s="327"/>
      <c r="I47" s="328"/>
      <c r="J47" s="325">
        <f>SUM(G47:I47)</f>
        <v>0</v>
      </c>
      <c r="K47" s="329"/>
      <c r="L47" s="330" t="e">
        <f>SUM(Детализация!#REF!)</f>
        <v>#REF!</v>
      </c>
      <c r="M47" s="331" t="e">
        <f>SUM(Детализация!#REF!)</f>
        <v>#REF!</v>
      </c>
      <c r="N47" s="325" t="e">
        <f>SUM(K47:M47)</f>
        <v>#REF!</v>
      </c>
      <c r="O47" s="332" t="e">
        <f>SUM(Детализация!#REF!)</f>
        <v>#REF!</v>
      </c>
      <c r="P47" s="333" t="e">
        <f>SUM(Детализация!#REF!)</f>
        <v>#REF!</v>
      </c>
      <c r="Q47" s="334" t="e">
        <f>SUM(Детализация!#REF!)</f>
        <v>#REF!</v>
      </c>
      <c r="R47" s="325" t="e">
        <f>SUM(O47:Q47)</f>
        <v>#REF!</v>
      </c>
      <c r="S47" s="335" t="e">
        <f>SUM(F47,J47,N47,R47)</f>
        <v>#REF!</v>
      </c>
    </row>
    <row r="48" spans="1:19" ht="15.75" thickBot="1" x14ac:dyDescent="0.3">
      <c r="A48" s="844"/>
      <c r="B48" s="74"/>
      <c r="C48" s="156"/>
      <c r="D48" s="157"/>
      <c r="E48" s="158"/>
      <c r="F48" s="204">
        <f>SUM(C48:E48)</f>
        <v>0</v>
      </c>
      <c r="G48" s="168"/>
      <c r="H48" s="169"/>
      <c r="I48" s="170"/>
      <c r="J48" s="204">
        <f>SUM(G48:I48)</f>
        <v>0</v>
      </c>
      <c r="K48" s="180"/>
      <c r="L48" s="181" t="e">
        <f>SUM(Детализация!#REF!)</f>
        <v>#REF!</v>
      </c>
      <c r="M48" s="182" t="e">
        <f>SUM(Детализация!#REF!)</f>
        <v>#REF!</v>
      </c>
      <c r="N48" s="204" t="e">
        <f>SUM(K48:M48)</f>
        <v>#REF!</v>
      </c>
      <c r="O48" s="192" t="e">
        <f>SUM(Детализация!#REF!)</f>
        <v>#REF!</v>
      </c>
      <c r="P48" s="193" t="e">
        <f>SUM(Детализация!#REF!)</f>
        <v>#REF!</v>
      </c>
      <c r="Q48" s="194" t="e">
        <f>SUM(Детализация!#REF!)</f>
        <v>#REF!</v>
      </c>
      <c r="R48" s="204" t="e">
        <f>SUM(O48:Q48)</f>
        <v>#REF!</v>
      </c>
      <c r="S48" s="208" t="e">
        <f>SUM(F48,J48,N48,R48)</f>
        <v>#REF!</v>
      </c>
    </row>
    <row r="49" spans="1:19" ht="15.75" thickBot="1" x14ac:dyDescent="0.3">
      <c r="A49" s="845"/>
      <c r="B49" s="111" t="s">
        <v>158</v>
      </c>
      <c r="C49" s="159">
        <f>SUM(C47:C48)</f>
        <v>0</v>
      </c>
      <c r="D49" s="160">
        <f t="shared" ref="D49:S49" si="14">SUM(D47:D48)</f>
        <v>0</v>
      </c>
      <c r="E49" s="161">
        <f t="shared" si="14"/>
        <v>0</v>
      </c>
      <c r="F49" s="205">
        <f t="shared" si="14"/>
        <v>0</v>
      </c>
      <c r="G49" s="171">
        <f t="shared" si="14"/>
        <v>0</v>
      </c>
      <c r="H49" s="172">
        <f t="shared" si="14"/>
        <v>0</v>
      </c>
      <c r="I49" s="173">
        <f t="shared" si="14"/>
        <v>0</v>
      </c>
      <c r="J49" s="205">
        <f t="shared" si="14"/>
        <v>0</v>
      </c>
      <c r="K49" s="183">
        <f t="shared" si="14"/>
        <v>0</v>
      </c>
      <c r="L49" s="184" t="e">
        <f t="shared" si="14"/>
        <v>#REF!</v>
      </c>
      <c r="M49" s="185" t="e">
        <f t="shared" si="14"/>
        <v>#REF!</v>
      </c>
      <c r="N49" s="205" t="e">
        <f t="shared" si="14"/>
        <v>#REF!</v>
      </c>
      <c r="O49" s="195" t="e">
        <f t="shared" si="14"/>
        <v>#REF!</v>
      </c>
      <c r="P49" s="196" t="e">
        <f t="shared" si="14"/>
        <v>#REF!</v>
      </c>
      <c r="Q49" s="197" t="e">
        <f t="shared" si="14"/>
        <v>#REF!</v>
      </c>
      <c r="R49" s="205" t="e">
        <f t="shared" si="14"/>
        <v>#REF!</v>
      </c>
      <c r="S49" s="209" t="e">
        <f t="shared" si="14"/>
        <v>#REF!</v>
      </c>
    </row>
    <row r="50" spans="1:19" x14ac:dyDescent="0.25">
      <c r="A50" s="843" t="s">
        <v>86</v>
      </c>
      <c r="B50" s="44"/>
      <c r="C50" s="322"/>
      <c r="D50" s="323"/>
      <c r="E50" s="324"/>
      <c r="F50" s="325">
        <f>SUM(C50:E50)</f>
        <v>0</v>
      </c>
      <c r="G50" s="326"/>
      <c r="H50" s="327"/>
      <c r="I50" s="328"/>
      <c r="J50" s="325">
        <f>SUM(G50:I50)</f>
        <v>0</v>
      </c>
      <c r="K50" s="329"/>
      <c r="L50" s="330" t="e">
        <f>SUM(Детализация!#REF!)</f>
        <v>#REF!</v>
      </c>
      <c r="M50" s="331" t="e">
        <f>SUM(Детализация!#REF!)</f>
        <v>#REF!</v>
      </c>
      <c r="N50" s="325" t="e">
        <f>SUM(K50:M50)</f>
        <v>#REF!</v>
      </c>
      <c r="O50" s="332" t="e">
        <f>SUM(Детализация!#REF!)</f>
        <v>#REF!</v>
      </c>
      <c r="P50" s="333" t="e">
        <f>SUM(Детализация!#REF!)</f>
        <v>#REF!</v>
      </c>
      <c r="Q50" s="334" t="e">
        <f>SUM(Детализация!#REF!)</f>
        <v>#REF!</v>
      </c>
      <c r="R50" s="325" t="e">
        <f>SUM(O50:Q50)</f>
        <v>#REF!</v>
      </c>
      <c r="S50" s="335" t="e">
        <f>SUM(F50,J50,N50,R50)</f>
        <v>#REF!</v>
      </c>
    </row>
    <row r="51" spans="1:19" ht="15.75" thickBot="1" x14ac:dyDescent="0.3">
      <c r="A51" s="844"/>
      <c r="B51" s="74"/>
      <c r="C51" s="156"/>
      <c r="D51" s="157"/>
      <c r="E51" s="158"/>
      <c r="F51" s="204">
        <f>SUM(C51:E51)</f>
        <v>0</v>
      </c>
      <c r="G51" s="168"/>
      <c r="H51" s="169"/>
      <c r="I51" s="170"/>
      <c r="J51" s="204">
        <f>SUM(G51:I51)</f>
        <v>0</v>
      </c>
      <c r="K51" s="180"/>
      <c r="L51" s="181" t="e">
        <f>SUM(Детализация!#REF!)</f>
        <v>#REF!</v>
      </c>
      <c r="M51" s="182" t="e">
        <f>SUM(Детализация!#REF!)</f>
        <v>#REF!</v>
      </c>
      <c r="N51" s="204" t="e">
        <f>SUM(K51:M51)</f>
        <v>#REF!</v>
      </c>
      <c r="O51" s="192" t="e">
        <f>SUM(Детализация!#REF!)</f>
        <v>#REF!</v>
      </c>
      <c r="P51" s="193" t="e">
        <f>SUM(Детализация!#REF!)</f>
        <v>#REF!</v>
      </c>
      <c r="Q51" s="194" t="e">
        <f>SUM(Детализация!#REF!)</f>
        <v>#REF!</v>
      </c>
      <c r="R51" s="204" t="e">
        <f>SUM(O51:Q51)</f>
        <v>#REF!</v>
      </c>
      <c r="S51" s="208" t="e">
        <f>SUM(F51,J51,N51,R51)</f>
        <v>#REF!</v>
      </c>
    </row>
    <row r="52" spans="1:19" ht="15.75" thickBot="1" x14ac:dyDescent="0.3">
      <c r="A52" s="845"/>
      <c r="B52" s="111" t="s">
        <v>158</v>
      </c>
      <c r="C52" s="159">
        <f>SUM(C50:C51)</f>
        <v>0</v>
      </c>
      <c r="D52" s="160">
        <f t="shared" ref="D52:S52" si="15">SUM(D50:D51)</f>
        <v>0</v>
      </c>
      <c r="E52" s="161">
        <f t="shared" si="15"/>
        <v>0</v>
      </c>
      <c r="F52" s="205">
        <f t="shared" si="15"/>
        <v>0</v>
      </c>
      <c r="G52" s="171">
        <f t="shared" si="15"/>
        <v>0</v>
      </c>
      <c r="H52" s="172">
        <f t="shared" si="15"/>
        <v>0</v>
      </c>
      <c r="I52" s="173">
        <f t="shared" si="15"/>
        <v>0</v>
      </c>
      <c r="J52" s="205">
        <f t="shared" si="15"/>
        <v>0</v>
      </c>
      <c r="K52" s="183">
        <f t="shared" si="15"/>
        <v>0</v>
      </c>
      <c r="L52" s="184" t="e">
        <f t="shared" si="15"/>
        <v>#REF!</v>
      </c>
      <c r="M52" s="185" t="e">
        <f t="shared" si="15"/>
        <v>#REF!</v>
      </c>
      <c r="N52" s="205" t="e">
        <f t="shared" si="15"/>
        <v>#REF!</v>
      </c>
      <c r="O52" s="195" t="e">
        <f t="shared" si="15"/>
        <v>#REF!</v>
      </c>
      <c r="P52" s="196" t="e">
        <f t="shared" si="15"/>
        <v>#REF!</v>
      </c>
      <c r="Q52" s="197" t="e">
        <f t="shared" si="15"/>
        <v>#REF!</v>
      </c>
      <c r="R52" s="205" t="e">
        <f t="shared" si="15"/>
        <v>#REF!</v>
      </c>
      <c r="S52" s="209" t="e">
        <f t="shared" si="15"/>
        <v>#REF!</v>
      </c>
    </row>
    <row r="53" spans="1:19" x14ac:dyDescent="0.25">
      <c r="A53" s="843" t="s">
        <v>260</v>
      </c>
      <c r="B53" s="44"/>
      <c r="C53" s="322"/>
      <c r="D53" s="323"/>
      <c r="E53" s="324"/>
      <c r="F53" s="325">
        <f>SUM(C53:E53)</f>
        <v>0</v>
      </c>
      <c r="G53" s="326"/>
      <c r="H53" s="327"/>
      <c r="I53" s="328"/>
      <c r="J53" s="325">
        <f>SUM(G53:I53)</f>
        <v>0</v>
      </c>
      <c r="K53" s="329"/>
      <c r="L53" s="330" t="e">
        <f>SUM(Детализация!#REF!)</f>
        <v>#REF!</v>
      </c>
      <c r="M53" s="331" t="e">
        <f>SUM(Детализация!#REF!)</f>
        <v>#REF!</v>
      </c>
      <c r="N53" s="325" t="e">
        <f>SUM(K53:M53)</f>
        <v>#REF!</v>
      </c>
      <c r="O53" s="332" t="e">
        <f>SUM(Детализация!#REF!)</f>
        <v>#REF!</v>
      </c>
      <c r="P53" s="333" t="e">
        <f>SUM(Детализация!#REF!)</f>
        <v>#REF!</v>
      </c>
      <c r="Q53" s="334" t="e">
        <f>SUM(Детализация!#REF!)</f>
        <v>#REF!</v>
      </c>
      <c r="R53" s="325" t="e">
        <f>SUM(O53:Q53)</f>
        <v>#REF!</v>
      </c>
      <c r="S53" s="335" t="e">
        <f>SUM(F53,J53,N53,R53)</f>
        <v>#REF!</v>
      </c>
    </row>
    <row r="54" spans="1:19" ht="15.75" thickBot="1" x14ac:dyDescent="0.3">
      <c r="A54" s="844"/>
      <c r="B54" s="74"/>
      <c r="C54" s="156"/>
      <c r="D54" s="157"/>
      <c r="E54" s="158"/>
      <c r="F54" s="204">
        <f>SUM(C54:E54)</f>
        <v>0</v>
      </c>
      <c r="G54" s="168"/>
      <c r="H54" s="169"/>
      <c r="I54" s="170"/>
      <c r="J54" s="204">
        <f>SUM(G54:I54)</f>
        <v>0</v>
      </c>
      <c r="K54" s="180"/>
      <c r="L54" s="181" t="e">
        <f>SUM(Детализация!#REF!)</f>
        <v>#REF!</v>
      </c>
      <c r="M54" s="182" t="e">
        <f>SUM(Детализация!#REF!)</f>
        <v>#REF!</v>
      </c>
      <c r="N54" s="204" t="e">
        <f>SUM(K54:M54)</f>
        <v>#REF!</v>
      </c>
      <c r="O54" s="192" t="e">
        <f>SUM(Детализация!#REF!)</f>
        <v>#REF!</v>
      </c>
      <c r="P54" s="193" t="e">
        <f>SUM(Детализация!#REF!)</f>
        <v>#REF!</v>
      </c>
      <c r="Q54" s="194" t="e">
        <f>SUM(Детализация!#REF!)</f>
        <v>#REF!</v>
      </c>
      <c r="R54" s="204" t="e">
        <f>SUM(O54:Q54)</f>
        <v>#REF!</v>
      </c>
      <c r="S54" s="208" t="e">
        <f>SUM(F54,J54,N54,R54)</f>
        <v>#REF!</v>
      </c>
    </row>
    <row r="55" spans="1:19" ht="15.75" thickBot="1" x14ac:dyDescent="0.3">
      <c r="A55" s="845"/>
      <c r="B55" s="111" t="s">
        <v>158</v>
      </c>
      <c r="C55" s="159">
        <f>SUM(C53:C54)</f>
        <v>0</v>
      </c>
      <c r="D55" s="160">
        <f t="shared" ref="D55:S55" si="16">SUM(D53:D54)</f>
        <v>0</v>
      </c>
      <c r="E55" s="161">
        <f t="shared" si="16"/>
        <v>0</v>
      </c>
      <c r="F55" s="205">
        <f t="shared" si="16"/>
        <v>0</v>
      </c>
      <c r="G55" s="171">
        <f t="shared" si="16"/>
        <v>0</v>
      </c>
      <c r="H55" s="172">
        <f t="shared" si="16"/>
        <v>0</v>
      </c>
      <c r="I55" s="173">
        <f t="shared" si="16"/>
        <v>0</v>
      </c>
      <c r="J55" s="205">
        <f t="shared" si="16"/>
        <v>0</v>
      </c>
      <c r="K55" s="183">
        <f t="shared" si="16"/>
        <v>0</v>
      </c>
      <c r="L55" s="184" t="e">
        <f t="shared" si="16"/>
        <v>#REF!</v>
      </c>
      <c r="M55" s="185" t="e">
        <f t="shared" si="16"/>
        <v>#REF!</v>
      </c>
      <c r="N55" s="205" t="e">
        <f t="shared" si="16"/>
        <v>#REF!</v>
      </c>
      <c r="O55" s="195" t="e">
        <f t="shared" si="16"/>
        <v>#REF!</v>
      </c>
      <c r="P55" s="196" t="e">
        <f t="shared" si="16"/>
        <v>#REF!</v>
      </c>
      <c r="Q55" s="197" t="e">
        <f t="shared" si="16"/>
        <v>#REF!</v>
      </c>
      <c r="R55" s="205" t="e">
        <f t="shared" si="16"/>
        <v>#REF!</v>
      </c>
      <c r="S55" s="209" t="e">
        <f t="shared" si="16"/>
        <v>#REF!</v>
      </c>
    </row>
    <row r="56" spans="1:19" x14ac:dyDescent="0.25">
      <c r="A56" s="843" t="s">
        <v>261</v>
      </c>
      <c r="B56" s="44"/>
      <c r="C56" s="322"/>
      <c r="D56" s="323"/>
      <c r="E56" s="324"/>
      <c r="F56" s="325">
        <f>SUM(C56:E56)</f>
        <v>0</v>
      </c>
      <c r="G56" s="326"/>
      <c r="H56" s="327"/>
      <c r="I56" s="328"/>
      <c r="J56" s="325">
        <f>SUM(G56:I56)</f>
        <v>0</v>
      </c>
      <c r="K56" s="329"/>
      <c r="L56" s="330" t="e">
        <f>SUM(Детализация!#REF!)</f>
        <v>#REF!</v>
      </c>
      <c r="M56" s="331" t="e">
        <f>SUM(Детализация!#REF!)</f>
        <v>#REF!</v>
      </c>
      <c r="N56" s="325" t="e">
        <f>SUM(K56:M56)</f>
        <v>#REF!</v>
      </c>
      <c r="O56" s="332" t="e">
        <f>SUM(Детализация!#REF!)</f>
        <v>#REF!</v>
      </c>
      <c r="P56" s="333" t="e">
        <f>SUM(Детализация!#REF!)</f>
        <v>#REF!</v>
      </c>
      <c r="Q56" s="334" t="e">
        <f>SUM(Детализация!#REF!)</f>
        <v>#REF!</v>
      </c>
      <c r="R56" s="325" t="e">
        <f>SUM(O56:Q56)</f>
        <v>#REF!</v>
      </c>
      <c r="S56" s="335" t="e">
        <f>SUM(F56,J56,N56,R56)</f>
        <v>#REF!</v>
      </c>
    </row>
    <row r="57" spans="1:19" ht="15.75" thickBot="1" x14ac:dyDescent="0.3">
      <c r="A57" s="844"/>
      <c r="B57" s="74"/>
      <c r="C57" s="156"/>
      <c r="D57" s="157"/>
      <c r="E57" s="158"/>
      <c r="F57" s="204">
        <f>SUM(C57:E57)</f>
        <v>0</v>
      </c>
      <c r="G57" s="168"/>
      <c r="H57" s="169"/>
      <c r="I57" s="170"/>
      <c r="J57" s="204">
        <f>SUM(G57:I57)</f>
        <v>0</v>
      </c>
      <c r="K57" s="180"/>
      <c r="L57" s="181" t="e">
        <f>SUM(Детализация!#REF!)</f>
        <v>#REF!</v>
      </c>
      <c r="M57" s="182" t="e">
        <f>SUM(Детализация!#REF!)</f>
        <v>#REF!</v>
      </c>
      <c r="N57" s="204" t="e">
        <f>SUM(K57:M57)</f>
        <v>#REF!</v>
      </c>
      <c r="O57" s="192" t="e">
        <f>SUM(Детализация!#REF!)</f>
        <v>#REF!</v>
      </c>
      <c r="P57" s="193" t="e">
        <f>SUM(Детализация!#REF!)</f>
        <v>#REF!</v>
      </c>
      <c r="Q57" s="194" t="e">
        <f>SUM(Детализация!#REF!)</f>
        <v>#REF!</v>
      </c>
      <c r="R57" s="204" t="e">
        <f>SUM(O57:Q57)</f>
        <v>#REF!</v>
      </c>
      <c r="S57" s="208" t="e">
        <f>SUM(F57,J57,N57,R57)</f>
        <v>#REF!</v>
      </c>
    </row>
    <row r="58" spans="1:19" ht="15.75" thickBot="1" x14ac:dyDescent="0.3">
      <c r="A58" s="845"/>
      <c r="B58" s="111" t="s">
        <v>158</v>
      </c>
      <c r="C58" s="159">
        <f>SUM(C56:C57)</f>
        <v>0</v>
      </c>
      <c r="D58" s="160">
        <f t="shared" ref="D58:S58" si="17">SUM(D56:D57)</f>
        <v>0</v>
      </c>
      <c r="E58" s="161">
        <f t="shared" si="17"/>
        <v>0</v>
      </c>
      <c r="F58" s="205">
        <f t="shared" si="17"/>
        <v>0</v>
      </c>
      <c r="G58" s="171">
        <f t="shared" si="17"/>
        <v>0</v>
      </c>
      <c r="H58" s="172">
        <f t="shared" si="17"/>
        <v>0</v>
      </c>
      <c r="I58" s="173">
        <f t="shared" si="17"/>
        <v>0</v>
      </c>
      <c r="J58" s="205">
        <f t="shared" si="17"/>
        <v>0</v>
      </c>
      <c r="K58" s="183">
        <f t="shared" si="17"/>
        <v>0</v>
      </c>
      <c r="L58" s="184" t="e">
        <f t="shared" si="17"/>
        <v>#REF!</v>
      </c>
      <c r="M58" s="185" t="e">
        <f t="shared" si="17"/>
        <v>#REF!</v>
      </c>
      <c r="N58" s="205" t="e">
        <f t="shared" si="17"/>
        <v>#REF!</v>
      </c>
      <c r="O58" s="195" t="e">
        <f t="shared" si="17"/>
        <v>#REF!</v>
      </c>
      <c r="P58" s="196" t="e">
        <f t="shared" si="17"/>
        <v>#REF!</v>
      </c>
      <c r="Q58" s="197" t="e">
        <f t="shared" si="17"/>
        <v>#REF!</v>
      </c>
      <c r="R58" s="205" t="e">
        <f t="shared" si="17"/>
        <v>#REF!</v>
      </c>
      <c r="S58" s="209" t="e">
        <f t="shared" si="17"/>
        <v>#REF!</v>
      </c>
    </row>
    <row r="59" spans="1:19" x14ac:dyDescent="0.25">
      <c r="A59" s="843" t="s">
        <v>262</v>
      </c>
      <c r="B59" s="44"/>
      <c r="C59" s="322"/>
      <c r="D59" s="323"/>
      <c r="E59" s="324"/>
      <c r="F59" s="325">
        <f>SUM(C59:E59)</f>
        <v>0</v>
      </c>
      <c r="G59" s="326"/>
      <c r="H59" s="327"/>
      <c r="I59" s="328"/>
      <c r="J59" s="325">
        <f>SUM(G59:I59)</f>
        <v>0</v>
      </c>
      <c r="K59" s="329"/>
      <c r="L59" s="330" t="e">
        <f>SUM(Детализация!#REF!)</f>
        <v>#REF!</v>
      </c>
      <c r="M59" s="331" t="e">
        <f>SUM(Детализация!#REF!)</f>
        <v>#REF!</v>
      </c>
      <c r="N59" s="325" t="e">
        <f>SUM(K59:M59)</f>
        <v>#REF!</v>
      </c>
      <c r="O59" s="332" t="e">
        <f>SUM(Детализация!#REF!)</f>
        <v>#REF!</v>
      </c>
      <c r="P59" s="333" t="e">
        <f>SUM(Детализация!#REF!)</f>
        <v>#REF!</v>
      </c>
      <c r="Q59" s="334" t="e">
        <f>SUM(Детализация!#REF!)</f>
        <v>#REF!</v>
      </c>
      <c r="R59" s="325" t="e">
        <f>SUM(O59:Q59)</f>
        <v>#REF!</v>
      </c>
      <c r="S59" s="335" t="e">
        <f>SUM(F59,J59,N59,R59)</f>
        <v>#REF!</v>
      </c>
    </row>
    <row r="60" spans="1:19" ht="15.75" thickBot="1" x14ac:dyDescent="0.3">
      <c r="A60" s="844"/>
      <c r="B60" s="74"/>
      <c r="C60" s="156"/>
      <c r="D60" s="157"/>
      <c r="E60" s="158"/>
      <c r="F60" s="204">
        <f>SUM(C60:E60)</f>
        <v>0</v>
      </c>
      <c r="G60" s="168"/>
      <c r="H60" s="169"/>
      <c r="I60" s="170"/>
      <c r="J60" s="204">
        <f>SUM(G60:I60)</f>
        <v>0</v>
      </c>
      <c r="K60" s="180"/>
      <c r="L60" s="181" t="e">
        <f>SUM(Детализация!#REF!)</f>
        <v>#REF!</v>
      </c>
      <c r="M60" s="182" t="e">
        <f>SUM(Детализация!#REF!)</f>
        <v>#REF!</v>
      </c>
      <c r="N60" s="204" t="e">
        <f>SUM(K60:M60)</f>
        <v>#REF!</v>
      </c>
      <c r="O60" s="192" t="e">
        <f>SUM(Детализация!#REF!)</f>
        <v>#REF!</v>
      </c>
      <c r="P60" s="193" t="e">
        <f>SUM(Детализация!#REF!)</f>
        <v>#REF!</v>
      </c>
      <c r="Q60" s="194" t="e">
        <f>SUM(Детализация!#REF!)</f>
        <v>#REF!</v>
      </c>
      <c r="R60" s="204" t="e">
        <f>SUM(O60:Q60)</f>
        <v>#REF!</v>
      </c>
      <c r="S60" s="208" t="e">
        <f>SUM(F60,J60,N60,R60)</f>
        <v>#REF!</v>
      </c>
    </row>
    <row r="61" spans="1:19" ht="15.75" thickBot="1" x14ac:dyDescent="0.3">
      <c r="A61" s="845"/>
      <c r="B61" s="111" t="s">
        <v>158</v>
      </c>
      <c r="C61" s="159">
        <f>SUM(C59:C60)</f>
        <v>0</v>
      </c>
      <c r="D61" s="160">
        <f t="shared" ref="D61:S61" si="18">SUM(D59:D60)</f>
        <v>0</v>
      </c>
      <c r="E61" s="161">
        <f t="shared" si="18"/>
        <v>0</v>
      </c>
      <c r="F61" s="205">
        <f t="shared" si="18"/>
        <v>0</v>
      </c>
      <c r="G61" s="171">
        <f t="shared" si="18"/>
        <v>0</v>
      </c>
      <c r="H61" s="172">
        <f t="shared" si="18"/>
        <v>0</v>
      </c>
      <c r="I61" s="173">
        <f t="shared" si="18"/>
        <v>0</v>
      </c>
      <c r="J61" s="205">
        <f t="shared" si="18"/>
        <v>0</v>
      </c>
      <c r="K61" s="183">
        <f t="shared" si="18"/>
        <v>0</v>
      </c>
      <c r="L61" s="184" t="e">
        <f t="shared" si="18"/>
        <v>#REF!</v>
      </c>
      <c r="M61" s="185" t="e">
        <f t="shared" si="18"/>
        <v>#REF!</v>
      </c>
      <c r="N61" s="205" t="e">
        <f t="shared" si="18"/>
        <v>#REF!</v>
      </c>
      <c r="O61" s="195" t="e">
        <f t="shared" si="18"/>
        <v>#REF!</v>
      </c>
      <c r="P61" s="196" t="e">
        <f t="shared" si="18"/>
        <v>#REF!</v>
      </c>
      <c r="Q61" s="197" t="e">
        <f t="shared" si="18"/>
        <v>#REF!</v>
      </c>
      <c r="R61" s="205" t="e">
        <f t="shared" si="18"/>
        <v>#REF!</v>
      </c>
      <c r="S61" s="209" t="e">
        <f t="shared" si="18"/>
        <v>#REF!</v>
      </c>
    </row>
    <row r="62" spans="1:19" x14ac:dyDescent="0.25">
      <c r="A62" s="843" t="s">
        <v>263</v>
      </c>
      <c r="B62" s="44"/>
      <c r="C62" s="322"/>
      <c r="D62" s="323"/>
      <c r="E62" s="324"/>
      <c r="F62" s="325">
        <f>SUM(C62:E62)</f>
        <v>0</v>
      </c>
      <c r="G62" s="326"/>
      <c r="H62" s="327"/>
      <c r="I62" s="328"/>
      <c r="J62" s="325">
        <f>SUM(G62:I62)</f>
        <v>0</v>
      </c>
      <c r="K62" s="329"/>
      <c r="L62" s="330" t="e">
        <f>SUM(Детализация!#REF!)</f>
        <v>#REF!</v>
      </c>
      <c r="M62" s="331" t="e">
        <f>SUM(Детализация!#REF!)</f>
        <v>#REF!</v>
      </c>
      <c r="N62" s="325" t="e">
        <f>SUM(K62:M62)</f>
        <v>#REF!</v>
      </c>
      <c r="O62" s="332" t="e">
        <f>SUM(Детализация!#REF!)</f>
        <v>#REF!</v>
      </c>
      <c r="P62" s="333" t="e">
        <f>SUM(Детализация!#REF!)</f>
        <v>#REF!</v>
      </c>
      <c r="Q62" s="334" t="e">
        <f>SUM(Детализация!#REF!)</f>
        <v>#REF!</v>
      </c>
      <c r="R62" s="325" t="e">
        <f>SUM(O62:Q62)</f>
        <v>#REF!</v>
      </c>
      <c r="S62" s="335" t="e">
        <f>SUM(F62,J62,N62,R62)</f>
        <v>#REF!</v>
      </c>
    </row>
    <row r="63" spans="1:19" ht="15.75" thickBot="1" x14ac:dyDescent="0.3">
      <c r="A63" s="844"/>
      <c r="B63" s="74"/>
      <c r="C63" s="156"/>
      <c r="D63" s="157"/>
      <c r="E63" s="158"/>
      <c r="F63" s="204">
        <f>SUM(C63:E63)</f>
        <v>0</v>
      </c>
      <c r="G63" s="168"/>
      <c r="H63" s="169"/>
      <c r="I63" s="170"/>
      <c r="J63" s="204">
        <f>SUM(G63:I63)</f>
        <v>0</v>
      </c>
      <c r="K63" s="180"/>
      <c r="L63" s="181" t="e">
        <f>SUM(Детализация!#REF!)</f>
        <v>#REF!</v>
      </c>
      <c r="M63" s="182" t="e">
        <f>SUM(Детализация!#REF!)</f>
        <v>#REF!</v>
      </c>
      <c r="N63" s="204" t="e">
        <f>SUM(K63:M63)</f>
        <v>#REF!</v>
      </c>
      <c r="O63" s="192" t="e">
        <f>SUM(Детализация!#REF!)</f>
        <v>#REF!</v>
      </c>
      <c r="P63" s="193" t="e">
        <f>SUM(Детализация!#REF!)</f>
        <v>#REF!</v>
      </c>
      <c r="Q63" s="194" t="e">
        <f>SUM(Детализация!#REF!)</f>
        <v>#REF!</v>
      </c>
      <c r="R63" s="204" t="e">
        <f>SUM(O63:Q63)</f>
        <v>#REF!</v>
      </c>
      <c r="S63" s="208" t="e">
        <f>SUM(F63,J63,N63,R63)</f>
        <v>#REF!</v>
      </c>
    </row>
    <row r="64" spans="1:19" ht="15.75" thickBot="1" x14ac:dyDescent="0.3">
      <c r="A64" s="845"/>
      <c r="B64" s="111" t="s">
        <v>158</v>
      </c>
      <c r="C64" s="159">
        <f>SUM(C62:C63)</f>
        <v>0</v>
      </c>
      <c r="D64" s="160">
        <f t="shared" ref="D64:S64" si="19">SUM(D62:D63)</f>
        <v>0</v>
      </c>
      <c r="E64" s="161">
        <f t="shared" si="19"/>
        <v>0</v>
      </c>
      <c r="F64" s="205">
        <f t="shared" si="19"/>
        <v>0</v>
      </c>
      <c r="G64" s="171">
        <f t="shared" si="19"/>
        <v>0</v>
      </c>
      <c r="H64" s="172">
        <f t="shared" si="19"/>
        <v>0</v>
      </c>
      <c r="I64" s="173">
        <f t="shared" si="19"/>
        <v>0</v>
      </c>
      <c r="J64" s="205">
        <f t="shared" si="19"/>
        <v>0</v>
      </c>
      <c r="K64" s="183">
        <f t="shared" si="19"/>
        <v>0</v>
      </c>
      <c r="L64" s="184" t="e">
        <f t="shared" si="19"/>
        <v>#REF!</v>
      </c>
      <c r="M64" s="185" t="e">
        <f t="shared" si="19"/>
        <v>#REF!</v>
      </c>
      <c r="N64" s="205" t="e">
        <f t="shared" si="19"/>
        <v>#REF!</v>
      </c>
      <c r="O64" s="195" t="e">
        <f t="shared" si="19"/>
        <v>#REF!</v>
      </c>
      <c r="P64" s="196" t="e">
        <f t="shared" si="19"/>
        <v>#REF!</v>
      </c>
      <c r="Q64" s="197" t="e">
        <f t="shared" si="19"/>
        <v>#REF!</v>
      </c>
      <c r="R64" s="205" t="e">
        <f t="shared" si="19"/>
        <v>#REF!</v>
      </c>
      <c r="S64" s="209" t="e">
        <f t="shared" si="19"/>
        <v>#REF!</v>
      </c>
    </row>
  </sheetData>
  <mergeCells count="19">
    <mergeCell ref="A41:A43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2:A64"/>
    <mergeCell ref="A44:A46"/>
    <mergeCell ref="A47:A49"/>
    <mergeCell ref="A50:A52"/>
    <mergeCell ref="A53:A55"/>
    <mergeCell ref="A56:A58"/>
    <mergeCell ref="A59:A6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8"/>
  <sheetViews>
    <sheetView workbookViewId="0">
      <selection activeCell="D9" sqref="A1:D9"/>
    </sheetView>
  </sheetViews>
  <sheetFormatPr defaultRowHeight="15" x14ac:dyDescent="0.25"/>
  <cols>
    <col min="1" max="1" width="31" customWidth="1"/>
    <col min="2" max="2" width="13" customWidth="1"/>
  </cols>
  <sheetData>
    <row r="1" spans="1:3" x14ac:dyDescent="0.25">
      <c r="A1" s="259"/>
      <c r="B1" s="5"/>
      <c r="C1" s="597"/>
    </row>
    <row r="2" spans="1:3" x14ac:dyDescent="0.25">
      <c r="A2" s="15"/>
      <c r="B2" s="5"/>
      <c r="C2" s="597"/>
    </row>
    <row r="3" spans="1:3" x14ac:dyDescent="0.25">
      <c r="A3" s="80"/>
      <c r="B3" s="7"/>
      <c r="C3" s="597"/>
    </row>
    <row r="4" spans="1:3" x14ac:dyDescent="0.25">
      <c r="A4" s="15"/>
      <c r="B4" s="5"/>
      <c r="C4" s="597"/>
    </row>
    <row r="5" spans="1:3" x14ac:dyDescent="0.25">
      <c r="A5" s="11"/>
      <c r="B5" s="7"/>
      <c r="C5" s="597"/>
    </row>
    <row r="6" spans="1:3" x14ac:dyDescent="0.25">
      <c r="A6" s="23"/>
      <c r="B6" s="5"/>
      <c r="C6" s="597"/>
    </row>
    <row r="7" spans="1:3" x14ac:dyDescent="0.25">
      <c r="A7" s="15"/>
      <c r="B7" s="7"/>
      <c r="C7" s="597"/>
    </row>
    <row r="8" spans="1:3" x14ac:dyDescent="0.25">
      <c r="A8" s="10"/>
      <c r="B8" s="5"/>
      <c r="C8" s="59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Детализация</vt:lpstr>
      <vt:lpstr>Итого</vt:lpstr>
      <vt:lpstr>Лист3</vt:lpstr>
    </vt:vector>
  </TitlesOfParts>
  <Company>ООО "ЦБИ"МАСКОМ"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Бизюлев</dc:creator>
  <cp:lastModifiedBy>home</cp:lastModifiedBy>
  <cp:lastPrinted>2025-11-12T09:04:29Z</cp:lastPrinted>
  <dcterms:created xsi:type="dcterms:W3CDTF">2016-04-05T12:11:40Z</dcterms:created>
  <dcterms:modified xsi:type="dcterms:W3CDTF">2025-12-14T19:31:14Z</dcterms:modified>
</cp:coreProperties>
</file>