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ДО\КЦ\План реализации\2025\июль\"/>
    </mc:Choice>
  </mc:AlternateContent>
  <xr:revisionPtr revIDLastSave="0" documentId="13_ncr:1_{63BA34D9-D967-49DB-8FE1-638FBF5A4380}" xr6:coauthVersionLast="47" xr6:coauthVersionMax="47" xr10:uidLastSave="{00000000-0000-0000-0000-000000000000}"/>
  <bookViews>
    <workbookView xWindow="-98" yWindow="-98" windowWidth="28996" windowHeight="15796" tabRatio="589" xr2:uid="{00000000-000D-0000-FFFF-FFFF00000000}"/>
  </bookViews>
  <sheets>
    <sheet name="2025 г." sheetId="5" r:id="rId1"/>
    <sheet name="Лист2" sheetId="4" r:id="rId2"/>
    <sheet name="Лист3" sheetId="3" r:id="rId3"/>
  </sheets>
  <calcPr calcId="191029"/>
  <fileRecoveryPr autoRecover="0"/>
</workbook>
</file>

<file path=xl/calcChain.xml><?xml version="1.0" encoding="utf-8"?>
<calcChain xmlns="http://schemas.openxmlformats.org/spreadsheetml/2006/main">
  <c r="Y260" i="5" l="1"/>
  <c r="R260" i="5"/>
  <c r="K260" i="5"/>
  <c r="D260" i="5"/>
  <c r="Y259" i="5"/>
  <c r="R259" i="5"/>
  <c r="K259" i="5"/>
  <c r="D259" i="5"/>
  <c r="Y258" i="5"/>
  <c r="R258" i="5"/>
  <c r="K258" i="5"/>
  <c r="D258" i="5"/>
  <c r="Y257" i="5"/>
  <c r="R257" i="5"/>
  <c r="K257" i="5"/>
  <c r="D257" i="5"/>
  <c r="AD256" i="5"/>
  <c r="AB256" i="5"/>
  <c r="Z256" i="5"/>
  <c r="W256" i="5"/>
  <c r="U256" i="5"/>
  <c r="S256" i="5"/>
  <c r="P256" i="5"/>
  <c r="N256" i="5"/>
  <c r="L256" i="5"/>
  <c r="I256" i="5"/>
  <c r="G256" i="5"/>
  <c r="E256" i="5"/>
  <c r="AF260" i="5" l="1"/>
  <c r="AF259" i="5"/>
  <c r="AF257" i="5"/>
  <c r="Y256" i="5"/>
  <c r="AF258" i="5"/>
  <c r="K256" i="5"/>
  <c r="R256" i="5"/>
  <c r="D256" i="5"/>
  <c r="AF256" i="5" l="1"/>
  <c r="E134" i="5" l="1"/>
  <c r="E129" i="5"/>
  <c r="E124" i="5"/>
  <c r="D102" i="5" l="1"/>
  <c r="Y265" i="5" l="1"/>
  <c r="R265" i="5"/>
  <c r="K265" i="5"/>
  <c r="D265" i="5"/>
  <c r="Y264" i="5"/>
  <c r="R264" i="5"/>
  <c r="K264" i="5"/>
  <c r="D264" i="5"/>
  <c r="Y263" i="5"/>
  <c r="R263" i="5"/>
  <c r="K263" i="5"/>
  <c r="D263" i="5"/>
  <c r="Y262" i="5"/>
  <c r="R262" i="5"/>
  <c r="K262" i="5"/>
  <c r="D262" i="5"/>
  <c r="AD261" i="5"/>
  <c r="AB261" i="5"/>
  <c r="Z261" i="5"/>
  <c r="W261" i="5"/>
  <c r="U261" i="5"/>
  <c r="S261" i="5"/>
  <c r="P261" i="5"/>
  <c r="N261" i="5"/>
  <c r="L261" i="5"/>
  <c r="I261" i="5"/>
  <c r="G261" i="5"/>
  <c r="E261" i="5"/>
  <c r="G145" i="5"/>
  <c r="G129" i="5"/>
  <c r="G8" i="5"/>
  <c r="I8" i="5"/>
  <c r="W28" i="5"/>
  <c r="U28" i="5"/>
  <c r="S28" i="5"/>
  <c r="Y255" i="5"/>
  <c r="R255" i="5"/>
  <c r="K255" i="5"/>
  <c r="D255" i="5"/>
  <c r="Y254" i="5"/>
  <c r="R254" i="5"/>
  <c r="K254" i="5"/>
  <c r="D254" i="5"/>
  <c r="Y253" i="5"/>
  <c r="R253" i="5"/>
  <c r="K253" i="5"/>
  <c r="D253" i="5"/>
  <c r="Y252" i="5"/>
  <c r="R252" i="5"/>
  <c r="K252" i="5"/>
  <c r="D252" i="5"/>
  <c r="AD251" i="5"/>
  <c r="AB251" i="5"/>
  <c r="Z251" i="5"/>
  <c r="W251" i="5"/>
  <c r="U251" i="5"/>
  <c r="S251" i="5"/>
  <c r="P251" i="5"/>
  <c r="N251" i="5"/>
  <c r="L251" i="5"/>
  <c r="I251" i="5"/>
  <c r="G251" i="5"/>
  <c r="E251" i="5"/>
  <c r="Y250" i="5"/>
  <c r="R250" i="5"/>
  <c r="K250" i="5"/>
  <c r="D250" i="5"/>
  <c r="Y249" i="5"/>
  <c r="R249" i="5"/>
  <c r="K249" i="5"/>
  <c r="D249" i="5"/>
  <c r="Y248" i="5"/>
  <c r="R248" i="5"/>
  <c r="K248" i="5"/>
  <c r="D248" i="5"/>
  <c r="Y247" i="5"/>
  <c r="R247" i="5"/>
  <c r="K247" i="5"/>
  <c r="D247" i="5"/>
  <c r="AD246" i="5"/>
  <c r="AB246" i="5"/>
  <c r="Z246" i="5"/>
  <c r="W246" i="5"/>
  <c r="U246" i="5"/>
  <c r="S246" i="5"/>
  <c r="P246" i="5"/>
  <c r="N246" i="5"/>
  <c r="L246" i="5"/>
  <c r="I246" i="5"/>
  <c r="G246" i="5"/>
  <c r="E246" i="5"/>
  <c r="D261" i="5" l="1"/>
  <c r="K261" i="5"/>
  <c r="R261" i="5"/>
  <c r="AF265" i="5"/>
  <c r="Y261" i="5"/>
  <c r="AF264" i="5"/>
  <c r="AF262" i="5"/>
  <c r="AF263" i="5"/>
  <c r="K251" i="5"/>
  <c r="AF254" i="5"/>
  <c r="AF253" i="5"/>
  <c r="AF255" i="5"/>
  <c r="R251" i="5"/>
  <c r="Y251" i="5"/>
  <c r="AF252" i="5"/>
  <c r="D251" i="5"/>
  <c r="K246" i="5"/>
  <c r="AF250" i="5"/>
  <c r="AF249" i="5"/>
  <c r="R246" i="5"/>
  <c r="AF247" i="5"/>
  <c r="AF248" i="5"/>
  <c r="D246" i="5"/>
  <c r="Y246" i="5"/>
  <c r="AF261" i="5" l="1"/>
  <c r="AF251" i="5"/>
  <c r="AF246" i="5"/>
  <c r="Y240" i="5"/>
  <c r="R240" i="5"/>
  <c r="K240" i="5"/>
  <c r="D240" i="5"/>
  <c r="Y239" i="5"/>
  <c r="R239" i="5"/>
  <c r="K239" i="5"/>
  <c r="D239" i="5"/>
  <c r="Y238" i="5"/>
  <c r="R238" i="5"/>
  <c r="K238" i="5"/>
  <c r="D238" i="5"/>
  <c r="Y237" i="5"/>
  <c r="R237" i="5"/>
  <c r="K237" i="5"/>
  <c r="D237" i="5"/>
  <c r="AD236" i="5"/>
  <c r="AB236" i="5"/>
  <c r="Z236" i="5"/>
  <c r="W236" i="5"/>
  <c r="U236" i="5"/>
  <c r="S236" i="5"/>
  <c r="P236" i="5"/>
  <c r="N236" i="5"/>
  <c r="L236" i="5"/>
  <c r="I236" i="5"/>
  <c r="G236" i="5"/>
  <c r="E236" i="5"/>
  <c r="AB266" i="5"/>
  <c r="K236" i="5" l="1"/>
  <c r="AF237" i="5"/>
  <c r="D236" i="5"/>
  <c r="AF239" i="5"/>
  <c r="R236" i="5"/>
  <c r="AF238" i="5"/>
  <c r="AF240" i="5"/>
  <c r="Y236" i="5"/>
  <c r="E160" i="5"/>
  <c r="G160" i="5"/>
  <c r="I160" i="5"/>
  <c r="L160" i="5"/>
  <c r="N160" i="5"/>
  <c r="P160" i="5"/>
  <c r="S160" i="5"/>
  <c r="U160" i="5"/>
  <c r="W160" i="5"/>
  <c r="Z160" i="5"/>
  <c r="AB160" i="5"/>
  <c r="AD160" i="5"/>
  <c r="D161" i="5"/>
  <c r="K161" i="5"/>
  <c r="R161" i="5"/>
  <c r="Y161" i="5"/>
  <c r="D162" i="5"/>
  <c r="K162" i="5"/>
  <c r="R162" i="5"/>
  <c r="Y162" i="5"/>
  <c r="D163" i="5"/>
  <c r="K163" i="5"/>
  <c r="R163" i="5"/>
  <c r="Y163" i="5"/>
  <c r="K164" i="5"/>
  <c r="R164" i="5"/>
  <c r="Y164" i="5"/>
  <c r="AF236" i="5" l="1"/>
  <c r="AF163" i="5"/>
  <c r="AF164" i="5"/>
  <c r="Y160" i="5"/>
  <c r="R160" i="5"/>
  <c r="K160" i="5"/>
  <c r="D160" i="5"/>
  <c r="AF162" i="5"/>
  <c r="AF161" i="5"/>
  <c r="AF160" i="5" l="1"/>
  <c r="R122" i="5"/>
  <c r="P211" i="5" l="1"/>
  <c r="Y235" i="5"/>
  <c r="R235" i="5"/>
  <c r="K235" i="5"/>
  <c r="D235" i="5"/>
  <c r="Y234" i="5"/>
  <c r="R234" i="5"/>
  <c r="K234" i="5"/>
  <c r="D234" i="5"/>
  <c r="Y233" i="5"/>
  <c r="R233" i="5"/>
  <c r="K233" i="5"/>
  <c r="D233" i="5"/>
  <c r="Y232" i="5"/>
  <c r="R232" i="5"/>
  <c r="K232" i="5"/>
  <c r="D232" i="5"/>
  <c r="AD231" i="5"/>
  <c r="AB231" i="5"/>
  <c r="Z231" i="5"/>
  <c r="W231" i="5"/>
  <c r="U231" i="5"/>
  <c r="S231" i="5"/>
  <c r="P231" i="5"/>
  <c r="N231" i="5"/>
  <c r="L231" i="5"/>
  <c r="I231" i="5"/>
  <c r="G231" i="5"/>
  <c r="E231" i="5"/>
  <c r="Y154" i="5"/>
  <c r="R154" i="5"/>
  <c r="K154" i="5"/>
  <c r="D154" i="5"/>
  <c r="Y153" i="5"/>
  <c r="R153" i="5"/>
  <c r="K153" i="5"/>
  <c r="D153" i="5"/>
  <c r="Y152" i="5"/>
  <c r="R152" i="5"/>
  <c r="K152" i="5"/>
  <c r="D152" i="5"/>
  <c r="Y151" i="5"/>
  <c r="R151" i="5"/>
  <c r="K151" i="5"/>
  <c r="D151" i="5"/>
  <c r="AD150" i="5"/>
  <c r="AB150" i="5"/>
  <c r="Z150" i="5"/>
  <c r="W150" i="5"/>
  <c r="U150" i="5"/>
  <c r="S150" i="5"/>
  <c r="P150" i="5"/>
  <c r="N150" i="5"/>
  <c r="L150" i="5"/>
  <c r="I150" i="5"/>
  <c r="E150" i="5"/>
  <c r="AF232" i="5" l="1"/>
  <c r="K231" i="5"/>
  <c r="R231" i="5"/>
  <c r="Y231" i="5"/>
  <c r="AF233" i="5"/>
  <c r="AF235" i="5"/>
  <c r="AF234" i="5"/>
  <c r="D231" i="5"/>
  <c r="D150" i="5"/>
  <c r="AF153" i="5"/>
  <c r="AF154" i="5"/>
  <c r="K150" i="5"/>
  <c r="R150" i="5"/>
  <c r="Y150" i="5"/>
  <c r="AF152" i="5"/>
  <c r="AF151" i="5"/>
  <c r="AF231" i="5" l="1"/>
  <c r="AF150" i="5"/>
  <c r="E28" i="5" l="1"/>
  <c r="W211" i="5" l="1"/>
  <c r="K41" i="5" l="1"/>
  <c r="K36" i="5"/>
  <c r="E38" i="5" l="1"/>
  <c r="Y270" i="5" l="1"/>
  <c r="R270" i="5"/>
  <c r="K270" i="5"/>
  <c r="D270" i="5"/>
  <c r="Y269" i="5"/>
  <c r="R269" i="5"/>
  <c r="K269" i="5"/>
  <c r="D269" i="5"/>
  <c r="Y268" i="5"/>
  <c r="R268" i="5"/>
  <c r="K268" i="5"/>
  <c r="D268" i="5"/>
  <c r="Y267" i="5"/>
  <c r="R267" i="5"/>
  <c r="K267" i="5"/>
  <c r="D267" i="5"/>
  <c r="AD266" i="5"/>
  <c r="Z266" i="5"/>
  <c r="W266" i="5"/>
  <c r="U266" i="5"/>
  <c r="S266" i="5"/>
  <c r="P266" i="5"/>
  <c r="N266" i="5"/>
  <c r="L266" i="5"/>
  <c r="I266" i="5"/>
  <c r="G266" i="5"/>
  <c r="E266" i="5"/>
  <c r="Y275" i="5"/>
  <c r="R275" i="5"/>
  <c r="K275" i="5"/>
  <c r="D275" i="5"/>
  <c r="Y274" i="5"/>
  <c r="R274" i="5"/>
  <c r="K274" i="5"/>
  <c r="D274" i="5"/>
  <c r="Y273" i="5"/>
  <c r="R273" i="5"/>
  <c r="K273" i="5"/>
  <c r="D273" i="5"/>
  <c r="Y272" i="5"/>
  <c r="R272" i="5"/>
  <c r="K272" i="5"/>
  <c r="D272" i="5"/>
  <c r="AD271" i="5"/>
  <c r="AB271" i="5"/>
  <c r="Z271" i="5"/>
  <c r="W271" i="5"/>
  <c r="U271" i="5"/>
  <c r="S271" i="5"/>
  <c r="P271" i="5"/>
  <c r="N271" i="5"/>
  <c r="L271" i="5"/>
  <c r="I271" i="5"/>
  <c r="G271" i="5"/>
  <c r="E271" i="5"/>
  <c r="D266" i="5" l="1"/>
  <c r="AF267" i="5"/>
  <c r="Y266" i="5"/>
  <c r="AF270" i="5"/>
  <c r="AF274" i="5"/>
  <c r="AF269" i="5"/>
  <c r="R266" i="5"/>
  <c r="Y271" i="5"/>
  <c r="AF268" i="5"/>
  <c r="K266" i="5"/>
  <c r="AF272" i="5"/>
  <c r="K271" i="5"/>
  <c r="R271" i="5"/>
  <c r="D271" i="5"/>
  <c r="AF273" i="5"/>
  <c r="AF275" i="5"/>
  <c r="Y245" i="5"/>
  <c r="R245" i="5"/>
  <c r="K245" i="5"/>
  <c r="D245" i="5"/>
  <c r="Y244" i="5"/>
  <c r="R244" i="5"/>
  <c r="K244" i="5"/>
  <c r="D244" i="5"/>
  <c r="Y243" i="5"/>
  <c r="R243" i="5"/>
  <c r="K243" i="5"/>
  <c r="D243" i="5"/>
  <c r="Y242" i="5"/>
  <c r="R242" i="5"/>
  <c r="K242" i="5"/>
  <c r="D242" i="5"/>
  <c r="AD241" i="5"/>
  <c r="AB241" i="5"/>
  <c r="Z241" i="5"/>
  <c r="W241" i="5"/>
  <c r="U241" i="5"/>
  <c r="S241" i="5"/>
  <c r="P241" i="5"/>
  <c r="N241" i="5"/>
  <c r="L241" i="5"/>
  <c r="I241" i="5"/>
  <c r="G241" i="5"/>
  <c r="E241" i="5"/>
  <c r="Y230" i="5"/>
  <c r="R230" i="5"/>
  <c r="K230" i="5"/>
  <c r="D230" i="5"/>
  <c r="Y229" i="5"/>
  <c r="R229" i="5"/>
  <c r="K229" i="5"/>
  <c r="D229" i="5"/>
  <c r="Y228" i="5"/>
  <c r="R228" i="5"/>
  <c r="K228" i="5"/>
  <c r="D228" i="5"/>
  <c r="Y227" i="5"/>
  <c r="R227" i="5"/>
  <c r="K227" i="5"/>
  <c r="D227" i="5"/>
  <c r="AD226" i="5"/>
  <c r="AB226" i="5"/>
  <c r="Z226" i="5"/>
  <c r="W226" i="5"/>
  <c r="U226" i="5"/>
  <c r="S226" i="5"/>
  <c r="P226" i="5"/>
  <c r="N226" i="5"/>
  <c r="L226" i="5"/>
  <c r="I226" i="5"/>
  <c r="G226" i="5"/>
  <c r="E226" i="5"/>
  <c r="AF266" i="5" l="1"/>
  <c r="AF271" i="5"/>
  <c r="AF230" i="5"/>
  <c r="D226" i="5"/>
  <c r="D241" i="5"/>
  <c r="R226" i="5"/>
  <c r="AF244" i="5"/>
  <c r="R241" i="5"/>
  <c r="AF228" i="5"/>
  <c r="AF245" i="5"/>
  <c r="Y241" i="5"/>
  <c r="Y226" i="5"/>
  <c r="K241" i="5"/>
  <c r="AF243" i="5"/>
  <c r="K226" i="5"/>
  <c r="AF242" i="5"/>
  <c r="AF227" i="5"/>
  <c r="AF229" i="5"/>
  <c r="AF241" i="5" l="1"/>
  <c r="AF226" i="5"/>
  <c r="R147" i="5" l="1"/>
  <c r="D205" i="5" l="1"/>
  <c r="D210" i="5"/>
  <c r="D215" i="5"/>
  <c r="D220" i="5"/>
  <c r="Y285" i="5" l="1"/>
  <c r="R285" i="5"/>
  <c r="K285" i="5"/>
  <c r="D285" i="5"/>
  <c r="Y284" i="5"/>
  <c r="R284" i="5"/>
  <c r="K284" i="5"/>
  <c r="D284" i="5"/>
  <c r="Y283" i="5"/>
  <c r="R283" i="5"/>
  <c r="K283" i="5"/>
  <c r="D283" i="5"/>
  <c r="Y282" i="5"/>
  <c r="R282" i="5"/>
  <c r="K282" i="5"/>
  <c r="D282" i="5"/>
  <c r="AD281" i="5"/>
  <c r="AB281" i="5"/>
  <c r="Z281" i="5"/>
  <c r="W281" i="5"/>
  <c r="U281" i="5"/>
  <c r="S281" i="5"/>
  <c r="P281" i="5"/>
  <c r="N281" i="5"/>
  <c r="L281" i="5"/>
  <c r="I281" i="5"/>
  <c r="G281" i="5"/>
  <c r="E281" i="5"/>
  <c r="Y280" i="5"/>
  <c r="R280" i="5"/>
  <c r="K280" i="5"/>
  <c r="D280" i="5"/>
  <c r="Y279" i="5"/>
  <c r="R279" i="5"/>
  <c r="K279" i="5"/>
  <c r="D279" i="5"/>
  <c r="Y278" i="5"/>
  <c r="R278" i="5"/>
  <c r="K278" i="5"/>
  <c r="D278" i="5"/>
  <c r="Y277" i="5"/>
  <c r="R277" i="5"/>
  <c r="K277" i="5"/>
  <c r="D277" i="5"/>
  <c r="AD276" i="5"/>
  <c r="AB276" i="5"/>
  <c r="Z276" i="5"/>
  <c r="W276" i="5"/>
  <c r="U276" i="5"/>
  <c r="S276" i="5"/>
  <c r="P276" i="5"/>
  <c r="N276" i="5"/>
  <c r="L276" i="5"/>
  <c r="I276" i="5"/>
  <c r="G276" i="5"/>
  <c r="E276" i="5"/>
  <c r="Y225" i="5"/>
  <c r="R225" i="5"/>
  <c r="K225" i="5"/>
  <c r="D225" i="5"/>
  <c r="Y224" i="5"/>
  <c r="R224" i="5"/>
  <c r="K224" i="5"/>
  <c r="D224" i="5"/>
  <c r="Y223" i="5"/>
  <c r="R223" i="5"/>
  <c r="K223" i="5"/>
  <c r="D223" i="5"/>
  <c r="Y222" i="5"/>
  <c r="R222" i="5"/>
  <c r="K222" i="5"/>
  <c r="D222" i="5"/>
  <c r="AD221" i="5"/>
  <c r="AB221" i="5"/>
  <c r="Z221" i="5"/>
  <c r="W221" i="5"/>
  <c r="U221" i="5"/>
  <c r="S221" i="5"/>
  <c r="P221" i="5"/>
  <c r="N221" i="5"/>
  <c r="L221" i="5"/>
  <c r="I221" i="5"/>
  <c r="G221" i="5"/>
  <c r="E221" i="5"/>
  <c r="Y220" i="5"/>
  <c r="R220" i="5"/>
  <c r="K220" i="5"/>
  <c r="Y219" i="5"/>
  <c r="R219" i="5"/>
  <c r="K219" i="5"/>
  <c r="D219" i="5"/>
  <c r="Y218" i="5"/>
  <c r="R218" i="5"/>
  <c r="K218" i="5"/>
  <c r="D218" i="5"/>
  <c r="Y217" i="5"/>
  <c r="R217" i="5"/>
  <c r="K217" i="5"/>
  <c r="D217" i="5"/>
  <c r="AD216" i="5"/>
  <c r="AB216" i="5"/>
  <c r="Z216" i="5"/>
  <c r="W216" i="5"/>
  <c r="U216" i="5"/>
  <c r="S216" i="5"/>
  <c r="P216" i="5"/>
  <c r="N216" i="5"/>
  <c r="L216" i="5"/>
  <c r="I216" i="5"/>
  <c r="G216" i="5"/>
  <c r="E216" i="5"/>
  <c r="Y215" i="5"/>
  <c r="R215" i="5"/>
  <c r="K215" i="5"/>
  <c r="Y214" i="5"/>
  <c r="R214" i="5"/>
  <c r="K214" i="5"/>
  <c r="D214" i="5"/>
  <c r="Y213" i="5"/>
  <c r="R213" i="5"/>
  <c r="K213" i="5"/>
  <c r="D213" i="5"/>
  <c r="Y212" i="5"/>
  <c r="R212" i="5"/>
  <c r="K212" i="5"/>
  <c r="D212" i="5"/>
  <c r="AD211" i="5"/>
  <c r="AB211" i="5"/>
  <c r="Z211" i="5"/>
  <c r="U211" i="5"/>
  <c r="S211" i="5"/>
  <c r="N211" i="5"/>
  <c r="L211" i="5"/>
  <c r="I211" i="5"/>
  <c r="G211" i="5"/>
  <c r="E211" i="5"/>
  <c r="Y210" i="5"/>
  <c r="R210" i="5"/>
  <c r="K210" i="5"/>
  <c r="Y209" i="5"/>
  <c r="R209" i="5"/>
  <c r="K209" i="5"/>
  <c r="D209" i="5"/>
  <c r="Y208" i="5"/>
  <c r="R208" i="5"/>
  <c r="K208" i="5"/>
  <c r="D208" i="5"/>
  <c r="Y207" i="5"/>
  <c r="R207" i="5"/>
  <c r="K207" i="5"/>
  <c r="D207" i="5"/>
  <c r="AD206" i="5"/>
  <c r="AB206" i="5"/>
  <c r="Z206" i="5"/>
  <c r="W206" i="5"/>
  <c r="U206" i="5"/>
  <c r="S206" i="5"/>
  <c r="P206" i="5"/>
  <c r="N206" i="5"/>
  <c r="L206" i="5"/>
  <c r="I206" i="5"/>
  <c r="G206" i="5"/>
  <c r="E206" i="5"/>
  <c r="Y205" i="5"/>
  <c r="R205" i="5"/>
  <c r="K205" i="5"/>
  <c r="Y204" i="5"/>
  <c r="R204" i="5"/>
  <c r="K204" i="5"/>
  <c r="D204" i="5"/>
  <c r="Y203" i="5"/>
  <c r="R203" i="5"/>
  <c r="K203" i="5"/>
  <c r="D203" i="5"/>
  <c r="Y202" i="5"/>
  <c r="R202" i="5"/>
  <c r="K202" i="5"/>
  <c r="D202" i="5"/>
  <c r="AD201" i="5"/>
  <c r="AB201" i="5"/>
  <c r="Z201" i="5"/>
  <c r="W201" i="5"/>
  <c r="U201" i="5"/>
  <c r="S201" i="5"/>
  <c r="P201" i="5"/>
  <c r="N201" i="5"/>
  <c r="I201" i="5"/>
  <c r="G201" i="5"/>
  <c r="E201" i="5"/>
  <c r="Y200" i="5"/>
  <c r="R200" i="5"/>
  <c r="K200" i="5"/>
  <c r="D200" i="5"/>
  <c r="Y199" i="5"/>
  <c r="R199" i="5"/>
  <c r="K199" i="5"/>
  <c r="D199" i="5"/>
  <c r="Y198" i="5"/>
  <c r="R198" i="5"/>
  <c r="K198" i="5"/>
  <c r="D198" i="5"/>
  <c r="Y197" i="5"/>
  <c r="R197" i="5"/>
  <c r="K197" i="5"/>
  <c r="D197" i="5"/>
  <c r="AD196" i="5"/>
  <c r="AB196" i="5"/>
  <c r="Z196" i="5"/>
  <c r="W196" i="5"/>
  <c r="U196" i="5"/>
  <c r="S196" i="5"/>
  <c r="P196" i="5"/>
  <c r="N196" i="5"/>
  <c r="L196" i="5"/>
  <c r="I196" i="5"/>
  <c r="G196" i="5"/>
  <c r="E196" i="5"/>
  <c r="Y195" i="5"/>
  <c r="R195" i="5"/>
  <c r="K195" i="5"/>
  <c r="D195" i="5"/>
  <c r="Y194" i="5"/>
  <c r="R194" i="5"/>
  <c r="K194" i="5"/>
  <c r="D194" i="5"/>
  <c r="Y193" i="5"/>
  <c r="R193" i="5"/>
  <c r="K193" i="5"/>
  <c r="D193" i="5"/>
  <c r="Y192" i="5"/>
  <c r="R192" i="5"/>
  <c r="K192" i="5"/>
  <c r="D192" i="5"/>
  <c r="AD191" i="5"/>
  <c r="AB191" i="5"/>
  <c r="Z191" i="5"/>
  <c r="W191" i="5"/>
  <c r="U191" i="5"/>
  <c r="S191" i="5"/>
  <c r="P191" i="5"/>
  <c r="N191" i="5"/>
  <c r="L191" i="5"/>
  <c r="I191" i="5"/>
  <c r="G191" i="5"/>
  <c r="E191" i="5"/>
  <c r="Y190" i="5"/>
  <c r="R190" i="5"/>
  <c r="K190" i="5"/>
  <c r="D190" i="5"/>
  <c r="Y189" i="5"/>
  <c r="R189" i="5"/>
  <c r="K189" i="5"/>
  <c r="D189" i="5"/>
  <c r="Y188" i="5"/>
  <c r="R188" i="5"/>
  <c r="K188" i="5"/>
  <c r="D188" i="5"/>
  <c r="Y187" i="5"/>
  <c r="R187" i="5"/>
  <c r="K187" i="5"/>
  <c r="D187" i="5"/>
  <c r="AD186" i="5"/>
  <c r="AB186" i="5"/>
  <c r="Z186" i="5"/>
  <c r="W186" i="5"/>
  <c r="U186" i="5"/>
  <c r="S186" i="5"/>
  <c r="P186" i="5"/>
  <c r="N186" i="5"/>
  <c r="L186" i="5"/>
  <c r="I186" i="5"/>
  <c r="G186" i="5"/>
  <c r="E186" i="5"/>
  <c r="Y185" i="5"/>
  <c r="R185" i="5"/>
  <c r="K185" i="5"/>
  <c r="D185" i="5"/>
  <c r="Y184" i="5"/>
  <c r="R184" i="5"/>
  <c r="K184" i="5"/>
  <c r="D184" i="5"/>
  <c r="Y183" i="5"/>
  <c r="R183" i="5"/>
  <c r="K183" i="5"/>
  <c r="D183" i="5"/>
  <c r="Y182" i="5"/>
  <c r="R182" i="5"/>
  <c r="K182" i="5"/>
  <c r="D182" i="5"/>
  <c r="AD181" i="5"/>
  <c r="AB181" i="5"/>
  <c r="Z181" i="5"/>
  <c r="W181" i="5"/>
  <c r="U181" i="5"/>
  <c r="S181" i="5"/>
  <c r="P181" i="5"/>
  <c r="N181" i="5"/>
  <c r="L181" i="5"/>
  <c r="I181" i="5"/>
  <c r="G181" i="5"/>
  <c r="E181" i="5"/>
  <c r="Y180" i="5"/>
  <c r="R180" i="5"/>
  <c r="K180" i="5"/>
  <c r="D180" i="5"/>
  <c r="Y179" i="5"/>
  <c r="R179" i="5"/>
  <c r="K179" i="5"/>
  <c r="D179" i="5"/>
  <c r="Y178" i="5"/>
  <c r="R178" i="5"/>
  <c r="K178" i="5"/>
  <c r="D178" i="5"/>
  <c r="Y177" i="5"/>
  <c r="R177" i="5"/>
  <c r="K177" i="5"/>
  <c r="D177" i="5"/>
  <c r="AF176" i="5"/>
  <c r="Y175" i="5"/>
  <c r="R175" i="5"/>
  <c r="K175" i="5"/>
  <c r="D175" i="5"/>
  <c r="Y174" i="5"/>
  <c r="R174" i="5"/>
  <c r="K174" i="5"/>
  <c r="D174" i="5"/>
  <c r="Y173" i="5"/>
  <c r="R173" i="5"/>
  <c r="K173" i="5"/>
  <c r="D173" i="5"/>
  <c r="Y172" i="5"/>
  <c r="R172" i="5"/>
  <c r="K172" i="5"/>
  <c r="D172" i="5"/>
  <c r="AD171" i="5"/>
  <c r="AB171" i="5"/>
  <c r="Z171" i="5"/>
  <c r="W171" i="5"/>
  <c r="U171" i="5"/>
  <c r="S171" i="5"/>
  <c r="P171" i="5"/>
  <c r="N171" i="5"/>
  <c r="L171" i="5"/>
  <c r="I171" i="5"/>
  <c r="E171" i="5"/>
  <c r="Y170" i="5"/>
  <c r="R170" i="5"/>
  <c r="K170" i="5"/>
  <c r="D170" i="5"/>
  <c r="Y169" i="5"/>
  <c r="R169" i="5"/>
  <c r="K169" i="5"/>
  <c r="D169" i="5"/>
  <c r="Y168" i="5"/>
  <c r="R168" i="5"/>
  <c r="K168" i="5"/>
  <c r="D168" i="5"/>
  <c r="Y167" i="5"/>
  <c r="R167" i="5"/>
  <c r="K167" i="5"/>
  <c r="D167" i="5"/>
  <c r="AD166" i="5"/>
  <c r="AB166" i="5"/>
  <c r="Z166" i="5"/>
  <c r="W166" i="5"/>
  <c r="U166" i="5"/>
  <c r="S166" i="5"/>
  <c r="P166" i="5"/>
  <c r="N166" i="5"/>
  <c r="L166" i="5"/>
  <c r="I166" i="5"/>
  <c r="G166" i="5"/>
  <c r="E166" i="5"/>
  <c r="Y159" i="5"/>
  <c r="R159" i="5"/>
  <c r="K159" i="5"/>
  <c r="D159" i="5"/>
  <c r="Y158" i="5"/>
  <c r="R158" i="5"/>
  <c r="K158" i="5"/>
  <c r="D158" i="5"/>
  <c r="Y157" i="5"/>
  <c r="R157" i="5"/>
  <c r="K157" i="5"/>
  <c r="D157" i="5"/>
  <c r="Y156" i="5"/>
  <c r="R156" i="5"/>
  <c r="K156" i="5"/>
  <c r="D156" i="5"/>
  <c r="AD155" i="5"/>
  <c r="AB155" i="5"/>
  <c r="Z155" i="5"/>
  <c r="W155" i="5"/>
  <c r="U155" i="5"/>
  <c r="S155" i="5"/>
  <c r="P155" i="5"/>
  <c r="N155" i="5"/>
  <c r="L155" i="5"/>
  <c r="I155" i="5"/>
  <c r="G155" i="5"/>
  <c r="E155" i="5"/>
  <c r="Y149" i="5"/>
  <c r="R149" i="5"/>
  <c r="K149" i="5"/>
  <c r="D149" i="5"/>
  <c r="Y148" i="5"/>
  <c r="R148" i="5"/>
  <c r="K148" i="5"/>
  <c r="D148" i="5"/>
  <c r="Y147" i="5"/>
  <c r="K147" i="5"/>
  <c r="D147" i="5"/>
  <c r="Y146" i="5"/>
  <c r="R146" i="5"/>
  <c r="K146" i="5"/>
  <c r="D146" i="5"/>
  <c r="AD145" i="5"/>
  <c r="AB145" i="5"/>
  <c r="Z145" i="5"/>
  <c r="W145" i="5"/>
  <c r="U145" i="5"/>
  <c r="S145" i="5"/>
  <c r="P145" i="5"/>
  <c r="N145" i="5"/>
  <c r="L145" i="5"/>
  <c r="I145" i="5"/>
  <c r="E145" i="5"/>
  <c r="Y144" i="5"/>
  <c r="R144" i="5"/>
  <c r="K144" i="5"/>
  <c r="D144" i="5"/>
  <c r="Y143" i="5"/>
  <c r="R143" i="5"/>
  <c r="K143" i="5"/>
  <c r="D143" i="5"/>
  <c r="Y142" i="5"/>
  <c r="R142" i="5"/>
  <c r="K142" i="5"/>
  <c r="D142" i="5"/>
  <c r="Y141" i="5"/>
  <c r="R141" i="5"/>
  <c r="K141" i="5"/>
  <c r="D141" i="5"/>
  <c r="AD140" i="5"/>
  <c r="AB140" i="5"/>
  <c r="Z140" i="5"/>
  <c r="W140" i="5"/>
  <c r="U140" i="5"/>
  <c r="S140" i="5"/>
  <c r="P140" i="5"/>
  <c r="N140" i="5"/>
  <c r="L140" i="5"/>
  <c r="I140" i="5"/>
  <c r="G140" i="5"/>
  <c r="E140" i="5"/>
  <c r="K181" i="5" l="1"/>
  <c r="Y171" i="5"/>
  <c r="AF174" i="5"/>
  <c r="AF192" i="5"/>
  <c r="AF207" i="5"/>
  <c r="AF217" i="5"/>
  <c r="AF277" i="5"/>
  <c r="AF141" i="5"/>
  <c r="K145" i="5"/>
  <c r="AF146" i="5"/>
  <c r="AF215" i="5"/>
  <c r="AF282" i="5"/>
  <c r="AF284" i="5"/>
  <c r="Y281" i="5"/>
  <c r="K281" i="5"/>
  <c r="D276" i="5"/>
  <c r="R221" i="5"/>
  <c r="AF219" i="5"/>
  <c r="D206" i="5"/>
  <c r="Y206" i="5"/>
  <c r="R201" i="5"/>
  <c r="D201" i="5"/>
  <c r="AF187" i="5"/>
  <c r="AF182" i="5"/>
  <c r="R171" i="5"/>
  <c r="AF172" i="5"/>
  <c r="AF173" i="5"/>
  <c r="AF167" i="5"/>
  <c r="AF168" i="5"/>
  <c r="K166" i="5"/>
  <c r="AF169" i="5"/>
  <c r="Y145" i="5"/>
  <c r="AF283" i="5"/>
  <c r="AF278" i="5"/>
  <c r="K276" i="5"/>
  <c r="AF218" i="5"/>
  <c r="R211" i="5"/>
  <c r="Y211" i="5"/>
  <c r="AF213" i="5"/>
  <c r="R206" i="5"/>
  <c r="Y196" i="5"/>
  <c r="K191" i="5"/>
  <c r="Y191" i="5"/>
  <c r="AF188" i="5"/>
  <c r="D186" i="5"/>
  <c r="AF185" i="5"/>
  <c r="AF184" i="5"/>
  <c r="R181" i="5"/>
  <c r="Y181" i="5"/>
  <c r="AF175" i="5"/>
  <c r="Y166" i="5"/>
  <c r="R166" i="5"/>
  <c r="AF170" i="5"/>
  <c r="Y155" i="5"/>
  <c r="AF144" i="5"/>
  <c r="D155" i="5"/>
  <c r="R281" i="5"/>
  <c r="R276" i="5"/>
  <c r="AF285" i="5"/>
  <c r="AF280" i="5"/>
  <c r="Y221" i="5"/>
  <c r="AF223" i="5"/>
  <c r="AF225" i="5"/>
  <c r="K221" i="5"/>
  <c r="AF222" i="5"/>
  <c r="AF224" i="5"/>
  <c r="Y216" i="5"/>
  <c r="R216" i="5"/>
  <c r="AF220" i="5"/>
  <c r="K216" i="5"/>
  <c r="AF212" i="5"/>
  <c r="D211" i="5"/>
  <c r="AF210" i="5"/>
  <c r="AF209" i="5"/>
  <c r="K206" i="5"/>
  <c r="Y201" i="5"/>
  <c r="AF199" i="5"/>
  <c r="AF197" i="5"/>
  <c r="AF204" i="5"/>
  <c r="R196" i="5"/>
  <c r="K201" i="5"/>
  <c r="AF205" i="5"/>
  <c r="AF203" i="5"/>
  <c r="K196" i="5"/>
  <c r="AF198" i="5"/>
  <c r="AF200" i="5"/>
  <c r="R191" i="5"/>
  <c r="AF194" i="5"/>
  <c r="AF193" i="5"/>
  <c r="AF195" i="5"/>
  <c r="D191" i="5"/>
  <c r="Y186" i="5"/>
  <c r="R186" i="5"/>
  <c r="K186" i="5"/>
  <c r="AF190" i="5"/>
  <c r="AF183" i="5"/>
  <c r="AF180" i="5"/>
  <c r="AF178" i="5"/>
  <c r="AF179" i="5"/>
  <c r="AF177" i="5"/>
  <c r="D196" i="5"/>
  <c r="AF202" i="5"/>
  <c r="Y276" i="5"/>
  <c r="D221" i="5"/>
  <c r="D181" i="5"/>
  <c r="K211" i="5"/>
  <c r="D281" i="5"/>
  <c r="AF208" i="5"/>
  <c r="D216" i="5"/>
  <c r="AF279" i="5"/>
  <c r="AF189" i="5"/>
  <c r="AF214" i="5"/>
  <c r="D166" i="5"/>
  <c r="K171" i="5"/>
  <c r="D171" i="5"/>
  <c r="AF158" i="5"/>
  <c r="R155" i="5"/>
  <c r="AF157" i="5"/>
  <c r="K155" i="5"/>
  <c r="AF159" i="5"/>
  <c r="AF147" i="5"/>
  <c r="AF149" i="5"/>
  <c r="R145" i="5"/>
  <c r="AF148" i="5"/>
  <c r="D145" i="5"/>
  <c r="Y140" i="5"/>
  <c r="R140" i="5"/>
  <c r="D140" i="5"/>
  <c r="AF142" i="5"/>
  <c r="K140" i="5"/>
  <c r="AF156" i="5"/>
  <c r="AF143" i="5"/>
  <c r="Y113" i="5"/>
  <c r="Z119" i="5"/>
  <c r="G109" i="5"/>
  <c r="G114" i="5"/>
  <c r="G119" i="5"/>
  <c r="E114" i="5"/>
  <c r="E104" i="5"/>
  <c r="R6" i="5"/>
  <c r="D5" i="5"/>
  <c r="AF211" i="5" l="1"/>
  <c r="AF171" i="5"/>
  <c r="AF216" i="5"/>
  <c r="AF140" i="5"/>
  <c r="AF281" i="5"/>
  <c r="AF166" i="5"/>
  <c r="AF221" i="5"/>
  <c r="AF181" i="5"/>
  <c r="AF276" i="5"/>
  <c r="AF206" i="5"/>
  <c r="AF196" i="5"/>
  <c r="AF201" i="5"/>
  <c r="AF191" i="5"/>
  <c r="AF186" i="5"/>
  <c r="AF155" i="5"/>
  <c r="AF145" i="5"/>
  <c r="Y52" i="5"/>
  <c r="R52" i="5"/>
  <c r="K52" i="5"/>
  <c r="D52" i="5"/>
  <c r="Y51" i="5"/>
  <c r="R51" i="5"/>
  <c r="K51" i="5"/>
  <c r="D51" i="5"/>
  <c r="Y50" i="5"/>
  <c r="R50" i="5"/>
  <c r="K50" i="5"/>
  <c r="D50" i="5"/>
  <c r="Y49" i="5"/>
  <c r="R49" i="5"/>
  <c r="K49" i="5"/>
  <c r="D49" i="5"/>
  <c r="AD48" i="5"/>
  <c r="AB48" i="5"/>
  <c r="Z48" i="5"/>
  <c r="W48" i="5"/>
  <c r="U48" i="5"/>
  <c r="S48" i="5"/>
  <c r="P48" i="5"/>
  <c r="N48" i="5"/>
  <c r="L48" i="5"/>
  <c r="I48" i="5"/>
  <c r="G48" i="5"/>
  <c r="E48" i="5"/>
  <c r="K48" i="5" l="1"/>
  <c r="AF49" i="5"/>
  <c r="R48" i="5"/>
  <c r="AF51" i="5"/>
  <c r="Y48" i="5"/>
  <c r="AF52" i="5"/>
  <c r="AF50" i="5"/>
  <c r="D48" i="5"/>
  <c r="D138" i="5"/>
  <c r="N129" i="5"/>
  <c r="D66" i="5"/>
  <c r="D67" i="5"/>
  <c r="D61" i="5"/>
  <c r="D62" i="5"/>
  <c r="Y138" i="5"/>
  <c r="Y133" i="5"/>
  <c r="R138" i="5"/>
  <c r="R133" i="5"/>
  <c r="K138" i="5"/>
  <c r="D133" i="5"/>
  <c r="R128" i="5"/>
  <c r="D128" i="5"/>
  <c r="AF48" i="5" l="1"/>
  <c r="AF138" i="5"/>
  <c r="Z59" i="5"/>
  <c r="K57" i="5"/>
  <c r="K62" i="5"/>
  <c r="W33" i="5" l="1"/>
  <c r="W38" i="5"/>
  <c r="R37" i="5"/>
  <c r="E43" i="5"/>
  <c r="R41" i="5"/>
  <c r="R46" i="5"/>
  <c r="D125" i="5" l="1"/>
  <c r="D80" i="5"/>
  <c r="D75" i="5"/>
  <c r="D70" i="5"/>
  <c r="D65" i="5"/>
  <c r="K60" i="5"/>
  <c r="D60" i="5"/>
  <c r="K98" i="5"/>
  <c r="K97" i="5"/>
  <c r="K96" i="5"/>
  <c r="K95" i="5"/>
  <c r="K93" i="5"/>
  <c r="K92" i="5"/>
  <c r="K91" i="5"/>
  <c r="K90" i="5"/>
  <c r="K88" i="5"/>
  <c r="K87" i="5"/>
  <c r="K86" i="5"/>
  <c r="K85" i="5"/>
  <c r="K83" i="5"/>
  <c r="K82" i="5"/>
  <c r="K81" i="5"/>
  <c r="K80" i="5"/>
  <c r="K78" i="5"/>
  <c r="K77" i="5"/>
  <c r="K76" i="5"/>
  <c r="K75" i="5"/>
  <c r="K73" i="5"/>
  <c r="K72" i="5"/>
  <c r="K71" i="5"/>
  <c r="K70" i="5"/>
  <c r="K68" i="5"/>
  <c r="K67" i="5"/>
  <c r="K66" i="5"/>
  <c r="K65" i="5"/>
  <c r="K63" i="5"/>
  <c r="K61" i="5"/>
  <c r="K56" i="5"/>
  <c r="K55" i="5"/>
  <c r="D55" i="5"/>
  <c r="K137" i="5" l="1"/>
  <c r="D137" i="5"/>
  <c r="K132" i="5"/>
  <c r="D127" i="5"/>
  <c r="K31" i="5"/>
  <c r="D21" i="5"/>
  <c r="K32" i="5" l="1"/>
  <c r="Y128" i="5" l="1"/>
  <c r="Z114" i="5" l="1"/>
  <c r="Z124" i="5"/>
  <c r="Z129" i="5"/>
  <c r="Z134" i="5"/>
  <c r="W114" i="5"/>
  <c r="W119" i="5"/>
  <c r="W124" i="5"/>
  <c r="W129" i="5"/>
  <c r="W134" i="5"/>
  <c r="U134" i="5"/>
  <c r="U129" i="5"/>
  <c r="U124" i="5"/>
  <c r="AB129" i="5" l="1"/>
  <c r="AD129" i="5"/>
  <c r="AD134" i="5"/>
  <c r="AB134" i="5"/>
  <c r="S134" i="5"/>
  <c r="S129" i="5"/>
  <c r="P129" i="5"/>
  <c r="L114" i="5" l="1"/>
  <c r="K136" i="5"/>
  <c r="K135" i="5"/>
  <c r="K133" i="5"/>
  <c r="AF133" i="5" s="1"/>
  <c r="K131" i="5"/>
  <c r="Y137" i="5"/>
  <c r="R137" i="5"/>
  <c r="Y136" i="5"/>
  <c r="R136" i="5"/>
  <c r="D136" i="5"/>
  <c r="Y135" i="5"/>
  <c r="R135" i="5"/>
  <c r="D135" i="5"/>
  <c r="R16" i="5"/>
  <c r="Y6" i="5"/>
  <c r="D134" i="5" l="1"/>
  <c r="AF135" i="5"/>
  <c r="AF136" i="5"/>
  <c r="K134" i="5"/>
  <c r="R134" i="5"/>
  <c r="Y134" i="5"/>
  <c r="AF137" i="5"/>
  <c r="D57" i="5"/>
  <c r="AF134" i="5" l="1"/>
  <c r="K6" i="5"/>
  <c r="K7" i="5"/>
  <c r="Y132" i="5" l="1"/>
  <c r="Y131" i="5"/>
  <c r="Y130" i="5"/>
  <c r="Y127" i="5"/>
  <c r="Y126" i="5"/>
  <c r="Y125" i="5"/>
  <c r="Y123" i="5"/>
  <c r="Y122" i="5"/>
  <c r="Y121" i="5"/>
  <c r="Y120" i="5"/>
  <c r="Y118" i="5"/>
  <c r="Y117" i="5"/>
  <c r="Y116" i="5"/>
  <c r="Y115" i="5"/>
  <c r="Y112" i="5"/>
  <c r="Y111" i="5"/>
  <c r="Y110" i="5"/>
  <c r="Y108" i="5"/>
  <c r="Y107" i="5"/>
  <c r="Y106" i="5"/>
  <c r="Y105" i="5"/>
  <c r="Y103" i="5"/>
  <c r="Y102" i="5"/>
  <c r="Y101" i="5"/>
  <c r="Y100" i="5"/>
  <c r="Y98" i="5"/>
  <c r="Y97" i="5"/>
  <c r="Y96" i="5"/>
  <c r="Y95" i="5"/>
  <c r="Y93" i="5"/>
  <c r="Y92" i="5"/>
  <c r="Y91" i="5"/>
  <c r="Y90" i="5"/>
  <c r="Y88" i="5"/>
  <c r="Y87" i="5"/>
  <c r="Y86" i="5"/>
  <c r="Y85" i="5"/>
  <c r="Y83" i="5"/>
  <c r="Y82" i="5"/>
  <c r="Y81" i="5"/>
  <c r="Y80" i="5"/>
  <c r="Y78" i="5"/>
  <c r="Y77" i="5"/>
  <c r="Y76" i="5"/>
  <c r="Y75" i="5"/>
  <c r="Y73" i="5"/>
  <c r="Y72" i="5"/>
  <c r="Y71" i="5"/>
  <c r="Y70" i="5"/>
  <c r="Y68" i="5"/>
  <c r="Y67" i="5"/>
  <c r="Y66" i="5"/>
  <c r="Y65" i="5"/>
  <c r="Y63" i="5"/>
  <c r="Y62" i="5"/>
  <c r="Y61" i="5"/>
  <c r="Y60" i="5"/>
  <c r="Y58" i="5"/>
  <c r="Y57" i="5"/>
  <c r="Y56" i="5"/>
  <c r="Y55" i="5"/>
  <c r="Y47" i="5"/>
  <c r="Y46" i="5"/>
  <c r="Y45" i="5"/>
  <c r="Y44" i="5"/>
  <c r="Y42" i="5"/>
  <c r="Y41" i="5"/>
  <c r="Y40" i="5"/>
  <c r="Y39" i="5"/>
  <c r="Y37" i="5"/>
  <c r="Y36" i="5"/>
  <c r="Y35" i="5"/>
  <c r="Y34" i="5"/>
  <c r="Y32" i="5"/>
  <c r="Y31" i="5"/>
  <c r="Y30" i="5"/>
  <c r="Y29" i="5"/>
  <c r="Y27" i="5"/>
  <c r="Y26" i="5"/>
  <c r="Y25" i="5"/>
  <c r="Y24" i="5"/>
  <c r="Y22" i="5"/>
  <c r="Y21" i="5"/>
  <c r="Y20" i="5"/>
  <c r="Y19" i="5"/>
  <c r="Y17" i="5"/>
  <c r="Y16" i="5"/>
  <c r="Y15" i="5"/>
  <c r="Y14" i="5"/>
  <c r="Y12" i="5"/>
  <c r="Y11" i="5"/>
  <c r="Y10" i="5"/>
  <c r="Y9" i="5"/>
  <c r="Y7" i="5"/>
  <c r="Y5" i="5"/>
  <c r="Y4" i="5"/>
  <c r="R132" i="5"/>
  <c r="R131" i="5"/>
  <c r="R130" i="5"/>
  <c r="R127" i="5"/>
  <c r="R126" i="5"/>
  <c r="R125" i="5"/>
  <c r="R123" i="5"/>
  <c r="R121" i="5"/>
  <c r="R120" i="5"/>
  <c r="R118" i="5"/>
  <c r="R117" i="5"/>
  <c r="R116" i="5"/>
  <c r="R115" i="5"/>
  <c r="R113" i="5"/>
  <c r="R112" i="5"/>
  <c r="R111" i="5"/>
  <c r="R110" i="5"/>
  <c r="R108" i="5"/>
  <c r="R107" i="5"/>
  <c r="R106" i="5"/>
  <c r="R105" i="5"/>
  <c r="R103" i="5"/>
  <c r="R102" i="5"/>
  <c r="R101" i="5"/>
  <c r="R100" i="5"/>
  <c r="R98" i="5"/>
  <c r="R97" i="5"/>
  <c r="R96" i="5"/>
  <c r="R95" i="5"/>
  <c r="R93" i="5"/>
  <c r="R92" i="5"/>
  <c r="R91" i="5"/>
  <c r="R90" i="5"/>
  <c r="R88" i="5"/>
  <c r="R87" i="5"/>
  <c r="R86" i="5"/>
  <c r="R85" i="5"/>
  <c r="R83" i="5"/>
  <c r="R82" i="5"/>
  <c r="R81" i="5"/>
  <c r="R80" i="5"/>
  <c r="R78" i="5"/>
  <c r="R77" i="5"/>
  <c r="R76" i="5"/>
  <c r="R75" i="5"/>
  <c r="R73" i="5"/>
  <c r="R72" i="5"/>
  <c r="R71" i="5"/>
  <c r="R70" i="5"/>
  <c r="R68" i="5"/>
  <c r="R67" i="5"/>
  <c r="R66" i="5"/>
  <c r="R65" i="5"/>
  <c r="R63" i="5"/>
  <c r="R62" i="5"/>
  <c r="R61" i="5"/>
  <c r="R60" i="5"/>
  <c r="R58" i="5"/>
  <c r="R57" i="5"/>
  <c r="R56" i="5"/>
  <c r="R55" i="5"/>
  <c r="R47" i="5"/>
  <c r="R45" i="5"/>
  <c r="R44" i="5"/>
  <c r="R42" i="5"/>
  <c r="R40" i="5"/>
  <c r="R39" i="5"/>
  <c r="R36" i="5"/>
  <c r="R35" i="5"/>
  <c r="R34" i="5"/>
  <c r="R32" i="5"/>
  <c r="R31" i="5"/>
  <c r="R30" i="5"/>
  <c r="R29" i="5"/>
  <c r="R27" i="5"/>
  <c r="R26" i="5"/>
  <c r="R25" i="5"/>
  <c r="R24" i="5"/>
  <c r="R22" i="5"/>
  <c r="R21" i="5"/>
  <c r="R20" i="5"/>
  <c r="R19" i="5"/>
  <c r="R17" i="5"/>
  <c r="R15" i="5"/>
  <c r="R14" i="5"/>
  <c r="R12" i="5"/>
  <c r="R11" i="5"/>
  <c r="R10" i="5"/>
  <c r="R9" i="5"/>
  <c r="R7" i="5"/>
  <c r="R5" i="5"/>
  <c r="R4" i="5"/>
  <c r="K130" i="5"/>
  <c r="K128" i="5"/>
  <c r="AF128" i="5" s="1"/>
  <c r="K127" i="5"/>
  <c r="K126" i="5"/>
  <c r="K125" i="5"/>
  <c r="K123" i="5"/>
  <c r="K122" i="5"/>
  <c r="K121" i="5"/>
  <c r="K120" i="5"/>
  <c r="K118" i="5"/>
  <c r="K117" i="5"/>
  <c r="K116" i="5"/>
  <c r="K115" i="5"/>
  <c r="K113" i="5"/>
  <c r="K112" i="5"/>
  <c r="K111" i="5"/>
  <c r="K110" i="5"/>
  <c r="K108" i="5"/>
  <c r="K107" i="5"/>
  <c r="K106" i="5"/>
  <c r="K105" i="5"/>
  <c r="K103" i="5"/>
  <c r="K102" i="5"/>
  <c r="K101" i="5"/>
  <c r="K100" i="5"/>
  <c r="K58" i="5"/>
  <c r="K47" i="5"/>
  <c r="K46" i="5"/>
  <c r="K45" i="5"/>
  <c r="K44" i="5"/>
  <c r="K42" i="5"/>
  <c r="K40" i="5"/>
  <c r="K39" i="5"/>
  <c r="K37" i="5"/>
  <c r="K35" i="5"/>
  <c r="K34" i="5"/>
  <c r="K30" i="5"/>
  <c r="K29" i="5"/>
  <c r="K27" i="5"/>
  <c r="K26" i="5"/>
  <c r="K25" i="5"/>
  <c r="K24" i="5"/>
  <c r="K22" i="5"/>
  <c r="K21" i="5"/>
  <c r="K20" i="5"/>
  <c r="K19" i="5"/>
  <c r="K17" i="5"/>
  <c r="K16" i="5"/>
  <c r="K15" i="5"/>
  <c r="K14" i="5"/>
  <c r="K12" i="5"/>
  <c r="K11" i="5"/>
  <c r="K10" i="5"/>
  <c r="K9" i="5"/>
  <c r="K5" i="5"/>
  <c r="K4" i="5"/>
  <c r="D132" i="5"/>
  <c r="D131" i="5"/>
  <c r="D130" i="5"/>
  <c r="D126" i="5"/>
  <c r="D123" i="5"/>
  <c r="D122" i="5"/>
  <c r="D121" i="5"/>
  <c r="D120" i="5"/>
  <c r="D118" i="5"/>
  <c r="D117" i="5"/>
  <c r="D116" i="5"/>
  <c r="D115" i="5"/>
  <c r="D113" i="5"/>
  <c r="D112" i="5"/>
  <c r="D111" i="5"/>
  <c r="D110" i="5"/>
  <c r="D108" i="5"/>
  <c r="D107" i="5"/>
  <c r="D106" i="5"/>
  <c r="D105" i="5"/>
  <c r="D103" i="5"/>
  <c r="D101" i="5"/>
  <c r="D100" i="5"/>
  <c r="D98" i="5"/>
  <c r="D97" i="5"/>
  <c r="D96" i="5"/>
  <c r="D95" i="5"/>
  <c r="D93" i="5"/>
  <c r="D92" i="5"/>
  <c r="D91" i="5"/>
  <c r="D90" i="5"/>
  <c r="D88" i="5"/>
  <c r="D87" i="5"/>
  <c r="D86" i="5"/>
  <c r="D85" i="5"/>
  <c r="D83" i="5"/>
  <c r="D82" i="5"/>
  <c r="D81" i="5"/>
  <c r="D78" i="5"/>
  <c r="D77" i="5"/>
  <c r="D76" i="5"/>
  <c r="D73" i="5"/>
  <c r="D72" i="5"/>
  <c r="D71" i="5"/>
  <c r="D68" i="5"/>
  <c r="D63" i="5"/>
  <c r="D59" i="5" s="1"/>
  <c r="D58" i="5"/>
  <c r="D56" i="5"/>
  <c r="D47" i="5"/>
  <c r="D46" i="5"/>
  <c r="D45" i="5"/>
  <c r="D44" i="5"/>
  <c r="D42" i="5"/>
  <c r="D41" i="5"/>
  <c r="D40" i="5"/>
  <c r="D39" i="5"/>
  <c r="D37" i="5"/>
  <c r="D36" i="5"/>
  <c r="D35" i="5"/>
  <c r="D34" i="5"/>
  <c r="D32" i="5"/>
  <c r="D31" i="5"/>
  <c r="D30" i="5"/>
  <c r="D29" i="5"/>
  <c r="D27" i="5"/>
  <c r="D26" i="5"/>
  <c r="D25" i="5"/>
  <c r="D24" i="5"/>
  <c r="D20" i="5"/>
  <c r="D19" i="5"/>
  <c r="D17" i="5"/>
  <c r="D16" i="5"/>
  <c r="D15" i="5"/>
  <c r="D14" i="5"/>
  <c r="D12" i="5"/>
  <c r="D11" i="5"/>
  <c r="D10" i="5"/>
  <c r="D9" i="5"/>
  <c r="D7" i="5"/>
  <c r="D6" i="5"/>
  <c r="D4" i="5"/>
  <c r="AF57" i="5" l="1"/>
  <c r="D33" i="5"/>
  <c r="AF125" i="5"/>
  <c r="AF131" i="5"/>
  <c r="AF126" i="5"/>
  <c r="K129" i="5"/>
  <c r="AF130" i="5"/>
  <c r="AF127" i="5"/>
  <c r="R129" i="5"/>
  <c r="Y13" i="5"/>
  <c r="D129" i="5"/>
  <c r="AF62" i="5"/>
  <c r="D114" i="5"/>
  <c r="K114" i="5"/>
  <c r="AF41" i="5"/>
  <c r="AF21" i="5"/>
  <c r="AF132" i="5"/>
  <c r="Y124" i="5"/>
  <c r="K119" i="5"/>
  <c r="R114" i="5"/>
  <c r="R109" i="5"/>
  <c r="AF87" i="5"/>
  <c r="AF107" i="5"/>
  <c r="Y114" i="5"/>
  <c r="AF122" i="5"/>
  <c r="R124" i="5"/>
  <c r="R119" i="5"/>
  <c r="K124" i="5"/>
  <c r="Y119" i="5"/>
  <c r="Y129" i="5"/>
  <c r="K3" i="5"/>
  <c r="R3" i="5"/>
  <c r="AF97" i="5"/>
  <c r="AF98" i="5"/>
  <c r="AF108" i="5"/>
  <c r="AF47" i="5"/>
  <c r="AF37" i="5"/>
  <c r="AF93" i="5"/>
  <c r="AF113" i="5"/>
  <c r="AF73" i="5"/>
  <c r="AF103" i="5"/>
  <c r="AF67" i="5"/>
  <c r="AF88" i="5"/>
  <c r="AF78" i="5"/>
  <c r="AF77" i="5"/>
  <c r="AF9" i="5"/>
  <c r="AF19" i="5"/>
  <c r="AF29" i="5"/>
  <c r="AF34" i="5"/>
  <c r="AF44" i="5"/>
  <c r="AF55" i="5"/>
  <c r="AF65" i="5"/>
  <c r="AF85" i="5"/>
  <c r="AF115" i="5"/>
  <c r="AF20" i="5"/>
  <c r="AF56" i="5"/>
  <c r="AF76" i="5"/>
  <c r="AF14" i="5"/>
  <c r="AF24" i="5"/>
  <c r="AF39" i="5"/>
  <c r="AF60" i="5"/>
  <c r="AF80" i="5"/>
  <c r="AF120" i="5"/>
  <c r="AF40" i="5"/>
  <c r="AF61" i="5"/>
  <c r="AF71" i="5"/>
  <c r="AF81" i="5"/>
  <c r="AF91" i="5"/>
  <c r="AF101" i="5"/>
  <c r="AF111" i="5"/>
  <c r="AF116" i="5"/>
  <c r="AF5" i="5"/>
  <c r="AF102" i="5"/>
  <c r="AF112" i="5"/>
  <c r="AF117" i="5"/>
  <c r="AF96" i="5"/>
  <c r="AF82" i="5"/>
  <c r="AF68" i="5"/>
  <c r="AF63" i="5"/>
  <c r="AF58" i="5"/>
  <c r="AF26" i="5"/>
  <c r="AF27" i="5"/>
  <c r="AF25" i="5"/>
  <c r="AF17" i="5"/>
  <c r="AF15" i="5"/>
  <c r="AF12" i="5"/>
  <c r="R23" i="5"/>
  <c r="R59" i="5"/>
  <c r="K79" i="5"/>
  <c r="R74" i="5"/>
  <c r="R94" i="5"/>
  <c r="K18" i="5"/>
  <c r="AF72" i="5"/>
  <c r="R84" i="5"/>
  <c r="AF92" i="5"/>
  <c r="K74" i="5"/>
  <c r="K104" i="5"/>
  <c r="K109" i="5"/>
  <c r="AF4" i="5"/>
  <c r="AF6" i="5"/>
  <c r="AF16" i="5"/>
  <c r="D104" i="5"/>
  <c r="AF106" i="5"/>
  <c r="D18" i="5"/>
  <c r="AF22" i="5"/>
  <c r="D79" i="5"/>
  <c r="AF83" i="5"/>
  <c r="D119" i="5"/>
  <c r="AF121" i="5"/>
  <c r="D94" i="5"/>
  <c r="AF95" i="5"/>
  <c r="D99" i="5"/>
  <c r="D64" i="5"/>
  <c r="AF66" i="5"/>
  <c r="D84" i="5"/>
  <c r="AF86" i="5"/>
  <c r="AF100" i="5"/>
  <c r="AF105" i="5"/>
  <c r="D109" i="5"/>
  <c r="AF110" i="5"/>
  <c r="AF118" i="5"/>
  <c r="AF123" i="5"/>
  <c r="D69" i="5"/>
  <c r="AF70" i="5"/>
  <c r="D74" i="5"/>
  <c r="AF75" i="5"/>
  <c r="D89" i="5"/>
  <c r="AF90" i="5"/>
  <c r="AF11" i="5"/>
  <c r="D23" i="5"/>
  <c r="Y104" i="5"/>
  <c r="K23" i="5"/>
  <c r="K59" i="5"/>
  <c r="K84" i="5"/>
  <c r="K89" i="5"/>
  <c r="R64" i="5"/>
  <c r="R89" i="5"/>
  <c r="Y109" i="5"/>
  <c r="K99" i="5"/>
  <c r="R18" i="5"/>
  <c r="R79" i="5"/>
  <c r="R104" i="5"/>
  <c r="Y64" i="5"/>
  <c r="Y84" i="5"/>
  <c r="K64" i="5"/>
  <c r="K69" i="5"/>
  <c r="R33" i="5"/>
  <c r="R69" i="5"/>
  <c r="R99" i="5"/>
  <c r="Y18" i="5"/>
  <c r="Y23" i="5"/>
  <c r="Y33" i="5"/>
  <c r="Y54" i="5"/>
  <c r="Y59" i="5"/>
  <c r="Y69" i="5"/>
  <c r="Y74" i="5"/>
  <c r="Y79" i="5"/>
  <c r="Y89" i="5"/>
  <c r="Y94" i="5"/>
  <c r="Y99" i="5"/>
  <c r="D8" i="5"/>
  <c r="Y3" i="5"/>
  <c r="AF7" i="5"/>
  <c r="D54" i="5"/>
  <c r="R54" i="5"/>
  <c r="AF46" i="5"/>
  <c r="AF42" i="5"/>
  <c r="Y38" i="5"/>
  <c r="AF35" i="5"/>
  <c r="AF36" i="5"/>
  <c r="K33" i="5"/>
  <c r="D124" i="5"/>
  <c r="K54" i="5"/>
  <c r="R43" i="5"/>
  <c r="K43" i="5"/>
  <c r="D43" i="5"/>
  <c r="Y43" i="5"/>
  <c r="AF45" i="5"/>
  <c r="K38" i="5"/>
  <c r="D38" i="5"/>
  <c r="R38" i="5"/>
  <c r="K13" i="5"/>
  <c r="Y8" i="5"/>
  <c r="AF10" i="5"/>
  <c r="AF31" i="5"/>
  <c r="AF32" i="5"/>
  <c r="K28" i="5"/>
  <c r="Y28" i="5"/>
  <c r="R28" i="5"/>
  <c r="D28" i="5"/>
  <c r="AF30" i="5"/>
  <c r="D13" i="5"/>
  <c r="R13" i="5"/>
  <c r="K8" i="5"/>
  <c r="R8" i="5"/>
  <c r="D3" i="5"/>
  <c r="AF54" i="5" l="1"/>
  <c r="AF124" i="5"/>
  <c r="AF129" i="5"/>
  <c r="AF3" i="5"/>
  <c r="AF33" i="5"/>
  <c r="AF59" i="5"/>
  <c r="AF28" i="5"/>
  <c r="AF23" i="5"/>
  <c r="AF8" i="5"/>
  <c r="AF13" i="5"/>
  <c r="AF18" i="5"/>
  <c r="AF104" i="5"/>
  <c r="AF94" i="5"/>
  <c r="AF74" i="5"/>
  <c r="AF109" i="5"/>
  <c r="AF84" i="5"/>
  <c r="AF38" i="5"/>
  <c r="AF114" i="5"/>
  <c r="AF99" i="5"/>
  <c r="AF79" i="5"/>
  <c r="AF64" i="5"/>
  <c r="AF89" i="5"/>
  <c r="AF69" i="5"/>
  <c r="AF43" i="5"/>
  <c r="AF119" i="5"/>
  <c r="AF53" i="5" l="1"/>
  <c r="N3" i="5"/>
  <c r="P3" i="5"/>
  <c r="S3" i="5"/>
  <c r="U3" i="5"/>
  <c r="W3" i="5"/>
  <c r="Z3" i="5"/>
  <c r="AB3" i="5"/>
  <c r="AD3" i="5"/>
  <c r="AB124" i="5"/>
  <c r="AB119" i="5"/>
  <c r="AB114" i="5"/>
  <c r="AB109" i="5"/>
  <c r="AB104" i="5"/>
  <c r="AB99" i="5"/>
  <c r="AB94" i="5"/>
  <c r="AB84" i="5"/>
  <c r="AB79" i="5"/>
  <c r="AB74" i="5"/>
  <c r="AB69" i="5"/>
  <c r="AB64" i="5"/>
  <c r="AB59" i="5"/>
  <c r="AB54" i="5"/>
  <c r="AB43" i="5"/>
  <c r="AB38" i="5"/>
  <c r="AB28" i="5"/>
  <c r="AB23" i="5"/>
  <c r="AB18" i="5"/>
  <c r="AB13" i="5"/>
  <c r="AB8" i="5"/>
  <c r="Z109" i="5"/>
  <c r="Z104" i="5"/>
  <c r="Z99" i="5"/>
  <c r="Z94" i="5"/>
  <c r="Z89" i="5"/>
  <c r="Z84" i="5"/>
  <c r="Z79" i="5"/>
  <c r="Z74" i="5"/>
  <c r="Z69" i="5"/>
  <c r="Z64" i="5"/>
  <c r="Z54" i="5"/>
  <c r="Z43" i="5"/>
  <c r="Z38" i="5"/>
  <c r="Z28" i="5"/>
  <c r="Z23" i="5"/>
  <c r="Z18" i="5"/>
  <c r="Z13" i="5"/>
  <c r="Z8" i="5"/>
  <c r="W109" i="5"/>
  <c r="W104" i="5"/>
  <c r="W99" i="5"/>
  <c r="W94" i="5"/>
  <c r="W89" i="5"/>
  <c r="W84" i="5"/>
  <c r="W79" i="5"/>
  <c r="W74" i="5"/>
  <c r="W69" i="5"/>
  <c r="W64" i="5"/>
  <c r="W59" i="5"/>
  <c r="W54" i="5"/>
  <c r="W43" i="5"/>
  <c r="W23" i="5"/>
  <c r="W18" i="5"/>
  <c r="W13" i="5"/>
  <c r="W8" i="5"/>
  <c r="U119" i="5"/>
  <c r="U114" i="5"/>
  <c r="U109" i="5"/>
  <c r="U104" i="5"/>
  <c r="U99" i="5"/>
  <c r="U94" i="5"/>
  <c r="U89" i="5"/>
  <c r="U84" i="5"/>
  <c r="U79" i="5"/>
  <c r="U74" i="5"/>
  <c r="U69" i="5"/>
  <c r="U64" i="5"/>
  <c r="U59" i="5"/>
  <c r="U54" i="5"/>
  <c r="U43" i="5"/>
  <c r="U38" i="5"/>
  <c r="U23" i="5"/>
  <c r="U18" i="5"/>
  <c r="U13" i="5"/>
  <c r="U8" i="5"/>
  <c r="S124" i="5"/>
  <c r="S119" i="5"/>
  <c r="S114" i="5"/>
  <c r="S109" i="5"/>
  <c r="S104" i="5"/>
  <c r="S99" i="5"/>
  <c r="S94" i="5"/>
  <c r="S89" i="5"/>
  <c r="S84" i="5"/>
  <c r="S79" i="5"/>
  <c r="S74" i="5"/>
  <c r="S69" i="5"/>
  <c r="S64" i="5"/>
  <c r="S59" i="5"/>
  <c r="S54" i="5"/>
  <c r="S43" i="5"/>
  <c r="S38" i="5"/>
  <c r="S23" i="5"/>
  <c r="S18" i="5"/>
  <c r="S13" i="5"/>
  <c r="S8" i="5"/>
  <c r="P134" i="5"/>
  <c r="P124" i="5"/>
  <c r="P119" i="5"/>
  <c r="P114" i="5"/>
  <c r="P109" i="5"/>
  <c r="P104" i="5"/>
  <c r="P99" i="5"/>
  <c r="P94" i="5"/>
  <c r="P89" i="5"/>
  <c r="P84" i="5"/>
  <c r="P79" i="5"/>
  <c r="P74" i="5"/>
  <c r="P69" i="5"/>
  <c r="P64" i="5"/>
  <c r="P59" i="5"/>
  <c r="P54" i="5"/>
  <c r="P43" i="5"/>
  <c r="P38" i="5"/>
  <c r="P28" i="5"/>
  <c r="P23" i="5"/>
  <c r="P18" i="5"/>
  <c r="P13" i="5"/>
  <c r="P8" i="5"/>
  <c r="N8" i="5"/>
  <c r="N13" i="5"/>
  <c r="N18" i="5"/>
  <c r="N23" i="5"/>
  <c r="N28" i="5"/>
  <c r="N38" i="5"/>
  <c r="N43" i="5"/>
  <c r="N54" i="5"/>
  <c r="N59" i="5"/>
  <c r="N64" i="5"/>
  <c r="N69" i="5"/>
  <c r="N74" i="5"/>
  <c r="N79" i="5"/>
  <c r="N84" i="5"/>
  <c r="N89" i="5"/>
  <c r="N94" i="5"/>
  <c r="N99" i="5"/>
  <c r="N104" i="5"/>
  <c r="N109" i="5"/>
  <c r="N114" i="5"/>
  <c r="N119" i="5"/>
  <c r="N124" i="5"/>
  <c r="N134" i="5"/>
  <c r="L134" i="5"/>
  <c r="L129" i="5" s="1"/>
  <c r="L124" i="5"/>
  <c r="L119" i="5"/>
  <c r="L109" i="5"/>
  <c r="L104" i="5"/>
  <c r="L99" i="5"/>
  <c r="L94" i="5"/>
  <c r="L89" i="5"/>
  <c r="L84" i="5"/>
  <c r="L74" i="5"/>
  <c r="L69" i="5"/>
  <c r="L64" i="5"/>
  <c r="L59" i="5"/>
  <c r="L54" i="5"/>
  <c r="L43" i="5"/>
  <c r="L28" i="5"/>
  <c r="L23" i="5"/>
  <c r="L18" i="5"/>
  <c r="L13" i="5"/>
  <c r="L8" i="5"/>
  <c r="L3" i="5"/>
  <c r="K94" i="5" l="1"/>
  <c r="G3" i="5"/>
  <c r="AD124" i="5"/>
  <c r="AD119" i="5"/>
  <c r="AD114" i="5"/>
  <c r="AD109" i="5"/>
  <c r="AD104" i="5"/>
  <c r="AD99" i="5"/>
  <c r="AD94" i="5"/>
  <c r="AD89" i="5"/>
  <c r="AD84" i="5"/>
  <c r="AD79" i="5"/>
  <c r="AD74" i="5"/>
  <c r="AD69" i="5"/>
  <c r="AD64" i="5"/>
  <c r="AD59" i="5"/>
  <c r="AD54" i="5"/>
  <c r="AD43" i="5"/>
  <c r="AD38" i="5"/>
  <c r="AD28" i="5"/>
  <c r="AD23" i="5"/>
  <c r="AD18" i="5"/>
  <c r="AD13" i="5"/>
  <c r="AD8" i="5"/>
  <c r="E3" i="5" l="1"/>
  <c r="I134" i="5" l="1"/>
  <c r="I129" i="5" s="1"/>
  <c r="I124" i="5"/>
  <c r="G124" i="5"/>
  <c r="I119" i="5"/>
  <c r="E119" i="5"/>
  <c r="I114" i="5"/>
  <c r="I109" i="5"/>
  <c r="E109" i="5"/>
  <c r="I104" i="5"/>
  <c r="G104" i="5"/>
  <c r="I99" i="5"/>
  <c r="G99" i="5"/>
  <c r="E99" i="5"/>
  <c r="I94" i="5"/>
  <c r="G94" i="5"/>
  <c r="E94" i="5"/>
  <c r="I89" i="5"/>
  <c r="G89" i="5"/>
  <c r="E89" i="5"/>
  <c r="I84" i="5"/>
  <c r="G84" i="5"/>
  <c r="E84" i="5"/>
  <c r="I79" i="5"/>
  <c r="G79" i="5"/>
  <c r="E79" i="5"/>
  <c r="I74" i="5"/>
  <c r="G74" i="5"/>
  <c r="E74" i="5"/>
  <c r="I69" i="5"/>
  <c r="G69" i="5"/>
  <c r="E69" i="5"/>
  <c r="I64" i="5"/>
  <c r="G64" i="5"/>
  <c r="E64" i="5"/>
  <c r="I59" i="5"/>
  <c r="G59" i="5"/>
  <c r="E59" i="5"/>
  <c r="I54" i="5"/>
  <c r="G54" i="5"/>
  <c r="E54" i="5"/>
  <c r="I43" i="5"/>
  <c r="G43" i="5"/>
  <c r="I28" i="5"/>
  <c r="G28" i="5"/>
  <c r="I23" i="5"/>
  <c r="E23" i="5"/>
  <c r="I18" i="5"/>
  <c r="G18" i="5"/>
  <c r="E18" i="5"/>
  <c r="I13" i="5"/>
  <c r="G13" i="5"/>
  <c r="E13" i="5"/>
  <c r="E8" i="5"/>
  <c r="I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Хохлов Александр Викторович</author>
  </authors>
  <commentList>
    <comment ref="V258" authorId="0" shapeId="0" xr:uid="{B68F8296-86B4-4A99-BC15-3CEC4B292CC3}">
      <text>
        <r>
          <rPr>
            <sz val="9"/>
            <color indexed="81"/>
            <rFont val="Tahoma"/>
            <family val="2"/>
            <charset val="204"/>
          </rPr>
          <t>На базе Ceyear 4051</t>
        </r>
      </text>
    </comment>
  </commentList>
</comments>
</file>

<file path=xl/sharedStrings.xml><?xml version="1.0" encoding="utf-8"?>
<sst xmlns="http://schemas.openxmlformats.org/spreadsheetml/2006/main" count="607" uniqueCount="356">
  <si>
    <t>Наименование изделия</t>
  </si>
  <si>
    <t>ГШВА-2</t>
  </si>
  <si>
    <t>ПЭД-5</t>
  </si>
  <si>
    <t>ПЭД-6</t>
  </si>
  <si>
    <t>OMS-2000</t>
  </si>
  <si>
    <t>БПУ-1</t>
  </si>
  <si>
    <t>ПЭД-8А</t>
  </si>
  <si>
    <t>АИ-8А/Н</t>
  </si>
  <si>
    <t>АИ-8А/П</t>
  </si>
  <si>
    <t>АИ-8А/У</t>
  </si>
  <si>
    <t xml:space="preserve">
№
</t>
  </si>
  <si>
    <t>Монтажная плодащка</t>
  </si>
  <si>
    <t xml:space="preserve">Дюбель сталь </t>
  </si>
  <si>
    <t>OMS-2000М с регулировкой уровня</t>
  </si>
  <si>
    <t>Устройство внешней индикации</t>
  </si>
  <si>
    <t>Пульт ДУ</t>
  </si>
  <si>
    <t>Ключ-ВП (IT)</t>
  </si>
  <si>
    <t>Ключ ВП (СЛ)</t>
  </si>
  <si>
    <t>Шорох-3</t>
  </si>
  <si>
    <t>Шорох-5Л</t>
  </si>
  <si>
    <t>Монт. площадка тип 1 (стекло)</t>
  </si>
  <si>
    <t>Монт. площадка тип 2 (перегородки)</t>
  </si>
  <si>
    <t>Монт. площадка тип 3 (рамы)</t>
  </si>
  <si>
    <t>Крепление на трубы</t>
  </si>
  <si>
    <t>Дюбель тип 1 для бетонных стен</t>
  </si>
  <si>
    <t>Дюбель тип 2 для кирпичных стен</t>
  </si>
  <si>
    <t>янв</t>
  </si>
  <si>
    <t>фев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</si>
  <si>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</si>
  <si>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</si>
  <si>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</si>
  <si>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</si>
  <si>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</si>
  <si>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</si>
  <si>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</si>
  <si>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</si>
  <si>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</si>
  <si>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</si>
  <si>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III кв.</t>
  </si>
  <si>
    <t>I кв.</t>
  </si>
  <si>
    <t>II кв.</t>
  </si>
  <si>
    <t>IV кв.</t>
  </si>
  <si>
    <t>Ключ ВП (220)</t>
  </si>
  <si>
    <t>АИ-8А/мини</t>
  </si>
  <si>
    <t>БП-14</t>
  </si>
  <si>
    <t>Дюбель алюминиевый</t>
  </si>
  <si>
    <t>Хомут</t>
  </si>
  <si>
    <t>Старкад</t>
  </si>
  <si>
    <t>Старкад-11</t>
  </si>
  <si>
    <t>Старкад-33</t>
  </si>
  <si>
    <t>Сетевой адаптер</t>
  </si>
  <si>
    <t>ПО Трикад</t>
  </si>
  <si>
    <t>Телефоны</t>
  </si>
  <si>
    <t>Телефон-Н2</t>
  </si>
  <si>
    <t>ЗМТ-5</t>
  </si>
  <si>
    <t>Талис-НЧ-М2</t>
  </si>
  <si>
    <t>Сигурд-А10</t>
  </si>
  <si>
    <t>Сигурд-ИК</t>
  </si>
  <si>
    <t>СПДУ-1</t>
  </si>
  <si>
    <t>Стентор-мини</t>
  </si>
  <si>
    <t>Вензель-М3</t>
  </si>
  <si>
    <t>Обертон</t>
  </si>
  <si>
    <t>Лазурит</t>
  </si>
  <si>
    <t>Палатка-М2</t>
  </si>
  <si>
    <t>Системы оценки защищенности</t>
  </si>
  <si>
    <t xml:space="preserve"> </t>
  </si>
  <si>
    <t>Шепот-М1</t>
  </si>
  <si>
    <t>УЭК-М1 с укладкой и кабелем (розница)</t>
  </si>
  <si>
    <t>Шелест-М2 (розница)</t>
  </si>
  <si>
    <t>Модуль ЦОС</t>
  </si>
  <si>
    <t>Каскад</t>
  </si>
  <si>
    <t>Код 1С: 3593</t>
  </si>
  <si>
    <t>Код 1С: 22446</t>
  </si>
  <si>
    <t>Код 1С: 4990</t>
  </si>
  <si>
    <t>Код 1С: 4989</t>
  </si>
  <si>
    <t>Код 1С: 21232</t>
  </si>
  <si>
    <t>Код 1С: 1164</t>
  </si>
  <si>
    <t>Код 1С: 20246</t>
  </si>
  <si>
    <t>Код 1С: 20248</t>
  </si>
  <si>
    <t>Код 1С: 20247</t>
  </si>
  <si>
    <t>Код 1С: 20245</t>
  </si>
  <si>
    <t>Код 1С: 16364</t>
  </si>
  <si>
    <t>Код 1С: 16300</t>
  </si>
  <si>
    <t>Код 1С: 15029</t>
  </si>
  <si>
    <t>Код 1С: 16365</t>
  </si>
  <si>
    <t>Код 1С: 16366</t>
  </si>
  <si>
    <t>Код 1С: 16363</t>
  </si>
  <si>
    <t>Код 1С: 19663</t>
  </si>
  <si>
    <t>Код 1С: 20273</t>
  </si>
  <si>
    <t>Код 1С: 19059</t>
  </si>
  <si>
    <t>Код 1С: 19058</t>
  </si>
  <si>
    <t>Код 1С: 20208</t>
  </si>
  <si>
    <t>Код 1С: 20207</t>
  </si>
  <si>
    <t>Код 1С: 20726</t>
  </si>
  <si>
    <t>Код 1С: 20708</t>
  </si>
  <si>
    <t>Код 1С: 21258</t>
  </si>
  <si>
    <t>Код 1С: 21259</t>
  </si>
  <si>
    <t>Код 1С: 21841</t>
  </si>
  <si>
    <t>Код 1С: 11992</t>
  </si>
  <si>
    <t>Код 1С: 22720</t>
  </si>
  <si>
    <t>Код из 1С: 21261</t>
  </si>
  <si>
    <t>Код из 1С: 21080</t>
  </si>
  <si>
    <t>Код из 1С: 8740</t>
  </si>
  <si>
    <t>Код из 1С: 12882</t>
  </si>
  <si>
    <t>Код из 1С: 5406</t>
  </si>
  <si>
    <t>Старкад-32М</t>
  </si>
  <si>
    <t>Код 1С: 18048</t>
  </si>
  <si>
    <t>Код 1С: 26249</t>
  </si>
  <si>
    <t>Код 1С: 17809</t>
  </si>
  <si>
    <t>Купрум (мерные отрезки) (розница)</t>
  </si>
  <si>
    <t>Модернизация Шепот-М1 под новые НМД</t>
  </si>
  <si>
    <t>Розница (200)</t>
  </si>
  <si>
    <t>Розница (80)</t>
  </si>
  <si>
    <t>Розница (50)</t>
  </si>
  <si>
    <t>Розница (40)</t>
  </si>
  <si>
    <t>Розница (4)</t>
  </si>
  <si>
    <t>Розница (30)</t>
  </si>
  <si>
    <t>Розница (10)</t>
  </si>
  <si>
    <t>Розница (3)</t>
  </si>
  <si>
    <t>Розница (5)</t>
  </si>
  <si>
    <t>Розница (6)</t>
  </si>
  <si>
    <t>Розница (20)</t>
  </si>
  <si>
    <t>Розница (25)</t>
  </si>
  <si>
    <t>Розница (35)</t>
  </si>
  <si>
    <t>Розница (2)</t>
  </si>
  <si>
    <t>Розница (15)</t>
  </si>
  <si>
    <t>Розница (7)</t>
  </si>
  <si>
    <t>Розница (1)</t>
  </si>
  <si>
    <t>Сигурд-НЧ</t>
  </si>
  <si>
    <t>Розница (9)</t>
  </si>
  <si>
    <t>Розница (12)</t>
  </si>
  <si>
    <t>Розница (8)</t>
  </si>
  <si>
    <t>Розница (130)</t>
  </si>
  <si>
    <t>РНИИРС (1)</t>
  </si>
  <si>
    <t>ПрО</t>
  </si>
  <si>
    <t>КБ+ПрО</t>
  </si>
  <si>
    <t>КБ</t>
  </si>
  <si>
    <t>КЦ+ПрО</t>
  </si>
  <si>
    <t>ПрО+КБ</t>
  </si>
  <si>
    <t>Тандем (в компл. с мерными отрезками)</t>
  </si>
  <si>
    <t>Итого
2025</t>
  </si>
  <si>
    <t>Розница (350)</t>
  </si>
  <si>
    <t>Розница (60)</t>
  </si>
  <si>
    <t>Минобороны (1)</t>
  </si>
  <si>
    <t>РЖД (1)</t>
  </si>
  <si>
    <t>УПП Вектор (1)</t>
  </si>
  <si>
    <t>МВД (1)</t>
  </si>
  <si>
    <t>Под проекты (1)</t>
  </si>
  <si>
    <t>УЗГА (1)</t>
  </si>
  <si>
    <t>ЦЗД (1)</t>
  </si>
  <si>
    <t>НОВО (1)</t>
  </si>
  <si>
    <t>РЖД (4)</t>
  </si>
  <si>
    <t>ЦЕНТР ТБ (2)</t>
  </si>
  <si>
    <t>ЦЕНТР ТБ (1)</t>
  </si>
  <si>
    <t>Минобороны (выпускает КБ) (8)</t>
  </si>
  <si>
    <t>Фотон (1)</t>
  </si>
  <si>
    <t>4СП (1)</t>
  </si>
  <si>
    <t>МГТУ им. Баумана (1)</t>
  </si>
  <si>
    <t>Под проекты (50)</t>
  </si>
  <si>
    <t>Под проекты (230)</t>
  </si>
  <si>
    <t>Под проекты (200)</t>
  </si>
  <si>
    <t>Под проекты (150)</t>
  </si>
  <si>
    <t>Под проекты (100)</t>
  </si>
  <si>
    <t>Под проекты (500)</t>
  </si>
  <si>
    <t>Под проекты (950)</t>
  </si>
  <si>
    <t>Под проекты (250)</t>
  </si>
  <si>
    <t>Под проекты (20)</t>
  </si>
  <si>
    <t>Под проекты (170)</t>
  </si>
  <si>
    <t>Под проекты (350)</t>
  </si>
  <si>
    <t>Под проекты (261)</t>
  </si>
  <si>
    <t>Розница (45)</t>
  </si>
  <si>
    <t>Розница (300)</t>
  </si>
  <si>
    <t>Розница (600)</t>
  </si>
  <si>
    <t>Розница (120)</t>
  </si>
  <si>
    <t>Розница (110)</t>
  </si>
  <si>
    <t>Розница (100)</t>
  </si>
  <si>
    <t>Розница (18)</t>
  </si>
  <si>
    <t>Севзап (32)
Розница (1)</t>
  </si>
  <si>
    <t>Севзап (15)
Розница (1)</t>
  </si>
  <si>
    <t>ППП (100)</t>
  </si>
  <si>
    <t>Севзап (274)
Розница (2)</t>
  </si>
  <si>
    <t>Севзап (148)
Розница (14)</t>
  </si>
  <si>
    <t>Севзап (59)</t>
  </si>
  <si>
    <t>ППП (50)</t>
  </si>
  <si>
    <t>ППП (100)
Розница (4)</t>
  </si>
  <si>
    <t>ППП (60)
Розница (40)</t>
  </si>
  <si>
    <t>Севзап (99)
Розница (30)</t>
  </si>
  <si>
    <t>Севзап (105)
Розница (20)</t>
  </si>
  <si>
    <t>Севзап (70)
Розница (2)</t>
  </si>
  <si>
    <t>ППП (40)
Розница (4)</t>
  </si>
  <si>
    <t>в/ч 95006 (202)</t>
  </si>
  <si>
    <t>Под проекты (15)</t>
  </si>
  <si>
    <t>Под проекты (70)</t>
  </si>
  <si>
    <t>Под проекты (850)</t>
  </si>
  <si>
    <t>Под проекты (900)</t>
  </si>
  <si>
    <t>Под проекты (1000)</t>
  </si>
  <si>
    <t>Розница (16)</t>
  </si>
  <si>
    <t>Розница (11)</t>
  </si>
  <si>
    <t>Розница (39)</t>
  </si>
  <si>
    <t>Розница (256)</t>
  </si>
  <si>
    <t>Розница (126)</t>
  </si>
  <si>
    <t>Розница (13)</t>
  </si>
  <si>
    <t>Розница (29)</t>
  </si>
  <si>
    <t>Розница (56)</t>
  </si>
  <si>
    <t>Розница (68)</t>
  </si>
  <si>
    <t>Розница (51)</t>
  </si>
  <si>
    <t>Розница (55)</t>
  </si>
  <si>
    <t>Розница (650)</t>
  </si>
  <si>
    <t>Розница (140)</t>
  </si>
  <si>
    <t>Безопасность БД (11)
Розница (4)</t>
  </si>
  <si>
    <t>в/ч 43753 (39)</t>
  </si>
  <si>
    <t>Титан (ВЧО, ВЧН, ВЧП, АЭМП, ПЭМИН)</t>
  </si>
  <si>
    <t>Талис-М3 (ВЧО, ВЧН, ВЧП, АЭМП)</t>
  </si>
  <si>
    <t>РЖД (2)</t>
  </si>
  <si>
    <t>Сигурд-М8РМ</t>
  </si>
  <si>
    <t>ЦЕНТР ТБ (1)
Щит-2007 (1)</t>
  </si>
  <si>
    <t>ГОСТА (1)</t>
  </si>
  <si>
    <t>Радиозавод Пенза (1)
НИМИ им. Бахирева (1)</t>
  </si>
  <si>
    <t>ГЦСиЗИ МВД (1)</t>
  </si>
  <si>
    <t>ТГУ (1)</t>
  </si>
  <si>
    <t>Радар ммс (1)</t>
  </si>
  <si>
    <t>ППП (39)
Розница (4)</t>
  </si>
  <si>
    <t>ПМЦ Авангард (22)
Розница (10)</t>
  </si>
  <si>
    <t>ППП (92)
Розница (19)</t>
  </si>
  <si>
    <t>ППП (19)
Розница (6)</t>
  </si>
  <si>
    <t>ПМЦ Авангард (11)
Розница (10)</t>
  </si>
  <si>
    <t>ППП (36)
Розница (10)</t>
  </si>
  <si>
    <t>ППП (70)
Розница (16)</t>
  </si>
  <si>
    <t>ПМЦ Авангард (178)</t>
  </si>
  <si>
    <t>ППП (300)
Розница (134)</t>
  </si>
  <si>
    <t>ППП (54)</t>
  </si>
  <si>
    <t>ПМЦ Авангард (40)</t>
  </si>
  <si>
    <t>ППП (300)
Розница (101)</t>
  </si>
  <si>
    <t>ПМЦ Авангард (38)
Розница (65)</t>
  </si>
  <si>
    <t>ППП (134)</t>
  </si>
  <si>
    <t>ППП (275)</t>
  </si>
  <si>
    <t>ППП (300)
Розница (112)</t>
  </si>
  <si>
    <t>ППП (34)</t>
  </si>
  <si>
    <t>ПМЦ Авангард (86)</t>
  </si>
  <si>
    <t>ППП (130)
Розница (53)</t>
  </si>
  <si>
    <t>ПМЦ Авангард (36)</t>
  </si>
  <si>
    <t>ППП (100)
Розница (34)</t>
  </si>
  <si>
    <t>ППП (36)
Розница (16)</t>
  </si>
  <si>
    <t>ПМЦ Авангард (56)</t>
  </si>
  <si>
    <t>ППП (70)
Розница (25)</t>
  </si>
  <si>
    <t>БИТК (20)</t>
  </si>
  <si>
    <t>БИТК (84)</t>
  </si>
  <si>
    <t>БИТК (113)</t>
  </si>
  <si>
    <t>БИТК (37)</t>
  </si>
  <si>
    <t>в/ч 95006 (64)
ССП (65)</t>
  </si>
  <si>
    <t>в/ч 95006 (64)
ССП (27)</t>
  </si>
  <si>
    <t>ССП (514)</t>
  </si>
  <si>
    <t>ССП (277)</t>
  </si>
  <si>
    <t>ССП (96)</t>
  </si>
  <si>
    <t>ССП (206)</t>
  </si>
  <si>
    <t>ССП (198)</t>
  </si>
  <si>
    <t>ССП (110)</t>
  </si>
  <si>
    <t>Под проекты (10)</t>
  </si>
  <si>
    <t>Под проекты (650)</t>
  </si>
  <si>
    <t>Розница (32)</t>
  </si>
  <si>
    <t>Розница (26)</t>
  </si>
  <si>
    <t>Розница (419)</t>
  </si>
  <si>
    <t>Розница (66)</t>
  </si>
  <si>
    <t>Розница (151)</t>
  </si>
  <si>
    <t>Розница (28)</t>
  </si>
  <si>
    <t>Розница (38)</t>
  </si>
  <si>
    <t>Розница (44)</t>
  </si>
  <si>
    <t>Розница (52)</t>
  </si>
  <si>
    <t>Розница (17)</t>
  </si>
  <si>
    <t>Розница (19)</t>
  </si>
  <si>
    <t>Цертус (8)
Профтех (10)</t>
  </si>
  <si>
    <t>Цертус (16)
Профтех (15)
Профтех (9)</t>
  </si>
  <si>
    <t>Цертус (240)
Профтех (250)
Профтех (150)</t>
  </si>
  <si>
    <t>Цертус (48)
Профтех (50)
Профтех (30)</t>
  </si>
  <si>
    <t>Цертус (192)
Профтех (200)
Профтех (120)</t>
  </si>
  <si>
    <t>Цертус (32)
Профтех (18)</t>
  </si>
  <si>
    <t>Цертус (32)
Профтех (55)
Профтех (15)</t>
  </si>
  <si>
    <t>Цертус (32)
Профтех (30)
Профтех (18)</t>
  </si>
  <si>
    <t>Цертус (32)
Профтех (15)
Профтех (9)</t>
  </si>
  <si>
    <t>Профтех (54)</t>
  </si>
  <si>
    <t>Профтех (170)</t>
  </si>
  <si>
    <t>Профтех (2040)</t>
  </si>
  <si>
    <t>Профтех (200)</t>
  </si>
  <si>
    <t>Профтех (680)</t>
  </si>
  <si>
    <t>Профтех (1700)</t>
  </si>
  <si>
    <t>Профтех (340)</t>
  </si>
  <si>
    <t>Газинформ (7)
Розница (30)</t>
  </si>
  <si>
    <t>Газинформ (176)
Розница (300)</t>
  </si>
  <si>
    <t>Газинформ (2)
Розница (30)</t>
  </si>
  <si>
    <t>Газинформ (184)
Розница (200)</t>
  </si>
  <si>
    <t>Газинформ (8)
Розница (70)</t>
  </si>
  <si>
    <t>УРЭБ Минобороны (34)
Под проекты (166)</t>
  </si>
  <si>
    <t>УРЭБ Минобороны (15)
Под проекты (115)</t>
  </si>
  <si>
    <t>УРЭБ Минобороны (185)
Под проекты (815)</t>
  </si>
  <si>
    <t>УРЭБ Минобороны (105)
Под проекты (95)</t>
  </si>
  <si>
    <t>УРЭБ Минобороны (22)</t>
  </si>
  <si>
    <t>Лаборатория ВС (9)</t>
  </si>
  <si>
    <t>Лаборатория ВС (9)
Розница (10)</t>
  </si>
  <si>
    <t>УРЭБ Минобороны (6)
Розница (4)</t>
  </si>
  <si>
    <t>УРЭБ Минобороны (25)
Розница (4)</t>
  </si>
  <si>
    <t>Код из 1С: 24000</t>
  </si>
  <si>
    <t>МВД Ульяновск (1)</t>
  </si>
  <si>
    <t>МВД Орловская область (1)</t>
  </si>
  <si>
    <t>Рособоронэкспорт (1)
Минобороны (1)</t>
  </si>
  <si>
    <t>ПНИЭИ (1)</t>
  </si>
  <si>
    <t>Рособоронэкспорт (1)
Минобороны (1)
МВД Москва (1)</t>
  </si>
  <si>
    <t>МВД Архангельск (1)
Под проекты (1)</t>
  </si>
  <si>
    <t>НОВО (1)
РЖД (3)</t>
  </si>
  <si>
    <t>БСТМ МВД (1)
Профтех (1)</t>
  </si>
  <si>
    <t>Контракт (1)</t>
  </si>
  <si>
    <t>Атомбезопасность (1)</t>
  </si>
  <si>
    <t>МВД ЯНАО (1)
МВД Новгородская область (1)</t>
  </si>
  <si>
    <t>Код из 1С: 24154</t>
  </si>
  <si>
    <t>ТГУ (1)
Минобороны (1)
МВД Москва (1)
Рособоронэкспорт (1)</t>
  </si>
  <si>
    <t>ЦЕНТР ТБ (1)
Минобороны (выпускает КБ) (8)</t>
  </si>
  <si>
    <t>РЭЛК (1)</t>
  </si>
  <si>
    <t>Код из 1С: 22076</t>
  </si>
  <si>
    <t>НПП БИТ (1)</t>
  </si>
  <si>
    <t>Профтех (1)</t>
  </si>
  <si>
    <t>МВД Курск (1)
МВД Москва (1)
Контракт (1)</t>
  </si>
  <si>
    <t>Профтех (1)
ЦЗД (1)
Солар ТЗИ (1)
МВД Тамбов (1)</t>
  </si>
  <si>
    <t>БСТМ МВД (1)
Профтех (1)
МВД Тамбов (1)</t>
  </si>
  <si>
    <t>Под проекты (2)</t>
  </si>
  <si>
    <t>Код из 1С: 24249</t>
  </si>
  <si>
    <t>Код из 1С: 24675</t>
  </si>
  <si>
    <t>Корпорация МИТ (1)</t>
  </si>
  <si>
    <t>Код из 1С: 26037</t>
  </si>
  <si>
    <t>Код из 1С: 26118</t>
  </si>
  <si>
    <t>Код из 1С: 18697</t>
  </si>
  <si>
    <t>НОВО (1)
РЖД (2)</t>
  </si>
  <si>
    <t>Заря (1)</t>
  </si>
  <si>
    <t>МВД Липецк (1)
ГЦСиЗИ МВД (1)
МВД Ульяновск (1)
ТГУ (1)</t>
  </si>
  <si>
    <t>Электрохимприбор (1)</t>
  </si>
  <si>
    <t>МВД Камчатка (1)</t>
  </si>
  <si>
    <t>Рубин (1)
Под проекты (1)</t>
  </si>
  <si>
    <t>УТ МВД УрФО</t>
  </si>
  <si>
    <t>ОДК-УМПО (1)</t>
  </si>
  <si>
    <t>ТМЮ (1)</t>
  </si>
  <si>
    <t>Минобороны (1)
Поликом (1)</t>
  </si>
  <si>
    <t>ОАК (1)</t>
  </si>
  <si>
    <t>РНИИРС (1)
УПП Вектор (1)</t>
  </si>
  <si>
    <t>В МО поставляем RS FSW-13</t>
  </si>
  <si>
    <t>НИТИ им. Александрова (1)</t>
  </si>
  <si>
    <t>Тайфун (1)</t>
  </si>
  <si>
    <t>По умолчанию система строится на базе АСРВ-20</t>
  </si>
  <si>
    <t>Код в 1С: 27966</t>
  </si>
  <si>
    <t>НИИ Вектор (1)
РНИИРС (1)
РЖД (7)</t>
  </si>
  <si>
    <t>МВД Чукотка (1)</t>
  </si>
  <si>
    <t>Минобороны (1)
МВД Бурятия (1)
Радиоэлектроника им. Шимко (1)
МВД Брянск (1)
Радиозавод Пенза (1)
МВД Владимир (1)</t>
  </si>
  <si>
    <t>МВД Московская область (1)
МВД Мордовия (1)
Тайфун (1)
Профтех (10)
Роскосмос (1)</t>
  </si>
  <si>
    <t>в/ч 43753 (30)</t>
  </si>
  <si>
    <t>МВД Кемерово (1)
Профтех (1)</t>
  </si>
  <si>
    <t>Ижевский радиозавод (1)
МВД Ярославль (1)</t>
  </si>
  <si>
    <t>МВД Воронеж (1)
Калугаприбор (1)
ММЗ (1)
КНИИТМУ (1)</t>
  </si>
  <si>
    <t>Под проекты (4)</t>
  </si>
  <si>
    <t>ТМЮ (1)
Под проекты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</si>
</sst>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family val="2"/>
    </font>
    <font>
      <sz val="8"/>
      <name val="Arial Cyr"/>
      <charset val="204"/>
    </font>
    <font>
      <b/>
      <sz val="8"/>
      <name val="Arial"/>
      <family val="2"/>
      <charset val="204"/>
    </font>
    <font>
      <b/>
      <sz val="8"/>
      <name val="Verdana"/>
      <family val="2"/>
      <charset val="204"/>
    </font>
    <font>
      <sz val="8"/>
      <name val="Verdana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8"/>
      <color indexed="30"/>
      <name val="Verdana"/>
      <family val="2"/>
      <charset val="204"/>
    </font>
    <font>
      <sz val="8"/>
      <color indexed="30"/>
      <name val="Verdana"/>
      <family val="2"/>
      <charset val="204"/>
    </font>
    <font>
      <sz val="8"/>
      <name val="Arial"/>
      <family val="2"/>
      <charset val="204"/>
    </font>
    <font>
      <b/>
      <sz val="8"/>
      <color rgb="FF0070C0"/>
      <name val="Verdana"/>
      <family val="2"/>
      <charset val="204"/>
    </font>
    <font>
      <b/>
      <sz val="8"/>
      <color theme="3" tint="0.39997558519241921"/>
      <name val="Verdana"/>
      <family val="2"/>
      <charset val="204"/>
    </font>
    <font>
      <b/>
      <sz val="8"/>
      <color theme="4"/>
      <name val="Verdana"/>
      <family val="2"/>
      <charset val="204"/>
    </font>
    <font>
      <sz val="8"/>
      <color rgb="FF0070C0"/>
      <name val="Verdana"/>
      <family val="2"/>
      <charset val="204"/>
    </font>
    <font>
      <sz val="8"/>
      <color theme="3" tint="0.39997558519241921"/>
      <name val="Verdana"/>
      <family val="2"/>
      <charset val="204"/>
    </font>
    <font>
      <sz val="9"/>
      <color rgb="FFFF0000"/>
      <name val="Arial"/>
      <family val="2"/>
      <charset val="204"/>
    </font>
    <font>
      <sz val="9"/>
      <color indexed="81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" fontId="9" fillId="4" borderId="2" xfId="0" applyNumberFormat="1" applyFont="1" applyFill="1" applyBorder="1" applyAlignment="1">
      <alignment horizontal="center" vertical="top"/>
    </xf>
    <xf numFmtId="1" fontId="9" fillId="4" borderId="3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7" fillId="0" borderId="4" xfId="2" applyFont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1" fontId="9" fillId="5" borderId="3" xfId="0" applyNumberFormat="1" applyFont="1" applyFill="1" applyBorder="1" applyAlignment="1">
      <alignment horizontal="center" vertical="top"/>
    </xf>
    <xf numFmtId="1" fontId="9" fillId="6" borderId="2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 wrapText="1"/>
    </xf>
    <xf numFmtId="1" fontId="9" fillId="6" borderId="3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/>
    </xf>
    <xf numFmtId="1" fontId="9" fillId="7" borderId="2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 wrapText="1"/>
    </xf>
    <xf numFmtId="1" fontId="9" fillId="7" borderId="3" xfId="0" applyNumberFormat="1" applyFont="1" applyFill="1" applyBorder="1" applyAlignment="1">
      <alignment horizontal="center" vertical="top"/>
    </xf>
    <xf numFmtId="1" fontId="9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 wrapText="1"/>
    </xf>
    <xf numFmtId="1" fontId="9" fillId="8" borderId="3" xfId="0" applyNumberFormat="1" applyFont="1" applyFill="1" applyBorder="1" applyAlignment="1">
      <alignment horizontal="center" vertical="top"/>
    </xf>
    <xf numFmtId="1" fontId="5" fillId="8" borderId="3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/>
    </xf>
    <xf numFmtId="1" fontId="5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/>
    </xf>
    <xf numFmtId="0" fontId="11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" fontId="10" fillId="7" borderId="7" xfId="0" applyNumberFormat="1" applyFont="1" applyFill="1" applyBorder="1" applyAlignment="1">
      <alignment horizontal="left" vertical="top" wrapText="1"/>
    </xf>
    <xf numFmtId="1" fontId="10" fillId="8" borderId="7" xfId="0" applyNumberFormat="1" applyFont="1" applyFill="1" applyBorder="1" applyAlignment="1">
      <alignment horizontal="left" vertical="top" wrapText="1"/>
    </xf>
    <xf numFmtId="1" fontId="10" fillId="7" borderId="7" xfId="0" applyNumberFormat="1" applyFont="1" applyFill="1" applyBorder="1" applyAlignment="1">
      <alignment horizontal="left" vertical="top"/>
    </xf>
    <xf numFmtId="1" fontId="10" fillId="8" borderId="7" xfId="0" applyNumberFormat="1" applyFont="1" applyFill="1" applyBorder="1" applyAlignment="1">
      <alignment horizontal="left" vertical="top"/>
    </xf>
    <xf numFmtId="1" fontId="10" fillId="6" borderId="7" xfId="0" applyNumberFormat="1" applyFont="1" applyFill="1" applyBorder="1" applyAlignment="1">
      <alignment horizontal="left" vertical="top" wrapText="1"/>
    </xf>
    <xf numFmtId="1" fontId="10" fillId="6" borderId="7" xfId="0" applyNumberFormat="1" applyFont="1" applyFill="1" applyBorder="1" applyAlignment="1">
      <alignment horizontal="left" vertical="top"/>
    </xf>
    <xf numFmtId="0" fontId="5" fillId="10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top"/>
    </xf>
    <xf numFmtId="1" fontId="5" fillId="6" borderId="9" xfId="0" applyNumberFormat="1" applyFont="1" applyFill="1" applyBorder="1" applyAlignment="1">
      <alignment horizontal="center" vertical="top"/>
    </xf>
    <xf numFmtId="1" fontId="5" fillId="7" borderId="9" xfId="0" applyNumberFormat="1" applyFont="1" applyFill="1" applyBorder="1" applyAlignment="1">
      <alignment horizontal="center" vertical="top"/>
    </xf>
    <xf numFmtId="0" fontId="7" fillId="3" borderId="7" xfId="2" applyFont="1" applyFill="1" applyBorder="1" applyAlignment="1">
      <alignment horizontal="left" vertical="top" wrapText="1"/>
    </xf>
    <xf numFmtId="0" fontId="7" fillId="3" borderId="11" xfId="2" applyFont="1" applyFill="1" applyBorder="1" applyAlignment="1">
      <alignment horizontal="left" vertical="top" wrapText="1"/>
    </xf>
    <xf numFmtId="0" fontId="11" fillId="0" borderId="14" xfId="0" applyFont="1" applyBorder="1"/>
    <xf numFmtId="0" fontId="6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7" fillId="0" borderId="17" xfId="2" applyFont="1" applyBorder="1" applyAlignment="1">
      <alignment horizontal="center" vertical="top"/>
    </xf>
    <xf numFmtId="0" fontId="7" fillId="3" borderId="13" xfId="2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1" fontId="5" fillId="10" borderId="9" xfId="0" applyNumberFormat="1" applyFont="1" applyFill="1" applyBorder="1" applyAlignment="1">
      <alignment horizontal="center" vertical="top"/>
    </xf>
    <xf numFmtId="0" fontId="7" fillId="9" borderId="19" xfId="2" applyFont="1" applyFill="1" applyBorder="1" applyAlignment="1">
      <alignment horizontal="center" vertical="center"/>
    </xf>
    <xf numFmtId="0" fontId="8" fillId="9" borderId="18" xfId="2" applyFont="1" applyFill="1" applyBorder="1" applyAlignment="1">
      <alignment horizontal="left" vertical="top" wrapText="1"/>
    </xf>
    <xf numFmtId="1" fontId="9" fillId="9" borderId="18" xfId="0" applyNumberFormat="1" applyFont="1" applyFill="1" applyBorder="1" applyAlignment="1">
      <alignment horizontal="center" vertical="center"/>
    </xf>
    <xf numFmtId="1" fontId="5" fillId="9" borderId="20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top"/>
    </xf>
    <xf numFmtId="1" fontId="10" fillId="5" borderId="7" xfId="0" applyNumberFormat="1" applyFont="1" applyFill="1" applyBorder="1" applyAlignment="1">
      <alignment horizontal="left" vertical="top"/>
    </xf>
    <xf numFmtId="1" fontId="10" fillId="5" borderId="3" xfId="0" applyNumberFormat="1" applyFont="1" applyFill="1" applyBorder="1" applyAlignment="1">
      <alignment horizontal="left" vertical="top"/>
    </xf>
    <xf numFmtId="1" fontId="12" fillId="8" borderId="3" xfId="0" applyNumberFormat="1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1" fontId="5" fillId="4" borderId="9" xfId="0" applyNumberFormat="1" applyFont="1" applyFill="1" applyBorder="1" applyAlignment="1">
      <alignment horizontal="center" vertical="top"/>
    </xf>
    <xf numFmtId="1" fontId="5" fillId="8" borderId="9" xfId="0" applyNumberFormat="1" applyFont="1" applyFill="1" applyBorder="1" applyAlignment="1">
      <alignment horizontal="center" vertical="top"/>
    </xf>
    <xf numFmtId="1" fontId="13" fillId="8" borderId="3" xfId="0" applyNumberFormat="1" applyFont="1" applyFill="1" applyBorder="1" applyAlignment="1">
      <alignment horizontal="center" vertical="top"/>
    </xf>
    <xf numFmtId="1" fontId="9" fillId="6" borderId="3" xfId="0" applyNumberFormat="1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center" wrapText="1"/>
    </xf>
    <xf numFmtId="1" fontId="10" fillId="9" borderId="18" xfId="0" applyNumberFormat="1" applyFont="1" applyFill="1" applyBorder="1" applyAlignment="1">
      <alignment horizontal="left" vertical="center"/>
    </xf>
    <xf numFmtId="1" fontId="10" fillId="4" borderId="3" xfId="0" applyNumberFormat="1" applyFont="1" applyFill="1" applyBorder="1" applyAlignment="1">
      <alignment horizontal="left" vertical="top"/>
    </xf>
    <xf numFmtId="1" fontId="10" fillId="4" borderId="7" xfId="0" applyNumberFormat="1" applyFont="1" applyFill="1" applyBorder="1" applyAlignment="1">
      <alignment horizontal="left" vertical="top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1" fontId="9" fillId="9" borderId="18" xfId="0" applyNumberFormat="1" applyFont="1" applyFill="1" applyBorder="1" applyAlignment="1">
      <alignment horizontal="left" vertical="center"/>
    </xf>
    <xf numFmtId="1" fontId="9" fillId="4" borderId="3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left" vertical="top"/>
    </xf>
    <xf numFmtId="1" fontId="9" fillId="5" borderId="3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left" vertical="top"/>
    </xf>
    <xf numFmtId="1" fontId="5" fillId="8" borderId="3" xfId="0" applyNumberFormat="1" applyFont="1" applyFill="1" applyBorder="1" applyAlignment="1">
      <alignment horizontal="left" vertical="top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10" fillId="5" borderId="3" xfId="0" applyNumberFormat="1" applyFont="1" applyFill="1" applyBorder="1" applyAlignment="1">
      <alignment horizontal="left" vertical="top" wrapText="1"/>
    </xf>
    <xf numFmtId="1" fontId="10" fillId="5" borderId="7" xfId="0" applyNumberFormat="1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center" wrapText="1"/>
    </xf>
    <xf numFmtId="1" fontId="9" fillId="5" borderId="7" xfId="0" applyNumberFormat="1" applyFont="1" applyFill="1" applyBorder="1" applyAlignment="1">
      <alignment horizontal="left" vertical="top"/>
    </xf>
    <xf numFmtId="1" fontId="9" fillId="6" borderId="7" xfId="0" applyNumberFormat="1" applyFont="1" applyFill="1" applyBorder="1" applyAlignment="1">
      <alignment horizontal="left" vertical="top"/>
    </xf>
    <xf numFmtId="1" fontId="9" fillId="4" borderId="7" xfId="0" applyNumberFormat="1" applyFont="1" applyFill="1" applyBorder="1" applyAlignment="1">
      <alignment horizontal="left" vertical="top"/>
    </xf>
    <xf numFmtId="1" fontId="9" fillId="8" borderId="7" xfId="0" applyNumberFormat="1" applyFont="1" applyFill="1" applyBorder="1" applyAlignment="1">
      <alignment horizontal="left" vertical="top"/>
    </xf>
    <xf numFmtId="1" fontId="9" fillId="7" borderId="7" xfId="0" applyNumberFormat="1" applyFont="1" applyFill="1" applyBorder="1" applyAlignment="1">
      <alignment horizontal="left" vertical="top"/>
    </xf>
    <xf numFmtId="1" fontId="5" fillId="8" borderId="21" xfId="0" applyNumberFormat="1" applyFont="1" applyFill="1" applyBorder="1" applyAlignment="1">
      <alignment horizontal="center" vertical="top"/>
    </xf>
    <xf numFmtId="1" fontId="9" fillId="8" borderId="22" xfId="0" applyNumberFormat="1" applyFont="1" applyFill="1" applyBorder="1" applyAlignment="1">
      <alignment horizontal="center" vertical="top"/>
    </xf>
    <xf numFmtId="1" fontId="10" fillId="8" borderId="23" xfId="0" applyNumberFormat="1" applyFont="1" applyFill="1" applyBorder="1" applyAlignment="1">
      <alignment horizontal="left" vertical="top"/>
    </xf>
    <xf numFmtId="1" fontId="9" fillId="8" borderId="23" xfId="0" applyNumberFormat="1" applyFont="1" applyFill="1" applyBorder="1" applyAlignment="1">
      <alignment horizontal="center" vertical="top"/>
    </xf>
    <xf numFmtId="1" fontId="9" fillId="8" borderId="23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 wrapText="1"/>
    </xf>
    <xf numFmtId="1" fontId="9" fillId="8" borderId="12" xfId="0" applyNumberFormat="1" applyFont="1" applyFill="1" applyBorder="1" applyAlignment="1">
      <alignment horizontal="left" vertical="top"/>
    </xf>
    <xf numFmtId="1" fontId="10" fillId="7" borderId="24" xfId="0" applyNumberFormat="1" applyFont="1" applyFill="1" applyBorder="1" applyAlignment="1">
      <alignment horizontal="left" vertical="top"/>
    </xf>
    <xf numFmtId="1" fontId="9" fillId="8" borderId="24" xfId="0" applyNumberFormat="1" applyFont="1" applyFill="1" applyBorder="1" applyAlignment="1">
      <alignment horizontal="left" vertical="top"/>
    </xf>
    <xf numFmtId="1" fontId="9" fillId="4" borderId="24" xfId="0" applyNumberFormat="1" applyFont="1" applyFill="1" applyBorder="1" applyAlignment="1">
      <alignment horizontal="left" vertical="top"/>
    </xf>
    <xf numFmtId="1" fontId="9" fillId="7" borderId="24" xfId="0" applyNumberFormat="1" applyFont="1" applyFill="1" applyBorder="1" applyAlignment="1">
      <alignment horizontal="left" vertical="top"/>
    </xf>
    <xf numFmtId="1" fontId="9" fillId="8" borderId="25" xfId="0" applyNumberFormat="1" applyFont="1" applyFill="1" applyBorder="1" applyAlignment="1">
      <alignment horizontal="left" vertical="top"/>
    </xf>
    <xf numFmtId="1" fontId="14" fillId="5" borderId="3" xfId="0" applyNumberFormat="1" applyFont="1" applyFill="1" applyBorder="1" applyAlignment="1">
      <alignment horizontal="center" vertical="top"/>
    </xf>
    <xf numFmtId="1" fontId="14" fillId="6" borderId="3" xfId="0" applyNumberFormat="1" applyFont="1" applyFill="1" applyBorder="1" applyAlignment="1">
      <alignment horizontal="center" vertical="top"/>
    </xf>
    <xf numFmtId="1" fontId="14" fillId="7" borderId="3" xfId="0" applyNumberFormat="1" applyFont="1" applyFill="1" applyBorder="1" applyAlignment="1">
      <alignment horizontal="center" vertical="top"/>
    </xf>
    <xf numFmtId="1" fontId="14" fillId="8" borderId="7" xfId="0" applyNumberFormat="1" applyFont="1" applyFill="1" applyBorder="1" applyAlignment="1">
      <alignment horizontal="center" vertical="top"/>
    </xf>
    <xf numFmtId="1" fontId="14" fillId="4" borderId="26" xfId="0" applyNumberFormat="1" applyFont="1" applyFill="1" applyBorder="1" applyAlignment="1">
      <alignment horizontal="center" vertical="top"/>
    </xf>
    <xf numFmtId="1" fontId="14" fillId="5" borderId="7" xfId="0" applyNumberFormat="1" applyFont="1" applyFill="1" applyBorder="1" applyAlignment="1">
      <alignment horizontal="center" vertical="top"/>
    </xf>
    <xf numFmtId="1" fontId="14" fillId="6" borderId="7" xfId="0" applyNumberFormat="1" applyFont="1" applyFill="1" applyBorder="1" applyAlignment="1">
      <alignment horizontal="center" vertical="top"/>
    </xf>
    <xf numFmtId="1" fontId="14" fillId="7" borderId="7" xfId="0" applyNumberFormat="1" applyFont="1" applyFill="1" applyBorder="1" applyAlignment="1">
      <alignment horizontal="center" vertical="top"/>
    </xf>
    <xf numFmtId="1" fontId="14" fillId="8" borderId="12" xfId="0" applyNumberFormat="1" applyFont="1" applyFill="1" applyBorder="1" applyAlignment="1">
      <alignment horizontal="center" vertical="top"/>
    </xf>
    <xf numFmtId="1" fontId="14" fillId="4" borderId="3" xfId="0" applyNumberFormat="1" applyFont="1" applyFill="1" applyBorder="1" applyAlignment="1">
      <alignment horizontal="center" vertical="top"/>
    </xf>
    <xf numFmtId="1" fontId="14" fillId="8" borderId="3" xfId="0" applyNumberFormat="1" applyFont="1" applyFill="1" applyBorder="1" applyAlignment="1">
      <alignment horizontal="center" vertical="top"/>
    </xf>
    <xf numFmtId="1" fontId="10" fillId="6" borderId="24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center" vertical="top" wrapText="1"/>
    </xf>
    <xf numFmtId="3" fontId="0" fillId="0" borderId="0" xfId="0" applyNumberFormat="1"/>
    <xf numFmtId="1" fontId="16" fillId="8" borderId="3" xfId="0" applyNumberFormat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1" fontId="13" fillId="4" borderId="3" xfId="0" applyNumberFormat="1" applyFont="1" applyFill="1" applyBorder="1" applyAlignment="1">
      <alignment horizontal="center" vertical="top"/>
    </xf>
    <xf numFmtId="1" fontId="10" fillId="5" borderId="24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center" vertical="top" wrapText="1"/>
    </xf>
    <xf numFmtId="1" fontId="9" fillId="5" borderId="3" xfId="0" applyNumberFormat="1" applyFont="1" applyFill="1" applyBorder="1" applyAlignment="1">
      <alignment horizontal="center" vertical="top" wrapText="1"/>
    </xf>
    <xf numFmtId="1" fontId="9" fillId="7" borderId="2" xfId="0" applyNumberFormat="1" applyFont="1" applyFill="1" applyBorder="1" applyAlignment="1">
      <alignment horizontal="center" vertical="top" wrapText="1"/>
    </xf>
    <xf numFmtId="1" fontId="9" fillId="6" borderId="3" xfId="0" applyNumberFormat="1" applyFont="1" applyFill="1" applyBorder="1" applyAlignment="1">
      <alignment horizontal="center" vertical="top" wrapText="1"/>
    </xf>
    <xf numFmtId="0" fontId="7" fillId="3" borderId="7" xfId="2" applyFont="1" applyFill="1" applyBorder="1" applyAlignment="1">
      <alignment horizontal="center" vertical="top" wrapText="1"/>
    </xf>
    <xf numFmtId="0" fontId="7" fillId="3" borderId="11" xfId="2" applyFont="1" applyFill="1" applyBorder="1" applyAlignment="1">
      <alignment horizontal="center" vertical="top" wrapText="1"/>
    </xf>
    <xf numFmtId="0" fontId="7" fillId="3" borderId="13" xfId="2" applyFont="1" applyFill="1" applyBorder="1" applyAlignment="1">
      <alignment horizontal="center" vertical="top" wrapText="1"/>
    </xf>
    <xf numFmtId="0" fontId="17" fillId="3" borderId="11" xfId="2" applyFont="1" applyFill="1" applyBorder="1" applyAlignment="1">
      <alignment horizontal="left" vertical="top" wrapText="1"/>
    </xf>
  </cellXfs>
  <cellStyles count="3">
    <cellStyle name="Обычный" xfId="0" builtinId="0"/>
    <cellStyle name="Обычный 12" xfId="1" xr:uid="{00000000-0005-0000-0000-000001000000}"/>
    <cellStyle name="Обычный_Лист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286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12" sqref="A12"/>
      <selection pane="bottomRight" activeCell="B1" sqref="B1"/>
    </sheetView>
  </sheetViews>
  <sheetFormatPr defaultColWidth="9.1328125" defaultRowHeight="10.15" outlineLevelRow="1" outlineLevelCol="2" x14ac:dyDescent="0.3"/>
  <cols>
    <col min="1" max="1" width="5" style="24" customWidth="1"/>
    <col min="2" max="2" width="36.265625" style="25" customWidth="1"/>
    <col min="3" max="3" width="7.46484375" style="25" bestFit="1" customWidth="1"/>
    <col min="4" max="4" width="7.3984375" style="26" customWidth="1" collapsed="1"/>
    <col min="5" max="5" width="7.3984375" style="26" hidden="1" customWidth="1" outlineLevel="1" collapsed="1"/>
    <col min="6" max="6" width="23.73046875" style="78" hidden="1" customWidth="1" outlineLevel="2"/>
    <col min="7" max="7" width="7.3984375" style="26" hidden="1" customWidth="1" outlineLevel="1" collapsed="1"/>
    <col min="8" max="8" width="26.59765625" style="78" hidden="1" customWidth="1" outlineLevel="2"/>
    <col min="9" max="9" width="7.3984375" style="26" hidden="1" customWidth="1" outlineLevel="1" collapsed="1"/>
    <col min="10" max="10" width="26.1328125" style="69" hidden="1" customWidth="1" outlineLevel="2"/>
    <col min="11" max="11" width="7.3984375" style="26" customWidth="1" collapsed="1"/>
    <col min="12" max="12" width="9.265625" style="26" hidden="1" customWidth="1" outlineLevel="1"/>
    <col min="13" max="13" width="25.46484375" style="69" hidden="1" customWidth="1" outlineLevel="2"/>
    <col min="14" max="14" width="9.265625" style="26" hidden="1" customWidth="1" outlineLevel="1"/>
    <col min="15" max="15" width="23.86328125" style="69" hidden="1" customWidth="1" outlineLevel="2"/>
    <col min="16" max="16" width="9.265625" style="26" hidden="1" customWidth="1" outlineLevel="1"/>
    <col min="17" max="17" width="25.1328125" style="69" hidden="1" customWidth="1" outlineLevel="2"/>
    <col min="18" max="18" width="7.3984375" style="26" customWidth="1" collapsed="1"/>
    <col min="19" max="19" width="9.265625" style="26" hidden="1" customWidth="1" outlineLevel="1"/>
    <col min="20" max="20" width="22.1328125" style="69" hidden="1" customWidth="1" outlineLevel="2"/>
    <col min="21" max="21" width="9.265625" style="26" hidden="1" customWidth="1" outlineLevel="1"/>
    <col min="22" max="22" width="24.265625" style="78" hidden="1" customWidth="1" outlineLevel="2"/>
    <col min="23" max="23" width="10.265625" style="26" hidden="1" customWidth="1" outlineLevel="1"/>
    <col min="24" max="24" width="23.59765625" style="78" hidden="1" customWidth="1" outlineLevel="2"/>
    <col min="25" max="25" width="7.3984375" style="26" customWidth="1" collapsed="1"/>
    <col min="26" max="26" width="10.265625" style="26" hidden="1" customWidth="1" outlineLevel="1"/>
    <col min="27" max="27" width="26.46484375" style="78" hidden="1" customWidth="1" outlineLevel="2"/>
    <col min="28" max="28" width="10.265625" style="26" hidden="1" customWidth="1" outlineLevel="1"/>
    <col min="29" max="29" width="24.46484375" style="78" hidden="1" customWidth="1" outlineLevel="2"/>
    <col min="30" max="30" width="10.265625" style="26" hidden="1" customWidth="1" outlineLevel="1"/>
    <col min="31" max="31" width="24.1328125" style="78" hidden="1" customWidth="1" outlineLevel="2"/>
    <col min="32" max="32" width="7.3984375" style="26" customWidth="1"/>
    <col min="33" max="16384" width="9.1328125" style="2"/>
  </cols>
  <sheetData>
    <row r="1" spans="1:32" ht="30.75" thickBot="1" x14ac:dyDescent="0.3">
      <c r="A1" s="1" t="s">
        <v>10</v>
      </c>
      <c r="B1" s="48" t="s">
        <v>0</v>
      </c>
      <c r="C1" s="48"/>
      <c r="D1" s="58" t="s">
        <v>39</v>
      </c>
      <c r="E1" s="35" t="s">
        <v>26</v>
      </c>
      <c r="F1" s="70"/>
      <c r="G1" s="27" t="s">
        <v>27</v>
      </c>
      <c r="H1" s="70"/>
      <c r="I1" s="27" t="s">
        <v>28</v>
      </c>
      <c r="J1" s="64"/>
      <c r="K1" s="58" t="s">
        <v>40</v>
      </c>
      <c r="L1" s="27" t="s">
        <v>29</v>
      </c>
      <c r="M1" s="64"/>
      <c r="N1" s="27" t="s">
        <v>30</v>
      </c>
      <c r="O1" s="64"/>
      <c r="P1" s="27" t="s">
        <v>31</v>
      </c>
      <c r="Q1" s="64"/>
      <c r="R1" s="58" t="s">
        <v>38</v>
      </c>
      <c r="S1" s="27" t="s">
        <v>32</v>
      </c>
      <c r="T1" s="64"/>
      <c r="U1" s="27" t="s">
        <v>33</v>
      </c>
      <c r="V1" s="81"/>
      <c r="W1" s="27" t="s">
        <v>34</v>
      </c>
      <c r="X1" s="81"/>
      <c r="Y1" s="58" t="s">
        <v>41</v>
      </c>
      <c r="Z1" s="27" t="s">
        <v>35</v>
      </c>
      <c r="AA1" s="81"/>
      <c r="AB1" s="27" t="s">
        <v>36</v>
      </c>
      <c r="AC1" s="81"/>
      <c r="AD1" s="27" t="s">
        <v>37</v>
      </c>
      <c r="AE1" s="81"/>
      <c r="AF1" s="34" t="s">
        <v>140</v>
      </c>
    </row>
    <row r="2" spans="1:32" s="3" customFormat="1" ht="13.15" x14ac:dyDescent="0.25">
      <c r="A2" s="50"/>
      <c r="B2" s="51" t="s">
        <v>18</v>
      </c>
      <c r="C2" s="51"/>
      <c r="D2" s="59"/>
      <c r="E2" s="52"/>
      <c r="F2" s="71"/>
      <c r="G2" s="52"/>
      <c r="H2" s="71"/>
      <c r="I2" s="52"/>
      <c r="J2" s="65"/>
      <c r="K2" s="59"/>
      <c r="L2" s="52"/>
      <c r="M2" s="65"/>
      <c r="N2" s="52"/>
      <c r="O2" s="65"/>
      <c r="P2" s="52"/>
      <c r="Q2" s="65"/>
      <c r="R2" s="59"/>
      <c r="S2" s="52"/>
      <c r="T2" s="65"/>
      <c r="U2" s="52"/>
      <c r="V2" s="71"/>
      <c r="W2" s="52"/>
      <c r="X2" s="71"/>
      <c r="Y2" s="59"/>
      <c r="Z2" s="52"/>
      <c r="AA2" s="71"/>
      <c r="AB2" s="52"/>
      <c r="AC2" s="71"/>
      <c r="AD2" s="52"/>
      <c r="AE2" s="71"/>
      <c r="AF2" s="53"/>
    </row>
    <row r="3" spans="1:32" s="6" customFormat="1" ht="11.65" collapsed="1" x14ac:dyDescent="0.35">
      <c r="A3" s="44">
        <v>1</v>
      </c>
      <c r="B3" s="39" t="s">
        <v>1</v>
      </c>
      <c r="C3" s="122" t="s">
        <v>134</v>
      </c>
      <c r="D3" s="60">
        <f>IF(SUM(D4:D7)&gt;0,SUM(D4:D7),"")</f>
        <v>33</v>
      </c>
      <c r="E3" s="4" t="str">
        <f>IF(SUM(E4:E7)&gt;0,SUM(E4:E7),"")</f>
        <v/>
      </c>
      <c r="F3" s="72"/>
      <c r="G3" s="5" t="str">
        <f>IF(SUM(G4:G7)&gt;0,SUM(G4:G7),"")</f>
        <v/>
      </c>
      <c r="H3" s="72"/>
      <c r="I3" s="5">
        <f>IF(SUM(I4:I7)&gt;0,SUM(I4:I7),"")</f>
        <v>33</v>
      </c>
      <c r="J3" s="67"/>
      <c r="K3" s="60">
        <f>IF(SUM(K4:K7)&gt;0,SUM(K4:K7),"")</f>
        <v>186</v>
      </c>
      <c r="L3" s="5">
        <f>IF(SUM(L4:L7)&gt;0,SUM(L4:L7),"")</f>
        <v>43</v>
      </c>
      <c r="M3" s="66"/>
      <c r="N3" s="5">
        <f t="shared" ref="N3:AD3" si="0">IF(SUM(N4:N7)&gt;0,SUM(N4:N7),"")</f>
        <v>32</v>
      </c>
      <c r="O3" s="66"/>
      <c r="P3" s="5">
        <f t="shared" si="0"/>
        <v>111</v>
      </c>
      <c r="Q3" s="66"/>
      <c r="R3" s="60">
        <f>IF(SUM(R4:R7)&gt;0,SUM(R4:R7),"")</f>
        <v>309</v>
      </c>
      <c r="S3" s="5">
        <f t="shared" si="0"/>
        <v>20</v>
      </c>
      <c r="T3" s="66"/>
      <c r="U3" s="5">
        <f t="shared" si="0"/>
        <v>139</v>
      </c>
      <c r="V3" s="72"/>
      <c r="W3" s="5">
        <f t="shared" si="0"/>
        <v>150</v>
      </c>
      <c r="X3" s="72"/>
      <c r="Y3" s="60">
        <f>IF(SUM(Y4:Y7)&gt;0,SUM(Y4:Y7),"")</f>
        <v>680</v>
      </c>
      <c r="Z3" s="5">
        <f t="shared" si="0"/>
        <v>200</v>
      </c>
      <c r="AA3" s="72"/>
      <c r="AB3" s="5">
        <f t="shared" si="0"/>
        <v>250</v>
      </c>
      <c r="AC3" s="72"/>
      <c r="AD3" s="5">
        <f t="shared" si="0"/>
        <v>230</v>
      </c>
      <c r="AE3" s="84"/>
      <c r="AF3" s="49">
        <f>IF(SUM(AF4:AF7)&gt;0,SUM(AF4:AF7),"")</f>
        <v>1208</v>
      </c>
    </row>
    <row r="4" spans="1:32" s="6" customFormat="1" ht="19.5" hidden="1" outlineLevel="1" x14ac:dyDescent="0.35">
      <c r="A4" s="7"/>
      <c r="B4" s="40" t="s">
        <v>71</v>
      </c>
      <c r="C4" s="123"/>
      <c r="D4" s="36">
        <f>IF(SUM(E4,G4,I4)&gt;0,SUM(E4,G4,I4),"")</f>
        <v>33</v>
      </c>
      <c r="E4" s="8"/>
      <c r="F4" s="79"/>
      <c r="G4" s="9"/>
      <c r="H4" s="79"/>
      <c r="I4" s="9">
        <v>33</v>
      </c>
      <c r="J4" s="80" t="s">
        <v>177</v>
      </c>
      <c r="K4" s="36">
        <f>IF(SUM(L4,N4,P4)&gt;0,SUM(L4,N4,P4),"")</f>
        <v>186</v>
      </c>
      <c r="L4" s="9">
        <v>43</v>
      </c>
      <c r="M4" s="80" t="s">
        <v>221</v>
      </c>
      <c r="N4" s="9">
        <v>32</v>
      </c>
      <c r="O4" s="80" t="s">
        <v>222</v>
      </c>
      <c r="P4" s="9">
        <v>111</v>
      </c>
      <c r="Q4" s="80" t="s">
        <v>223</v>
      </c>
      <c r="R4" s="36" t="str">
        <f>IF(SUM(S4,U4,W4)&gt;0,SUM(S4,U4,W4),"")</f>
        <v/>
      </c>
      <c r="S4" s="9"/>
      <c r="T4" s="80"/>
      <c r="U4" s="9"/>
      <c r="V4" s="80"/>
      <c r="W4" s="9"/>
      <c r="X4" s="80"/>
      <c r="Y4" s="36" t="str">
        <f>IF(SUM(Z4,AB4,AD4)&gt;0,SUM(Z4,AB4,AD4),"")</f>
        <v/>
      </c>
      <c r="Z4" s="9"/>
      <c r="AA4" s="82"/>
      <c r="AB4" s="9"/>
      <c r="AC4" s="82"/>
      <c r="AD4" s="9"/>
      <c r="AE4" s="82"/>
      <c r="AF4" s="36">
        <f>IF(SUM(D4,K4,R4,Y4)&gt;0,SUM(D4,K4,R4,Y4),"")</f>
        <v>219</v>
      </c>
    </row>
    <row r="5" spans="1:32" s="6" customFormat="1" ht="19.5" hidden="1" outlineLevel="1" x14ac:dyDescent="0.35">
      <c r="A5" s="7"/>
      <c r="B5" s="40"/>
      <c r="C5" s="123"/>
      <c r="D5" s="37" t="str">
        <f>IF(SUM(E5,G5,I5)&gt;0,SUM(E5,G5,I5),"")</f>
        <v/>
      </c>
      <c r="E5" s="10"/>
      <c r="F5" s="11"/>
      <c r="G5" s="12"/>
      <c r="H5" s="11"/>
      <c r="I5" s="12"/>
      <c r="J5" s="32"/>
      <c r="K5" s="37" t="str">
        <f>IF(SUM(L5,N5,P5)&gt;0,SUM(L5,N5,P5),"")</f>
        <v/>
      </c>
      <c r="L5" s="12"/>
      <c r="M5" s="32"/>
      <c r="N5" s="12"/>
      <c r="O5" s="32"/>
      <c r="P5" s="12"/>
      <c r="Q5" s="32"/>
      <c r="R5" s="37">
        <f>IF(SUM(S5,U5,W5)&gt;0,SUM(S5,U5,W5),"")</f>
        <v>149</v>
      </c>
      <c r="S5" s="12">
        <v>20</v>
      </c>
      <c r="T5" s="32" t="s">
        <v>245</v>
      </c>
      <c r="U5" s="12">
        <v>129</v>
      </c>
      <c r="V5" s="32" t="s">
        <v>249</v>
      </c>
      <c r="W5" s="12"/>
      <c r="X5" s="32"/>
      <c r="Y5" s="37" t="str">
        <f>IF(SUM(Z5,AB5,AD5)&gt;0,SUM(Z5,AB5,AD5),"")</f>
        <v/>
      </c>
      <c r="Z5" s="12"/>
      <c r="AA5" s="32"/>
      <c r="AB5" s="12"/>
      <c r="AC5" s="33"/>
      <c r="AD5" s="12"/>
      <c r="AE5" s="83"/>
      <c r="AF5" s="37">
        <f t="shared" ref="AF5:AF7" si="1">IF(SUM(D5,K5,R5,Y5)&gt;0,SUM(D5,K5,R5,Y5),"")</f>
        <v>149</v>
      </c>
    </row>
    <row r="6" spans="1:32" s="6" customFormat="1" ht="19.5" hidden="1" outlineLevel="1" x14ac:dyDescent="0.35">
      <c r="A6" s="7"/>
      <c r="B6" s="40"/>
      <c r="C6" s="123"/>
      <c r="D6" s="38" t="str">
        <f>IF(SUM(E6,G6,I6)&gt;0,SUM(E6,G6,I6),"")</f>
        <v/>
      </c>
      <c r="E6" s="14"/>
      <c r="F6" s="15"/>
      <c r="G6" s="16"/>
      <c r="H6" s="15"/>
      <c r="I6" s="16"/>
      <c r="J6" s="15"/>
      <c r="K6" s="38" t="str">
        <f>IF(SUM(L6,N6,P6)&gt;0,SUM(L6,N6,P6),"")</f>
        <v/>
      </c>
      <c r="L6" s="14"/>
      <c r="M6" s="15"/>
      <c r="N6" s="16"/>
      <c r="O6" s="15"/>
      <c r="P6" s="112"/>
      <c r="Q6" s="15"/>
      <c r="R6" s="38">
        <f>IF(SUM(S6,U6,W6)&gt;0,SUM(S6,U6,W6),"")</f>
        <v>160</v>
      </c>
      <c r="S6" s="16"/>
      <c r="T6" s="15"/>
      <c r="U6" s="16">
        <v>10</v>
      </c>
      <c r="V6" s="15" t="s">
        <v>257</v>
      </c>
      <c r="W6" s="16">
        <v>150</v>
      </c>
      <c r="X6" s="15" t="s">
        <v>161</v>
      </c>
      <c r="Y6" s="38">
        <f>IF(SUM(Z6,AB6,AD6)&gt;0,SUM(Z6,AB6,AD6),"")</f>
        <v>680</v>
      </c>
      <c r="Z6" s="16">
        <v>200</v>
      </c>
      <c r="AA6" s="15" t="s">
        <v>291</v>
      </c>
      <c r="AB6" s="16">
        <v>250</v>
      </c>
      <c r="AC6" s="15" t="s">
        <v>165</v>
      </c>
      <c r="AD6" s="16">
        <v>230</v>
      </c>
      <c r="AE6" s="15" t="s">
        <v>159</v>
      </c>
      <c r="AF6" s="38">
        <f t="shared" si="1"/>
        <v>840</v>
      </c>
    </row>
    <row r="7" spans="1:32" s="6" customFormat="1" ht="11.65" hidden="1" outlineLevel="1" x14ac:dyDescent="0.35">
      <c r="A7" s="45"/>
      <c r="B7" s="40"/>
      <c r="C7" s="123"/>
      <c r="D7" s="61" t="str">
        <f>IF(SUM(E7,G7,I7)&gt;0,SUM(E7,G7,I7),"")</f>
        <v/>
      </c>
      <c r="E7" s="17"/>
      <c r="F7" s="23"/>
      <c r="G7" s="19"/>
      <c r="H7" s="18"/>
      <c r="I7" s="19"/>
      <c r="J7" s="29"/>
      <c r="K7" s="61" t="str">
        <f>IF(SUM(L7,N7,P7)&gt;0,SUM(L7,N7,P7),"")</f>
        <v/>
      </c>
      <c r="L7" s="19"/>
      <c r="M7" s="18"/>
      <c r="N7" s="19"/>
      <c r="O7" s="29"/>
      <c r="P7" s="19"/>
      <c r="Q7" s="29"/>
      <c r="R7" s="61" t="str">
        <f>IF(SUM(S7,U7,W7)&gt;0,SUM(S7,U7,W7),"")</f>
        <v/>
      </c>
      <c r="S7" s="19"/>
      <c r="T7" s="29"/>
      <c r="U7" s="19"/>
      <c r="V7" s="29"/>
      <c r="W7" s="19"/>
      <c r="X7" s="29"/>
      <c r="Y7" s="61" t="str">
        <f>IF(SUM(Z7,AB7,AD7)&gt;0,SUM(Z7,AB7,AD7),"")</f>
        <v/>
      </c>
      <c r="Z7" s="19"/>
      <c r="AA7" s="29"/>
      <c r="AB7" s="19"/>
      <c r="AC7" s="29"/>
      <c r="AD7" s="19"/>
      <c r="AE7" s="29"/>
      <c r="AF7" s="54" t="str">
        <f t="shared" si="1"/>
        <v/>
      </c>
    </row>
    <row r="8" spans="1:32" s="6" customFormat="1" ht="11.55" customHeight="1" collapsed="1" x14ac:dyDescent="0.35">
      <c r="A8" s="44">
        <v>2</v>
      </c>
      <c r="B8" s="39" t="s">
        <v>44</v>
      </c>
      <c r="C8" s="122" t="s">
        <v>134</v>
      </c>
      <c r="D8" s="60">
        <f>IF(SUM(D9:D12)&gt;0,SUM(D9:D12),"")</f>
        <v>16</v>
      </c>
      <c r="E8" s="4" t="str">
        <f>IF(SUM(E9:E12)&gt;0,SUM(E9:E12),"")</f>
        <v/>
      </c>
      <c r="F8" s="72"/>
      <c r="G8" s="5" t="str">
        <f>IF(SUM(G9:G12)&gt;0,SUM(G9:G12),"")</f>
        <v/>
      </c>
      <c r="H8" s="66"/>
      <c r="I8" s="5">
        <f>IF(SUM(I9:I12)&gt;0,SUM(I9:I12),"")</f>
        <v>16</v>
      </c>
      <c r="J8" s="67"/>
      <c r="K8" s="60">
        <f>IF(SUM(K9:K12)&gt;0,SUM(K9:K12),"")</f>
        <v>90</v>
      </c>
      <c r="L8" s="5">
        <f>IF(SUM(L9:L12)&gt;0,SUM(L9:L12),"")</f>
        <v>23</v>
      </c>
      <c r="M8" s="67"/>
      <c r="N8" s="5">
        <f>IF(SUM(N9:N12)&gt;0,SUM(N9:N12),"")</f>
        <v>21</v>
      </c>
      <c r="O8" s="67"/>
      <c r="P8" s="5">
        <f>IF(SUM(P9:P12)&gt;0,SUM(P9:P12),"")</f>
        <v>46</v>
      </c>
      <c r="Q8" s="67"/>
      <c r="R8" s="60">
        <f>IF(SUM(R9:R12)&gt;0,SUM(R9:R12),"")</f>
        <v>191</v>
      </c>
      <c r="S8" s="5">
        <f>IF(SUM(S9:S12)&gt;0,SUM(S9:S12),"")</f>
        <v>20</v>
      </c>
      <c r="T8" s="67"/>
      <c r="U8" s="5">
        <f>IF(SUM(U9:U12)&gt;0,SUM(U9:U12),"")</f>
        <v>101</v>
      </c>
      <c r="V8" s="84"/>
      <c r="W8" s="5">
        <f>IF(SUM(W9:W12)&gt;0,SUM(W9:W12),"")</f>
        <v>70</v>
      </c>
      <c r="X8" s="84"/>
      <c r="Y8" s="60">
        <f>IF(SUM(Y9:Y12)&gt;0,SUM(Y9:Y12),"")</f>
        <v>450</v>
      </c>
      <c r="Z8" s="5">
        <f>IF(SUM(Z9:Z12)&gt;0,SUM(Z9:Z12),"")</f>
        <v>130</v>
      </c>
      <c r="AA8" s="84"/>
      <c r="AB8" s="5">
        <f>IF(SUM(AB9:AB12)&gt;0,SUM(AB9:AB12),"")</f>
        <v>170</v>
      </c>
      <c r="AC8" s="84"/>
      <c r="AD8" s="5">
        <f>IF(SUM(AD9:AD12)&gt;0,SUM(AD9:AD12),"")</f>
        <v>150</v>
      </c>
      <c r="AE8" s="84"/>
      <c r="AF8" s="49">
        <f>IF(SUM(AF9:AF12)&gt;0,SUM(AF9:AF12),"")</f>
        <v>747</v>
      </c>
    </row>
    <row r="9" spans="1:32" s="6" customFormat="1" ht="19.5" hidden="1" outlineLevel="1" x14ac:dyDescent="0.35">
      <c r="A9" s="7"/>
      <c r="B9" s="40" t="s">
        <v>72</v>
      </c>
      <c r="C9" s="123"/>
      <c r="D9" s="36">
        <f>IF(SUM(E9,G9,I9)&gt;0,SUM(E9,G9,I9),"")</f>
        <v>16</v>
      </c>
      <c r="E9" s="8"/>
      <c r="F9" s="79"/>
      <c r="G9" s="9"/>
      <c r="H9" s="79"/>
      <c r="I9" s="9">
        <v>16</v>
      </c>
      <c r="J9" s="80" t="s">
        <v>178</v>
      </c>
      <c r="K9" s="36">
        <f>IF(SUM(L9,N9,P9)&gt;0,SUM(L9,N9,P9),"")</f>
        <v>90</v>
      </c>
      <c r="L9" s="9">
        <v>23</v>
      </c>
      <c r="M9" s="80" t="s">
        <v>224</v>
      </c>
      <c r="N9" s="9">
        <v>21</v>
      </c>
      <c r="O9" s="80" t="s">
        <v>225</v>
      </c>
      <c r="P9" s="9">
        <v>46</v>
      </c>
      <c r="Q9" s="80" t="s">
        <v>226</v>
      </c>
      <c r="R9" s="36" t="str">
        <f>IF(SUM(S9,U9,W9)&gt;0,SUM(S9,U9,W9),"")</f>
        <v/>
      </c>
      <c r="S9" s="9"/>
      <c r="T9" s="80"/>
      <c r="U9" s="9"/>
      <c r="V9" s="80"/>
      <c r="W9" s="9"/>
      <c r="X9" s="80"/>
      <c r="Y9" s="36" t="str">
        <f>IF(SUM(Z9,AB9,AD9)&gt;0,SUM(Z9,AB9,AD9),"")</f>
        <v/>
      </c>
      <c r="Z9" s="9"/>
      <c r="AA9" s="82"/>
      <c r="AB9" s="9"/>
      <c r="AC9" s="82"/>
      <c r="AD9" s="9"/>
      <c r="AE9" s="82"/>
      <c r="AF9" s="36">
        <f t="shared" ref="AF9:AF47" si="2">IF(SUM(D9,K9,R9,Y9)&gt;0,SUM(D9,K9,R9,Y9),"")</f>
        <v>106</v>
      </c>
    </row>
    <row r="10" spans="1:32" s="6" customFormat="1" ht="19.5" hidden="1" outlineLevel="1" x14ac:dyDescent="0.35">
      <c r="A10" s="7"/>
      <c r="B10" s="40"/>
      <c r="C10" s="123"/>
      <c r="D10" s="37" t="str">
        <f>IF(SUM(E10,G10,I10)&gt;0,SUM(E10,G10,I10),"")</f>
        <v/>
      </c>
      <c r="E10" s="10"/>
      <c r="F10" s="11"/>
      <c r="G10" s="12"/>
      <c r="H10" s="11"/>
      <c r="I10" s="12"/>
      <c r="J10" s="32"/>
      <c r="K10" s="37" t="str">
        <f>IF(SUM(L10,N10,P10)&gt;0,SUM(L10,N10,P10),"")</f>
        <v/>
      </c>
      <c r="L10" s="12"/>
      <c r="M10" s="32"/>
      <c r="N10" s="12"/>
      <c r="O10" s="32"/>
      <c r="P10" s="12"/>
      <c r="Q10" s="32"/>
      <c r="R10" s="37">
        <f>IF(SUM(S10,U10,W10)&gt;0,SUM(S10,U10,W10),"")</f>
        <v>111</v>
      </c>
      <c r="S10" s="12">
        <v>20</v>
      </c>
      <c r="T10" s="32" t="s">
        <v>245</v>
      </c>
      <c r="U10" s="12">
        <v>91</v>
      </c>
      <c r="V10" s="32" t="s">
        <v>250</v>
      </c>
      <c r="W10" s="12"/>
      <c r="X10" s="32"/>
      <c r="Y10" s="37" t="str">
        <f>IF(SUM(Z10,AB10,AD10)&gt;0,SUM(Z10,AB10,AD10),"")</f>
        <v/>
      </c>
      <c r="Z10" s="12"/>
      <c r="AA10" s="32"/>
      <c r="AB10" s="12"/>
      <c r="AC10" s="33"/>
      <c r="AD10" s="12"/>
      <c r="AE10" s="83"/>
      <c r="AF10" s="37">
        <f t="shared" si="2"/>
        <v>111</v>
      </c>
    </row>
    <row r="11" spans="1:32" s="6" customFormat="1" ht="19.5" hidden="1" outlineLevel="1" x14ac:dyDescent="0.35">
      <c r="A11" s="7"/>
      <c r="B11" s="40"/>
      <c r="C11" s="123"/>
      <c r="D11" s="38" t="str">
        <f>IF(SUM(E11,G11,I11)&gt;0,SUM(E11,G11,I11),"")</f>
        <v/>
      </c>
      <c r="E11" s="14"/>
      <c r="F11" s="15"/>
      <c r="G11" s="16"/>
      <c r="H11" s="15"/>
      <c r="I11" s="16"/>
      <c r="J11" s="15"/>
      <c r="K11" s="38" t="str">
        <f>IF(SUM(L11,N11,P11)&gt;0,SUM(L11,N11,P11),"")</f>
        <v/>
      </c>
      <c r="L11" s="14"/>
      <c r="M11" s="15"/>
      <c r="N11" s="16"/>
      <c r="O11" s="15"/>
      <c r="P11" s="16"/>
      <c r="Q11" s="15"/>
      <c r="R11" s="38">
        <f>IF(SUM(S11,U11,W11)&gt;0,SUM(S11,U11,W11),"")</f>
        <v>80</v>
      </c>
      <c r="S11" s="16"/>
      <c r="T11" s="15"/>
      <c r="U11" s="16">
        <v>10</v>
      </c>
      <c r="V11" s="15" t="s">
        <v>257</v>
      </c>
      <c r="W11" s="16">
        <v>70</v>
      </c>
      <c r="X11" s="15" t="s">
        <v>192</v>
      </c>
      <c r="Y11" s="38">
        <f>IF(SUM(Z11,AB11,AD11)&gt;0,SUM(Z11,AB11,AD11),"")</f>
        <v>450</v>
      </c>
      <c r="Z11" s="16">
        <v>130</v>
      </c>
      <c r="AA11" s="15" t="s">
        <v>292</v>
      </c>
      <c r="AB11" s="16">
        <v>170</v>
      </c>
      <c r="AC11" s="15" t="s">
        <v>167</v>
      </c>
      <c r="AD11" s="16">
        <v>150</v>
      </c>
      <c r="AE11" s="15" t="s">
        <v>161</v>
      </c>
      <c r="AF11" s="38">
        <f t="shared" si="2"/>
        <v>530</v>
      </c>
    </row>
    <row r="12" spans="1:32" s="6" customFormat="1" ht="11.65" hidden="1" outlineLevel="1" x14ac:dyDescent="0.35">
      <c r="A12" s="45"/>
      <c r="B12" s="40"/>
      <c r="C12" s="123"/>
      <c r="D12" s="61" t="str">
        <f>IF(SUM(E12,G12,I12)&gt;0,SUM(E12,G12,I12),"")</f>
        <v/>
      </c>
      <c r="E12" s="17"/>
      <c r="F12" s="73"/>
      <c r="G12" s="19"/>
      <c r="H12" s="18"/>
      <c r="I12" s="19"/>
      <c r="J12" s="29"/>
      <c r="K12" s="61" t="str">
        <f>IF(SUM(L12,N12,P12)&gt;0,SUM(L12,N12,P12),"")</f>
        <v/>
      </c>
      <c r="L12" s="19"/>
      <c r="M12" s="18"/>
      <c r="N12" s="19"/>
      <c r="O12" s="29"/>
      <c r="P12" s="19"/>
      <c r="Q12" s="29"/>
      <c r="R12" s="61" t="str">
        <f>IF(SUM(S12,U12,W12)&gt;0,SUM(S12,U12,W12),"")</f>
        <v/>
      </c>
      <c r="S12" s="19"/>
      <c r="T12" s="29"/>
      <c r="U12" s="19"/>
      <c r="V12" s="115"/>
      <c r="W12" s="19"/>
      <c r="X12" s="29"/>
      <c r="Y12" s="61" t="str">
        <f>IF(SUM(Z12,AB12,AD12)&gt;0,SUM(Z12,AB12,AD12),"")</f>
        <v/>
      </c>
      <c r="Z12" s="19"/>
      <c r="AA12" s="29"/>
      <c r="AB12" s="19"/>
      <c r="AC12" s="29"/>
      <c r="AD12" s="19"/>
      <c r="AE12" s="29"/>
      <c r="AF12" s="54" t="str">
        <f t="shared" si="2"/>
        <v/>
      </c>
    </row>
    <row r="13" spans="1:32" s="6" customFormat="1" ht="11.55" customHeight="1" collapsed="1" x14ac:dyDescent="0.35">
      <c r="A13" s="44">
        <v>3</v>
      </c>
      <c r="B13" s="39" t="s">
        <v>2</v>
      </c>
      <c r="C13" s="122" t="s">
        <v>134</v>
      </c>
      <c r="D13" s="60">
        <f>IF(SUM(D14:D17)&gt;0,SUM(D14:D17),"")</f>
        <v>381</v>
      </c>
      <c r="E13" s="4">
        <f>IF(SUM(E14:E17)&gt;0,SUM(E14:E17),"")</f>
        <v>5</v>
      </c>
      <c r="F13" s="72"/>
      <c r="G13" s="5">
        <f>IF(SUM(G14:G17)&gt;0,SUM(G14:G17),"")</f>
        <v>100</v>
      </c>
      <c r="H13" s="66"/>
      <c r="I13" s="5">
        <f>IF(SUM(I14:I17)&gt;0,SUM(I14:I17),"")</f>
        <v>276</v>
      </c>
      <c r="J13" s="67"/>
      <c r="K13" s="60">
        <f>IF(SUM(K14:K17)&gt;0,SUM(K14:K17),"")</f>
        <v>698</v>
      </c>
      <c r="L13" s="5">
        <f>IF(SUM(L14:L17)&gt;0,SUM(L14:L17),"")</f>
        <v>86</v>
      </c>
      <c r="M13" s="67"/>
      <c r="N13" s="5">
        <f>IF(SUM(N14:N17)&gt;0,SUM(N14:N17),"")</f>
        <v>178</v>
      </c>
      <c r="O13" s="67"/>
      <c r="P13" s="5">
        <f>IF(SUM(P14:P17)&gt;0,SUM(P14:P17),"")</f>
        <v>434</v>
      </c>
      <c r="Q13" s="67"/>
      <c r="R13" s="60">
        <f>IF(SUM(R14:R17)&gt;0,SUM(R14:R17),"")</f>
        <v>1298</v>
      </c>
      <c r="S13" s="5">
        <f>IF(SUM(S14:S17)&gt;0,SUM(S14:S17),"")</f>
        <v>84</v>
      </c>
      <c r="T13" s="67"/>
      <c r="U13" s="5">
        <f>IF(SUM(U14:U17)&gt;0,SUM(U14:U17),"")</f>
        <v>564</v>
      </c>
      <c r="V13" s="84"/>
      <c r="W13" s="5">
        <f>IF(SUM(W14:W17)&gt;0,SUM(W14:W17),"")</f>
        <v>650</v>
      </c>
      <c r="X13" s="84"/>
      <c r="Y13" s="60">
        <f>IF(SUM(Y14:Y17)&gt;0,SUM(Y14:Y17),"")</f>
        <v>2600</v>
      </c>
      <c r="Z13" s="5">
        <f>IF(SUM(Z14:Z17)&gt;0,SUM(Z14:Z17),"")</f>
        <v>900</v>
      </c>
      <c r="AA13" s="84"/>
      <c r="AB13" s="5">
        <f>IF(SUM(AB14:AB17)&gt;0,SUM(AB14:AB17),"")</f>
        <v>850</v>
      </c>
      <c r="AC13" s="84"/>
      <c r="AD13" s="5">
        <f>IF(SUM(AD14:AD17)&gt;0,SUM(AD14:AD17),"")</f>
        <v>850</v>
      </c>
      <c r="AE13" s="84"/>
      <c r="AF13" s="49">
        <f>IF(SUM(AF14:AF17)&gt;0,SUM(AF14:AF17),"")</f>
        <v>4977</v>
      </c>
    </row>
    <row r="14" spans="1:32" s="6" customFormat="1" ht="19.5" hidden="1" outlineLevel="1" x14ac:dyDescent="0.35">
      <c r="A14" s="7"/>
      <c r="B14" s="40" t="s">
        <v>73</v>
      </c>
      <c r="C14" s="123"/>
      <c r="D14" s="36">
        <f>IF(SUM(E14,G14,I14)&gt;0,SUM(E14,G14,I14),"")</f>
        <v>381</v>
      </c>
      <c r="E14" s="8">
        <v>5</v>
      </c>
      <c r="F14" s="79" t="s">
        <v>119</v>
      </c>
      <c r="G14" s="9">
        <v>100</v>
      </c>
      <c r="H14" s="79" t="s">
        <v>179</v>
      </c>
      <c r="I14" s="9">
        <v>276</v>
      </c>
      <c r="J14" s="80" t="s">
        <v>180</v>
      </c>
      <c r="K14" s="36">
        <f>IF(SUM(L14,N14,P14)&gt;0,SUM(L14,N14,P14),"")</f>
        <v>698</v>
      </c>
      <c r="L14" s="9">
        <v>86</v>
      </c>
      <c r="M14" s="80" t="s">
        <v>227</v>
      </c>
      <c r="N14" s="9">
        <v>178</v>
      </c>
      <c r="O14" s="80" t="s">
        <v>228</v>
      </c>
      <c r="P14" s="9">
        <v>434</v>
      </c>
      <c r="Q14" s="80" t="s">
        <v>229</v>
      </c>
      <c r="R14" s="36" t="str">
        <f>IF(SUM(S14,U14,W14)&gt;0,SUM(S14,U14,W14),"")</f>
        <v/>
      </c>
      <c r="S14" s="9"/>
      <c r="T14" s="80"/>
      <c r="U14" s="9"/>
      <c r="V14" s="80"/>
      <c r="W14" s="9"/>
      <c r="X14" s="80"/>
      <c r="Y14" s="36" t="str">
        <f>IF(SUM(Z14,AB14,AD14)&gt;0,SUM(Z14,AB14,AD14),"")</f>
        <v/>
      </c>
      <c r="Z14" s="9"/>
      <c r="AA14" s="82"/>
      <c r="AB14" s="9"/>
      <c r="AC14" s="82"/>
      <c r="AD14" s="9"/>
      <c r="AE14" s="82"/>
      <c r="AF14" s="36">
        <f t="shared" ref="AF14" si="3">IF(SUM(D14,K14,R14,Y14)&gt;0,SUM(D14,K14,R14,Y14),"")</f>
        <v>1079</v>
      </c>
    </row>
    <row r="15" spans="1:32" s="6" customFormat="1" ht="11.65" hidden="1" outlineLevel="1" x14ac:dyDescent="0.35">
      <c r="A15" s="7"/>
      <c r="B15" s="40"/>
      <c r="C15" s="123"/>
      <c r="D15" s="37" t="str">
        <f>IF(SUM(E15,G15,I15)&gt;0,SUM(E15,G15,I15),"")</f>
        <v/>
      </c>
      <c r="E15" s="10"/>
      <c r="F15" s="11"/>
      <c r="G15" s="12"/>
      <c r="H15" s="11"/>
      <c r="I15" s="12"/>
      <c r="J15" s="32"/>
      <c r="K15" s="37" t="str">
        <f>IF(SUM(L15,N15,P15)&gt;0,SUM(L15,N15,P15),"")</f>
        <v/>
      </c>
      <c r="L15" s="12"/>
      <c r="M15" s="32"/>
      <c r="N15" s="12"/>
      <c r="O15" s="32"/>
      <c r="P15" s="12"/>
      <c r="Q15" s="32"/>
      <c r="R15" s="37">
        <f>IF(SUM(S15,U15,W15)&gt;0,SUM(S15,U15,W15),"")</f>
        <v>598</v>
      </c>
      <c r="S15" s="12">
        <v>84</v>
      </c>
      <c r="T15" s="32" t="s">
        <v>246</v>
      </c>
      <c r="U15" s="12">
        <v>514</v>
      </c>
      <c r="V15" s="32" t="s">
        <v>251</v>
      </c>
      <c r="W15" s="12"/>
      <c r="X15" s="32"/>
      <c r="Y15" s="37" t="str">
        <f>IF(SUM(Z15,AB15,AD15)&gt;0,SUM(Z15,AB15,AD15),"")</f>
        <v/>
      </c>
      <c r="Z15" s="12"/>
      <c r="AA15" s="32"/>
      <c r="AB15" s="12"/>
      <c r="AC15" s="33"/>
      <c r="AD15" s="12"/>
      <c r="AE15" s="83"/>
      <c r="AF15" s="37">
        <f t="shared" si="2"/>
        <v>598</v>
      </c>
    </row>
    <row r="16" spans="1:32" s="6" customFormat="1" ht="11.65" hidden="1" outlineLevel="1" x14ac:dyDescent="0.35">
      <c r="A16" s="7"/>
      <c r="B16" s="40"/>
      <c r="C16" s="123"/>
      <c r="D16" s="38" t="str">
        <f>IF(SUM(E16,G16,I16)&gt;0,SUM(E16,G16,I16),"")</f>
        <v/>
      </c>
      <c r="E16" s="14"/>
      <c r="F16" s="15"/>
      <c r="G16" s="16"/>
      <c r="H16" s="15"/>
      <c r="I16" s="16"/>
      <c r="J16" s="15"/>
      <c r="K16" s="38" t="str">
        <f>IF(SUM(L16,N16,P16)&gt;0,SUM(L16,N16,P16),"")</f>
        <v/>
      </c>
      <c r="L16" s="16"/>
      <c r="M16" s="15"/>
      <c r="N16" s="16"/>
      <c r="O16" s="15"/>
      <c r="P16" s="16"/>
      <c r="Q16" s="15"/>
      <c r="R16" s="38">
        <f>IF(SUM(S16,U16,W16)&gt;0,SUM(S16,U16,W16),"")</f>
        <v>700</v>
      </c>
      <c r="S16" s="16"/>
      <c r="T16" s="15"/>
      <c r="U16" s="16">
        <v>50</v>
      </c>
      <c r="V16" s="15" t="s">
        <v>158</v>
      </c>
      <c r="W16" s="16">
        <v>650</v>
      </c>
      <c r="X16" s="15" t="s">
        <v>258</v>
      </c>
      <c r="Y16" s="38">
        <f>IF(SUM(Z16,AB16,AD16)&gt;0,SUM(Z16,AB16,AD16),"")</f>
        <v>2600</v>
      </c>
      <c r="Z16" s="16">
        <v>900</v>
      </c>
      <c r="AA16" s="15" t="s">
        <v>194</v>
      </c>
      <c r="AB16" s="16">
        <v>850</v>
      </c>
      <c r="AC16" s="15" t="s">
        <v>193</v>
      </c>
      <c r="AD16" s="16">
        <v>850</v>
      </c>
      <c r="AE16" s="15" t="s">
        <v>193</v>
      </c>
      <c r="AF16" s="38">
        <f t="shared" si="2"/>
        <v>3300</v>
      </c>
    </row>
    <row r="17" spans="1:32" s="6" customFormat="1" ht="11.65" hidden="1" outlineLevel="1" x14ac:dyDescent="0.35">
      <c r="A17" s="45"/>
      <c r="B17" s="40"/>
      <c r="C17" s="123"/>
      <c r="D17" s="61" t="str">
        <f>IF(SUM(E17,G17,I17)&gt;0,SUM(E17,G17,I17),"")</f>
        <v/>
      </c>
      <c r="E17" s="17"/>
      <c r="F17" s="73"/>
      <c r="G17" s="19"/>
      <c r="H17" s="18"/>
      <c r="I17" s="19"/>
      <c r="J17" s="29"/>
      <c r="K17" s="61" t="str">
        <f>IF(SUM(L17,N17,P17)&gt;0,SUM(L17,N17,P17),"")</f>
        <v/>
      </c>
      <c r="L17" s="19"/>
      <c r="M17" s="18"/>
      <c r="N17" s="19"/>
      <c r="O17" s="29"/>
      <c r="P17" s="19"/>
      <c r="Q17" s="29"/>
      <c r="R17" s="61" t="str">
        <f>IF(SUM(S17,U17,W17)&gt;0,SUM(S17,U17,W17),"")</f>
        <v/>
      </c>
      <c r="S17" s="19"/>
      <c r="T17" s="29"/>
      <c r="U17" s="19"/>
      <c r="V17" s="115"/>
      <c r="W17" s="19"/>
      <c r="X17" s="115"/>
      <c r="Y17" s="61" t="str">
        <f>IF(SUM(Z17,AB17,AD17)&gt;0,SUM(Z17,AB17,AD17),"")</f>
        <v/>
      </c>
      <c r="Z17" s="19"/>
      <c r="AA17" s="29"/>
      <c r="AB17" s="19"/>
      <c r="AC17" s="29"/>
      <c r="AD17" s="19"/>
      <c r="AE17" s="29"/>
      <c r="AF17" s="54" t="str">
        <f t="shared" si="2"/>
        <v/>
      </c>
    </row>
    <row r="18" spans="1:32" s="6" customFormat="1" ht="11.55" customHeight="1" collapsed="1" x14ac:dyDescent="0.35">
      <c r="A18" s="44">
        <v>4</v>
      </c>
      <c r="B18" s="39" t="s">
        <v>3</v>
      </c>
      <c r="C18" s="122" t="s">
        <v>134</v>
      </c>
      <c r="D18" s="60">
        <f>IF(SUM(D19:D22)&gt;0,SUM(D19:D22),"")</f>
        <v>222</v>
      </c>
      <c r="E18" s="4">
        <f>IF(SUM(E19:E22)&gt;0,SUM(E19:E22),"")</f>
        <v>60</v>
      </c>
      <c r="F18" s="72"/>
      <c r="G18" s="5" t="str">
        <f>IF(SUM(G19:G22)&gt;0,SUM(G19:G22),"")</f>
        <v/>
      </c>
      <c r="H18" s="66"/>
      <c r="I18" s="5">
        <f>IF(SUM(I19:I22)&gt;0,SUM(I19:I22),"")</f>
        <v>162</v>
      </c>
      <c r="J18" s="67"/>
      <c r="K18" s="60">
        <f>IF(SUM(K19:K22)&gt;0,SUM(K19:K22),"")</f>
        <v>495</v>
      </c>
      <c r="L18" s="5">
        <f>IF(SUM(L19:L22)&gt;0,SUM(L19:L22),"")</f>
        <v>54</v>
      </c>
      <c r="M18" s="67"/>
      <c r="N18" s="5">
        <f>IF(SUM(N19:N22)&gt;0,SUM(N19:N22),"")</f>
        <v>40</v>
      </c>
      <c r="O18" s="67"/>
      <c r="P18" s="5">
        <f>IF(SUM(P19:P22)&gt;0,SUM(P19:P22),"")</f>
        <v>401</v>
      </c>
      <c r="Q18" s="67"/>
      <c r="R18" s="60">
        <f>IF(SUM(R19:R22)&gt;0,SUM(R19:R22),"")</f>
        <v>1090</v>
      </c>
      <c r="S18" s="5">
        <f>IF(SUM(S19:S22)&gt;0,SUM(S19:S22),"")</f>
        <v>113</v>
      </c>
      <c r="T18" s="67"/>
      <c r="U18" s="5">
        <f>IF(SUM(U19:U22)&gt;0,SUM(U19:U22),"")</f>
        <v>327</v>
      </c>
      <c r="V18" s="84"/>
      <c r="W18" s="5">
        <f>IF(SUM(W19:W22)&gt;0,SUM(W19:W22),"")</f>
        <v>650</v>
      </c>
      <c r="X18" s="84"/>
      <c r="Y18" s="60">
        <f>IF(SUM(Y19:Y22)&gt;0,SUM(Y19:Y22),"")</f>
        <v>3000</v>
      </c>
      <c r="Z18" s="5">
        <f>IF(SUM(Z19:Z22)&gt;0,SUM(Z19:Z22),"")</f>
        <v>1000</v>
      </c>
      <c r="AA18" s="84"/>
      <c r="AB18" s="5">
        <f>IF(SUM(AB19:AB22)&gt;0,SUM(AB19:AB22),"")</f>
        <v>1000</v>
      </c>
      <c r="AC18" s="84"/>
      <c r="AD18" s="5">
        <f>IF(SUM(AD19:AD22)&gt;0,SUM(AD19:AD22),"")</f>
        <v>1000</v>
      </c>
      <c r="AE18" s="84"/>
      <c r="AF18" s="49">
        <f>IF(SUM(AF19:AF22)&gt;0,SUM(AF19:AF22),"")</f>
        <v>4807</v>
      </c>
    </row>
    <row r="19" spans="1:32" s="6" customFormat="1" ht="19.5" hidden="1" outlineLevel="1" x14ac:dyDescent="0.35">
      <c r="A19" s="7"/>
      <c r="B19" s="40" t="s">
        <v>74</v>
      </c>
      <c r="C19" s="123"/>
      <c r="D19" s="36">
        <f>IF(SUM(E19,G19,I19)&gt;0,SUM(E19,G19,I19),"")</f>
        <v>222</v>
      </c>
      <c r="E19" s="8">
        <v>60</v>
      </c>
      <c r="F19" s="79" t="s">
        <v>142</v>
      </c>
      <c r="G19" s="9"/>
      <c r="H19" s="79"/>
      <c r="I19" s="9">
        <v>162</v>
      </c>
      <c r="J19" s="80" t="s">
        <v>181</v>
      </c>
      <c r="K19" s="36">
        <f>IF(SUM(L19,N19,P19)&gt;0,SUM(L19,N19,P19),"")</f>
        <v>495</v>
      </c>
      <c r="L19" s="9">
        <v>54</v>
      </c>
      <c r="M19" s="80" t="s">
        <v>230</v>
      </c>
      <c r="N19" s="9">
        <v>40</v>
      </c>
      <c r="O19" s="80" t="s">
        <v>231</v>
      </c>
      <c r="P19" s="9">
        <v>401</v>
      </c>
      <c r="Q19" s="80" t="s">
        <v>232</v>
      </c>
      <c r="R19" s="36" t="str">
        <f>IF(SUM(S19,U19,W19)&gt;0,SUM(S19,U19,W19),"")</f>
        <v/>
      </c>
      <c r="S19" s="9"/>
      <c r="T19" s="80"/>
      <c r="U19" s="9"/>
      <c r="V19" s="80"/>
      <c r="W19" s="9"/>
      <c r="X19" s="80"/>
      <c r="Y19" s="36" t="str">
        <f>IF(SUM(Z19,AB19,AD19)&gt;0,SUM(Z19,AB19,AD19),"")</f>
        <v/>
      </c>
      <c r="Z19" s="9"/>
      <c r="AA19" s="82"/>
      <c r="AB19" s="9"/>
      <c r="AC19" s="82"/>
      <c r="AD19" s="9"/>
      <c r="AE19" s="82"/>
      <c r="AF19" s="36">
        <f t="shared" ref="AF19" si="4">IF(SUM(D19,K19,R19,Y19)&gt;0,SUM(D19,K19,R19,Y19),"")</f>
        <v>717</v>
      </c>
    </row>
    <row r="20" spans="1:32" s="6" customFormat="1" ht="11.65" hidden="1" outlineLevel="1" x14ac:dyDescent="0.35">
      <c r="A20" s="7"/>
      <c r="B20" s="40"/>
      <c r="C20" s="123"/>
      <c r="D20" s="37" t="str">
        <f>IF(SUM(E20,G20,I20)&gt;0,SUM(E20,G20,I20),"")</f>
        <v/>
      </c>
      <c r="E20" s="10"/>
      <c r="F20" s="11"/>
      <c r="G20" s="12"/>
      <c r="H20" s="11"/>
      <c r="I20" s="12"/>
      <c r="J20" s="32"/>
      <c r="K20" s="37" t="str">
        <f>IF(SUM(L20,N20,P20)&gt;0,SUM(L20,N20,P20),"")</f>
        <v/>
      </c>
      <c r="L20" s="12"/>
      <c r="M20" s="32"/>
      <c r="N20" s="12"/>
      <c r="O20" s="32"/>
      <c r="P20" s="12"/>
      <c r="Q20" s="32"/>
      <c r="R20" s="37">
        <f>IF(SUM(S20,U20,W20)&gt;0,SUM(S20,U20,W20),"")</f>
        <v>390</v>
      </c>
      <c r="S20" s="12">
        <v>113</v>
      </c>
      <c r="T20" s="32" t="s">
        <v>247</v>
      </c>
      <c r="U20" s="12">
        <v>277</v>
      </c>
      <c r="V20" s="32" t="s">
        <v>252</v>
      </c>
      <c r="W20" s="12"/>
      <c r="X20" s="32"/>
      <c r="Y20" s="37" t="str">
        <f>IF(SUM(Z20,AB20,AD20)&gt;0,SUM(Z20,AB20,AD20),"")</f>
        <v/>
      </c>
      <c r="Z20" s="12"/>
      <c r="AA20" s="32"/>
      <c r="AB20" s="12"/>
      <c r="AC20" s="33"/>
      <c r="AD20" s="12"/>
      <c r="AE20" s="83"/>
      <c r="AF20" s="37">
        <f t="shared" si="2"/>
        <v>390</v>
      </c>
    </row>
    <row r="21" spans="1:32" s="6" customFormat="1" ht="19.5" hidden="1" outlineLevel="1" x14ac:dyDescent="0.35">
      <c r="A21" s="7"/>
      <c r="B21" s="40"/>
      <c r="C21" s="123"/>
      <c r="D21" s="38" t="str">
        <f>IF(SUM(E21,G21,I21)&gt;0,SUM(E21,G21,I21),"")</f>
        <v/>
      </c>
      <c r="E21" s="14"/>
      <c r="F21" s="15"/>
      <c r="G21" s="16"/>
      <c r="H21" s="15"/>
      <c r="I21" s="16"/>
      <c r="J21" s="15"/>
      <c r="K21" s="38" t="str">
        <f>IF(SUM(L21,N21,P21)&gt;0,SUM(L21,N21,P21),"")</f>
        <v/>
      </c>
      <c r="L21" s="16"/>
      <c r="M21" s="15"/>
      <c r="N21" s="16"/>
      <c r="O21" s="15"/>
      <c r="P21" s="16"/>
      <c r="Q21" s="15"/>
      <c r="R21" s="38">
        <f>IF(SUM(S21,U21,W21)&gt;0,SUM(S21,U21,W21),"")</f>
        <v>700</v>
      </c>
      <c r="S21" s="112"/>
      <c r="T21" s="15"/>
      <c r="U21" s="16">
        <v>50</v>
      </c>
      <c r="V21" s="15" t="s">
        <v>158</v>
      </c>
      <c r="W21" s="16">
        <v>650</v>
      </c>
      <c r="X21" s="15" t="s">
        <v>258</v>
      </c>
      <c r="Y21" s="38">
        <f>IF(SUM(Z21,AB21,AD21)&gt;0,SUM(Z21,AB21,AD21),"")</f>
        <v>3000</v>
      </c>
      <c r="Z21" s="16">
        <v>1000</v>
      </c>
      <c r="AA21" s="15" t="s">
        <v>293</v>
      </c>
      <c r="AB21" s="16">
        <v>1000</v>
      </c>
      <c r="AC21" s="15" t="s">
        <v>195</v>
      </c>
      <c r="AD21" s="16">
        <v>1000</v>
      </c>
      <c r="AE21" s="15" t="s">
        <v>195</v>
      </c>
      <c r="AF21" s="38">
        <f t="shared" si="2"/>
        <v>3700</v>
      </c>
    </row>
    <row r="22" spans="1:32" s="6" customFormat="1" ht="11.65" hidden="1" outlineLevel="1" x14ac:dyDescent="0.35">
      <c r="A22" s="45"/>
      <c r="B22" s="40"/>
      <c r="C22" s="123"/>
      <c r="D22" s="61"/>
      <c r="E22" s="17"/>
      <c r="F22" s="73"/>
      <c r="G22" s="17"/>
      <c r="H22" s="73"/>
      <c r="I22" s="19"/>
      <c r="J22" s="29"/>
      <c r="K22" s="61" t="str">
        <f>IF(SUM(L22,N22,P22)&gt;0,SUM(L22,N22,P22),"")</f>
        <v/>
      </c>
      <c r="L22" s="19"/>
      <c r="M22" s="18"/>
      <c r="N22" s="19"/>
      <c r="O22" s="29"/>
      <c r="P22" s="19"/>
      <c r="Q22" s="29"/>
      <c r="R22" s="61" t="str">
        <f>IF(SUM(S22,U22,W22)&gt;0,SUM(S22,U22,W22),"")</f>
        <v/>
      </c>
      <c r="S22" s="19"/>
      <c r="T22" s="29"/>
      <c r="U22" s="19"/>
      <c r="V22" s="29"/>
      <c r="W22" s="19"/>
      <c r="X22" s="29"/>
      <c r="Y22" s="61" t="str">
        <f>IF(SUM(Z22,AB22,AD22)&gt;0,SUM(Z22,AB22,AD22),"")</f>
        <v/>
      </c>
      <c r="Z22" s="19"/>
      <c r="AA22" s="29"/>
      <c r="AB22" s="19"/>
      <c r="AC22" s="29"/>
      <c r="AD22" s="19"/>
      <c r="AE22" s="29"/>
      <c r="AF22" s="54" t="str">
        <f t="shared" si="2"/>
        <v/>
      </c>
    </row>
    <row r="23" spans="1:32" s="6" customFormat="1" ht="11.55" customHeight="1" collapsed="1" x14ac:dyDescent="0.35">
      <c r="A23" s="44">
        <v>5</v>
      </c>
      <c r="B23" s="39" t="s">
        <v>4</v>
      </c>
      <c r="C23" s="122" t="s">
        <v>134</v>
      </c>
      <c r="D23" s="60">
        <f>IF(SUM(D24:D27)&gt;0,SUM(D24:D27),"")</f>
        <v>59</v>
      </c>
      <c r="E23" s="4" t="str">
        <f>IF(SUM(E24:E27)&gt;0,SUM(E24:E27),"")</f>
        <v/>
      </c>
      <c r="F23" s="72"/>
      <c r="G23" s="5"/>
      <c r="H23" s="66"/>
      <c r="I23" s="5">
        <f>IF(SUM(I24:I27)&gt;0,SUM(I24:I27),"")</f>
        <v>59</v>
      </c>
      <c r="J23" s="67"/>
      <c r="K23" s="60">
        <f>IF(SUM(K24:K27)&gt;0,SUM(K24:K27),"")</f>
        <v>143</v>
      </c>
      <c r="L23" s="5" t="str">
        <f>IF(SUM(L24:L27)&gt;0,SUM(L24:L27),"")</f>
        <v/>
      </c>
      <c r="M23" s="67"/>
      <c r="N23" s="5">
        <f>IF(SUM(N24:N27)&gt;0,SUM(N24:N27),"")</f>
        <v>103</v>
      </c>
      <c r="O23" s="67"/>
      <c r="P23" s="5">
        <f>IF(SUM(P24:P27)&gt;0,SUM(P24:P27),"")</f>
        <v>40</v>
      </c>
      <c r="Q23" s="67"/>
      <c r="R23" s="60">
        <f>IF(SUM(R24:R27)&gt;0,SUM(R24:R27),"")</f>
        <v>353</v>
      </c>
      <c r="S23" s="5">
        <f>IF(SUM(S24:S27)&gt;0,SUM(S24:S27),"")</f>
        <v>37</v>
      </c>
      <c r="T23" s="67"/>
      <c r="U23" s="5">
        <f>IF(SUM(U24:U27)&gt;0,SUM(U24:U27),"")</f>
        <v>116</v>
      </c>
      <c r="V23" s="84"/>
      <c r="W23" s="5">
        <f>IF(SUM(W24:W27)&gt;0,SUM(W24:W27),"")</f>
        <v>200</v>
      </c>
      <c r="X23" s="84"/>
      <c r="Y23" s="60">
        <f>IF(SUM(Y24:Y27)&gt;0,SUM(Y24:Y27),"")</f>
        <v>861</v>
      </c>
      <c r="Z23" s="5">
        <f>IF(SUM(Z24:Z27)&gt;0,SUM(Z24:Z27),"")</f>
        <v>250</v>
      </c>
      <c r="AA23" s="84"/>
      <c r="AB23" s="5">
        <f>IF(SUM(AB24:AB27)&gt;0,SUM(AB24:AB27),"")</f>
        <v>261</v>
      </c>
      <c r="AC23" s="84"/>
      <c r="AD23" s="5">
        <f>IF(SUM(AD24:AD27)&gt;0,SUM(AD24:AD27),"")</f>
        <v>350</v>
      </c>
      <c r="AE23" s="84"/>
      <c r="AF23" s="49">
        <f>IF(SUM(AF24:AF27)&gt;0,SUM(AF24:AF27),"")</f>
        <v>1416</v>
      </c>
    </row>
    <row r="24" spans="1:32" s="6" customFormat="1" ht="19.5" hidden="1" outlineLevel="1" x14ac:dyDescent="0.35">
      <c r="A24" s="7"/>
      <c r="B24" s="40" t="s">
        <v>76</v>
      </c>
      <c r="C24" s="123"/>
      <c r="D24" s="36">
        <f>IF(SUM(E24,G24,I24)&gt;0,SUM(E24,G24,I24),"")</f>
        <v>59</v>
      </c>
      <c r="E24" s="8"/>
      <c r="F24" s="79"/>
      <c r="G24" s="9"/>
      <c r="H24" s="79"/>
      <c r="I24" s="9">
        <v>59</v>
      </c>
      <c r="J24" s="80" t="s">
        <v>182</v>
      </c>
      <c r="K24" s="36">
        <f>IF(SUM(L24,N24,P24)&gt;0,SUM(L24,N24,P24),"")</f>
        <v>143</v>
      </c>
      <c r="L24" s="9"/>
      <c r="M24" s="80"/>
      <c r="N24" s="9">
        <v>103</v>
      </c>
      <c r="O24" s="80" t="s">
        <v>233</v>
      </c>
      <c r="P24" s="9">
        <v>40</v>
      </c>
      <c r="Q24" s="80" t="s">
        <v>114</v>
      </c>
      <c r="R24" s="36" t="str">
        <f>IF(SUM(S24,U24,W24)&gt;0,SUM(S24,U24,W24),"")</f>
        <v/>
      </c>
      <c r="S24" s="9"/>
      <c r="T24" s="80"/>
      <c r="U24" s="9"/>
      <c r="V24" s="80"/>
      <c r="W24" s="9"/>
      <c r="X24" s="80"/>
      <c r="Y24" s="36" t="str">
        <f>IF(SUM(Z24,AB24,AD24)&gt;0,SUM(Z24,AB24,AD24),"")</f>
        <v/>
      </c>
      <c r="Z24" s="9"/>
      <c r="AA24" s="82"/>
      <c r="AB24" s="9"/>
      <c r="AC24" s="82"/>
      <c r="AD24" s="9"/>
      <c r="AE24" s="82"/>
      <c r="AF24" s="36">
        <f t="shared" ref="AF24" si="5">IF(SUM(D24,K24,R24,Y24)&gt;0,SUM(D24,K24,R24,Y24),"")</f>
        <v>202</v>
      </c>
    </row>
    <row r="25" spans="1:32" s="6" customFormat="1" ht="11.65" hidden="1" outlineLevel="1" x14ac:dyDescent="0.35">
      <c r="A25" s="7"/>
      <c r="B25" s="40"/>
      <c r="C25" s="123"/>
      <c r="D25" s="37" t="str">
        <f>IF(SUM(E25,G25,I25)&gt;0,SUM(E25,G25,I25),"")</f>
        <v/>
      </c>
      <c r="E25" s="10"/>
      <c r="F25" s="11"/>
      <c r="G25" s="12"/>
      <c r="H25" s="11"/>
      <c r="I25" s="12"/>
      <c r="J25" s="32"/>
      <c r="K25" s="37" t="str">
        <f>IF(SUM(L25,N25,P25)&gt;0,SUM(L25,N25,P25),"")</f>
        <v/>
      </c>
      <c r="L25" s="12"/>
      <c r="M25" s="33"/>
      <c r="N25" s="12"/>
      <c r="O25" s="32"/>
      <c r="P25" s="12"/>
      <c r="Q25" s="32"/>
      <c r="R25" s="37">
        <f>IF(SUM(S25,U25,W25)&gt;0,SUM(S25,U25,W25),"")</f>
        <v>133</v>
      </c>
      <c r="S25" s="12">
        <v>37</v>
      </c>
      <c r="T25" s="33" t="s">
        <v>248</v>
      </c>
      <c r="U25" s="12">
        <v>96</v>
      </c>
      <c r="V25" s="32" t="s">
        <v>253</v>
      </c>
      <c r="W25" s="12"/>
      <c r="X25" s="32"/>
      <c r="Y25" s="37" t="str">
        <f>IF(SUM(Z25,AB25,AD25)&gt;0,SUM(Z25,AB25,AD25),"")</f>
        <v/>
      </c>
      <c r="Z25" s="12"/>
      <c r="AA25" s="33"/>
      <c r="AB25" s="12"/>
      <c r="AC25" s="33"/>
      <c r="AD25" s="12"/>
      <c r="AE25" s="83"/>
      <c r="AF25" s="37">
        <f t="shared" si="2"/>
        <v>133</v>
      </c>
    </row>
    <row r="26" spans="1:32" s="6" customFormat="1" ht="11.65" hidden="1" outlineLevel="1" x14ac:dyDescent="0.35">
      <c r="A26" s="7"/>
      <c r="B26" s="40"/>
      <c r="C26" s="123"/>
      <c r="D26" s="38" t="str">
        <f>IF(SUM(E26,G26,I26)&gt;0,SUM(E26,G26,I26),"")</f>
        <v/>
      </c>
      <c r="E26" s="14"/>
      <c r="F26" s="15"/>
      <c r="G26" s="14"/>
      <c r="H26" s="15"/>
      <c r="I26" s="14"/>
      <c r="J26" s="15"/>
      <c r="K26" s="38" t="str">
        <f>IF(SUM(L26,N26,P26)&gt;0,SUM(L26,N26,P26),"")</f>
        <v/>
      </c>
      <c r="L26" s="120"/>
      <c r="M26" s="15"/>
      <c r="N26" s="14"/>
      <c r="O26" s="15"/>
      <c r="P26" s="14"/>
      <c r="Q26" s="15"/>
      <c r="R26" s="38">
        <f>IF(SUM(S26,U26,W26)&gt;0,SUM(S26,U26,W26),"")</f>
        <v>220</v>
      </c>
      <c r="S26" s="16"/>
      <c r="T26" s="15"/>
      <c r="U26" s="16">
        <v>20</v>
      </c>
      <c r="V26" s="15" t="s">
        <v>166</v>
      </c>
      <c r="W26" s="16">
        <v>200</v>
      </c>
      <c r="X26" s="15" t="s">
        <v>160</v>
      </c>
      <c r="Y26" s="38">
        <f>IF(SUM(Z26,AB26,AD26)&gt;0,SUM(Z26,AB26,AD26),"")</f>
        <v>861</v>
      </c>
      <c r="Z26" s="16">
        <v>250</v>
      </c>
      <c r="AA26" s="15" t="s">
        <v>165</v>
      </c>
      <c r="AB26" s="16">
        <v>261</v>
      </c>
      <c r="AC26" s="15" t="s">
        <v>169</v>
      </c>
      <c r="AD26" s="16">
        <v>350</v>
      </c>
      <c r="AE26" s="15" t="s">
        <v>168</v>
      </c>
      <c r="AF26" s="38">
        <f t="shared" si="2"/>
        <v>1081</v>
      </c>
    </row>
    <row r="27" spans="1:32" s="6" customFormat="1" ht="11.65" hidden="1" outlineLevel="1" x14ac:dyDescent="0.35">
      <c r="A27" s="45"/>
      <c r="B27" s="40"/>
      <c r="C27" s="123"/>
      <c r="D27" s="61" t="str">
        <f>IF(SUM(E27,G27,I27)&gt;0,SUM(E27,G27,I27),"")</f>
        <v/>
      </c>
      <c r="E27" s="17"/>
      <c r="F27" s="73"/>
      <c r="G27" s="19"/>
      <c r="H27" s="18"/>
      <c r="I27" s="19"/>
      <c r="J27" s="29"/>
      <c r="K27" s="61" t="str">
        <f>IF(SUM(L27,N27,P27)&gt;0,SUM(L27,N27,P27),"")</f>
        <v/>
      </c>
      <c r="L27" s="19"/>
      <c r="M27" s="18"/>
      <c r="N27" s="19"/>
      <c r="O27" s="29"/>
      <c r="P27" s="19"/>
      <c r="Q27" s="29"/>
      <c r="R27" s="61" t="str">
        <f>IF(SUM(S27,U27,W27)&gt;0,SUM(S27,U27,W27),"")</f>
        <v/>
      </c>
      <c r="S27" s="19"/>
      <c r="T27" s="29"/>
      <c r="U27" s="19"/>
      <c r="V27" s="29"/>
      <c r="W27" s="19"/>
      <c r="X27" s="29"/>
      <c r="Y27" s="61" t="str">
        <f>IF(SUM(Z27,AB27,AD27)&gt;0,SUM(Z27,AB27,AD27),"")</f>
        <v/>
      </c>
      <c r="Z27" s="19"/>
      <c r="AA27" s="29"/>
      <c r="AB27" s="19"/>
      <c r="AC27" s="29"/>
      <c r="AD27" s="19"/>
      <c r="AE27" s="29"/>
      <c r="AF27" s="54" t="str">
        <f t="shared" si="2"/>
        <v/>
      </c>
    </row>
    <row r="28" spans="1:32" s="6" customFormat="1" ht="11.55" customHeight="1" collapsed="1" x14ac:dyDescent="0.35">
      <c r="A28" s="44">
        <v>6</v>
      </c>
      <c r="B28" s="39" t="s">
        <v>13</v>
      </c>
      <c r="C28" s="122" t="s">
        <v>134</v>
      </c>
      <c r="D28" s="60">
        <f>IF(SUM(D29:D32)&gt;0,SUM(D29:D32),"")</f>
        <v>80</v>
      </c>
      <c r="E28" s="4">
        <f>IF(SUM(E29:E32)&gt;0,SUM(E29:E32),"")</f>
        <v>20</v>
      </c>
      <c r="F28" s="72"/>
      <c r="G28" s="5">
        <f>IF(SUM(G29:G32)&gt;0,SUM(G29:G32),"")</f>
        <v>50</v>
      </c>
      <c r="H28" s="66"/>
      <c r="I28" s="5">
        <f>IF(SUM(I29:I32)&gt;0,SUM(I29:I32),"")</f>
        <v>10</v>
      </c>
      <c r="J28" s="67"/>
      <c r="K28" s="60">
        <f>IF(SUM(K29:K32)&gt;0,SUM(K29:K32),"")</f>
        <v>409</v>
      </c>
      <c r="L28" s="5">
        <f>IF(SUM(L29:L32)&gt;0,SUM(L29:L32),"")</f>
        <v>134</v>
      </c>
      <c r="M28" s="67"/>
      <c r="N28" s="5" t="str">
        <f>IF(SUM(N29:N32)&gt;0,SUM(N29:N32),"")</f>
        <v/>
      </c>
      <c r="O28" s="67"/>
      <c r="P28" s="5">
        <f>IF(SUM(P29:P32)&gt;0,SUM(P29:P32),"")</f>
        <v>275</v>
      </c>
      <c r="Q28" s="67"/>
      <c r="R28" s="60">
        <f>IF(SUM(R29:R32)&gt;0,SUM(R29:R32),"")</f>
        <v>312</v>
      </c>
      <c r="S28" s="5" t="str">
        <f>IF(SUM(S29:S32)&gt;0,SUM(S29:S32),"")</f>
        <v/>
      </c>
      <c r="T28" s="67"/>
      <c r="U28" s="5">
        <f>IF(SUM(U29:U32)&gt;0,SUM(U29:U32),"")</f>
        <v>212</v>
      </c>
      <c r="V28" s="84"/>
      <c r="W28" s="5">
        <f>IF(SUM(W29:W32)&gt;0,SUM(W29:W32),"")</f>
        <v>100</v>
      </c>
      <c r="X28" s="84"/>
      <c r="Y28" s="60">
        <f>IF(SUM(Y29:Y32)&gt;0,SUM(Y29:Y32),"")</f>
        <v>600</v>
      </c>
      <c r="Z28" s="5">
        <f>IF(SUM(Z29:Z32)&gt;0,SUM(Z29:Z32),"")</f>
        <v>200</v>
      </c>
      <c r="AA28" s="84"/>
      <c r="AB28" s="5">
        <f>IF(SUM(AB29:AB32)&gt;0,SUM(AB29:AB32),"")</f>
        <v>200</v>
      </c>
      <c r="AC28" s="84"/>
      <c r="AD28" s="5">
        <f>IF(SUM(AD29:AD32)&gt;0,SUM(AD29:AD32),"")</f>
        <v>200</v>
      </c>
      <c r="AE28" s="84"/>
      <c r="AF28" s="49">
        <f>IF(SUM(AF29:AF32)&gt;0,SUM(AF29:AF32),"")</f>
        <v>1401</v>
      </c>
    </row>
    <row r="29" spans="1:32" s="6" customFormat="1" ht="11.65" hidden="1" outlineLevel="1" x14ac:dyDescent="0.35">
      <c r="A29" s="7"/>
      <c r="B29" s="40" t="s">
        <v>75</v>
      </c>
      <c r="C29" s="123"/>
      <c r="D29" s="36">
        <f>IF(SUM(E29,G29,I29)&gt;0,SUM(E29,G29,I29),"")</f>
        <v>70</v>
      </c>
      <c r="E29" s="8">
        <v>20</v>
      </c>
      <c r="F29" s="79" t="s">
        <v>121</v>
      </c>
      <c r="G29" s="9">
        <v>50</v>
      </c>
      <c r="H29" s="79" t="s">
        <v>183</v>
      </c>
      <c r="I29" s="9"/>
      <c r="J29" s="80"/>
      <c r="K29" s="36">
        <f>IF(SUM(L29,N29,P29)&gt;0,SUM(L29,N29,P29),"")</f>
        <v>409</v>
      </c>
      <c r="L29" s="9">
        <v>134</v>
      </c>
      <c r="M29" s="55" t="s">
        <v>234</v>
      </c>
      <c r="N29" s="9"/>
      <c r="O29" s="80"/>
      <c r="P29" s="9">
        <v>275</v>
      </c>
      <c r="Q29" s="80" t="s">
        <v>235</v>
      </c>
      <c r="R29" s="36" t="str">
        <f>IF(SUM(S29,U29,W29)&gt;0,SUM(S29,U29,W29),"")</f>
        <v/>
      </c>
      <c r="S29" s="9"/>
      <c r="T29" s="80"/>
      <c r="U29" s="9"/>
      <c r="V29" s="80"/>
      <c r="W29" s="9"/>
      <c r="X29" s="80"/>
      <c r="Y29" s="36" t="str">
        <f>IF(SUM(Z29,AB29,AD29)&gt;0,SUM(Z29,AB29,AD29),"")</f>
        <v/>
      </c>
      <c r="Z29" s="9"/>
      <c r="AA29" s="82"/>
      <c r="AB29" s="9"/>
      <c r="AC29" s="82"/>
      <c r="AD29" s="9"/>
      <c r="AE29" s="82"/>
      <c r="AF29" s="36">
        <f t="shared" ref="AF29" si="6">IF(SUM(D29,K29,R29,Y29)&gt;0,SUM(D29,K29,R29,Y29),"")</f>
        <v>479</v>
      </c>
    </row>
    <row r="30" spans="1:32" s="6" customFormat="1" ht="11.65" hidden="1" outlineLevel="1" x14ac:dyDescent="0.35">
      <c r="A30" s="7"/>
      <c r="B30" s="40"/>
      <c r="C30" s="123"/>
      <c r="D30" s="37" t="str">
        <f>IF(SUM(E30,G30,I30)&gt;0,SUM(E30,G30,I30),"")</f>
        <v/>
      </c>
      <c r="E30" s="10"/>
      <c r="F30" s="13"/>
      <c r="G30" s="12"/>
      <c r="H30" s="11"/>
      <c r="I30" s="12"/>
      <c r="J30" s="33"/>
      <c r="K30" s="37" t="str">
        <f>IF(SUM(L30,N30,P30)&gt;0,SUM(L30,N30,P30),"")</f>
        <v/>
      </c>
      <c r="L30" s="12"/>
      <c r="M30" s="33"/>
      <c r="N30" s="12"/>
      <c r="O30" s="33"/>
      <c r="P30" s="12"/>
      <c r="Q30" s="32"/>
      <c r="R30" s="37">
        <f>IF(SUM(S30,U30,W30)&gt;0,SUM(S30,U30,W30),"")</f>
        <v>202</v>
      </c>
      <c r="S30" s="12"/>
      <c r="T30" s="32"/>
      <c r="U30" s="12">
        <v>202</v>
      </c>
      <c r="V30" s="32" t="s">
        <v>190</v>
      </c>
      <c r="W30" s="12"/>
      <c r="X30" s="33"/>
      <c r="Y30" s="37" t="str">
        <f>IF(SUM(Z30,AB30,AD30)&gt;0,SUM(Z30,AB30,AD30),"")</f>
        <v/>
      </c>
      <c r="Z30" s="12"/>
      <c r="AA30" s="33"/>
      <c r="AB30" s="12"/>
      <c r="AC30" s="33"/>
      <c r="AD30" s="12"/>
      <c r="AE30" s="83"/>
      <c r="AF30" s="37">
        <f t="shared" si="2"/>
        <v>202</v>
      </c>
    </row>
    <row r="31" spans="1:32" s="6" customFormat="1" ht="19.5" hidden="1" outlineLevel="1" x14ac:dyDescent="0.35">
      <c r="A31" s="7"/>
      <c r="B31" s="40"/>
      <c r="C31" s="123"/>
      <c r="D31" s="38">
        <f>IF(SUM(E31,G31,I31)&gt;0,SUM(E31,G31,I31),"")</f>
        <v>10</v>
      </c>
      <c r="E31" s="14"/>
      <c r="F31" s="15"/>
      <c r="G31" s="16"/>
      <c r="H31" s="15"/>
      <c r="I31" s="14">
        <v>10</v>
      </c>
      <c r="J31" s="15"/>
      <c r="K31" s="38" t="str">
        <f>IF(SUM(L31,N31,P31)&gt;0,SUM(L31,N31,P31),"")</f>
        <v/>
      </c>
      <c r="L31" s="16"/>
      <c r="M31" s="15"/>
      <c r="N31" s="16"/>
      <c r="O31" s="15"/>
      <c r="P31" s="16"/>
      <c r="Q31" s="15"/>
      <c r="R31" s="38">
        <f>IF(SUM(S31,U31,W31)&gt;0,SUM(S31,U31,W31),"")</f>
        <v>110</v>
      </c>
      <c r="S31" s="16"/>
      <c r="T31" s="15"/>
      <c r="U31" s="16">
        <v>10</v>
      </c>
      <c r="V31" s="15" t="s">
        <v>257</v>
      </c>
      <c r="W31" s="16">
        <v>100</v>
      </c>
      <c r="X31" s="15" t="s">
        <v>162</v>
      </c>
      <c r="Y31" s="38">
        <f>IF(SUM(Z31,AB31,AD31)&gt;0,SUM(Z31,AB31,AD31),"")</f>
        <v>600</v>
      </c>
      <c r="Z31" s="16">
        <v>200</v>
      </c>
      <c r="AA31" s="15" t="s">
        <v>294</v>
      </c>
      <c r="AB31" s="16">
        <v>200</v>
      </c>
      <c r="AC31" s="15" t="s">
        <v>160</v>
      </c>
      <c r="AD31" s="16">
        <v>200</v>
      </c>
      <c r="AE31" s="15" t="s">
        <v>160</v>
      </c>
      <c r="AF31" s="38">
        <f t="shared" si="2"/>
        <v>720</v>
      </c>
    </row>
    <row r="32" spans="1:32" s="6" customFormat="1" ht="11.65" hidden="1" outlineLevel="1" x14ac:dyDescent="0.35">
      <c r="A32" s="45"/>
      <c r="B32" s="40"/>
      <c r="C32" s="123"/>
      <c r="D32" s="61" t="str">
        <f>IF(SUM(E32,G32,I32)&gt;0,SUM(E32,G32,I32),"")</f>
        <v/>
      </c>
      <c r="E32" s="17"/>
      <c r="F32" s="73"/>
      <c r="G32" s="19"/>
      <c r="H32" s="18"/>
      <c r="I32" s="19"/>
      <c r="J32" s="31"/>
      <c r="K32" s="61" t="str">
        <f>IF(SUM(L32,N32,P32)&gt;0,SUM(L32,N32,P32),"")</f>
        <v/>
      </c>
      <c r="L32" s="19"/>
      <c r="M32" s="31"/>
      <c r="N32" s="19"/>
      <c r="O32" s="31"/>
      <c r="P32" s="19"/>
      <c r="Q32" s="29"/>
      <c r="R32" s="61" t="str">
        <f>IF(SUM(S32,U32,W32)&gt;0,SUM(S32,U32,W32),"")</f>
        <v/>
      </c>
      <c r="S32" s="19"/>
      <c r="T32" s="31"/>
      <c r="U32" s="19"/>
      <c r="V32" s="85"/>
      <c r="W32" s="19"/>
      <c r="X32" s="31"/>
      <c r="Y32" s="61" t="str">
        <f>IF(SUM(Z32,AB32,AD32)&gt;0,SUM(Z32,AB32,AD32),"")</f>
        <v/>
      </c>
      <c r="Z32" s="19"/>
      <c r="AA32" s="29"/>
      <c r="AB32" s="19"/>
      <c r="AC32" s="29"/>
      <c r="AD32" s="19"/>
      <c r="AE32" s="29"/>
      <c r="AF32" s="54" t="str">
        <f t="shared" si="2"/>
        <v/>
      </c>
    </row>
    <row r="33" spans="1:32" s="6" customFormat="1" ht="11.55" customHeight="1" collapsed="1" x14ac:dyDescent="0.35">
      <c r="A33" s="44">
        <v>7</v>
      </c>
      <c r="B33" s="39" t="s">
        <v>11</v>
      </c>
      <c r="C33" s="122" t="s">
        <v>134</v>
      </c>
      <c r="D33" s="60">
        <f>IF(SUM(D34:D37)&gt;0,SUM(D34:D37),"")</f>
        <v>380</v>
      </c>
      <c r="E33" s="4"/>
      <c r="F33" s="72"/>
      <c r="G33" s="5"/>
      <c r="H33" s="72"/>
      <c r="I33" s="5"/>
      <c r="J33" s="67"/>
      <c r="K33" s="60">
        <f>IF(SUM(K34:K37)&gt;0,SUM(K34:K37),"")</f>
        <v>676</v>
      </c>
      <c r="L33" s="5"/>
      <c r="M33" s="67"/>
      <c r="N33" s="5"/>
      <c r="O33" s="67"/>
      <c r="P33" s="5"/>
      <c r="Q33" s="67"/>
      <c r="R33" s="60">
        <f>IF(SUM(R34:R37)&gt;0,SUM(R34:R37),"")</f>
        <v>1298</v>
      </c>
      <c r="S33" s="5"/>
      <c r="T33" s="67"/>
      <c r="U33" s="5"/>
      <c r="V33" s="84"/>
      <c r="W33" s="5">
        <f>IF(SUM(W34:W37)&gt;0,SUM(W34:W37),"")</f>
        <v>650</v>
      </c>
      <c r="X33" s="84"/>
      <c r="Y33" s="60">
        <f>IF(SUM(Y34:Y37)&gt;0,SUM(Y34:Y37),"")</f>
        <v>2600</v>
      </c>
      <c r="Z33" s="5"/>
      <c r="AA33" s="84"/>
      <c r="AB33" s="5"/>
      <c r="AC33" s="84"/>
      <c r="AD33" s="5"/>
      <c r="AE33" s="84"/>
      <c r="AF33" s="49">
        <f>IF(SUM(AF34:AF37)&gt;0,SUM(AF34:AF37),"")</f>
        <v>4954</v>
      </c>
    </row>
    <row r="34" spans="1:32" s="6" customFormat="1" ht="19.5" hidden="1" outlineLevel="1" x14ac:dyDescent="0.35">
      <c r="A34" s="7"/>
      <c r="B34" s="40" t="s">
        <v>77</v>
      </c>
      <c r="C34" s="123"/>
      <c r="D34" s="36">
        <f>IF(SUM(E34,G34,I34)&gt;0,SUM(E34,G34,I34),"")</f>
        <v>380</v>
      </c>
      <c r="E34" s="8"/>
      <c r="F34" s="79"/>
      <c r="G34" s="9">
        <v>104</v>
      </c>
      <c r="H34" s="79" t="s">
        <v>184</v>
      </c>
      <c r="I34" s="9">
        <v>276</v>
      </c>
      <c r="J34" s="80" t="s">
        <v>180</v>
      </c>
      <c r="K34" s="36">
        <f>IF(SUM(L34,N34,P34)&gt;0,SUM(L34,N34,P34),"")</f>
        <v>676</v>
      </c>
      <c r="L34" s="9">
        <v>86</v>
      </c>
      <c r="M34" s="80" t="s">
        <v>227</v>
      </c>
      <c r="N34" s="9">
        <v>178</v>
      </c>
      <c r="O34" s="80" t="s">
        <v>228</v>
      </c>
      <c r="P34" s="9">
        <v>412</v>
      </c>
      <c r="Q34" s="80" t="s">
        <v>236</v>
      </c>
      <c r="R34" s="36" t="str">
        <f>IF(SUM(S34,U34,W34)&gt;0,SUM(S34,U34,W34),"")</f>
        <v/>
      </c>
      <c r="S34" s="9"/>
      <c r="T34" s="80"/>
      <c r="U34" s="9"/>
      <c r="V34" s="80"/>
      <c r="W34" s="9"/>
      <c r="X34" s="80"/>
      <c r="Y34" s="36" t="str">
        <f>IF(SUM(Z34,AB34,AD34)&gt;0,SUM(Z34,AB34,AD34),"")</f>
        <v/>
      </c>
      <c r="Z34" s="9"/>
      <c r="AA34" s="82"/>
      <c r="AB34" s="9"/>
      <c r="AC34" s="82"/>
      <c r="AD34" s="9"/>
      <c r="AE34" s="82"/>
      <c r="AF34" s="36">
        <f t="shared" ref="AF34" si="7">IF(SUM(D34,K34,R34,Y34)&gt;0,SUM(D34,K34,R34,Y34),"")</f>
        <v>1056</v>
      </c>
    </row>
    <row r="35" spans="1:32" s="6" customFormat="1" ht="11.65" hidden="1" outlineLevel="1" x14ac:dyDescent="0.35">
      <c r="A35" s="7"/>
      <c r="B35" s="40"/>
      <c r="C35" s="123"/>
      <c r="D35" s="37" t="str">
        <f>IF(SUM(E35,G35,I35)&gt;0,SUM(E35,G35,I35),"")</f>
        <v/>
      </c>
      <c r="E35" s="10"/>
      <c r="F35" s="11"/>
      <c r="G35" s="12"/>
      <c r="H35" s="11"/>
      <c r="I35" s="12"/>
      <c r="J35" s="32"/>
      <c r="K35" s="37" t="str">
        <f>IF(SUM(L35,N35,P35)&gt;0,SUM(L35,N35,P35),"")</f>
        <v/>
      </c>
      <c r="L35" s="12"/>
      <c r="M35" s="33"/>
      <c r="N35" s="12"/>
      <c r="O35" s="32"/>
      <c r="P35" s="12"/>
      <c r="Q35" s="32"/>
      <c r="R35" s="37">
        <f>IF(SUM(S35,U35,W35)&gt;0,SUM(S35,U35,W35),"")</f>
        <v>598</v>
      </c>
      <c r="S35" s="12">
        <v>84</v>
      </c>
      <c r="T35" s="32" t="s">
        <v>246</v>
      </c>
      <c r="U35" s="12">
        <v>514</v>
      </c>
      <c r="V35" s="32" t="s">
        <v>251</v>
      </c>
      <c r="W35" s="12"/>
      <c r="X35" s="33"/>
      <c r="Y35" s="37" t="str">
        <f>IF(SUM(Z35,AB35,AD35)&gt;0,SUM(Z35,AB35,AD35),"")</f>
        <v/>
      </c>
      <c r="Z35" s="12"/>
      <c r="AA35" s="32"/>
      <c r="AB35" s="12"/>
      <c r="AC35" s="33"/>
      <c r="AD35" s="12"/>
      <c r="AE35" s="83"/>
      <c r="AF35" s="37">
        <f t="shared" si="2"/>
        <v>598</v>
      </c>
    </row>
    <row r="36" spans="1:32" s="6" customFormat="1" ht="11.65" hidden="1" outlineLevel="1" x14ac:dyDescent="0.35">
      <c r="A36" s="7"/>
      <c r="B36" s="40"/>
      <c r="C36" s="123"/>
      <c r="D36" s="38" t="str">
        <f>IF(SUM(E36,G36,I36)&gt;0,SUM(E36,G36,I36),"")</f>
        <v/>
      </c>
      <c r="E36" s="14"/>
      <c r="F36" s="15"/>
      <c r="G36" s="16"/>
      <c r="H36" s="15"/>
      <c r="I36" s="16"/>
      <c r="J36" s="15"/>
      <c r="K36" s="38" t="str">
        <f>IF(SUM(L36,N36,P36)&gt;0,SUM(L36,N36,P36),"")</f>
        <v/>
      </c>
      <c r="L36" s="16"/>
      <c r="M36" s="15"/>
      <c r="N36" s="16"/>
      <c r="O36" s="15"/>
      <c r="P36" s="16"/>
      <c r="Q36" s="15"/>
      <c r="R36" s="38">
        <f>IF(SUM(S36,U36,W36)&gt;0,SUM(S36,U36,W36),"")</f>
        <v>700</v>
      </c>
      <c r="S36" s="16"/>
      <c r="T36" s="15"/>
      <c r="U36" s="16">
        <v>50</v>
      </c>
      <c r="V36" s="15" t="s">
        <v>158</v>
      </c>
      <c r="W36" s="16">
        <v>650</v>
      </c>
      <c r="X36" s="15" t="s">
        <v>258</v>
      </c>
      <c r="Y36" s="38">
        <f>IF(SUM(Z36,AB36,AD36)&gt;0,SUM(Z36,AB36,AD36),"")</f>
        <v>2600</v>
      </c>
      <c r="Z36" s="16">
        <v>900</v>
      </c>
      <c r="AA36" s="15" t="s">
        <v>194</v>
      </c>
      <c r="AB36" s="16">
        <v>850</v>
      </c>
      <c r="AC36" s="15" t="s">
        <v>193</v>
      </c>
      <c r="AD36" s="16">
        <v>850</v>
      </c>
      <c r="AE36" s="15" t="s">
        <v>193</v>
      </c>
      <c r="AF36" s="38">
        <f t="shared" si="2"/>
        <v>3300</v>
      </c>
    </row>
    <row r="37" spans="1:32" s="6" customFormat="1" ht="11.65" hidden="1" outlineLevel="1" x14ac:dyDescent="0.35">
      <c r="A37" s="45"/>
      <c r="B37" s="40"/>
      <c r="C37" s="123"/>
      <c r="D37" s="61" t="str">
        <f>IF(SUM(E37,G37,I37)&gt;0,SUM(E37,G37,I37),"")</f>
        <v/>
      </c>
      <c r="E37" s="17"/>
      <c r="F37" s="73"/>
      <c r="G37" s="19"/>
      <c r="H37" s="73"/>
      <c r="I37" s="19"/>
      <c r="J37" s="29"/>
      <c r="K37" s="61" t="str">
        <f>IF(SUM(L37,N37,P37)&gt;0,SUM(L37,N37,P37),"")</f>
        <v/>
      </c>
      <c r="L37" s="19"/>
      <c r="M37" s="18"/>
      <c r="N37" s="19"/>
      <c r="O37" s="31"/>
      <c r="P37" s="19"/>
      <c r="Q37" s="29"/>
      <c r="R37" s="61" t="str">
        <f>IF(SUM(S37,U37,W37)&gt;0,SUM(S37,U37,W37),"")</f>
        <v/>
      </c>
      <c r="S37" s="19"/>
      <c r="T37" s="29"/>
      <c r="U37" s="19"/>
      <c r="V37" s="115"/>
      <c r="W37" s="19"/>
      <c r="X37" s="115"/>
      <c r="Y37" s="61" t="str">
        <f>IF(SUM(Z37,AB37,AD37)&gt;0,SUM(Z37,AB37,AD37),"")</f>
        <v/>
      </c>
      <c r="Z37" s="19"/>
      <c r="AA37" s="29"/>
      <c r="AB37" s="19"/>
      <c r="AC37" s="29"/>
      <c r="AD37" s="19"/>
      <c r="AE37" s="29"/>
      <c r="AF37" s="54" t="str">
        <f t="shared" si="2"/>
        <v/>
      </c>
    </row>
    <row r="38" spans="1:32" s="6" customFormat="1" ht="11.55" customHeight="1" collapsed="1" x14ac:dyDescent="0.35">
      <c r="A38" s="44">
        <v>8</v>
      </c>
      <c r="B38" s="39" t="s">
        <v>45</v>
      </c>
      <c r="C38" s="122" t="s">
        <v>134</v>
      </c>
      <c r="D38" s="60">
        <f>IF(SUM(D39:D42)&gt;0,SUM(D39:D42),"")</f>
        <v>235</v>
      </c>
      <c r="E38" s="4">
        <f>IF(SUM(E39:E42)&gt;0,SUM(E39:E42),"")</f>
        <v>6</v>
      </c>
      <c r="F38" s="72"/>
      <c r="G38" s="5"/>
      <c r="H38" s="72"/>
      <c r="I38" s="5"/>
      <c r="J38" s="67"/>
      <c r="K38" s="60">
        <f>IF(SUM(K39:K42)&gt;0,SUM(K39:K42),"")</f>
        <v>303</v>
      </c>
      <c r="L38" s="5"/>
      <c r="M38" s="67"/>
      <c r="N38" s="5">
        <f>IF(SUM(N39:N42)&gt;0,SUM(N39:N42),"")</f>
        <v>86</v>
      </c>
      <c r="O38" s="67"/>
      <c r="P38" s="5">
        <f>IF(SUM(P39:P42)&gt;0,SUM(P39:P42),"")</f>
        <v>183</v>
      </c>
      <c r="Q38" s="67"/>
      <c r="R38" s="60">
        <f>IF(SUM(R39:R42)&gt;0,SUM(R39:R42),"")</f>
        <v>476</v>
      </c>
      <c r="S38" s="5" t="str">
        <f>IF(SUM(S39:S42)&gt;0,SUM(S39:S42),"")</f>
        <v/>
      </c>
      <c r="T38" s="67"/>
      <c r="U38" s="5">
        <f>IF(SUM(U39:U42)&gt;0,SUM(U39:U42),"")</f>
        <v>226</v>
      </c>
      <c r="V38" s="84"/>
      <c r="W38" s="5">
        <f>IF(SUM(W39:W42)&gt;0,SUM(W39:W42),"")</f>
        <v>250</v>
      </c>
      <c r="X38" s="84"/>
      <c r="Y38" s="60">
        <f>IF(SUM(Y39:Y42)&gt;0,SUM(Y39:Y42),"")</f>
        <v>500</v>
      </c>
      <c r="Z38" s="5">
        <f>IF(SUM(Z39:Z42)&gt;0,SUM(Z39:Z42),"")</f>
        <v>500</v>
      </c>
      <c r="AA38" s="84"/>
      <c r="AB38" s="5" t="str">
        <f>IF(SUM(AB39:AB42)&gt;0,SUM(AB39:AB42),"")</f>
        <v/>
      </c>
      <c r="AC38" s="84"/>
      <c r="AD38" s="5" t="str">
        <f>IF(SUM(AD39:AD42)&gt;0,SUM(AD39:AD42),"")</f>
        <v/>
      </c>
      <c r="AE38" s="84"/>
      <c r="AF38" s="49">
        <f t="shared" ref="AF38" si="8">IF(SUM(AF39:AF42)&gt;0,SUM(AF39:AF42),"")</f>
        <v>1514</v>
      </c>
    </row>
    <row r="39" spans="1:32" s="6" customFormat="1" ht="19.5" hidden="1" outlineLevel="1" x14ac:dyDescent="0.35">
      <c r="A39" s="7"/>
      <c r="B39" s="40" t="s">
        <v>78</v>
      </c>
      <c r="C39" s="123"/>
      <c r="D39" s="36">
        <f>IF(SUM(E39,G39,I39)&gt;0,SUM(E39,G39,I39),"")</f>
        <v>235</v>
      </c>
      <c r="E39" s="8">
        <v>6</v>
      </c>
      <c r="F39" s="79" t="s">
        <v>120</v>
      </c>
      <c r="G39" s="9">
        <v>100</v>
      </c>
      <c r="H39" s="79" t="s">
        <v>185</v>
      </c>
      <c r="I39" s="9">
        <v>129</v>
      </c>
      <c r="J39" s="80" t="s">
        <v>186</v>
      </c>
      <c r="K39" s="36">
        <f>IF(SUM(L39,N39,P39)&gt;0,SUM(L39,N39,P39),"")</f>
        <v>303</v>
      </c>
      <c r="L39" s="9">
        <v>34</v>
      </c>
      <c r="M39" s="55" t="s">
        <v>237</v>
      </c>
      <c r="N39" s="9">
        <v>86</v>
      </c>
      <c r="O39" s="55" t="s">
        <v>238</v>
      </c>
      <c r="P39" s="9">
        <v>183</v>
      </c>
      <c r="Q39" s="80" t="s">
        <v>239</v>
      </c>
      <c r="R39" s="36" t="str">
        <f>IF(SUM(S39,U39,W39)&gt;0,SUM(S39,U39,W39),"")</f>
        <v/>
      </c>
      <c r="S39" s="9"/>
      <c r="T39" s="55"/>
      <c r="U39" s="9"/>
      <c r="V39" s="55"/>
      <c r="W39" s="9"/>
      <c r="X39" s="80"/>
      <c r="Y39" s="36" t="str">
        <f>IF(SUM(Z39,AB39,AD39)&gt;0,SUM(Z39,AB39,AD39),"")</f>
        <v/>
      </c>
      <c r="Z39" s="9"/>
      <c r="AA39" s="82"/>
      <c r="AB39" s="9"/>
      <c r="AC39" s="82"/>
      <c r="AD39" s="9"/>
      <c r="AE39" s="82"/>
      <c r="AF39" s="36">
        <f t="shared" ref="AF39" si="9">IF(SUM(D39,K39,R39,Y39)&gt;0,SUM(D39,K39,R39,Y39),"")</f>
        <v>538</v>
      </c>
    </row>
    <row r="40" spans="1:32" s="6" customFormat="1" ht="11.55" hidden="1" customHeight="1" outlineLevel="1" x14ac:dyDescent="0.35">
      <c r="A40" s="7"/>
      <c r="B40" s="40"/>
      <c r="C40" s="123"/>
      <c r="D40" s="37" t="str">
        <f>IF(SUM(E40,G40,I40)&gt;0,SUM(E40,G40,I40),"")</f>
        <v/>
      </c>
      <c r="E40" s="10"/>
      <c r="F40" s="11"/>
      <c r="G40" s="12"/>
      <c r="H40" s="11"/>
      <c r="I40" s="10"/>
      <c r="J40" s="11"/>
      <c r="K40" s="37" t="str">
        <f>IF(SUM(L40,N40,P40)&gt;0,SUM(L40,N40,P40),"")</f>
        <v/>
      </c>
      <c r="L40" s="12"/>
      <c r="M40" s="33"/>
      <c r="N40" s="12"/>
      <c r="O40" s="32"/>
      <c r="P40" s="12"/>
      <c r="Q40" s="32"/>
      <c r="R40" s="37">
        <f>IF(SUM(S40,U40,W40)&gt;0,SUM(S40,U40,W40),"")</f>
        <v>206</v>
      </c>
      <c r="S40" s="12"/>
      <c r="T40" s="33"/>
      <c r="U40" s="12">
        <v>206</v>
      </c>
      <c r="V40" s="33" t="s">
        <v>254</v>
      </c>
      <c r="W40" s="12"/>
      <c r="X40" s="83"/>
      <c r="Y40" s="37" t="str">
        <f>IF(SUM(Z40,AB40,AD40)&gt;0,SUM(Z40,AB40,AD40),"")</f>
        <v/>
      </c>
      <c r="Z40" s="12"/>
      <c r="AA40" s="33"/>
      <c r="AB40" s="12"/>
      <c r="AC40" s="33"/>
      <c r="AD40" s="12"/>
      <c r="AE40" s="83"/>
      <c r="AF40" s="37">
        <f t="shared" si="2"/>
        <v>206</v>
      </c>
    </row>
    <row r="41" spans="1:32" s="6" customFormat="1" ht="11.65" hidden="1" outlineLevel="1" x14ac:dyDescent="0.35">
      <c r="A41" s="7"/>
      <c r="B41" s="40"/>
      <c r="C41" s="123"/>
      <c r="D41" s="38" t="str">
        <f>IF(SUM(E41,G41,I41)&gt;0,SUM(E41,G41,I41),"")</f>
        <v/>
      </c>
      <c r="E41" s="14"/>
      <c r="F41" s="21"/>
      <c r="G41" s="16"/>
      <c r="H41" s="15"/>
      <c r="I41" s="16"/>
      <c r="J41" s="30"/>
      <c r="K41" s="38" t="str">
        <f>IF(SUM(L41,N41,P41)&gt;0,SUM(L41,N41,P41),"")</f>
        <v/>
      </c>
      <c r="L41" s="112"/>
      <c r="M41" s="15"/>
      <c r="N41" s="16"/>
      <c r="O41" s="15"/>
      <c r="P41" s="16"/>
      <c r="Q41" s="15"/>
      <c r="R41" s="38">
        <f>IF(SUM(S41,U41,W41)&gt;0,SUM(S41,U41,W41),"")</f>
        <v>270</v>
      </c>
      <c r="S41" s="16"/>
      <c r="T41" s="15"/>
      <c r="U41" s="16">
        <v>20</v>
      </c>
      <c r="V41" s="15" t="s">
        <v>166</v>
      </c>
      <c r="W41" s="16">
        <v>250</v>
      </c>
      <c r="X41" s="15" t="s">
        <v>165</v>
      </c>
      <c r="Y41" s="38">
        <f>IF(SUM(Z41,AB41,AD41)&gt;0,SUM(Z41,AB41,AD41),"")</f>
        <v>500</v>
      </c>
      <c r="Z41" s="16">
        <v>500</v>
      </c>
      <c r="AA41" s="15" t="s">
        <v>163</v>
      </c>
      <c r="AB41" s="16"/>
      <c r="AC41" s="15"/>
      <c r="AD41" s="16"/>
      <c r="AE41" s="15"/>
      <c r="AF41" s="38">
        <f>IF(SUM(D41,K41,R41,Y41)&gt;0,SUM(D41,K41,R41,Y41),"")</f>
        <v>770</v>
      </c>
    </row>
    <row r="42" spans="1:32" s="6" customFormat="1" ht="11.65" hidden="1" outlineLevel="1" x14ac:dyDescent="0.35">
      <c r="A42" s="45"/>
      <c r="B42" s="40"/>
      <c r="C42" s="123"/>
      <c r="D42" s="61" t="str">
        <f>IF(SUM(E42,G42,I42)&gt;0,SUM(E42,G42,I42),"")</f>
        <v/>
      </c>
      <c r="E42" s="17"/>
      <c r="F42" s="73"/>
      <c r="G42" s="19"/>
      <c r="H42" s="73"/>
      <c r="I42" s="19"/>
      <c r="J42" s="31"/>
      <c r="K42" s="61" t="str">
        <f>IF(SUM(L42,N42,P42)&gt;0,SUM(L42,N42,P42),"")</f>
        <v/>
      </c>
      <c r="L42" s="19"/>
      <c r="M42" s="18"/>
      <c r="N42" s="19"/>
      <c r="O42" s="31"/>
      <c r="P42" s="19"/>
      <c r="Q42" s="29"/>
      <c r="R42" s="61" t="str">
        <f>IF(SUM(S42,U42,W42)&gt;0,SUM(S42,U42,W42),"")</f>
        <v/>
      </c>
      <c r="S42" s="19"/>
      <c r="T42" s="29"/>
      <c r="U42" s="19"/>
      <c r="V42" s="115"/>
      <c r="W42" s="19"/>
      <c r="X42" s="29"/>
      <c r="Y42" s="61" t="str">
        <f>IF(SUM(Z42,AB42,AD42)&gt;0,SUM(Z42,AB42,AD42),"")</f>
        <v/>
      </c>
      <c r="Z42" s="19"/>
      <c r="AA42" s="29"/>
      <c r="AB42" s="19"/>
      <c r="AC42" s="29"/>
      <c r="AD42" s="19"/>
      <c r="AE42" s="29"/>
      <c r="AF42" s="54" t="str">
        <f t="shared" si="2"/>
        <v/>
      </c>
    </row>
    <row r="43" spans="1:32" s="6" customFormat="1" ht="11.55" customHeight="1" collapsed="1" x14ac:dyDescent="0.35">
      <c r="A43" s="44">
        <v>9</v>
      </c>
      <c r="B43" s="39" t="s">
        <v>12</v>
      </c>
      <c r="C43" s="122" t="s">
        <v>134</v>
      </c>
      <c r="D43" s="60">
        <f>IF(SUM(D44:D47)&gt;0,SUM(D44:D47),"")</f>
        <v>125</v>
      </c>
      <c r="E43" s="4" t="str">
        <f>IF(SUM(E44:E47)&gt;0,SUM(E44:E47),"")</f>
        <v/>
      </c>
      <c r="F43" s="72"/>
      <c r="G43" s="5" t="str">
        <f>IF(SUM(G44:G47)&gt;0,SUM(G44:G47),"")</f>
        <v/>
      </c>
      <c r="H43" s="72"/>
      <c r="I43" s="5">
        <f>IF(SUM(I44:I47)&gt;0,SUM(I44:I47),"")</f>
        <v>125</v>
      </c>
      <c r="J43" s="67"/>
      <c r="K43" s="60">
        <f>IF(SUM(K44:K47)&gt;0,SUM(K44:K47),"")</f>
        <v>170</v>
      </c>
      <c r="L43" s="5" t="str">
        <f>IF(SUM(L44:L47)&gt;0,SUM(L44:L47),"")</f>
        <v/>
      </c>
      <c r="M43" s="67"/>
      <c r="N43" s="5">
        <f>IF(SUM(N44:N47)&gt;0,SUM(N44:N47),"")</f>
        <v>36</v>
      </c>
      <c r="O43" s="67"/>
      <c r="P43" s="5">
        <f>IF(SUM(P44:P47)&gt;0,SUM(P44:P47),"")</f>
        <v>134</v>
      </c>
      <c r="Q43" s="67"/>
      <c r="R43" s="60">
        <f>IF(SUM(R44:R47)&gt;0,SUM(R44:R47),"")</f>
        <v>413</v>
      </c>
      <c r="S43" s="5" t="str">
        <f>IF(SUM(S44:S47)&gt;0,SUM(S44:S47),"")</f>
        <v/>
      </c>
      <c r="T43" s="67"/>
      <c r="U43" s="5">
        <f>IF(SUM(U44:U47)&gt;0,SUM(U44:U47),"")</f>
        <v>213</v>
      </c>
      <c r="V43" s="84"/>
      <c r="W43" s="5">
        <f>IF(SUM(W44:W47)&gt;0,SUM(W44:W47),"")</f>
        <v>200</v>
      </c>
      <c r="X43" s="84"/>
      <c r="Y43" s="60">
        <f>IF(SUM(Y44:Y47)&gt;0,SUM(Y44:Y47),"")</f>
        <v>950</v>
      </c>
      <c r="Z43" s="5">
        <f>IF(SUM(Z44:Z47)&gt;0,SUM(Z44:Z47),"")</f>
        <v>950</v>
      </c>
      <c r="AA43" s="84"/>
      <c r="AB43" s="5" t="str">
        <f>IF(SUM(AB44:AB47)&gt;0,SUM(AB44:AB47),"")</f>
        <v/>
      </c>
      <c r="AC43" s="84"/>
      <c r="AD43" s="5" t="str">
        <f>IF(SUM(AD44:AD47)&gt;0,SUM(AD44:AD47),"")</f>
        <v/>
      </c>
      <c r="AE43" s="84"/>
      <c r="AF43" s="49">
        <f t="shared" ref="AF43" si="10">IF(SUM(AF44:AF47)&gt;0,SUM(AF44:AF47),"")</f>
        <v>1658</v>
      </c>
    </row>
    <row r="44" spans="1:32" s="6" customFormat="1" ht="19.5" hidden="1" outlineLevel="1" x14ac:dyDescent="0.35">
      <c r="A44" s="7"/>
      <c r="B44" s="40" t="s">
        <v>79</v>
      </c>
      <c r="C44" s="123"/>
      <c r="D44" s="36">
        <f>IF(SUM(E44,G44,I44)&gt;0,SUM(E44,G44,I44),"")</f>
        <v>125</v>
      </c>
      <c r="E44" s="8"/>
      <c r="F44" s="79"/>
      <c r="G44" s="9"/>
      <c r="H44" s="79"/>
      <c r="I44" s="9">
        <v>125</v>
      </c>
      <c r="J44" s="80" t="s">
        <v>187</v>
      </c>
      <c r="K44" s="36">
        <f>IF(SUM(L44,N44,P44)&gt;0,SUM(L44,N44,P44),"")</f>
        <v>170</v>
      </c>
      <c r="L44" s="9"/>
      <c r="M44" s="80"/>
      <c r="N44" s="9">
        <v>36</v>
      </c>
      <c r="O44" s="55" t="s">
        <v>240</v>
      </c>
      <c r="P44" s="9">
        <v>134</v>
      </c>
      <c r="Q44" s="80" t="s">
        <v>241</v>
      </c>
      <c r="R44" s="36" t="str">
        <f>IF(SUM(S44,U44,W44)&gt;0,SUM(S44,U44,W44),"")</f>
        <v/>
      </c>
      <c r="S44" s="9"/>
      <c r="T44" s="80"/>
      <c r="U44" s="9"/>
      <c r="V44" s="55"/>
      <c r="W44" s="9"/>
      <c r="X44" s="80"/>
      <c r="Y44" s="36" t="str">
        <f>IF(SUM(Z44,AB44,AD44)&gt;0,SUM(Z44,AB44,AD44),"")</f>
        <v/>
      </c>
      <c r="Z44" s="9"/>
      <c r="AA44" s="82"/>
      <c r="AB44" s="9"/>
      <c r="AC44" s="82"/>
      <c r="AD44" s="9"/>
      <c r="AE44" s="82"/>
      <c r="AF44" s="36">
        <f t="shared" ref="AF44" si="11">IF(SUM(D44,K44,R44,Y44)&gt;0,SUM(D44,K44,R44,Y44),"")</f>
        <v>295</v>
      </c>
    </row>
    <row r="45" spans="1:32" s="6" customFormat="1" ht="11.65" hidden="1" outlineLevel="1" x14ac:dyDescent="0.35">
      <c r="A45" s="7"/>
      <c r="B45" s="40"/>
      <c r="C45" s="123"/>
      <c r="D45" s="37" t="str">
        <f>IF(SUM(E45,G45,I45)&gt;0,SUM(E45,G45,I45),"")</f>
        <v/>
      </c>
      <c r="E45" s="10"/>
      <c r="F45" s="11"/>
      <c r="G45" s="12"/>
      <c r="H45" s="11"/>
      <c r="I45" s="10"/>
      <c r="J45" s="11"/>
      <c r="K45" s="37" t="str">
        <f>IF(SUM(L45,N45,P45)&gt;0,SUM(L45,N45,P45),"")</f>
        <v/>
      </c>
      <c r="L45" s="12"/>
      <c r="M45" s="33"/>
      <c r="N45" s="12"/>
      <c r="O45" s="32"/>
      <c r="P45" s="12"/>
      <c r="Q45" s="32"/>
      <c r="R45" s="37">
        <f>IF(SUM(S45,U45,W45)&gt;0,SUM(S45,U45,W45),"")</f>
        <v>198</v>
      </c>
      <c r="S45" s="12"/>
      <c r="T45" s="33"/>
      <c r="U45" s="12">
        <v>198</v>
      </c>
      <c r="V45" s="32" t="s">
        <v>255</v>
      </c>
      <c r="W45" s="12"/>
      <c r="X45" s="33"/>
      <c r="Y45" s="37" t="str">
        <f>IF(SUM(Z45,AB45,AD45)&gt;0,SUM(Z45,AB45,AD45),"")</f>
        <v/>
      </c>
      <c r="Z45" s="12"/>
      <c r="AA45" s="32"/>
      <c r="AB45" s="12"/>
      <c r="AC45" s="33"/>
      <c r="AD45" s="12"/>
      <c r="AE45" s="83"/>
      <c r="AF45" s="37">
        <f t="shared" si="2"/>
        <v>198</v>
      </c>
    </row>
    <row r="46" spans="1:32" s="6" customFormat="1" ht="11.65" hidden="1" outlineLevel="1" x14ac:dyDescent="0.35">
      <c r="A46" s="7"/>
      <c r="B46" s="40"/>
      <c r="C46" s="123"/>
      <c r="D46" s="38" t="str">
        <f>IF(SUM(E46,G46,I46)&gt;0,SUM(E46,G46,I46),"")</f>
        <v/>
      </c>
      <c r="E46" s="14"/>
      <c r="F46" s="21"/>
      <c r="G46" s="16"/>
      <c r="H46" s="15"/>
      <c r="I46" s="16"/>
      <c r="J46" s="30"/>
      <c r="K46" s="38" t="str">
        <f>IF(SUM(L46,N46,P46)&gt;0,SUM(L46,N46,P46),"")</f>
        <v/>
      </c>
      <c r="L46" s="16"/>
      <c r="M46" s="15"/>
      <c r="N46" s="16"/>
      <c r="O46" s="15"/>
      <c r="P46" s="16"/>
      <c r="Q46" s="15"/>
      <c r="R46" s="38">
        <f>IF(SUM(S46,U46,W46)&gt;0,SUM(S46,U46,W46),"")</f>
        <v>215</v>
      </c>
      <c r="S46" s="16"/>
      <c r="T46" s="15"/>
      <c r="U46" s="16">
        <v>15</v>
      </c>
      <c r="V46" s="15" t="s">
        <v>191</v>
      </c>
      <c r="W46" s="16">
        <v>200</v>
      </c>
      <c r="X46" s="15" t="s">
        <v>160</v>
      </c>
      <c r="Y46" s="38">
        <f>IF(SUM(Z46,AB46,AD46)&gt;0,SUM(Z46,AB46,AD46),"")</f>
        <v>950</v>
      </c>
      <c r="Z46" s="16">
        <v>950</v>
      </c>
      <c r="AA46" s="15" t="s">
        <v>164</v>
      </c>
      <c r="AB46" s="16"/>
      <c r="AC46" s="15"/>
      <c r="AD46" s="16"/>
      <c r="AE46" s="15"/>
      <c r="AF46" s="38">
        <f t="shared" si="2"/>
        <v>1165</v>
      </c>
    </row>
    <row r="47" spans="1:32" s="6" customFormat="1" ht="11.65" hidden="1" outlineLevel="1" x14ac:dyDescent="0.35">
      <c r="A47" s="45"/>
      <c r="B47" s="40"/>
      <c r="C47" s="123"/>
      <c r="D47" s="61" t="str">
        <f>IF(SUM(E47,G47,I47)&gt;0,SUM(E47,G47,I47),"")</f>
        <v/>
      </c>
      <c r="E47" s="17"/>
      <c r="F47" s="73"/>
      <c r="G47" s="19"/>
      <c r="H47" s="73"/>
      <c r="I47" s="19"/>
      <c r="J47" s="31"/>
      <c r="K47" s="61" t="str">
        <f>IF(SUM(L47,N47,P47)&gt;0,SUM(L47,N47,P47),"")</f>
        <v/>
      </c>
      <c r="L47" s="19"/>
      <c r="M47" s="31"/>
      <c r="N47" s="19"/>
      <c r="O47" s="31"/>
      <c r="P47" s="19"/>
      <c r="Q47" s="29"/>
      <c r="R47" s="61" t="str">
        <f>IF(SUM(S47,U47,W47)&gt;0,SUM(S47,U47,W47),"")</f>
        <v/>
      </c>
      <c r="S47" s="19"/>
      <c r="T47" s="29"/>
      <c r="U47" s="19"/>
      <c r="V47" s="115"/>
      <c r="W47" s="19"/>
      <c r="X47" s="29"/>
      <c r="Y47" s="61" t="str">
        <f>IF(SUM(Z47,AB47,AD47)&gt;0,SUM(Z47,AB47,AD47),"")</f>
        <v/>
      </c>
      <c r="Z47" s="19"/>
      <c r="AA47" s="29"/>
      <c r="AB47" s="19"/>
      <c r="AC47" s="29"/>
      <c r="AD47" s="19"/>
      <c r="AE47" s="29"/>
      <c r="AF47" s="54" t="str">
        <f t="shared" si="2"/>
        <v/>
      </c>
    </row>
    <row r="48" spans="1:32" s="6" customFormat="1" ht="11.55" customHeight="1" collapsed="1" thickBot="1" x14ac:dyDescent="0.4">
      <c r="A48" s="44">
        <v>10</v>
      </c>
      <c r="B48" s="39" t="s">
        <v>46</v>
      </c>
      <c r="C48" s="122" t="s">
        <v>134</v>
      </c>
      <c r="D48" s="60">
        <f>IF(SUM(D49:D52)&gt;0,SUM(D49:D52),"")</f>
        <v>116</v>
      </c>
      <c r="E48" s="4" t="str">
        <f>IF(SUM(E49:E52)&gt;0,SUM(E49:E52),"")</f>
        <v/>
      </c>
      <c r="F48" s="72"/>
      <c r="G48" s="5">
        <f>IF(SUM(G49:G52)&gt;0,SUM(G49:G52),"")</f>
        <v>44</v>
      </c>
      <c r="H48" s="72"/>
      <c r="I48" s="5">
        <f>IF(SUM(I49:I52)&gt;0,SUM(I49:I52),"")</f>
        <v>72</v>
      </c>
      <c r="J48" s="67"/>
      <c r="K48" s="60">
        <f>IF(SUM(K49:K52)&gt;0,SUM(K49:K52),"")</f>
        <v>203</v>
      </c>
      <c r="L48" s="5">
        <f>IF(SUM(L49:L52)&gt;0,SUM(L49:L52),"")</f>
        <v>52</v>
      </c>
      <c r="M48" s="67"/>
      <c r="N48" s="5">
        <f>IF(SUM(N49:N52)&gt;0,SUM(N49:N52),"")</f>
        <v>56</v>
      </c>
      <c r="O48" s="67"/>
      <c r="P48" s="5">
        <f>IF(SUM(P49:P52)&gt;0,SUM(P49:P52),"")</f>
        <v>95</v>
      </c>
      <c r="Q48" s="67"/>
      <c r="R48" s="60">
        <f>IF(SUM(R49:R52)&gt;0,SUM(R49:R52),"")</f>
        <v>409</v>
      </c>
      <c r="S48" s="5">
        <f>IF(SUM(S49:S52)&gt;0,SUM(S49:S52),"")</f>
        <v>84</v>
      </c>
      <c r="T48" s="67"/>
      <c r="U48" s="5">
        <f>IF(SUM(U49:U52)&gt;0,SUM(U49:U52),"")</f>
        <v>125</v>
      </c>
      <c r="V48" s="84"/>
      <c r="W48" s="5">
        <f>IF(SUM(W49:W52)&gt;0,SUM(W49:W52),"")</f>
        <v>200</v>
      </c>
      <c r="X48" s="84"/>
      <c r="Y48" s="60">
        <f>IF(SUM(Y49:Y52)&gt;0,SUM(Y49:Y52),"")</f>
        <v>500</v>
      </c>
      <c r="Z48" s="5">
        <f>IF(SUM(Z49:Z52)&gt;0,SUM(Z49:Z52),"")</f>
        <v>500</v>
      </c>
      <c r="AA48" s="84"/>
      <c r="AB48" s="5" t="str">
        <f>IF(SUM(AB49:AB52)&gt;0,SUM(AB49:AB52),"")</f>
        <v/>
      </c>
      <c r="AC48" s="84"/>
      <c r="AD48" s="5" t="str">
        <f>IF(SUM(AD49:AD52)&gt;0,SUM(AD49:AD52),"")</f>
        <v/>
      </c>
      <c r="AE48" s="84"/>
      <c r="AF48" s="49">
        <f t="shared" ref="AF48" si="12">IF(SUM(AF49:AF52)&gt;0,SUM(AF49:AF52),"")</f>
        <v>1228</v>
      </c>
    </row>
    <row r="49" spans="1:32" s="6" customFormat="1" ht="19.5" hidden="1" outlineLevel="1" x14ac:dyDescent="0.35">
      <c r="A49" s="7"/>
      <c r="B49" s="40" t="s">
        <v>80</v>
      </c>
      <c r="C49" s="123"/>
      <c r="D49" s="36">
        <f>IF(SUM(E49,G49,I49)&gt;0,SUM(E49,G49,I49),"")</f>
        <v>116</v>
      </c>
      <c r="E49" s="8"/>
      <c r="F49" s="79"/>
      <c r="G49" s="9">
        <v>44</v>
      </c>
      <c r="H49" s="79" t="s">
        <v>189</v>
      </c>
      <c r="I49" s="9">
        <v>72</v>
      </c>
      <c r="J49" s="80" t="s">
        <v>188</v>
      </c>
      <c r="K49" s="36">
        <f>IF(SUM(L49,N49,P49)&gt;0,SUM(L49,N49,P49),"")</f>
        <v>203</v>
      </c>
      <c r="L49" s="9">
        <v>52</v>
      </c>
      <c r="M49" s="80" t="s">
        <v>242</v>
      </c>
      <c r="N49" s="9">
        <v>56</v>
      </c>
      <c r="O49" s="55" t="s">
        <v>243</v>
      </c>
      <c r="P49" s="9">
        <v>95</v>
      </c>
      <c r="Q49" s="80" t="s">
        <v>244</v>
      </c>
      <c r="R49" s="36" t="str">
        <f>IF(SUM(S49,U49,W49)&gt;0,SUM(S49,U49,W49),"")</f>
        <v/>
      </c>
      <c r="S49" s="9"/>
      <c r="T49" s="80"/>
      <c r="U49" s="9"/>
      <c r="V49" s="80"/>
      <c r="W49" s="9"/>
      <c r="X49" s="80"/>
      <c r="Y49" s="36" t="str">
        <f>IF(SUM(Z49,AB49,AD49)&gt;0,SUM(Z49,AB49,AD49),"")</f>
        <v/>
      </c>
      <c r="Z49" s="9"/>
      <c r="AA49" s="82"/>
      <c r="AB49" s="9"/>
      <c r="AC49" s="82"/>
      <c r="AD49" s="9"/>
      <c r="AE49" s="82"/>
      <c r="AF49" s="36">
        <f t="shared" ref="AF49:AF52" si="13">IF(SUM(D49,K49,R49,Y49)&gt;0,SUM(D49,K49,R49,Y49),"")</f>
        <v>319</v>
      </c>
    </row>
    <row r="50" spans="1:32" s="6" customFormat="1" ht="11.65" hidden="1" outlineLevel="1" x14ac:dyDescent="0.35">
      <c r="A50" s="7"/>
      <c r="B50" s="40"/>
      <c r="C50" s="123"/>
      <c r="D50" s="37" t="str">
        <f>IF(SUM(E50,G50,I50)&gt;0,SUM(E50,G50,I50),"")</f>
        <v/>
      </c>
      <c r="E50" s="10"/>
      <c r="F50" s="11"/>
      <c r="G50" s="12"/>
      <c r="H50" s="11"/>
      <c r="I50" s="12"/>
      <c r="J50" s="32"/>
      <c r="K50" s="37" t="str">
        <f>IF(SUM(L50,N50,P50)&gt;0,SUM(L50,N50,P50),"")</f>
        <v/>
      </c>
      <c r="L50" s="12"/>
      <c r="M50" s="33"/>
      <c r="N50" s="12"/>
      <c r="O50" s="32"/>
      <c r="P50" s="12"/>
      <c r="Q50" s="32"/>
      <c r="R50" s="37">
        <f>IF(SUM(S50,U50,W50)&gt;0,SUM(S50,U50,W50),"")</f>
        <v>194</v>
      </c>
      <c r="S50" s="12">
        <v>84</v>
      </c>
      <c r="T50" s="32" t="s">
        <v>246</v>
      </c>
      <c r="U50" s="12">
        <v>110</v>
      </c>
      <c r="V50" s="32" t="s">
        <v>256</v>
      </c>
      <c r="W50" s="12"/>
      <c r="X50" s="33"/>
      <c r="Y50" s="37" t="str">
        <f>IF(SUM(Z50,AB50,AD50)&gt;0,SUM(Z50,AB50,AD50),"")</f>
        <v/>
      </c>
      <c r="Z50" s="12"/>
      <c r="AA50" s="32"/>
      <c r="AB50" s="12"/>
      <c r="AC50" s="33"/>
      <c r="AD50" s="12"/>
      <c r="AE50" s="83"/>
      <c r="AF50" s="37">
        <f t="shared" si="13"/>
        <v>194</v>
      </c>
    </row>
    <row r="51" spans="1:32" s="6" customFormat="1" ht="11.65" hidden="1" outlineLevel="1" x14ac:dyDescent="0.35">
      <c r="A51" s="7"/>
      <c r="B51" s="40"/>
      <c r="C51" s="123"/>
      <c r="D51" s="38" t="str">
        <f>IF(SUM(E51,G51,I51)&gt;0,SUM(E51,G51,I51),"")</f>
        <v/>
      </c>
      <c r="E51" s="14"/>
      <c r="F51" s="21"/>
      <c r="G51" s="16"/>
      <c r="H51" s="15"/>
      <c r="I51" s="16"/>
      <c r="J51" s="30"/>
      <c r="K51" s="38" t="str">
        <f>IF(SUM(L51,N51,P51)&gt;0,SUM(L51,N51,P51),"")</f>
        <v/>
      </c>
      <c r="L51" s="16"/>
      <c r="M51" s="15"/>
      <c r="N51" s="16"/>
      <c r="O51" s="15"/>
      <c r="P51" s="16"/>
      <c r="Q51" s="15"/>
      <c r="R51" s="38">
        <f>IF(SUM(S51,U51,W51)&gt;0,SUM(S51,U51,W51),"")</f>
        <v>215</v>
      </c>
      <c r="S51" s="16"/>
      <c r="T51" s="15"/>
      <c r="U51" s="16">
        <v>15</v>
      </c>
      <c r="V51" s="15" t="s">
        <v>191</v>
      </c>
      <c r="W51" s="16">
        <v>200</v>
      </c>
      <c r="X51" s="15" t="s">
        <v>160</v>
      </c>
      <c r="Y51" s="38">
        <f>IF(SUM(Z51,AB51,AD51)&gt;0,SUM(Z51,AB51,AD51),"")</f>
        <v>500</v>
      </c>
      <c r="Z51" s="16">
        <v>500</v>
      </c>
      <c r="AA51" s="15" t="s">
        <v>163</v>
      </c>
      <c r="AB51" s="16"/>
      <c r="AC51" s="15"/>
      <c r="AD51" s="16"/>
      <c r="AE51" s="15"/>
      <c r="AF51" s="38">
        <f t="shared" si="13"/>
        <v>715</v>
      </c>
    </row>
    <row r="52" spans="1:32" s="6" customFormat="1" ht="12" hidden="1" outlineLevel="1" thickBot="1" x14ac:dyDescent="0.4">
      <c r="A52" s="45"/>
      <c r="B52" s="40"/>
      <c r="C52" s="123"/>
      <c r="D52" s="61" t="str">
        <f>IF(SUM(E52,G52,I52)&gt;0,SUM(E52,G52,I52),"")</f>
        <v/>
      </c>
      <c r="E52" s="17"/>
      <c r="F52" s="73"/>
      <c r="G52" s="19"/>
      <c r="H52" s="73"/>
      <c r="I52" s="19"/>
      <c r="J52" s="31"/>
      <c r="K52" s="61" t="str">
        <f>IF(SUM(L52,N52,P52)&gt;0,SUM(L52,N52,P52),"")</f>
        <v/>
      </c>
      <c r="L52" s="19"/>
      <c r="M52" s="31"/>
      <c r="N52" s="19"/>
      <c r="O52" s="31"/>
      <c r="P52" s="19"/>
      <c r="Q52" s="29"/>
      <c r="R52" s="61" t="str">
        <f>IF(SUM(S52,U52,W52)&gt;0,SUM(S52,U52,W52),"")</f>
        <v/>
      </c>
      <c r="S52" s="19"/>
      <c r="T52" s="29"/>
      <c r="U52" s="19"/>
      <c r="V52" s="115"/>
      <c r="W52" s="19"/>
      <c r="X52" s="29"/>
      <c r="Y52" s="61" t="str">
        <f>IF(SUM(Z52,AB52,AD52)&gt;0,SUM(Z52,AB52,AD52),"")</f>
        <v/>
      </c>
      <c r="Z52" s="19"/>
      <c r="AA52" s="29"/>
      <c r="AB52" s="19"/>
      <c r="AC52" s="29"/>
      <c r="AD52" s="19"/>
      <c r="AE52" s="29"/>
      <c r="AF52" s="54" t="str">
        <f t="shared" si="13"/>
        <v/>
      </c>
    </row>
    <row r="53" spans="1:32" s="3" customFormat="1" ht="13.15" x14ac:dyDescent="0.25">
      <c r="A53" s="50"/>
      <c r="B53" s="51" t="s">
        <v>19</v>
      </c>
      <c r="C53" s="51"/>
      <c r="D53" s="59"/>
      <c r="E53" s="52"/>
      <c r="F53" s="71"/>
      <c r="G53" s="52"/>
      <c r="H53" s="71"/>
      <c r="I53" s="52"/>
      <c r="J53" s="65"/>
      <c r="K53" s="59"/>
      <c r="L53" s="52"/>
      <c r="M53" s="65"/>
      <c r="N53" s="52"/>
      <c r="O53" s="65"/>
      <c r="P53" s="52"/>
      <c r="Q53" s="65"/>
      <c r="R53" s="59"/>
      <c r="S53" s="52"/>
      <c r="T53" s="65"/>
      <c r="U53" s="52"/>
      <c r="V53" s="71"/>
      <c r="W53" s="52"/>
      <c r="X53" s="71"/>
      <c r="Y53" s="59"/>
      <c r="Z53" s="52"/>
      <c r="AA53" s="71"/>
      <c r="AB53" s="52"/>
      <c r="AC53" s="71"/>
      <c r="AD53" s="52"/>
      <c r="AE53" s="71"/>
      <c r="AF53" s="52" t="str">
        <f>IF(SUM(E53,G53,I53,AD53)&gt;0,SUM(E53,G53,I53,AD53),"")</f>
        <v/>
      </c>
    </row>
    <row r="54" spans="1:32" s="6" customFormat="1" ht="11.65" collapsed="1" x14ac:dyDescent="0.35">
      <c r="A54" s="44">
        <v>1</v>
      </c>
      <c r="B54" s="39" t="s">
        <v>5</v>
      </c>
      <c r="C54" s="122" t="s">
        <v>134</v>
      </c>
      <c r="D54" s="60">
        <f>IF(SUM(D55:D58)&gt;0,SUM(D55:D58),"")</f>
        <v>28</v>
      </c>
      <c r="E54" s="4">
        <f>IF(SUM(E55:E58)&gt;0,SUM(E55:E58),"")</f>
        <v>1</v>
      </c>
      <c r="F54" s="72"/>
      <c r="G54" s="5">
        <f>IF(SUM(G55:G58)&gt;0,SUM(G55:G58),"")</f>
        <v>16</v>
      </c>
      <c r="H54" s="72"/>
      <c r="I54" s="5">
        <f>IF(SUM(I55:I58)&gt;0,SUM(I55:I58),"")</f>
        <v>11</v>
      </c>
      <c r="J54" s="67"/>
      <c r="K54" s="60">
        <f>IF(SUM(K55:K58)&gt;0,SUM(K55:K58),"")</f>
        <v>66</v>
      </c>
      <c r="L54" s="5">
        <f>IF(SUM(L55:L58)&gt;0,SUM(L55:L58),"")</f>
        <v>8</v>
      </c>
      <c r="M54" s="67"/>
      <c r="N54" s="5">
        <f>IF(SUM(N55:N58)&gt;0,SUM(N55:N58),"")</f>
        <v>32</v>
      </c>
      <c r="O54" s="67"/>
      <c r="P54" s="5">
        <f>IF(SUM(P55:P58)&gt;0,SUM(P55:P58),"")</f>
        <v>26</v>
      </c>
      <c r="Q54" s="67"/>
      <c r="R54" s="60">
        <f>IF(SUM(R55:R58)&gt;0,SUM(R55:R58),"")</f>
        <v>307</v>
      </c>
      <c r="S54" s="5">
        <f>IF(SUM(S55:S58)&gt;0,SUM(S55:S58),"")</f>
        <v>30</v>
      </c>
      <c r="T54" s="67"/>
      <c r="U54" s="5">
        <f>IF(SUM(U55:U58)&gt;0,SUM(U55:U58),"")</f>
        <v>70</v>
      </c>
      <c r="V54" s="84"/>
      <c r="W54" s="5">
        <f>IF(SUM(W55:W58)&gt;0,SUM(W55:W58),"")</f>
        <v>207</v>
      </c>
      <c r="X54" s="84"/>
      <c r="Y54" s="60">
        <f>IF(SUM(Y55:Y58)&gt;0,SUM(Y55:Y58),"")</f>
        <v>150</v>
      </c>
      <c r="Z54" s="5">
        <f>IF(SUM(Z55:Z58)&gt;0,SUM(Z55:Z58),"")</f>
        <v>45</v>
      </c>
      <c r="AA54" s="84"/>
      <c r="AB54" s="5">
        <f>IF(SUM(AB55:AB58)&gt;0,SUM(AB55:AB58),"")</f>
        <v>50</v>
      </c>
      <c r="AC54" s="84"/>
      <c r="AD54" s="5">
        <f>IF(SUM(AD55:AD58)&gt;0,SUM(AD55:AD58),"")</f>
        <v>55</v>
      </c>
      <c r="AE54" s="84"/>
      <c r="AF54" s="49">
        <f>IF(SUM(AF55:AF58)&gt;0,SUM(AF55:AF58),"")</f>
        <v>551</v>
      </c>
    </row>
    <row r="55" spans="1:32" s="6" customFormat="1" ht="11.65" hidden="1" outlineLevel="1" x14ac:dyDescent="0.35">
      <c r="A55" s="7"/>
      <c r="B55" s="40" t="s">
        <v>81</v>
      </c>
      <c r="C55" s="40"/>
      <c r="D55" s="36">
        <f>IF(SUM(E55,G55,I55)&gt;0,SUM(E55,G55,I55),"")</f>
        <v>28</v>
      </c>
      <c r="E55" s="8">
        <v>1</v>
      </c>
      <c r="F55" s="56" t="s">
        <v>127</v>
      </c>
      <c r="G55" s="9">
        <v>16</v>
      </c>
      <c r="H55" s="79" t="s">
        <v>196</v>
      </c>
      <c r="I55" s="9">
        <v>11</v>
      </c>
      <c r="J55" s="79" t="s">
        <v>197</v>
      </c>
      <c r="K55" s="36">
        <f>IF(SUM(L55,N55,P55)&gt;0,SUM(L55,N55,P55),"")</f>
        <v>66</v>
      </c>
      <c r="L55" s="9">
        <v>8</v>
      </c>
      <c r="M55" s="80" t="s">
        <v>131</v>
      </c>
      <c r="N55" s="9">
        <v>32</v>
      </c>
      <c r="O55" s="80" t="s">
        <v>259</v>
      </c>
      <c r="P55" s="9">
        <v>26</v>
      </c>
      <c r="Q55" s="80" t="s">
        <v>260</v>
      </c>
      <c r="R55" s="36" t="str">
        <f>IF(SUM(S55,U55,W55)&gt;0,SUM(S55,U55,W55),"")</f>
        <v/>
      </c>
      <c r="S55" s="9"/>
      <c r="T55" s="80"/>
      <c r="U55" s="9"/>
      <c r="V55" s="80"/>
      <c r="W55" s="9"/>
      <c r="X55" s="80"/>
      <c r="Y55" s="36" t="str">
        <f>IF(SUM(Z55,AB55,AD55)&gt;0,SUM(Z55,AB55,AD55),"")</f>
        <v/>
      </c>
      <c r="Z55" s="9"/>
      <c r="AA55" s="55"/>
      <c r="AB55" s="9"/>
      <c r="AC55" s="82"/>
      <c r="AD55" s="9"/>
      <c r="AE55" s="82"/>
      <c r="AF55" s="36">
        <f t="shared" ref="AF55:AF113" si="14">IF(SUM(D55,K55,R55,Y55)&gt;0,SUM(D55,K55,R55,Y55),"")</f>
        <v>94</v>
      </c>
    </row>
    <row r="56" spans="1:32" s="6" customFormat="1" ht="29.25" hidden="1" outlineLevel="1" x14ac:dyDescent="0.35">
      <c r="A56" s="7"/>
      <c r="B56" s="40"/>
      <c r="C56" s="40"/>
      <c r="D56" s="37" t="str">
        <f>IF(SUM(E56,G56,I56)&gt;0,SUM(E56,G56,I56),"")</f>
        <v/>
      </c>
      <c r="E56" s="10"/>
      <c r="F56" s="11"/>
      <c r="G56" s="12"/>
      <c r="H56" s="13"/>
      <c r="I56" s="121"/>
      <c r="J56" s="32"/>
      <c r="K56" s="37" t="str">
        <f>IF(SUM(L56,N56,P56)&gt;0,SUM(L56,N56,P56),"")</f>
        <v/>
      </c>
      <c r="L56" s="12"/>
      <c r="M56" s="33"/>
      <c r="N56" s="12"/>
      <c r="O56" s="33"/>
      <c r="P56" s="12"/>
      <c r="Q56" s="32"/>
      <c r="R56" s="37">
        <f>IF(SUM(S56,U56,W56)&gt;0,SUM(S56,U56,W56),"")</f>
        <v>210</v>
      </c>
      <c r="S56" s="12"/>
      <c r="T56" s="33"/>
      <c r="U56" s="12">
        <v>40</v>
      </c>
      <c r="V56" s="32" t="s">
        <v>271</v>
      </c>
      <c r="W56" s="12">
        <v>170</v>
      </c>
      <c r="X56" s="32" t="s">
        <v>280</v>
      </c>
      <c r="Y56" s="37" t="str">
        <f>IF(SUM(Z56,AB56,AD56)&gt;0,SUM(Z56,AB56,AD56),"")</f>
        <v/>
      </c>
      <c r="Z56" s="12"/>
      <c r="AA56" s="32"/>
      <c r="AB56" s="12"/>
      <c r="AC56" s="32"/>
      <c r="AD56" s="12"/>
      <c r="AE56" s="33"/>
      <c r="AF56" s="37">
        <f t="shared" si="14"/>
        <v>210</v>
      </c>
    </row>
    <row r="57" spans="1:32" s="6" customFormat="1" ht="19.5" hidden="1" outlineLevel="1" x14ac:dyDescent="0.35">
      <c r="A57" s="7"/>
      <c r="B57" s="40"/>
      <c r="C57" s="40"/>
      <c r="D57" s="38" t="str">
        <f>IF(SUM(E57,G57,I57)&gt;0,SUM(E57,G57,I57),"")</f>
        <v/>
      </c>
      <c r="E57" s="14"/>
      <c r="F57" s="15"/>
      <c r="G57" s="16"/>
      <c r="H57" s="15"/>
      <c r="I57" s="16"/>
      <c r="J57" s="15"/>
      <c r="K57" s="38" t="str">
        <f>IF(SUM(L57,N57,P57)&gt;0,SUM(L57,N57,P57),"")</f>
        <v/>
      </c>
      <c r="L57" s="16"/>
      <c r="M57" s="15"/>
      <c r="N57" s="16"/>
      <c r="O57" s="15"/>
      <c r="P57" s="16"/>
      <c r="Q57" s="15"/>
      <c r="R57" s="38">
        <f>IF(SUM(S57,U57,W57)&gt;0,SUM(S57,U57,W57),"")</f>
        <v>97</v>
      </c>
      <c r="S57" s="16">
        <v>30</v>
      </c>
      <c r="T57" s="15" t="s">
        <v>116</v>
      </c>
      <c r="U57" s="16">
        <v>30</v>
      </c>
      <c r="V57" s="15" t="s">
        <v>116</v>
      </c>
      <c r="W57" s="16">
        <v>37</v>
      </c>
      <c r="X57" s="15" t="s">
        <v>286</v>
      </c>
      <c r="Y57" s="38">
        <f>IF(SUM(Z57,AB57,AD57)&gt;0,SUM(Z57,AB57,AD57),"")</f>
        <v>150</v>
      </c>
      <c r="Z57" s="16">
        <v>45</v>
      </c>
      <c r="AA57" s="15" t="s">
        <v>170</v>
      </c>
      <c r="AB57" s="16">
        <v>50</v>
      </c>
      <c r="AC57" s="15" t="s">
        <v>113</v>
      </c>
      <c r="AD57" s="16">
        <v>55</v>
      </c>
      <c r="AE57" s="15" t="s">
        <v>206</v>
      </c>
      <c r="AF57" s="38">
        <f>IF(SUM(D57,K57,R57,Y57)&gt;0,SUM(D57,K57,R57,Y57),"")</f>
        <v>247</v>
      </c>
    </row>
    <row r="58" spans="1:32" s="6" customFormat="1" ht="11.65" hidden="1" outlineLevel="1" x14ac:dyDescent="0.35">
      <c r="A58" s="45"/>
      <c r="B58" s="40"/>
      <c r="C58" s="40"/>
      <c r="D58" s="61" t="str">
        <f>IF(SUM(E58,G58,I58)&gt;0,SUM(E58,G58,I58),"")</f>
        <v/>
      </c>
      <c r="E58" s="17"/>
      <c r="F58" s="73"/>
      <c r="G58" s="19"/>
      <c r="H58" s="23"/>
      <c r="I58" s="19"/>
      <c r="J58" s="31"/>
      <c r="K58" s="61" t="str">
        <f>IF(SUM(L58,N58,P58)&gt;0,SUM(L58,N58,P58),"")</f>
        <v/>
      </c>
      <c r="L58" s="19"/>
      <c r="M58" s="31"/>
      <c r="N58" s="19"/>
      <c r="O58" s="31"/>
      <c r="P58" s="19"/>
      <c r="Q58" s="31"/>
      <c r="R58" s="61" t="str">
        <f>IF(SUM(S58,U58,W58)&gt;0,SUM(S58,U58,W58),"")</f>
        <v/>
      </c>
      <c r="S58" s="19"/>
      <c r="T58" s="31"/>
      <c r="U58" s="19"/>
      <c r="V58" s="31"/>
      <c r="W58" s="19"/>
      <c r="X58" s="31"/>
      <c r="Y58" s="61" t="str">
        <f>IF(SUM(Z58,AB58,AD58)&gt;0,SUM(Z58,AB58,AD58),"")</f>
        <v/>
      </c>
      <c r="Z58" s="19"/>
      <c r="AA58" s="31"/>
      <c r="AB58" s="19"/>
      <c r="AC58" s="18"/>
      <c r="AD58" s="19"/>
      <c r="AE58" s="18"/>
      <c r="AF58" s="54" t="str">
        <f t="shared" si="14"/>
        <v/>
      </c>
    </row>
    <row r="59" spans="1:32" s="6" customFormat="1" ht="11.65" collapsed="1" x14ac:dyDescent="0.35">
      <c r="A59" s="44">
        <v>2</v>
      </c>
      <c r="B59" s="39" t="s">
        <v>6</v>
      </c>
      <c r="C59" s="122" t="s">
        <v>134</v>
      </c>
      <c r="D59" s="60">
        <f>IF(SUM(D60:D63)&gt;0,SUM(D60:D63),"")</f>
        <v>421</v>
      </c>
      <c r="E59" s="4">
        <f>IF(SUM(E60:E63)&gt;0,SUM(E60:E63),"")</f>
        <v>39</v>
      </c>
      <c r="F59" s="72"/>
      <c r="G59" s="5">
        <f>IF(SUM(G60:G63)&gt;0,SUM(G60:G63),"")</f>
        <v>256</v>
      </c>
      <c r="H59" s="72"/>
      <c r="I59" s="5">
        <f>IF(SUM(I60:I63)&gt;0,SUM(I60:I63),"")</f>
        <v>126</v>
      </c>
      <c r="J59" s="66"/>
      <c r="K59" s="60">
        <f>IF(SUM(K60:K63)&gt;0,SUM(K60:K63),"")</f>
        <v>636</v>
      </c>
      <c r="L59" s="5">
        <f>IF(SUM(L60:L63)&gt;0,SUM(L60:L63),"")</f>
        <v>66</v>
      </c>
      <c r="M59" s="66"/>
      <c r="N59" s="5">
        <f>IF(SUM(N60:N63)&gt;0,SUM(N60:N63),"")</f>
        <v>151</v>
      </c>
      <c r="O59" s="66"/>
      <c r="P59" s="5">
        <f>IF(SUM(P60:P63)&gt;0,SUM(P60:P63),"")</f>
        <v>419</v>
      </c>
      <c r="Q59" s="66"/>
      <c r="R59" s="60">
        <f>IF(SUM(R60:R63)&gt;0,SUM(R60:R63),"")</f>
        <v>3756</v>
      </c>
      <c r="S59" s="5">
        <f>IF(SUM(S60:S63)&gt;0,SUM(S60:S63),"")</f>
        <v>300</v>
      </c>
      <c r="T59" s="66"/>
      <c r="U59" s="5">
        <f>IF(SUM(U60:U63)&gt;0,SUM(U60:U63),"")</f>
        <v>940</v>
      </c>
      <c r="V59" s="72"/>
      <c r="W59" s="5">
        <f>IF(SUM(W60:W63)&gt;0,SUM(W60:W63),"")</f>
        <v>2516</v>
      </c>
      <c r="X59" s="72"/>
      <c r="Y59" s="60">
        <f>IF(SUM(Y60:Y63)&gt;0,SUM(Y60:Y63),"")</f>
        <v>1900</v>
      </c>
      <c r="Z59" s="5">
        <f>IF(SUM(Z60:Z63)&gt;0,SUM(Z60:Z63),"")</f>
        <v>600</v>
      </c>
      <c r="AA59" s="72"/>
      <c r="AB59" s="5">
        <f>IF(SUM(AB60:AB63)&gt;0,SUM(AB60:AB63),"")</f>
        <v>650</v>
      </c>
      <c r="AC59" s="72"/>
      <c r="AD59" s="5">
        <f>IF(SUM(AD60:AD63)&gt;0,SUM(AD60:AD63),"")</f>
        <v>650</v>
      </c>
      <c r="AE59" s="72"/>
      <c r="AF59" s="49">
        <f>IF(SUM(AF60:AF63)&gt;0,SUM(AF60:AF63),"")</f>
        <v>6713</v>
      </c>
    </row>
    <row r="60" spans="1:32" s="6" customFormat="1" ht="11.65" hidden="1" outlineLevel="1" x14ac:dyDescent="0.35">
      <c r="A60" s="7"/>
      <c r="B60" s="40" t="s">
        <v>82</v>
      </c>
      <c r="C60" s="123"/>
      <c r="D60" s="36">
        <f>IF(SUM(E60,G60,I60)&gt;0,SUM(E60,G60,I60),"")</f>
        <v>421</v>
      </c>
      <c r="E60" s="8">
        <v>39</v>
      </c>
      <c r="F60" s="79" t="s">
        <v>198</v>
      </c>
      <c r="G60" s="9">
        <v>256</v>
      </c>
      <c r="H60" s="79" t="s">
        <v>199</v>
      </c>
      <c r="I60" s="9">
        <v>126</v>
      </c>
      <c r="J60" s="80" t="s">
        <v>200</v>
      </c>
      <c r="K60" s="36">
        <f>IF(SUM(L60,N60,P60)&gt;0,SUM(L60,N60,P60),"")</f>
        <v>636</v>
      </c>
      <c r="L60" s="9">
        <v>66</v>
      </c>
      <c r="M60" s="80" t="s">
        <v>262</v>
      </c>
      <c r="N60" s="9">
        <v>151</v>
      </c>
      <c r="O60" s="80" t="s">
        <v>263</v>
      </c>
      <c r="P60" s="9">
        <v>419</v>
      </c>
      <c r="Q60" s="80" t="s">
        <v>261</v>
      </c>
      <c r="R60" s="36" t="str">
        <f>IF(SUM(S60,U60,W60)&gt;0,SUM(S60,U60,W60),"")</f>
        <v/>
      </c>
      <c r="S60" s="9"/>
      <c r="T60" s="79"/>
      <c r="U60" s="9"/>
      <c r="V60" s="80"/>
      <c r="W60" s="9"/>
      <c r="X60" s="80"/>
      <c r="Y60" s="36" t="str">
        <f>IF(SUM(Z60,AB60,AD60)&gt;0,SUM(Z60,AB60,AD60),"")</f>
        <v/>
      </c>
      <c r="Z60" s="9"/>
      <c r="AA60" s="56"/>
      <c r="AB60" s="9"/>
      <c r="AC60" s="74"/>
      <c r="AD60" s="9"/>
      <c r="AE60" s="74"/>
      <c r="AF60" s="36">
        <f t="shared" si="14"/>
        <v>1057</v>
      </c>
    </row>
    <row r="61" spans="1:32" s="6" customFormat="1" ht="29.25" hidden="1" outlineLevel="1" x14ac:dyDescent="0.35">
      <c r="A61" s="7"/>
      <c r="B61" s="40"/>
      <c r="C61" s="123"/>
      <c r="D61" s="37" t="str">
        <f>IF(SUM(E61,G61,I61)&gt;0,SUM(E61,G61,I61),"")</f>
        <v/>
      </c>
      <c r="E61" s="10"/>
      <c r="F61" s="11"/>
      <c r="G61" s="12"/>
      <c r="H61" s="13"/>
      <c r="I61" s="12"/>
      <c r="J61" s="32"/>
      <c r="K61" s="37" t="str">
        <f>IF(SUM(L61,N61,P61)&gt;0,SUM(L61,N61,P61),"")</f>
        <v/>
      </c>
      <c r="L61" s="12"/>
      <c r="M61" s="11"/>
      <c r="N61" s="12"/>
      <c r="O61" s="33"/>
      <c r="P61" s="12"/>
      <c r="Q61" s="33"/>
      <c r="R61" s="37">
        <f>IF(SUM(S61,U61,W61)&gt;0,SUM(S61,U61,W61),"")</f>
        <v>2680</v>
      </c>
      <c r="S61" s="12"/>
      <c r="T61" s="33"/>
      <c r="U61" s="12">
        <v>640</v>
      </c>
      <c r="V61" s="32" t="s">
        <v>272</v>
      </c>
      <c r="W61" s="12">
        <v>2040</v>
      </c>
      <c r="X61" s="32" t="s">
        <v>281</v>
      </c>
      <c r="Y61" s="37" t="str">
        <f>IF(SUM(Z61,AB61,AD61)&gt;0,SUM(Z61,AB61,AD61),"")</f>
        <v/>
      </c>
      <c r="Z61" s="12"/>
      <c r="AA61" s="32"/>
      <c r="AB61" s="12"/>
      <c r="AC61" s="11"/>
      <c r="AD61" s="12"/>
      <c r="AE61" s="33"/>
      <c r="AF61" s="37">
        <f t="shared" si="14"/>
        <v>2680</v>
      </c>
    </row>
    <row r="62" spans="1:32" s="6" customFormat="1" ht="19.5" hidden="1" outlineLevel="1" x14ac:dyDescent="0.35">
      <c r="A62" s="7"/>
      <c r="B62" s="40"/>
      <c r="C62" s="123"/>
      <c r="D62" s="38" t="str">
        <f>IF(SUM(E62,G62,I62)&gt;0,SUM(E62,G62,I62),"")</f>
        <v/>
      </c>
      <c r="E62" s="14"/>
      <c r="F62" s="15"/>
      <c r="G62" s="16"/>
      <c r="H62" s="15"/>
      <c r="I62" s="16"/>
      <c r="J62" s="15"/>
      <c r="K62" s="38" t="str">
        <f>IF(SUM(L62,N62,P62)&gt;0,SUM(L62,N62,P62),"")</f>
        <v/>
      </c>
      <c r="L62" s="16"/>
      <c r="M62" s="15"/>
      <c r="N62" s="16"/>
      <c r="O62" s="15"/>
      <c r="P62" s="16"/>
      <c r="Q62" s="15"/>
      <c r="R62" s="38">
        <f>IF(SUM(S62,U62,W62)&gt;0,SUM(S62,U62,W62),"")</f>
        <v>1076</v>
      </c>
      <c r="S62" s="16">
        <v>300</v>
      </c>
      <c r="T62" s="15" t="s">
        <v>171</v>
      </c>
      <c r="U62" s="16">
        <v>300</v>
      </c>
      <c r="V62" s="15" t="s">
        <v>171</v>
      </c>
      <c r="W62" s="16">
        <v>476</v>
      </c>
      <c r="X62" s="15" t="s">
        <v>287</v>
      </c>
      <c r="Y62" s="38">
        <f>IF(SUM(Z62,AB62,AD62)&gt;0,SUM(Z62,AB62,AD62),"")</f>
        <v>1900</v>
      </c>
      <c r="Z62" s="16">
        <v>600</v>
      </c>
      <c r="AA62" s="15" t="s">
        <v>172</v>
      </c>
      <c r="AB62" s="16">
        <v>650</v>
      </c>
      <c r="AC62" s="15" t="s">
        <v>207</v>
      </c>
      <c r="AD62" s="16">
        <v>650</v>
      </c>
      <c r="AE62" s="15" t="s">
        <v>207</v>
      </c>
      <c r="AF62" s="38">
        <f>IF(SUM(D62,K62,R62,Y62)&gt;0,SUM(D62,K62,R62,Y62),"")</f>
        <v>2976</v>
      </c>
    </row>
    <row r="63" spans="1:32" s="6" customFormat="1" ht="11.65" hidden="1" outlineLevel="1" x14ac:dyDescent="0.35">
      <c r="A63" s="45"/>
      <c r="B63" s="40"/>
      <c r="C63" s="123"/>
      <c r="D63" s="61" t="str">
        <f>IF(SUM(E63,G63,I63)&gt;0,SUM(E63,G63,I63),"")</f>
        <v/>
      </c>
      <c r="E63" s="17"/>
      <c r="F63" s="73"/>
      <c r="G63" s="19"/>
      <c r="H63" s="23"/>
      <c r="I63" s="19"/>
      <c r="J63" s="23"/>
      <c r="K63" s="61" t="str">
        <f>IF(SUM(L63,N63,P63)&gt;0,SUM(L63,N63,P63),"")</f>
        <v/>
      </c>
      <c r="L63" s="19"/>
      <c r="M63" s="23"/>
      <c r="N63" s="19"/>
      <c r="O63" s="23"/>
      <c r="P63" s="19"/>
      <c r="Q63" s="23"/>
      <c r="R63" s="61" t="str">
        <f>IF(SUM(S63,U63,W63)&gt;0,SUM(S63,U63,W63),"")</f>
        <v/>
      </c>
      <c r="S63" s="19"/>
      <c r="T63" s="23"/>
      <c r="U63" s="19"/>
      <c r="V63" s="23"/>
      <c r="W63" s="19"/>
      <c r="X63" s="23"/>
      <c r="Y63" s="61" t="str">
        <f>IF(SUM(Z63,AB63,AD63)&gt;0,SUM(Z63,AB63,AD63),"")</f>
        <v/>
      </c>
      <c r="Z63" s="19"/>
      <c r="AA63" s="23"/>
      <c r="AB63" s="19"/>
      <c r="AC63" s="23"/>
      <c r="AD63" s="19"/>
      <c r="AE63" s="23"/>
      <c r="AF63" s="54" t="str">
        <f t="shared" si="14"/>
        <v/>
      </c>
    </row>
    <row r="64" spans="1:32" s="6" customFormat="1" ht="11.65" collapsed="1" x14ac:dyDescent="0.35">
      <c r="A64" s="44">
        <v>3</v>
      </c>
      <c r="B64" s="39" t="s">
        <v>43</v>
      </c>
      <c r="C64" s="122" t="s">
        <v>134</v>
      </c>
      <c r="D64" s="60">
        <f>IF(SUM(D65:D68)&gt;0,SUM(D65:D68),"")</f>
        <v>31</v>
      </c>
      <c r="E64" s="4" t="str">
        <f>IF(SUM(E65:E68)&gt;0,SUM(E65:E68),"")</f>
        <v/>
      </c>
      <c r="F64" s="72"/>
      <c r="G64" s="5">
        <f>IF(SUM(G65:G68)&gt;0,SUM(G65:G68),"")</f>
        <v>13</v>
      </c>
      <c r="H64" s="72"/>
      <c r="I64" s="5">
        <f>IF(SUM(I65:I68)&gt;0,SUM(I65:I68),"")</f>
        <v>18</v>
      </c>
      <c r="J64" s="66"/>
      <c r="K64" s="60">
        <f>IF(SUM(K65:K68)&gt;0,SUM(K65:K68),"")</f>
        <v>49</v>
      </c>
      <c r="L64" s="5">
        <f>IF(SUM(L65:L68)&gt;0,SUM(L65:L68),"")</f>
        <v>1</v>
      </c>
      <c r="M64" s="66"/>
      <c r="N64" s="5">
        <f>IF(SUM(N65:N68)&gt;0,SUM(N65:N68),"")</f>
        <v>20</v>
      </c>
      <c r="O64" s="66"/>
      <c r="P64" s="5">
        <f>IF(SUM(P65:P68)&gt;0,SUM(P65:P68),"")</f>
        <v>28</v>
      </c>
      <c r="Q64" s="66"/>
      <c r="R64" s="60">
        <f>IF(SUM(R65:R68)&gt;0,SUM(R65:R68),"")</f>
        <v>342</v>
      </c>
      <c r="S64" s="5">
        <f>IF(SUM(S65:S68)&gt;0,SUM(S65:S68),"")</f>
        <v>30</v>
      </c>
      <c r="T64" s="66"/>
      <c r="U64" s="5">
        <f>IF(SUM(U65:U68)&gt;0,SUM(U65:U68),"")</f>
        <v>80</v>
      </c>
      <c r="V64" s="72"/>
      <c r="W64" s="5">
        <f>IF(SUM(W65:W68)&gt;0,SUM(W65:W68),"")</f>
        <v>232</v>
      </c>
      <c r="X64" s="72"/>
      <c r="Y64" s="60">
        <f>IF(SUM(Y65:Y68)&gt;0,SUM(Y65:Y68),"")</f>
        <v>320</v>
      </c>
      <c r="Z64" s="5">
        <f>IF(SUM(Z65:Z68)&gt;0,SUM(Z65:Z68),"")</f>
        <v>100</v>
      </c>
      <c r="AA64" s="72"/>
      <c r="AB64" s="5">
        <f>IF(SUM(AB65:AB68)&gt;0,SUM(AB65:AB68),"")</f>
        <v>110</v>
      </c>
      <c r="AC64" s="72"/>
      <c r="AD64" s="5">
        <f>IF(SUM(AD65:AD68)&gt;0,SUM(AD65:AD68),"")</f>
        <v>110</v>
      </c>
      <c r="AE64" s="72"/>
      <c r="AF64" s="49">
        <f t="shared" ref="AF64:AF114" si="15">IF(SUM(AF65:AF68)&gt;0,SUM(AF65:AF68),"")</f>
        <v>742</v>
      </c>
    </row>
    <row r="65" spans="1:32" s="6" customFormat="1" ht="11.65" hidden="1" outlineLevel="1" x14ac:dyDescent="0.35">
      <c r="A65" s="7"/>
      <c r="B65" s="40" t="s">
        <v>83</v>
      </c>
      <c r="C65" s="123"/>
      <c r="D65" s="36">
        <f>IF(SUM(E65,G65,I65)&gt;0,SUM(E65,G65,I65),"")</f>
        <v>31</v>
      </c>
      <c r="E65" s="8"/>
      <c r="F65" s="56"/>
      <c r="G65" s="9">
        <v>13</v>
      </c>
      <c r="H65" s="79" t="s">
        <v>201</v>
      </c>
      <c r="I65" s="9">
        <v>18</v>
      </c>
      <c r="J65" s="79" t="s">
        <v>176</v>
      </c>
      <c r="K65" s="36">
        <f t="shared" ref="K65:K68" si="16">IF(SUM(L65,N65,P65)&gt;0,SUM(L65,N65,P65),"")</f>
        <v>49</v>
      </c>
      <c r="L65" s="9">
        <v>1</v>
      </c>
      <c r="M65" s="80" t="s">
        <v>127</v>
      </c>
      <c r="N65" s="9">
        <v>20</v>
      </c>
      <c r="O65" s="80" t="s">
        <v>121</v>
      </c>
      <c r="P65" s="9">
        <v>28</v>
      </c>
      <c r="Q65" s="80" t="s">
        <v>264</v>
      </c>
      <c r="R65" s="36" t="str">
        <f>IF(SUM(S65,U65,W65)&gt;0,SUM(S65,U65,W65),"")</f>
        <v/>
      </c>
      <c r="S65" s="9"/>
      <c r="T65" s="79"/>
      <c r="U65" s="9"/>
      <c r="V65" s="56"/>
      <c r="W65" s="9"/>
      <c r="X65" s="80"/>
      <c r="Y65" s="36" t="str">
        <f>IF(SUM(Z65,AB65,AD65)&gt;0,SUM(Z65,AB65,AD65),"")</f>
        <v/>
      </c>
      <c r="Z65" s="9"/>
      <c r="AA65" s="55"/>
      <c r="AB65" s="9"/>
      <c r="AC65" s="74"/>
      <c r="AD65" s="9"/>
      <c r="AE65" s="74"/>
      <c r="AF65" s="36">
        <f t="shared" si="14"/>
        <v>80</v>
      </c>
    </row>
    <row r="66" spans="1:32" s="6" customFormat="1" ht="19.5" hidden="1" outlineLevel="1" x14ac:dyDescent="0.35">
      <c r="A66" s="7"/>
      <c r="B66" s="40"/>
      <c r="C66" s="123"/>
      <c r="D66" s="37" t="str">
        <f>IF(SUM(E66,G66,I66)&gt;0,SUM(E66,G66,I66),"")</f>
        <v/>
      </c>
      <c r="E66" s="10"/>
      <c r="F66" s="11"/>
      <c r="G66" s="12"/>
      <c r="H66" s="11"/>
      <c r="I66" s="12"/>
      <c r="J66" s="32"/>
      <c r="K66" s="37" t="str">
        <f t="shared" si="16"/>
        <v/>
      </c>
      <c r="L66" s="12"/>
      <c r="M66" s="11"/>
      <c r="N66" s="12"/>
      <c r="O66" s="33"/>
      <c r="P66" s="12"/>
      <c r="Q66" s="32"/>
      <c r="R66" s="37">
        <f>IF(SUM(S66,U66,W66)&gt;0,SUM(S66,U66,W66),"")</f>
        <v>250</v>
      </c>
      <c r="S66" s="12"/>
      <c r="T66" s="33"/>
      <c r="U66" s="12">
        <v>50</v>
      </c>
      <c r="V66" s="32" t="s">
        <v>275</v>
      </c>
      <c r="W66" s="12">
        <v>200</v>
      </c>
      <c r="X66" s="32" t="s">
        <v>282</v>
      </c>
      <c r="Y66" s="37" t="str">
        <f>IF(SUM(Z66,AB66,AD66)&gt;0,SUM(Z66,AB66,AD66),"")</f>
        <v/>
      </c>
      <c r="Z66" s="12"/>
      <c r="AA66" s="32"/>
      <c r="AB66" s="12"/>
      <c r="AC66" s="11"/>
      <c r="AD66" s="12"/>
      <c r="AE66" s="11"/>
      <c r="AF66" s="37">
        <f t="shared" si="14"/>
        <v>250</v>
      </c>
    </row>
    <row r="67" spans="1:32" s="6" customFormat="1" ht="19.5" hidden="1" outlineLevel="1" x14ac:dyDescent="0.35">
      <c r="A67" s="7"/>
      <c r="B67" s="40"/>
      <c r="C67" s="123"/>
      <c r="D67" s="38" t="str">
        <f>IF(SUM(E67,G67,I67)&gt;0,SUM(E67,G67,I67),"")</f>
        <v/>
      </c>
      <c r="E67" s="14"/>
      <c r="F67" s="15"/>
      <c r="G67" s="16"/>
      <c r="H67" s="15"/>
      <c r="I67" s="16"/>
      <c r="J67" s="15"/>
      <c r="K67" s="38" t="str">
        <f t="shared" si="16"/>
        <v/>
      </c>
      <c r="L67" s="16"/>
      <c r="M67" s="15"/>
      <c r="N67" s="16"/>
      <c r="O67" s="15"/>
      <c r="P67" s="16"/>
      <c r="Q67" s="15"/>
      <c r="R67" s="38">
        <f>IF(SUM(S67,U67,W67)&gt;0,SUM(S67,U67,W67),"")</f>
        <v>92</v>
      </c>
      <c r="S67" s="16">
        <v>30</v>
      </c>
      <c r="T67" s="15" t="s">
        <v>116</v>
      </c>
      <c r="U67" s="16">
        <v>30</v>
      </c>
      <c r="V67" s="15" t="s">
        <v>116</v>
      </c>
      <c r="W67" s="16">
        <v>32</v>
      </c>
      <c r="X67" s="15" t="s">
        <v>288</v>
      </c>
      <c r="Y67" s="38">
        <f>IF(SUM(Z67,AB67,AD67)&gt;0,SUM(Z67,AB67,AD67),"")</f>
        <v>320</v>
      </c>
      <c r="Z67" s="16">
        <v>100</v>
      </c>
      <c r="AA67" s="15" t="s">
        <v>175</v>
      </c>
      <c r="AB67" s="16">
        <v>110</v>
      </c>
      <c r="AC67" s="15" t="s">
        <v>174</v>
      </c>
      <c r="AD67" s="16">
        <v>110</v>
      </c>
      <c r="AE67" s="15" t="s">
        <v>174</v>
      </c>
      <c r="AF67" s="38">
        <f t="shared" si="14"/>
        <v>412</v>
      </c>
    </row>
    <row r="68" spans="1:32" s="6" customFormat="1" ht="11.65" hidden="1" outlineLevel="1" x14ac:dyDescent="0.35">
      <c r="A68" s="45"/>
      <c r="B68" s="40"/>
      <c r="C68" s="123"/>
      <c r="D68" s="61" t="str">
        <f>IF(SUM(E68,G68,I68)&gt;0,SUM(E68,G68,I68),"")</f>
        <v/>
      </c>
      <c r="E68" s="22"/>
      <c r="F68" s="76"/>
      <c r="G68" s="62"/>
      <c r="H68" s="114"/>
      <c r="I68" s="57"/>
      <c r="J68" s="31"/>
      <c r="K68" s="61" t="str">
        <f t="shared" si="16"/>
        <v/>
      </c>
      <c r="L68" s="57"/>
      <c r="M68" s="31"/>
      <c r="N68" s="62"/>
      <c r="O68" s="31"/>
      <c r="P68" s="57"/>
      <c r="Q68" s="31"/>
      <c r="R68" s="61" t="str">
        <f>IF(SUM(S68,U68,W68)&gt;0,SUM(S68,U68,W68),"")</f>
        <v/>
      </c>
      <c r="S68" s="57"/>
      <c r="T68" s="31"/>
      <c r="U68" s="62"/>
      <c r="V68" s="31"/>
      <c r="W68" s="19"/>
      <c r="X68" s="31"/>
      <c r="Y68" s="61" t="str">
        <f>IF(SUM(Z68,AB68,AD68)&gt;0,SUM(Z68,AB68,AD68),"")</f>
        <v/>
      </c>
      <c r="Z68" s="62"/>
      <c r="AA68" s="31"/>
      <c r="AB68" s="57"/>
      <c r="AC68" s="31"/>
      <c r="AD68" s="57"/>
      <c r="AE68" s="31"/>
      <c r="AF68" s="54" t="str">
        <f t="shared" si="14"/>
        <v/>
      </c>
    </row>
    <row r="69" spans="1:32" s="6" customFormat="1" ht="11.65" collapsed="1" x14ac:dyDescent="0.35">
      <c r="A69" s="44">
        <v>4</v>
      </c>
      <c r="B69" s="39" t="s">
        <v>8</v>
      </c>
      <c r="C69" s="122" t="s">
        <v>134</v>
      </c>
      <c r="D69" s="60">
        <f>IF(SUM(D70:D73)&gt;0,SUM(D70:D73),"")</f>
        <v>4</v>
      </c>
      <c r="E69" s="4" t="str">
        <f>IF(SUM(E70:E73)&gt;0,SUM(E70:E73),"")</f>
        <v/>
      </c>
      <c r="F69" s="72"/>
      <c r="G69" s="5" t="str">
        <f>IF(SUM(G70:G73)&gt;0,SUM(G70:G73),"")</f>
        <v/>
      </c>
      <c r="H69" s="72"/>
      <c r="I69" s="5">
        <f>IF(SUM(I70:I73)&gt;0,SUM(I70:I73),"")</f>
        <v>4</v>
      </c>
      <c r="J69" s="66"/>
      <c r="K69" s="60">
        <f>IF(SUM(K70:K73)&gt;0,SUM(K70:K73),"")</f>
        <v>18</v>
      </c>
      <c r="L69" s="5">
        <f>IF(SUM(L70:L73)&gt;0,SUM(L70:L73),"")</f>
        <v>2</v>
      </c>
      <c r="M69" s="66"/>
      <c r="N69" s="5">
        <f>IF(SUM(N70:N73)&gt;0,SUM(N70:N73),"")</f>
        <v>16</v>
      </c>
      <c r="O69" s="66"/>
      <c r="P69" s="5" t="str">
        <f>IF(SUM(P70:P73)&gt;0,SUM(P70:P73),"")</f>
        <v/>
      </c>
      <c r="Q69" s="66"/>
      <c r="R69" s="60">
        <f>IF(SUM(R70:R73)&gt;0,SUM(R70:R73),"")</f>
        <v>3</v>
      </c>
      <c r="S69" s="5" t="str">
        <f>IF(SUM(S70:S73)&gt;0,SUM(S70:S73),"")</f>
        <v/>
      </c>
      <c r="T69" s="66"/>
      <c r="U69" s="5" t="str">
        <f>IF(SUM(U70:U73)&gt;0,SUM(U70:U73),"")</f>
        <v/>
      </c>
      <c r="V69" s="72"/>
      <c r="W69" s="5">
        <f>IF(SUM(W70:W73)&gt;0,SUM(W70:W73),"")</f>
        <v>3</v>
      </c>
      <c r="X69" s="72"/>
      <c r="Y69" s="60">
        <f>IF(SUM(Y70:Y73)&gt;0,SUM(Y70:Y73),"")</f>
        <v>6</v>
      </c>
      <c r="Z69" s="5" t="str">
        <f>IF(SUM(Z70:Z73)&gt;0,SUM(Z70:Z73),"")</f>
        <v/>
      </c>
      <c r="AA69" s="72"/>
      <c r="AB69" s="5">
        <f>IF(SUM(AB70:AB73)&gt;0,SUM(AB70:AB73),"")</f>
        <v>6</v>
      </c>
      <c r="AC69" s="72"/>
      <c r="AD69" s="5" t="str">
        <f>IF(SUM(AD70:AD73)&gt;0,SUM(AD70:AD73),"")</f>
        <v/>
      </c>
      <c r="AE69" s="72"/>
      <c r="AF69" s="49">
        <f t="shared" si="15"/>
        <v>31</v>
      </c>
    </row>
    <row r="70" spans="1:32" s="6" customFormat="1" ht="11.65" hidden="1" outlineLevel="1" x14ac:dyDescent="0.35">
      <c r="A70" s="7"/>
      <c r="B70" s="40" t="s">
        <v>84</v>
      </c>
      <c r="C70" s="123"/>
      <c r="D70" s="36">
        <f>IF(SUM(E70,G70,I70)&gt;0,SUM(E70,G70,I70),"")</f>
        <v>4</v>
      </c>
      <c r="E70" s="8"/>
      <c r="F70" s="56"/>
      <c r="G70" s="9"/>
      <c r="H70" s="56"/>
      <c r="I70" s="9">
        <v>4</v>
      </c>
      <c r="J70" s="56" t="s">
        <v>115</v>
      </c>
      <c r="K70" s="36">
        <f t="shared" ref="K70:K73" si="17">IF(SUM(L70,N70,P70)&gt;0,SUM(L70,N70,P70),"")</f>
        <v>18</v>
      </c>
      <c r="L70" s="9">
        <v>2</v>
      </c>
      <c r="M70" s="56" t="s">
        <v>124</v>
      </c>
      <c r="N70" s="9">
        <v>16</v>
      </c>
      <c r="O70" s="56" t="s">
        <v>196</v>
      </c>
      <c r="P70" s="9"/>
      <c r="Q70" s="56"/>
      <c r="R70" s="36" t="str">
        <f>IF(SUM(S70,U70,W70)&gt;0,SUM(S70,U70,W70),"")</f>
        <v/>
      </c>
      <c r="S70" s="9"/>
      <c r="T70" s="56"/>
      <c r="U70" s="9"/>
      <c r="V70" s="56"/>
      <c r="W70" s="9"/>
      <c r="X70" s="56"/>
      <c r="Y70" s="36" t="str">
        <f>IF(SUM(Z70,AB70,AD70)&gt;0,SUM(Z70,AB70,AD70),"")</f>
        <v/>
      </c>
      <c r="Z70" s="9"/>
      <c r="AA70" s="74"/>
      <c r="AB70" s="9"/>
      <c r="AC70" s="74"/>
      <c r="AD70" s="9"/>
      <c r="AE70" s="74"/>
      <c r="AF70" s="36">
        <f t="shared" si="14"/>
        <v>22</v>
      </c>
    </row>
    <row r="71" spans="1:32" s="6" customFormat="1" ht="11.65" hidden="1" outlineLevel="1" x14ac:dyDescent="0.35">
      <c r="A71" s="7"/>
      <c r="B71" s="40"/>
      <c r="C71" s="123"/>
      <c r="D71" s="37" t="str">
        <f>IF(SUM(E71,G71,I71)&gt;0,SUM(E71,G71,I71),"")</f>
        <v/>
      </c>
      <c r="E71" s="10"/>
      <c r="F71" s="13"/>
      <c r="G71" s="12"/>
      <c r="H71" s="13"/>
      <c r="I71" s="12"/>
      <c r="J71" s="13"/>
      <c r="K71" s="37" t="str">
        <f t="shared" si="17"/>
        <v/>
      </c>
      <c r="L71" s="12"/>
      <c r="M71" s="13"/>
      <c r="N71" s="12"/>
      <c r="O71" s="13"/>
      <c r="P71" s="12"/>
      <c r="Q71" s="13"/>
      <c r="R71" s="37" t="str">
        <f>IF(SUM(S71,U71,W71)&gt;0,SUM(S71,U71,W71),"")</f>
        <v/>
      </c>
      <c r="S71" s="12"/>
      <c r="T71" s="13"/>
      <c r="U71" s="12"/>
      <c r="V71" s="63"/>
      <c r="W71" s="12"/>
      <c r="X71" s="63"/>
      <c r="Y71" s="37" t="str">
        <f>IF(SUM(Z71,AB71,AD71)&gt;0,SUM(Z71,AB71,AD71),"")</f>
        <v/>
      </c>
      <c r="Z71" s="12"/>
      <c r="AA71" s="63"/>
      <c r="AB71" s="12"/>
      <c r="AC71" s="63"/>
      <c r="AD71" s="12"/>
      <c r="AE71" s="63"/>
      <c r="AF71" s="37" t="str">
        <f t="shared" si="14"/>
        <v/>
      </c>
    </row>
    <row r="72" spans="1:32" s="6" customFormat="1" ht="11.65" hidden="1" outlineLevel="1" x14ac:dyDescent="0.35">
      <c r="A72" s="7"/>
      <c r="B72" s="40"/>
      <c r="C72" s="123"/>
      <c r="D72" s="38" t="str">
        <f>IF(SUM(E72,G72,I72)&gt;0,SUM(E72,G72,I72),"")</f>
        <v/>
      </c>
      <c r="E72" s="14"/>
      <c r="F72" s="15"/>
      <c r="G72" s="16"/>
      <c r="H72" s="15"/>
      <c r="I72" s="16"/>
      <c r="J72" s="15"/>
      <c r="K72" s="38" t="str">
        <f t="shared" si="17"/>
        <v/>
      </c>
      <c r="L72" s="16"/>
      <c r="M72" s="15"/>
      <c r="N72" s="16"/>
      <c r="O72" s="15"/>
      <c r="P72" s="16"/>
      <c r="Q72" s="15"/>
      <c r="R72" s="38">
        <f>IF(SUM(S72,U72,W72)&gt;0,SUM(S72,U72,W72),"")</f>
        <v>3</v>
      </c>
      <c r="S72" s="16"/>
      <c r="T72" s="21"/>
      <c r="U72" s="16"/>
      <c r="V72" s="15"/>
      <c r="W72" s="16">
        <v>3</v>
      </c>
      <c r="X72" s="21" t="s">
        <v>118</v>
      </c>
      <c r="Y72" s="38">
        <f>IF(SUM(Z72,AB72,AD72)&gt;0,SUM(Z72,AB72,AD72),"")</f>
        <v>6</v>
      </c>
      <c r="Z72" s="16"/>
      <c r="AA72" s="21"/>
      <c r="AB72" s="16">
        <v>6</v>
      </c>
      <c r="AC72" s="21" t="s">
        <v>120</v>
      </c>
      <c r="AD72" s="16"/>
      <c r="AE72" s="21"/>
      <c r="AF72" s="38">
        <f t="shared" si="14"/>
        <v>9</v>
      </c>
    </row>
    <row r="73" spans="1:32" s="6" customFormat="1" ht="11.65" hidden="1" outlineLevel="1" x14ac:dyDescent="0.35">
      <c r="A73" s="45"/>
      <c r="B73" s="40"/>
      <c r="C73" s="123"/>
      <c r="D73" s="61" t="str">
        <f>IF(SUM(E73,G73,I73)&gt;0,SUM(E73,G73,I73),"")</f>
        <v/>
      </c>
      <c r="E73" s="17"/>
      <c r="F73" s="73"/>
      <c r="G73" s="19"/>
      <c r="H73" s="23"/>
      <c r="I73" s="19"/>
      <c r="J73" s="23"/>
      <c r="K73" s="61" t="str">
        <f t="shared" si="17"/>
        <v/>
      </c>
      <c r="L73" s="19"/>
      <c r="M73" s="23"/>
      <c r="N73" s="19"/>
      <c r="O73" s="23"/>
      <c r="P73" s="19"/>
      <c r="Q73" s="23"/>
      <c r="R73" s="61" t="str">
        <f>IF(SUM(S73,U73,W73)&gt;0,SUM(S73,U73,W73),"")</f>
        <v/>
      </c>
      <c r="S73" s="19"/>
      <c r="T73" s="23"/>
      <c r="U73" s="19"/>
      <c r="V73" s="23"/>
      <c r="W73" s="19"/>
      <c r="X73" s="73"/>
      <c r="Y73" s="61" t="str">
        <f>IF(SUM(Z73,AB73,AD73)&gt;0,SUM(Z73,AB73,AD73),"")</f>
        <v/>
      </c>
      <c r="Z73" s="19"/>
      <c r="AA73" s="23"/>
      <c r="AB73" s="19"/>
      <c r="AC73" s="23"/>
      <c r="AD73" s="19"/>
      <c r="AE73" s="73"/>
      <c r="AF73" s="54" t="str">
        <f t="shared" si="14"/>
        <v/>
      </c>
    </row>
    <row r="74" spans="1:32" s="6" customFormat="1" ht="11.65" collapsed="1" x14ac:dyDescent="0.35">
      <c r="A74" s="44">
        <v>5</v>
      </c>
      <c r="B74" s="39" t="s">
        <v>9</v>
      </c>
      <c r="C74" s="122" t="s">
        <v>134</v>
      </c>
      <c r="D74" s="60">
        <f>IF(SUM(D75:D78)&gt;0,SUM(D75:D78),"")</f>
        <v>8</v>
      </c>
      <c r="E74" s="4" t="str">
        <f>IF(SUM(E75:E78)&gt;0,SUM(E75:E78),"")</f>
        <v/>
      </c>
      <c r="F74" s="72"/>
      <c r="G74" s="5">
        <f>IF(SUM(G75:G78)&gt;0,SUM(G75:G78),"")</f>
        <v>8</v>
      </c>
      <c r="H74" s="72"/>
      <c r="I74" s="5" t="str">
        <f>IF(SUM(I75:I78)&gt;0,SUM(I75:I78),"")</f>
        <v/>
      </c>
      <c r="J74" s="66"/>
      <c r="K74" s="60">
        <f>IF(SUM(K75:K78)&gt;0,SUM(K75:K78),"")</f>
        <v>42</v>
      </c>
      <c r="L74" s="5">
        <f>IF(SUM(L75:L78)&gt;0,SUM(L75:L78),"")</f>
        <v>6</v>
      </c>
      <c r="M74" s="66"/>
      <c r="N74" s="5">
        <f>IF(SUM(N75:N78)&gt;0,SUM(N75:N78),"")</f>
        <v>32</v>
      </c>
      <c r="O74" s="66"/>
      <c r="P74" s="5">
        <f>IF(SUM(P75:P78)&gt;0,SUM(P75:P78),"")</f>
        <v>4</v>
      </c>
      <c r="Q74" s="66"/>
      <c r="R74" s="60">
        <f>IF(SUM(R75:R78)&gt;0,SUM(R75:R78),"")</f>
        <v>10</v>
      </c>
      <c r="S74" s="5">
        <f>IF(SUM(S75:S78)&gt;0,SUM(S75:S78),"")</f>
        <v>10</v>
      </c>
      <c r="T74" s="66"/>
      <c r="U74" s="5" t="str">
        <f>IF(SUM(U75:U78)&gt;0,SUM(U75:U78),"")</f>
        <v/>
      </c>
      <c r="V74" s="72"/>
      <c r="W74" s="5" t="str">
        <f>IF(SUM(W75:W78)&gt;0,SUM(W75:W78),"")</f>
        <v/>
      </c>
      <c r="X74" s="72"/>
      <c r="Y74" s="60">
        <f>IF(SUM(Y75:Y78)&gt;0,SUM(Y75:Y78),"")</f>
        <v>60</v>
      </c>
      <c r="Z74" s="5">
        <f>IF(SUM(Z75:Z78)&gt;0,SUM(Z75:Z78),"")</f>
        <v>15</v>
      </c>
      <c r="AA74" s="72"/>
      <c r="AB74" s="5">
        <f>IF(SUM(AB75:AB78)&gt;0,SUM(AB75:AB78),"")</f>
        <v>20</v>
      </c>
      <c r="AC74" s="72"/>
      <c r="AD74" s="5">
        <f>IF(SUM(AD75:AD78)&gt;0,SUM(AD75:AD78),"")</f>
        <v>25</v>
      </c>
      <c r="AE74" s="72"/>
      <c r="AF74" s="49">
        <f t="shared" si="15"/>
        <v>120</v>
      </c>
    </row>
    <row r="75" spans="1:32" s="6" customFormat="1" ht="11.65" hidden="1" outlineLevel="1" x14ac:dyDescent="0.35">
      <c r="A75" s="7"/>
      <c r="B75" s="40" t="s">
        <v>85</v>
      </c>
      <c r="C75" s="123"/>
      <c r="D75" s="36">
        <f>IF(SUM(E75,G75,I75)&gt;0,SUM(E75,G75,I75),"")</f>
        <v>8</v>
      </c>
      <c r="E75" s="8"/>
      <c r="F75" s="56"/>
      <c r="G75" s="9">
        <v>8</v>
      </c>
      <c r="H75" s="56" t="s">
        <v>131</v>
      </c>
      <c r="I75" s="9"/>
      <c r="J75" s="56"/>
      <c r="K75" s="36">
        <f t="shared" ref="K75:K78" si="18">IF(SUM(L75,N75,P75)&gt;0,SUM(L75,N75,P75),"")</f>
        <v>42</v>
      </c>
      <c r="L75" s="9">
        <v>6</v>
      </c>
      <c r="M75" s="56" t="s">
        <v>120</v>
      </c>
      <c r="N75" s="9">
        <v>32</v>
      </c>
      <c r="O75" s="56" t="s">
        <v>259</v>
      </c>
      <c r="P75" s="9">
        <v>4</v>
      </c>
      <c r="Q75" s="79" t="s">
        <v>115</v>
      </c>
      <c r="R75" s="36" t="str">
        <f>IF(SUM(S75,U75,W75)&gt;0,SUM(S75,U75,W75),"")</f>
        <v/>
      </c>
      <c r="S75" s="9"/>
      <c r="T75" s="79"/>
      <c r="U75" s="9"/>
      <c r="V75" s="56"/>
      <c r="W75" s="9"/>
      <c r="X75" s="80"/>
      <c r="Y75" s="36" t="str">
        <f>IF(SUM(Z75,AB75,AD75)&gt;0,SUM(Z75,AB75,AD75),"")</f>
        <v/>
      </c>
      <c r="Z75" s="9"/>
      <c r="AA75" s="56"/>
      <c r="AB75" s="9"/>
      <c r="AC75" s="74"/>
      <c r="AD75" s="9"/>
      <c r="AE75" s="74"/>
      <c r="AF75" s="36">
        <f t="shared" si="14"/>
        <v>50</v>
      </c>
    </row>
    <row r="76" spans="1:32" s="6" customFormat="1" ht="11.65" hidden="1" outlineLevel="1" x14ac:dyDescent="0.35">
      <c r="A76" s="7"/>
      <c r="B76" s="40"/>
      <c r="C76" s="123"/>
      <c r="D76" s="37" t="str">
        <f>IF(SUM(E76,G76,I76)&gt;0,SUM(E76,G76,I76),"")</f>
        <v/>
      </c>
      <c r="E76" s="10"/>
      <c r="F76" s="11"/>
      <c r="G76" s="12"/>
      <c r="H76" s="13"/>
      <c r="I76" s="12"/>
      <c r="J76" s="32"/>
      <c r="K76" s="37" t="str">
        <f t="shared" si="18"/>
        <v/>
      </c>
      <c r="L76" s="12"/>
      <c r="M76" s="13"/>
      <c r="N76" s="12"/>
      <c r="O76" s="33"/>
      <c r="P76" s="12"/>
      <c r="Q76" s="33"/>
      <c r="R76" s="37" t="str">
        <f>IF(SUM(S76,U76,W76)&gt;0,SUM(S76,U76,W76),"")</f>
        <v/>
      </c>
      <c r="S76" s="12"/>
      <c r="T76" s="13"/>
      <c r="U76" s="12"/>
      <c r="V76" s="11"/>
      <c r="W76" s="12"/>
      <c r="X76" s="13"/>
      <c r="Y76" s="37" t="str">
        <f>IF(SUM(Z76,AB76,AD76)&gt;0,SUM(Z76,AB76,AD76),"")</f>
        <v/>
      </c>
      <c r="Z76" s="12"/>
      <c r="AA76" s="11"/>
      <c r="AB76" s="12"/>
      <c r="AC76" s="13"/>
      <c r="AD76" s="12"/>
      <c r="AE76" s="33"/>
      <c r="AF76" s="37" t="str">
        <f t="shared" si="14"/>
        <v/>
      </c>
    </row>
    <row r="77" spans="1:32" s="6" customFormat="1" ht="11.65" hidden="1" outlineLevel="1" x14ac:dyDescent="0.35">
      <c r="A77" s="7"/>
      <c r="B77" s="40"/>
      <c r="C77" s="123"/>
      <c r="D77" s="38" t="str">
        <f>IF(SUM(E77,G77,I77)&gt;0,SUM(E77,G77,I77),"")</f>
        <v/>
      </c>
      <c r="E77" s="14"/>
      <c r="F77" s="21"/>
      <c r="G77" s="16"/>
      <c r="H77" s="15"/>
      <c r="I77" s="16"/>
      <c r="J77" s="15"/>
      <c r="K77" s="38" t="str">
        <f t="shared" si="18"/>
        <v/>
      </c>
      <c r="L77" s="16"/>
      <c r="M77" s="15"/>
      <c r="N77" s="16"/>
      <c r="O77" s="15"/>
      <c r="P77" s="16"/>
      <c r="Q77" s="15"/>
      <c r="R77" s="38">
        <f>IF(SUM(S77,U77,W77)&gt;0,SUM(S77,U77,W77),"")</f>
        <v>10</v>
      </c>
      <c r="S77" s="16">
        <v>10</v>
      </c>
      <c r="T77" s="15" t="s">
        <v>117</v>
      </c>
      <c r="U77" s="16"/>
      <c r="V77" s="15"/>
      <c r="W77" s="16"/>
      <c r="X77" s="15"/>
      <c r="Y77" s="38">
        <f>IF(SUM(Z77,AB77,AD77)&gt;0,SUM(Z77,AB77,AD77),"")</f>
        <v>60</v>
      </c>
      <c r="Z77" s="16">
        <v>15</v>
      </c>
      <c r="AA77" s="15" t="s">
        <v>125</v>
      </c>
      <c r="AB77" s="16">
        <v>20</v>
      </c>
      <c r="AC77" s="15" t="s">
        <v>121</v>
      </c>
      <c r="AD77" s="16">
        <v>25</v>
      </c>
      <c r="AE77" s="15" t="s">
        <v>122</v>
      </c>
      <c r="AF77" s="38">
        <f t="shared" si="14"/>
        <v>70</v>
      </c>
    </row>
    <row r="78" spans="1:32" s="6" customFormat="1" ht="11.65" hidden="1" outlineLevel="1" x14ac:dyDescent="0.35">
      <c r="A78" s="45"/>
      <c r="B78" s="40"/>
      <c r="C78" s="123"/>
      <c r="D78" s="61" t="str">
        <f>IF(SUM(E78,G78,I78)&gt;0,SUM(E78,G78,I78),"")</f>
        <v/>
      </c>
      <c r="E78" s="17"/>
      <c r="F78" s="73"/>
      <c r="G78" s="19"/>
      <c r="H78" s="73"/>
      <c r="I78" s="19"/>
      <c r="J78" s="23"/>
      <c r="K78" s="61" t="str">
        <f t="shared" si="18"/>
        <v/>
      </c>
      <c r="L78" s="19"/>
      <c r="M78" s="23"/>
      <c r="N78" s="19"/>
      <c r="O78" s="23"/>
      <c r="P78" s="19"/>
      <c r="Q78" s="23"/>
      <c r="R78" s="61" t="str">
        <f>IF(SUM(S78,U78,W78)&gt;0,SUM(S78,U78,W78),"")</f>
        <v/>
      </c>
      <c r="S78" s="19"/>
      <c r="T78" s="23"/>
      <c r="U78" s="19"/>
      <c r="V78" s="23"/>
      <c r="W78" s="19"/>
      <c r="X78" s="73"/>
      <c r="Y78" s="61" t="str">
        <f>IF(SUM(Z78,AB78,AD78)&gt;0,SUM(Z78,AB78,AD78),"")</f>
        <v/>
      </c>
      <c r="Z78" s="19"/>
      <c r="AA78" s="23"/>
      <c r="AB78" s="19"/>
      <c r="AC78" s="23"/>
      <c r="AD78" s="19"/>
      <c r="AE78" s="23"/>
      <c r="AF78" s="54" t="str">
        <f t="shared" si="14"/>
        <v/>
      </c>
    </row>
    <row r="79" spans="1:32" s="6" customFormat="1" ht="11.65" collapsed="1" x14ac:dyDescent="0.35">
      <c r="A79" s="44">
        <v>6</v>
      </c>
      <c r="B79" s="39" t="s">
        <v>7</v>
      </c>
      <c r="C79" s="122" t="s">
        <v>134</v>
      </c>
      <c r="D79" s="60">
        <f>IF(SUM(D80:D83)&gt;0,SUM(D80:D83),"")</f>
        <v>52</v>
      </c>
      <c r="E79" s="4">
        <f>IF(SUM(E80:E83)&gt;0,SUM(E80:E83),"")</f>
        <v>7</v>
      </c>
      <c r="F79" s="72"/>
      <c r="G79" s="5">
        <f>IF(SUM(G80:G83)&gt;0,SUM(G80:G83),"")</f>
        <v>16</v>
      </c>
      <c r="H79" s="72"/>
      <c r="I79" s="5">
        <f>IF(SUM(I80:I83)&gt;0,SUM(I80:I83),"")</f>
        <v>29</v>
      </c>
      <c r="J79" s="66"/>
      <c r="K79" s="60">
        <f>IF(SUM(K80:K83)&gt;0,SUM(K80:K83),"")</f>
        <v>97</v>
      </c>
      <c r="L79" s="5"/>
      <c r="M79" s="66"/>
      <c r="N79" s="5">
        <f>IF(SUM(N80:N83)&gt;0,SUM(N80:N83),"")</f>
        <v>50</v>
      </c>
      <c r="O79" s="66"/>
      <c r="P79" s="5">
        <f>IF(SUM(P80:P83)&gt;0,SUM(P80:P83),"")</f>
        <v>38</v>
      </c>
      <c r="Q79" s="66"/>
      <c r="R79" s="60">
        <f>IF(SUM(R80:R83)&gt;0,SUM(R80:R83),"")</f>
        <v>364</v>
      </c>
      <c r="S79" s="5">
        <f>IF(SUM(S80:S83)&gt;0,SUM(S80:S83),"")</f>
        <v>30</v>
      </c>
      <c r="T79" s="66"/>
      <c r="U79" s="5">
        <f>IF(SUM(U80:U83)&gt;0,SUM(U80:U83),"")</f>
        <v>132</v>
      </c>
      <c r="V79" s="72"/>
      <c r="W79" s="5">
        <f>IF(SUM(W80:W83)&gt;0,SUM(W80:W83),"")</f>
        <v>202</v>
      </c>
      <c r="X79" s="72"/>
      <c r="Y79" s="60">
        <f>IF(SUM(Y80:Y83)&gt;0,SUM(Y80:Y83),"")</f>
        <v>170</v>
      </c>
      <c r="Z79" s="5">
        <f>IF(SUM(Z80:Z83)&gt;0,SUM(Z80:Z83),"")</f>
        <v>50</v>
      </c>
      <c r="AA79" s="72"/>
      <c r="AB79" s="5">
        <f>IF(SUM(AB80:AB83)&gt;0,SUM(AB80:AB83),"")</f>
        <v>60</v>
      </c>
      <c r="AC79" s="72"/>
      <c r="AD79" s="5">
        <f>IF(SUM(AD80:AD83)&gt;0,SUM(AD80:AD83),"")</f>
        <v>60</v>
      </c>
      <c r="AE79" s="72"/>
      <c r="AF79" s="49">
        <f t="shared" si="15"/>
        <v>683</v>
      </c>
    </row>
    <row r="80" spans="1:32" s="6" customFormat="1" ht="11.65" hidden="1" outlineLevel="1" x14ac:dyDescent="0.35">
      <c r="A80" s="7"/>
      <c r="B80" s="40" t="s">
        <v>86</v>
      </c>
      <c r="C80" s="123"/>
      <c r="D80" s="36">
        <f>IF(SUM(E80,G80,I80)&gt;0,SUM(E80,G80,I80),"")</f>
        <v>52</v>
      </c>
      <c r="E80" s="8">
        <v>7</v>
      </c>
      <c r="F80" s="56" t="s">
        <v>126</v>
      </c>
      <c r="G80" s="9">
        <v>16</v>
      </c>
      <c r="H80" s="79" t="s">
        <v>196</v>
      </c>
      <c r="I80" s="9">
        <v>29</v>
      </c>
      <c r="J80" s="79" t="s">
        <v>202</v>
      </c>
      <c r="K80" s="36">
        <f t="shared" ref="K80:K83" si="19">IF(SUM(L80,N80,P80)&gt;0,SUM(L80,N80,P80),"")</f>
        <v>97</v>
      </c>
      <c r="L80" s="9">
        <v>9</v>
      </c>
      <c r="M80" s="79" t="s">
        <v>129</v>
      </c>
      <c r="N80" s="9">
        <v>50</v>
      </c>
      <c r="O80" s="56" t="s">
        <v>113</v>
      </c>
      <c r="P80" s="9">
        <v>38</v>
      </c>
      <c r="Q80" s="56" t="s">
        <v>265</v>
      </c>
      <c r="R80" s="36" t="str">
        <f>IF(SUM(S80,U80,W80)&gt;0,SUM(S80,U80,W80),"")</f>
        <v/>
      </c>
      <c r="S80" s="9"/>
      <c r="T80" s="56"/>
      <c r="U80" s="9"/>
      <c r="V80" s="56"/>
      <c r="W80" s="9"/>
      <c r="X80" s="80"/>
      <c r="Y80" s="36" t="str">
        <f>IF(SUM(Z80,AB80,AD80)&gt;0,SUM(Z80,AB80,AD80),"")</f>
        <v/>
      </c>
      <c r="Z80" s="9"/>
      <c r="AA80" s="55"/>
      <c r="AB80" s="9"/>
      <c r="AC80" s="74"/>
      <c r="AD80" s="9"/>
      <c r="AE80" s="74"/>
      <c r="AF80" s="36">
        <f t="shared" si="14"/>
        <v>149</v>
      </c>
    </row>
    <row r="81" spans="1:32" s="6" customFormat="1" ht="29.25" hidden="1" outlineLevel="1" x14ac:dyDescent="0.35">
      <c r="A81" s="7"/>
      <c r="B81" s="40"/>
      <c r="C81" s="123"/>
      <c r="D81" s="37" t="str">
        <f>IF(SUM(E81,G81,I81)&gt;0,SUM(E81,G81,I81),"")</f>
        <v/>
      </c>
      <c r="E81" s="10"/>
      <c r="F81" s="11"/>
      <c r="G81" s="12"/>
      <c r="H81" s="13"/>
      <c r="I81" s="12"/>
      <c r="J81" s="32"/>
      <c r="K81" s="37" t="str">
        <f t="shared" si="19"/>
        <v/>
      </c>
      <c r="L81" s="12"/>
      <c r="M81" s="11"/>
      <c r="N81" s="12"/>
      <c r="O81" s="33"/>
      <c r="P81" s="12"/>
      <c r="Q81" s="32"/>
      <c r="R81" s="37">
        <f>IF(SUM(S81,U81,W81)&gt;0,SUM(S81,U81,W81),"")</f>
        <v>272</v>
      </c>
      <c r="S81" s="12"/>
      <c r="T81" s="33"/>
      <c r="U81" s="12">
        <v>102</v>
      </c>
      <c r="V81" s="32" t="s">
        <v>276</v>
      </c>
      <c r="W81" s="12">
        <v>170</v>
      </c>
      <c r="X81" s="32" t="s">
        <v>280</v>
      </c>
      <c r="Y81" s="37" t="str">
        <f>IF(SUM(Z81,AB81,AD81)&gt;0,SUM(Z81,AB81,AD81),"")</f>
        <v/>
      </c>
      <c r="Z81" s="12"/>
      <c r="AA81" s="32"/>
      <c r="AB81" s="12"/>
      <c r="AC81" s="11"/>
      <c r="AD81" s="12"/>
      <c r="AE81" s="33"/>
      <c r="AF81" s="37">
        <f t="shared" si="14"/>
        <v>272</v>
      </c>
    </row>
    <row r="82" spans="1:32" s="6" customFormat="1" ht="19.5" hidden="1" outlineLevel="1" x14ac:dyDescent="0.35">
      <c r="A82" s="7"/>
      <c r="B82" s="40"/>
      <c r="C82" s="123"/>
      <c r="D82" s="38" t="str">
        <f>IF(SUM(E82,G82,I82)&gt;0,SUM(E82,G82,I82),"")</f>
        <v/>
      </c>
      <c r="E82" s="14"/>
      <c r="F82" s="15"/>
      <c r="G82" s="16"/>
      <c r="H82" s="15"/>
      <c r="I82" s="16"/>
      <c r="J82" s="15"/>
      <c r="K82" s="38" t="str">
        <f t="shared" si="19"/>
        <v/>
      </c>
      <c r="L82" s="16"/>
      <c r="M82" s="15"/>
      <c r="N82" s="16"/>
      <c r="O82" s="15"/>
      <c r="P82" s="16"/>
      <c r="Q82" s="15"/>
      <c r="R82" s="38">
        <f>IF(SUM(S82,U82,W82)&gt;0,SUM(S82,U82,W82),"")</f>
        <v>92</v>
      </c>
      <c r="S82" s="16">
        <v>30</v>
      </c>
      <c r="T82" s="15" t="s">
        <v>116</v>
      </c>
      <c r="U82" s="16">
        <v>30</v>
      </c>
      <c r="V82" s="15" t="s">
        <v>116</v>
      </c>
      <c r="W82" s="16">
        <v>32</v>
      </c>
      <c r="X82" s="15" t="s">
        <v>288</v>
      </c>
      <c r="Y82" s="38">
        <f>IF(SUM(Z82,AB82,AD82)&gt;0,SUM(Z82,AB82,AD82),"")</f>
        <v>170</v>
      </c>
      <c r="Z82" s="16">
        <v>50</v>
      </c>
      <c r="AA82" s="15" t="s">
        <v>113</v>
      </c>
      <c r="AB82" s="16">
        <v>60</v>
      </c>
      <c r="AC82" s="15" t="s">
        <v>142</v>
      </c>
      <c r="AD82" s="16">
        <v>60</v>
      </c>
      <c r="AE82" s="15" t="s">
        <v>142</v>
      </c>
      <c r="AF82" s="38">
        <f t="shared" si="14"/>
        <v>262</v>
      </c>
    </row>
    <row r="83" spans="1:32" s="6" customFormat="1" ht="11.65" hidden="1" outlineLevel="1" x14ac:dyDescent="0.35">
      <c r="A83" s="45"/>
      <c r="B83" s="40"/>
      <c r="C83" s="123"/>
      <c r="D83" s="61" t="str">
        <f>IF(SUM(E83,G83,I83)&gt;0,SUM(E83,G83,I83),"")</f>
        <v/>
      </c>
      <c r="E83" s="22"/>
      <c r="F83" s="76"/>
      <c r="G83" s="62"/>
      <c r="H83" s="114"/>
      <c r="I83" s="62"/>
      <c r="J83" s="114"/>
      <c r="K83" s="61" t="str">
        <f t="shared" si="19"/>
        <v/>
      </c>
      <c r="L83" s="62"/>
      <c r="M83" s="114"/>
      <c r="N83" s="62"/>
      <c r="O83" s="114"/>
      <c r="P83" s="62"/>
      <c r="Q83" s="114"/>
      <c r="R83" s="61" t="str">
        <f>IF(SUM(S83,U83,W83)&gt;0,SUM(S83,U83,W83),"")</f>
        <v/>
      </c>
      <c r="S83" s="62"/>
      <c r="T83" s="114"/>
      <c r="U83" s="62"/>
      <c r="V83" s="114"/>
      <c r="W83" s="62"/>
      <c r="X83" s="114"/>
      <c r="Y83" s="61" t="str">
        <f>IF(SUM(Z83,AB83,AD83)&gt;0,SUM(Z83,AB83,AD83),"")</f>
        <v/>
      </c>
      <c r="Z83" s="62"/>
      <c r="AA83" s="114"/>
      <c r="AB83" s="62"/>
      <c r="AC83" s="114"/>
      <c r="AD83" s="62"/>
      <c r="AE83" s="114"/>
      <c r="AF83" s="54" t="str">
        <f t="shared" si="14"/>
        <v/>
      </c>
    </row>
    <row r="84" spans="1:32" s="6" customFormat="1" ht="11.65" collapsed="1" x14ac:dyDescent="0.35">
      <c r="A84" s="44">
        <v>7</v>
      </c>
      <c r="B84" s="39" t="s">
        <v>20</v>
      </c>
      <c r="C84" s="122" t="s">
        <v>134</v>
      </c>
      <c r="D84" s="60">
        <f>IF(SUM(D85:D88)&gt;0,SUM(D85:D88),"")</f>
        <v>25</v>
      </c>
      <c r="E84" s="4" t="str">
        <f>IF(SUM(E85:E88)&gt;0,SUM(E85:E88),"")</f>
        <v/>
      </c>
      <c r="F84" s="72"/>
      <c r="G84" s="5">
        <f>IF(SUM(G85:G88)&gt;0,SUM(G85:G88),"")</f>
        <v>10</v>
      </c>
      <c r="H84" s="72"/>
      <c r="I84" s="5">
        <f>IF(SUM(I85:I88)&gt;0,SUM(I85:I88),"")</f>
        <v>15</v>
      </c>
      <c r="J84" s="67"/>
      <c r="K84" s="60">
        <f>IF(SUM(K85:K88)&gt;0,SUM(K85:K88),"")</f>
        <v>140</v>
      </c>
      <c r="L84" s="5" t="str">
        <f>IF(SUM(L85:L88)&gt;0,SUM(L85:L88),"")</f>
        <v/>
      </c>
      <c r="M84" s="67"/>
      <c r="N84" s="5">
        <f>IF(SUM(N85:N88)&gt;0,SUM(N85:N88),"")</f>
        <v>20</v>
      </c>
      <c r="O84" s="67"/>
      <c r="P84" s="5">
        <f>IF(SUM(P85:P88)&gt;0,SUM(P85:P88),"")</f>
        <v>120</v>
      </c>
      <c r="Q84" s="67"/>
      <c r="R84" s="60">
        <f>IF(SUM(R85:R88)&gt;0,SUM(R85:R88),"")</f>
        <v>2996</v>
      </c>
      <c r="S84" s="5">
        <f>IF(SUM(S85:S88)&gt;0,SUM(S85:S88),"")</f>
        <v>200</v>
      </c>
      <c r="T84" s="67"/>
      <c r="U84" s="5">
        <f>IF(SUM(U85:U88)&gt;0,SUM(U85:U88),"")</f>
        <v>712</v>
      </c>
      <c r="V84" s="84"/>
      <c r="W84" s="5">
        <f>IF(SUM(W85:W88)&gt;0,SUM(W85:W88),"")</f>
        <v>2084</v>
      </c>
      <c r="X84" s="84"/>
      <c r="Y84" s="60">
        <f>IF(SUM(Y85:Y88)&gt;0,SUM(Y85:Y88),"")</f>
        <v>1000</v>
      </c>
      <c r="Z84" s="5">
        <f>IF(SUM(Z85:Z88)&gt;0,SUM(Z85:Z88),"")</f>
        <v>300</v>
      </c>
      <c r="AA84" s="84"/>
      <c r="AB84" s="5">
        <f>IF(SUM(AB85:AB88)&gt;0,SUM(AB85:AB88),"")</f>
        <v>350</v>
      </c>
      <c r="AC84" s="84"/>
      <c r="AD84" s="5">
        <f>IF(SUM(AD85:AD88)&gt;0,SUM(AD85:AD88),"")</f>
        <v>350</v>
      </c>
      <c r="AE84" s="84"/>
      <c r="AF84" s="49">
        <f t="shared" si="15"/>
        <v>4161</v>
      </c>
    </row>
    <row r="85" spans="1:32" s="6" customFormat="1" ht="11.65" hidden="1" outlineLevel="1" x14ac:dyDescent="0.35">
      <c r="A85" s="7"/>
      <c r="B85" s="40" t="s">
        <v>87</v>
      </c>
      <c r="C85" s="123"/>
      <c r="D85" s="36">
        <f>IF(SUM(E85,G85,I85)&gt;0,SUM(E85,G85,I85),"")</f>
        <v>25</v>
      </c>
      <c r="E85" s="8"/>
      <c r="F85" s="56"/>
      <c r="G85" s="9">
        <v>10</v>
      </c>
      <c r="H85" s="56" t="s">
        <v>117</v>
      </c>
      <c r="I85" s="9">
        <v>15</v>
      </c>
      <c r="J85" s="56" t="s">
        <v>125</v>
      </c>
      <c r="K85" s="36">
        <f t="shared" ref="K85:K88" si="20">IF(SUM(L85,N85,P85)&gt;0,SUM(L85,N85,P85),"")</f>
        <v>140</v>
      </c>
      <c r="L85" s="9"/>
      <c r="M85" s="80"/>
      <c r="N85" s="9">
        <v>20</v>
      </c>
      <c r="O85" s="80" t="s">
        <v>121</v>
      </c>
      <c r="P85" s="9">
        <v>120</v>
      </c>
      <c r="Q85" s="80" t="s">
        <v>173</v>
      </c>
      <c r="R85" s="36" t="str">
        <f>IF(SUM(S85,U85,W85)&gt;0,SUM(S85,U85,W85),"")</f>
        <v/>
      </c>
      <c r="S85" s="9"/>
      <c r="T85" s="80"/>
      <c r="U85" s="9"/>
      <c r="V85" s="80"/>
      <c r="W85" s="9"/>
      <c r="X85" s="80"/>
      <c r="Y85" s="36" t="str">
        <f>IF(SUM(Z85,AB85,AD85)&gt;0,SUM(Z85,AB85,AD85),"")</f>
        <v/>
      </c>
      <c r="Z85" s="9"/>
      <c r="AA85" s="55"/>
      <c r="AB85" s="9"/>
      <c r="AC85" s="82"/>
      <c r="AD85" s="9"/>
      <c r="AE85" s="82"/>
      <c r="AF85" s="36">
        <f t="shared" si="14"/>
        <v>165</v>
      </c>
    </row>
    <row r="86" spans="1:32" s="6" customFormat="1" ht="29.25" hidden="1" outlineLevel="1" x14ac:dyDescent="0.35">
      <c r="A86" s="7"/>
      <c r="B86" s="40"/>
      <c r="C86" s="123"/>
      <c r="D86" s="37" t="str">
        <f>IF(SUM(E86,G86,I86)&gt;0,SUM(E86,G86,I86),"")</f>
        <v/>
      </c>
      <c r="E86" s="10"/>
      <c r="F86" s="11"/>
      <c r="G86" s="12"/>
      <c r="H86" s="13"/>
      <c r="I86" s="12"/>
      <c r="J86" s="33"/>
      <c r="K86" s="37" t="str">
        <f t="shared" si="20"/>
        <v/>
      </c>
      <c r="L86" s="12"/>
      <c r="M86" s="33"/>
      <c r="N86" s="12"/>
      <c r="O86" s="33"/>
      <c r="P86" s="12"/>
      <c r="Q86" s="33"/>
      <c r="R86" s="37">
        <f>IF(SUM(S86,U86,W86)&gt;0,SUM(S86,U86,W86),"")</f>
        <v>2212</v>
      </c>
      <c r="S86" s="12"/>
      <c r="T86" s="33"/>
      <c r="U86" s="12">
        <v>512</v>
      </c>
      <c r="V86" s="32" t="s">
        <v>274</v>
      </c>
      <c r="W86" s="12">
        <v>1700</v>
      </c>
      <c r="X86" s="32" t="s">
        <v>284</v>
      </c>
      <c r="Y86" s="37" t="str">
        <f>IF(SUM(Z86,AB86,AD86)&gt;0,SUM(Z86,AB86,AD86),"")</f>
        <v/>
      </c>
      <c r="Z86" s="12"/>
      <c r="AA86" s="32"/>
      <c r="AB86" s="12"/>
      <c r="AC86" s="32"/>
      <c r="AD86" s="12"/>
      <c r="AE86" s="83"/>
      <c r="AF86" s="37">
        <f t="shared" si="14"/>
        <v>2212</v>
      </c>
    </row>
    <row r="87" spans="1:32" s="6" customFormat="1" ht="19.5" hidden="1" outlineLevel="1" x14ac:dyDescent="0.35">
      <c r="A87" s="7"/>
      <c r="B87" s="40"/>
      <c r="C87" s="123"/>
      <c r="D87" s="38" t="str">
        <f>IF(SUM(E87,G87,I87)&gt;0,SUM(E87,G87,I87),"")</f>
        <v/>
      </c>
      <c r="E87" s="14"/>
      <c r="F87" s="15"/>
      <c r="G87" s="16"/>
      <c r="H87" s="15"/>
      <c r="I87" s="16"/>
      <c r="J87" s="15"/>
      <c r="K87" s="38" t="str">
        <f t="shared" si="20"/>
        <v/>
      </c>
      <c r="L87" s="16"/>
      <c r="M87" s="15"/>
      <c r="N87" s="16"/>
      <c r="O87" s="15"/>
      <c r="P87" s="16"/>
      <c r="Q87" s="15"/>
      <c r="R87" s="38">
        <f>IF(SUM(S87,U87,W87)&gt;0,SUM(S87,U87,W87),"")</f>
        <v>784</v>
      </c>
      <c r="S87" s="16">
        <v>200</v>
      </c>
      <c r="T87" s="15" t="s">
        <v>111</v>
      </c>
      <c r="U87" s="16">
        <v>200</v>
      </c>
      <c r="V87" s="15" t="s">
        <v>111</v>
      </c>
      <c r="W87" s="16">
        <v>384</v>
      </c>
      <c r="X87" s="15" t="s">
        <v>289</v>
      </c>
      <c r="Y87" s="38">
        <f>IF(SUM(Z87,AB87,AD87)&gt;0,SUM(Z87,AB87,AD87),"")</f>
        <v>1000</v>
      </c>
      <c r="Z87" s="16">
        <v>300</v>
      </c>
      <c r="AA87" s="15" t="s">
        <v>171</v>
      </c>
      <c r="AB87" s="16">
        <v>350</v>
      </c>
      <c r="AC87" s="15" t="s">
        <v>141</v>
      </c>
      <c r="AD87" s="16">
        <v>350</v>
      </c>
      <c r="AE87" s="15" t="s">
        <v>141</v>
      </c>
      <c r="AF87" s="38">
        <f t="shared" si="14"/>
        <v>1784</v>
      </c>
    </row>
    <row r="88" spans="1:32" s="6" customFormat="1" ht="11.65" hidden="1" outlineLevel="1" x14ac:dyDescent="0.35">
      <c r="A88" s="45"/>
      <c r="B88" s="40"/>
      <c r="C88" s="123"/>
      <c r="D88" s="61" t="str">
        <f>IF(SUM(E88,G88,I88)&gt;0,SUM(E88,G88,I88),"")</f>
        <v/>
      </c>
      <c r="E88" s="17"/>
      <c r="F88" s="73"/>
      <c r="G88" s="19"/>
      <c r="H88" s="23"/>
      <c r="I88" s="19"/>
      <c r="J88" s="23"/>
      <c r="K88" s="61" t="str">
        <f t="shared" si="20"/>
        <v/>
      </c>
      <c r="L88" s="19"/>
      <c r="M88" s="23"/>
      <c r="N88" s="19"/>
      <c r="O88" s="23"/>
      <c r="P88" s="19"/>
      <c r="Q88" s="31"/>
      <c r="R88" s="61" t="str">
        <f>IF(SUM(S88,U88,W88)&gt;0,SUM(S88,U88,W88),"")</f>
        <v/>
      </c>
      <c r="S88" s="19"/>
      <c r="T88" s="31"/>
      <c r="U88" s="19"/>
      <c r="V88" s="23"/>
      <c r="W88" s="19"/>
      <c r="X88" s="23"/>
      <c r="Y88" s="61" t="str">
        <f>IF(SUM(Z88,AB88,AD88)&gt;0,SUM(Z88,AB88,AD88),"")</f>
        <v/>
      </c>
      <c r="Z88" s="19"/>
      <c r="AA88" s="23"/>
      <c r="AB88" s="19"/>
      <c r="AC88" s="23"/>
      <c r="AD88" s="19"/>
      <c r="AE88" s="23"/>
      <c r="AF88" s="54" t="str">
        <f t="shared" si="14"/>
        <v/>
      </c>
    </row>
    <row r="89" spans="1:32" s="6" customFormat="1" ht="11.65" collapsed="1" x14ac:dyDescent="0.35">
      <c r="A89" s="44">
        <v>8</v>
      </c>
      <c r="B89" s="39" t="s">
        <v>21</v>
      </c>
      <c r="C89" s="122" t="s">
        <v>134</v>
      </c>
      <c r="D89" s="60">
        <f>IF(SUM(D90:D93)&gt;0,SUM(D90:D93),"")</f>
        <v>77</v>
      </c>
      <c r="E89" s="4">
        <f>IF(SUM(E90:E93)&gt;0,SUM(E90:E93),"")</f>
        <v>6</v>
      </c>
      <c r="F89" s="72"/>
      <c r="G89" s="5">
        <f>IF(SUM(G90:G93)&gt;0,SUM(G90:G93),"")</f>
        <v>15</v>
      </c>
      <c r="H89" s="72"/>
      <c r="I89" s="5">
        <f>IF(SUM(I90:I93)&gt;0,SUM(I90:I93),"")</f>
        <v>56</v>
      </c>
      <c r="J89" s="67"/>
      <c r="K89" s="60">
        <f>IF(SUM(K90:K93)&gt;0,SUM(K90:K93),"")</f>
        <v>87</v>
      </c>
      <c r="L89" s="5">
        <f>IF(SUM(L90:L93)&gt;0,SUM(L90:L93),"")</f>
        <v>8</v>
      </c>
      <c r="M89" s="67"/>
      <c r="N89" s="5">
        <f>IF(SUM(N90:N93)&gt;0,SUM(N90:N93),"")</f>
        <v>35</v>
      </c>
      <c r="O89" s="67"/>
      <c r="P89" s="5">
        <f>IF(SUM(P90:P93)&gt;0,SUM(P90:P93),"")</f>
        <v>44</v>
      </c>
      <c r="Q89" s="67"/>
      <c r="R89" s="60">
        <f>IF(SUM(R90:R93)&gt;0,SUM(R90:R93),"")</f>
        <v>110</v>
      </c>
      <c r="S89" s="5">
        <f>IF(SUM(S90:S93)&gt;0,SUM(S90:S93),"")</f>
        <v>20</v>
      </c>
      <c r="T89" s="67"/>
      <c r="U89" s="5">
        <f>IF(SUM(U90:U93)&gt;0,SUM(U90:U93),"")</f>
        <v>40</v>
      </c>
      <c r="V89" s="84"/>
      <c r="W89" s="5">
        <f>IF(SUM(W90:W93)&gt;0,SUM(W90:W93),"")</f>
        <v>50</v>
      </c>
      <c r="X89" s="84"/>
      <c r="Y89" s="60">
        <f>IF(SUM(Y90:Y93)&gt;0,SUM(Y90:Y93),"")</f>
        <v>70</v>
      </c>
      <c r="Z89" s="5">
        <f>IF(SUM(Z90:Z93)&gt;0,SUM(Z90:Z93),"")</f>
        <v>40</v>
      </c>
      <c r="AA89" s="84"/>
      <c r="AB89" s="5" t="s">
        <v>65</v>
      </c>
      <c r="AC89" s="84"/>
      <c r="AD89" s="5">
        <f>IF(SUM(AD90:AD93)&gt;0,SUM(AD90:AD93),"")</f>
        <v>30</v>
      </c>
      <c r="AE89" s="84"/>
      <c r="AF89" s="49">
        <f t="shared" si="15"/>
        <v>344</v>
      </c>
    </row>
    <row r="90" spans="1:32" s="6" customFormat="1" ht="11.65" hidden="1" outlineLevel="1" x14ac:dyDescent="0.35">
      <c r="A90" s="7"/>
      <c r="B90" s="40" t="s">
        <v>88</v>
      </c>
      <c r="C90" s="123"/>
      <c r="D90" s="36">
        <f>IF(SUM(E90,G90,I90)&gt;0,SUM(E90,G90,I90),"")</f>
        <v>77</v>
      </c>
      <c r="E90" s="8">
        <v>6</v>
      </c>
      <c r="F90" s="56" t="s">
        <v>120</v>
      </c>
      <c r="G90" s="9">
        <v>15</v>
      </c>
      <c r="H90" s="79" t="s">
        <v>125</v>
      </c>
      <c r="I90" s="9">
        <v>56</v>
      </c>
      <c r="J90" s="80" t="s">
        <v>203</v>
      </c>
      <c r="K90" s="36">
        <f t="shared" ref="K90:K98" si="21">IF(SUM(L90,N90,P90)&gt;0,SUM(L90,N90,P90),"")</f>
        <v>87</v>
      </c>
      <c r="L90" s="9">
        <v>8</v>
      </c>
      <c r="M90" s="79" t="s">
        <v>131</v>
      </c>
      <c r="N90" s="9">
        <v>35</v>
      </c>
      <c r="O90" s="79" t="s">
        <v>123</v>
      </c>
      <c r="P90" s="9">
        <v>44</v>
      </c>
      <c r="Q90" s="55" t="s">
        <v>266</v>
      </c>
      <c r="R90" s="36" t="str">
        <f>IF(SUM(S90,U90,W90)&gt;0,SUM(S90,U90,W90),"")</f>
        <v/>
      </c>
      <c r="S90" s="9"/>
      <c r="T90" s="79"/>
      <c r="U90" s="9"/>
      <c r="V90" s="55"/>
      <c r="W90" s="9"/>
      <c r="X90" s="80"/>
      <c r="Y90" s="36" t="str">
        <f>IF(SUM(Z90,AB90,AD90)&gt;0,SUM(Z90,AB90,AD90),"")</f>
        <v/>
      </c>
      <c r="Z90" s="9"/>
      <c r="AA90" s="82"/>
      <c r="AB90" s="9"/>
      <c r="AC90" s="82"/>
      <c r="AD90" s="9"/>
      <c r="AE90" s="82"/>
      <c r="AF90" s="36">
        <f t="shared" si="14"/>
        <v>164</v>
      </c>
    </row>
    <row r="91" spans="1:32" s="6" customFormat="1" ht="11.65" hidden="1" outlineLevel="1" x14ac:dyDescent="0.35">
      <c r="A91" s="7"/>
      <c r="B91" s="40"/>
      <c r="C91" s="123"/>
      <c r="D91" s="37" t="str">
        <f>IF(SUM(E91,G91,I91)&gt;0,SUM(E91,G91,I91),"")</f>
        <v/>
      </c>
      <c r="E91" s="10"/>
      <c r="F91" s="13"/>
      <c r="G91" s="12"/>
      <c r="H91" s="63"/>
      <c r="I91" s="12"/>
      <c r="J91" s="32"/>
      <c r="K91" s="37" t="str">
        <f t="shared" si="21"/>
        <v/>
      </c>
      <c r="L91" s="12"/>
      <c r="M91" s="33"/>
      <c r="N91" s="12"/>
      <c r="O91" s="33"/>
      <c r="P91" s="12"/>
      <c r="Q91" s="33"/>
      <c r="R91" s="37" t="str">
        <f>IF(SUM(S91,U91,W91)&gt;0,SUM(S91,U91,W91),"")</f>
        <v/>
      </c>
      <c r="S91" s="12"/>
      <c r="T91" s="33"/>
      <c r="U91" s="12"/>
      <c r="V91" s="33"/>
      <c r="W91" s="12"/>
      <c r="X91" s="32"/>
      <c r="Y91" s="37" t="str">
        <f>IF(SUM(Z91,AB91,AD91)&gt;0,SUM(Z91,AB91,AD91),"")</f>
        <v/>
      </c>
      <c r="Z91" s="12"/>
      <c r="AA91" s="32"/>
      <c r="AB91" s="12"/>
      <c r="AC91" s="83"/>
      <c r="AD91" s="12"/>
      <c r="AE91" s="83"/>
      <c r="AF91" s="37" t="str">
        <f t="shared" si="14"/>
        <v/>
      </c>
    </row>
    <row r="92" spans="1:32" s="6" customFormat="1" ht="11.65" hidden="1" outlineLevel="1" x14ac:dyDescent="0.35">
      <c r="A92" s="7"/>
      <c r="B92" s="40"/>
      <c r="C92" s="123"/>
      <c r="D92" s="38" t="str">
        <f>IF(SUM(E92,G92,I92)&gt;0,SUM(E92,G92,I92),"")</f>
        <v/>
      </c>
      <c r="E92" s="14"/>
      <c r="F92" s="28"/>
      <c r="G92" s="16"/>
      <c r="H92" s="15"/>
      <c r="I92" s="14"/>
      <c r="J92" s="15"/>
      <c r="K92" s="38" t="str">
        <f t="shared" si="21"/>
        <v/>
      </c>
      <c r="L92" s="14"/>
      <c r="M92" s="21"/>
      <c r="N92" s="14"/>
      <c r="O92" s="15"/>
      <c r="P92" s="14"/>
      <c r="Q92" s="21"/>
      <c r="R92" s="38">
        <f>IF(SUM(S92,U92,W92)&gt;0,SUM(S92,U92,W92),"")</f>
        <v>110</v>
      </c>
      <c r="S92" s="14">
        <v>20</v>
      </c>
      <c r="T92" s="21" t="s">
        <v>121</v>
      </c>
      <c r="U92" s="14">
        <v>40</v>
      </c>
      <c r="V92" s="21" t="s">
        <v>114</v>
      </c>
      <c r="W92" s="14">
        <v>50</v>
      </c>
      <c r="X92" s="21" t="s">
        <v>113</v>
      </c>
      <c r="Y92" s="38">
        <f>IF(SUM(Z92,AB92,AD92)&gt;0,SUM(Z92,AB92,AD92),"")</f>
        <v>70</v>
      </c>
      <c r="Z92" s="14">
        <v>40</v>
      </c>
      <c r="AA92" s="21" t="s">
        <v>114</v>
      </c>
      <c r="AB92" s="14"/>
      <c r="AC92" s="21"/>
      <c r="AD92" s="14">
        <v>30</v>
      </c>
      <c r="AE92" s="21" t="s">
        <v>116</v>
      </c>
      <c r="AF92" s="38">
        <f t="shared" si="14"/>
        <v>180</v>
      </c>
    </row>
    <row r="93" spans="1:32" s="6" customFormat="1" ht="11.65" hidden="1" outlineLevel="1" x14ac:dyDescent="0.35">
      <c r="A93" s="45"/>
      <c r="B93" s="40"/>
      <c r="C93" s="123"/>
      <c r="D93" s="61" t="str">
        <f>IF(SUM(E93,G93,I93)&gt;0,SUM(E93,G93,I93),"")</f>
        <v/>
      </c>
      <c r="E93" s="17"/>
      <c r="F93" s="73"/>
      <c r="G93" s="19"/>
      <c r="H93" s="23"/>
      <c r="I93" s="19"/>
      <c r="J93" s="31"/>
      <c r="K93" s="61" t="str">
        <f t="shared" si="21"/>
        <v/>
      </c>
      <c r="L93" s="19"/>
      <c r="M93" s="31"/>
      <c r="N93" s="19"/>
      <c r="O93" s="23"/>
      <c r="P93" s="19"/>
      <c r="Q93" s="31"/>
      <c r="R93" s="61" t="str">
        <f>IF(SUM(S93,U93,W93)&gt;0,SUM(S93,U93,W93),"")</f>
        <v/>
      </c>
      <c r="S93" s="19"/>
      <c r="T93" s="31"/>
      <c r="U93" s="19"/>
      <c r="V93" s="23"/>
      <c r="W93" s="19"/>
      <c r="X93" s="85"/>
      <c r="Y93" s="61" t="str">
        <f>IF(SUM(Z93,AB93,AD93)&gt;0,SUM(Z93,AB93,AD93),"")</f>
        <v/>
      </c>
      <c r="Z93" s="19"/>
      <c r="AA93" s="23"/>
      <c r="AB93" s="19"/>
      <c r="AC93" s="31"/>
      <c r="AD93" s="19"/>
      <c r="AE93" s="31"/>
      <c r="AF93" s="54" t="str">
        <f t="shared" si="14"/>
        <v/>
      </c>
    </row>
    <row r="94" spans="1:32" s="6" customFormat="1" ht="11.65" collapsed="1" x14ac:dyDescent="0.35">
      <c r="A94" s="44">
        <v>9</v>
      </c>
      <c r="B94" s="39" t="s">
        <v>22</v>
      </c>
      <c r="C94" s="122" t="s">
        <v>134</v>
      </c>
      <c r="D94" s="60">
        <f>IF(SUM(D95:D98)&gt;0,SUM(D95:D98),"")</f>
        <v>119</v>
      </c>
      <c r="E94" s="4" t="str">
        <f>IF(SUM(E95:E98)&gt;0,SUM(E95:E98),"")</f>
        <v/>
      </c>
      <c r="F94" s="72"/>
      <c r="G94" s="5">
        <f>IF(SUM(G95:G98)&gt;0,SUM(G95:G98),"")</f>
        <v>68</v>
      </c>
      <c r="H94" s="72"/>
      <c r="I94" s="5">
        <f>IF(SUM(I95:I98)&gt;0,SUM(I95:I98),"")</f>
        <v>51</v>
      </c>
      <c r="J94" s="67"/>
      <c r="K94" s="60">
        <f t="shared" si="21"/>
        <v>104</v>
      </c>
      <c r="L94" s="5">
        <f>IF(SUM(L95:L98)&gt;0,SUM(L95:L98),"")</f>
        <v>2</v>
      </c>
      <c r="M94" s="67"/>
      <c r="N94" s="5">
        <f>IF(SUM(N95:N98)&gt;0,SUM(N95:N98),"")</f>
        <v>52</v>
      </c>
      <c r="O94" s="67"/>
      <c r="P94" s="5">
        <f>IF(SUM(P95:P98)&gt;0,SUM(P95:P98),"")</f>
        <v>50</v>
      </c>
      <c r="Q94" s="67"/>
      <c r="R94" s="60">
        <f>IF(SUM(R95:R98)&gt;0,SUM(R95:R98),"")</f>
        <v>120</v>
      </c>
      <c r="S94" s="5">
        <f>IF(SUM(S95:S98)&gt;0,SUM(S95:S98),"")</f>
        <v>30</v>
      </c>
      <c r="T94" s="67"/>
      <c r="U94" s="5">
        <f>IF(SUM(U95:U98)&gt;0,SUM(U95:U98),"")</f>
        <v>45</v>
      </c>
      <c r="V94" s="84"/>
      <c r="W94" s="5">
        <f>IF(SUM(W95:W98)&gt;0,SUM(W95:W98),"")</f>
        <v>45</v>
      </c>
      <c r="X94" s="84"/>
      <c r="Y94" s="60">
        <f>IF(SUM(Y95:Y98)&gt;0,SUM(Y95:Y98),"")</f>
        <v>165</v>
      </c>
      <c r="Z94" s="5">
        <f>IF(SUM(Z95:Z98)&gt;0,SUM(Z95:Z98),"")</f>
        <v>50</v>
      </c>
      <c r="AA94" s="84"/>
      <c r="AB94" s="5">
        <f>IF(SUM(AB95:AB98)&gt;0,SUM(AB95:AB98),"")</f>
        <v>55</v>
      </c>
      <c r="AC94" s="84"/>
      <c r="AD94" s="5">
        <f>IF(SUM(AD95:AD98)&gt;0,SUM(AD95:AD98),"")</f>
        <v>60</v>
      </c>
      <c r="AE94" s="84"/>
      <c r="AF94" s="49">
        <f t="shared" si="15"/>
        <v>508</v>
      </c>
    </row>
    <row r="95" spans="1:32" s="6" customFormat="1" ht="11.65" hidden="1" outlineLevel="1" x14ac:dyDescent="0.35">
      <c r="A95" s="7"/>
      <c r="B95" s="40" t="s">
        <v>89</v>
      </c>
      <c r="C95" s="123"/>
      <c r="D95" s="36">
        <f>IF(SUM(E95,G95,I95)&gt;0,SUM(E95,G95,I95),"")</f>
        <v>119</v>
      </c>
      <c r="E95" s="8"/>
      <c r="F95" s="56"/>
      <c r="G95" s="9">
        <v>68</v>
      </c>
      <c r="H95" s="79" t="s">
        <v>204</v>
      </c>
      <c r="I95" s="9">
        <v>51</v>
      </c>
      <c r="J95" s="80" t="s">
        <v>205</v>
      </c>
      <c r="K95" s="36">
        <f t="shared" si="21"/>
        <v>104</v>
      </c>
      <c r="L95" s="9">
        <v>2</v>
      </c>
      <c r="M95" s="79" t="s">
        <v>124</v>
      </c>
      <c r="N95" s="9">
        <v>52</v>
      </c>
      <c r="O95" s="80" t="s">
        <v>267</v>
      </c>
      <c r="P95" s="9">
        <v>50</v>
      </c>
      <c r="Q95" s="79" t="s">
        <v>113</v>
      </c>
      <c r="R95" s="36" t="str">
        <f>IF(SUM(S95,U95,W95)&gt;0,SUM(S95,U95,W95),"")</f>
        <v/>
      </c>
      <c r="S95" s="9"/>
      <c r="T95" s="79"/>
      <c r="U95" s="9"/>
      <c r="V95" s="55"/>
      <c r="W95" s="9"/>
      <c r="X95" s="80"/>
      <c r="Y95" s="36" t="str">
        <f>IF(SUM(Z95,AB95,AD95)&gt;0,SUM(Z95,AB95,AD95),"")</f>
        <v/>
      </c>
      <c r="Z95" s="9"/>
      <c r="AA95" s="82"/>
      <c r="AB95" s="9"/>
      <c r="AC95" s="82"/>
      <c r="AD95" s="9"/>
      <c r="AE95" s="82"/>
      <c r="AF95" s="36">
        <f t="shared" si="14"/>
        <v>223</v>
      </c>
    </row>
    <row r="96" spans="1:32" s="6" customFormat="1" ht="11.65" hidden="1" outlineLevel="1" x14ac:dyDescent="0.35">
      <c r="A96" s="7"/>
      <c r="B96" s="40"/>
      <c r="C96" s="123"/>
      <c r="D96" s="37" t="str">
        <f>IF(SUM(E96,G96,I96)&gt;0,SUM(E96,G96,I96),"")</f>
        <v/>
      </c>
      <c r="E96" s="10"/>
      <c r="F96" s="13"/>
      <c r="G96" s="12"/>
      <c r="H96" s="13"/>
      <c r="I96" s="12"/>
      <c r="J96" s="32"/>
      <c r="K96" s="37" t="str">
        <f t="shared" si="21"/>
        <v/>
      </c>
      <c r="L96" s="12"/>
      <c r="M96" s="33"/>
      <c r="N96" s="12"/>
      <c r="O96" s="33"/>
      <c r="P96" s="12"/>
      <c r="Q96" s="33"/>
      <c r="R96" s="37" t="str">
        <f>IF(SUM(S96,U96,W96)&gt;0,SUM(S96,U96,W96),"")</f>
        <v/>
      </c>
      <c r="S96" s="12"/>
      <c r="T96" s="33"/>
      <c r="U96" s="12"/>
      <c r="V96" s="32"/>
      <c r="W96" s="12"/>
      <c r="X96" s="32"/>
      <c r="Y96" s="37" t="str">
        <f>IF(SUM(Z96,AB96,AD96)&gt;0,SUM(Z96,AB96,AD96),"")</f>
        <v/>
      </c>
      <c r="Z96" s="12"/>
      <c r="AA96" s="32"/>
      <c r="AB96" s="12"/>
      <c r="AC96" s="33"/>
      <c r="AD96" s="12"/>
      <c r="AE96" s="83"/>
      <c r="AF96" s="37" t="str">
        <f t="shared" si="14"/>
        <v/>
      </c>
    </row>
    <row r="97" spans="1:32" s="6" customFormat="1" ht="11.65" hidden="1" outlineLevel="1" x14ac:dyDescent="0.35">
      <c r="A97" s="7"/>
      <c r="B97" s="40"/>
      <c r="C97" s="123"/>
      <c r="D97" s="38" t="str">
        <f>IF(SUM(E97,G97,I97)&gt;0,SUM(E97,G97,I97),"")</f>
        <v/>
      </c>
      <c r="E97" s="14"/>
      <c r="F97" s="28"/>
      <c r="G97" s="16"/>
      <c r="H97" s="15"/>
      <c r="I97" s="14"/>
      <c r="J97" s="15"/>
      <c r="K97" s="38" t="str">
        <f t="shared" si="21"/>
        <v/>
      </c>
      <c r="L97" s="14"/>
      <c r="M97" s="15"/>
      <c r="N97" s="14"/>
      <c r="O97" s="15"/>
      <c r="P97" s="14"/>
      <c r="Q97" s="15"/>
      <c r="R97" s="38">
        <f>IF(SUM(S97,U97,W97)&gt;0,SUM(S97,U97,W97),"")</f>
        <v>120</v>
      </c>
      <c r="S97" s="14">
        <v>30</v>
      </c>
      <c r="T97" s="15" t="s">
        <v>116</v>
      </c>
      <c r="U97" s="14">
        <v>45</v>
      </c>
      <c r="V97" s="15" t="s">
        <v>170</v>
      </c>
      <c r="W97" s="14">
        <v>45</v>
      </c>
      <c r="X97" s="15" t="s">
        <v>170</v>
      </c>
      <c r="Y97" s="38">
        <f>IF(SUM(Z97,AB97,AD97)&gt;0,SUM(Z97,AB97,AD97),"")</f>
        <v>165</v>
      </c>
      <c r="Z97" s="14">
        <v>50</v>
      </c>
      <c r="AA97" s="15" t="s">
        <v>113</v>
      </c>
      <c r="AB97" s="14">
        <v>55</v>
      </c>
      <c r="AC97" s="15" t="s">
        <v>206</v>
      </c>
      <c r="AD97" s="14">
        <v>60</v>
      </c>
      <c r="AE97" s="15" t="s">
        <v>142</v>
      </c>
      <c r="AF97" s="38">
        <f t="shared" si="14"/>
        <v>285</v>
      </c>
    </row>
    <row r="98" spans="1:32" s="6" customFormat="1" ht="11.65" hidden="1" outlineLevel="1" x14ac:dyDescent="0.35">
      <c r="A98" s="45"/>
      <c r="B98" s="40"/>
      <c r="C98" s="123"/>
      <c r="D98" s="61" t="str">
        <f>IF(SUM(E98,G98,I98)&gt;0,SUM(E98,G98,I98),"")</f>
        <v/>
      </c>
      <c r="E98" s="17"/>
      <c r="F98" s="73"/>
      <c r="G98" s="19"/>
      <c r="H98" s="23"/>
      <c r="I98" s="19"/>
      <c r="J98" s="31"/>
      <c r="K98" s="61" t="str">
        <f t="shared" si="21"/>
        <v/>
      </c>
      <c r="L98" s="19"/>
      <c r="M98" s="31"/>
      <c r="N98" s="19"/>
      <c r="O98" s="23"/>
      <c r="P98" s="19"/>
      <c r="Q98" s="31"/>
      <c r="R98" s="61" t="str">
        <f>IF(SUM(S98,U98,W98)&gt;0,SUM(S98,U98,W98),"")</f>
        <v/>
      </c>
      <c r="S98" s="19"/>
      <c r="T98" s="31"/>
      <c r="U98" s="19"/>
      <c r="V98" s="114"/>
      <c r="W98" s="19"/>
      <c r="X98" s="85"/>
      <c r="Y98" s="61" t="str">
        <f>IF(SUM(Z98,AB98,AD98)&gt;0,SUM(Z98,AB98,AD98),"")</f>
        <v/>
      </c>
      <c r="Z98" s="19"/>
      <c r="AA98" s="114"/>
      <c r="AB98" s="19"/>
      <c r="AC98" s="114"/>
      <c r="AD98" s="19"/>
      <c r="AE98" s="31"/>
      <c r="AF98" s="54" t="str">
        <f t="shared" si="14"/>
        <v/>
      </c>
    </row>
    <row r="99" spans="1:32" s="6" customFormat="1" ht="11.65" collapsed="1" x14ac:dyDescent="0.35">
      <c r="A99" s="44">
        <v>10</v>
      </c>
      <c r="B99" s="39" t="s">
        <v>23</v>
      </c>
      <c r="C99" s="122" t="s">
        <v>134</v>
      </c>
      <c r="D99" s="60">
        <f>IF(SUM(D100:D103)&gt;0,SUM(D100:D103),"")</f>
        <v>11</v>
      </c>
      <c r="E99" s="4" t="str">
        <f>IF(SUM(E100:E103)&gt;0,SUM(E100:E103),"")</f>
        <v/>
      </c>
      <c r="F99" s="72"/>
      <c r="G99" s="5">
        <f>IF(SUM(G100:G103)&gt;0,SUM(G100:G103),"")</f>
        <v>7</v>
      </c>
      <c r="H99" s="72"/>
      <c r="I99" s="5">
        <f>IF(SUM(I100:I103)&gt;0,SUM(I100:I103),"")</f>
        <v>4</v>
      </c>
      <c r="J99" s="67"/>
      <c r="K99" s="60">
        <f>IF(SUM(K100:K103)&gt;0,SUM(K100:K103),"")</f>
        <v>81</v>
      </c>
      <c r="L99" s="5">
        <f>IF(SUM(L100:L103)&gt;0,SUM(L100:L103),"")</f>
        <v>25</v>
      </c>
      <c r="M99" s="67"/>
      <c r="N99" s="5">
        <f>IF(SUM(N100:N103)&gt;0,SUM(N100:N103),"")</f>
        <v>18</v>
      </c>
      <c r="O99" s="67"/>
      <c r="P99" s="5">
        <f>IF(SUM(P100:P103)&gt;0,SUM(P100:P103),"")</f>
        <v>38</v>
      </c>
      <c r="Q99" s="67"/>
      <c r="R99" s="60">
        <f>IF(SUM(R100:R103)&gt;0,SUM(R100:R103),"")</f>
        <v>676</v>
      </c>
      <c r="S99" s="5">
        <f>IF(SUM(S100:S103)&gt;0,SUM(S100:S103),"")</f>
        <v>80</v>
      </c>
      <c r="T99" s="67"/>
      <c r="U99" s="5">
        <f>IF(SUM(U100:U103)&gt;0,SUM(U100:U103),"")</f>
        <v>178</v>
      </c>
      <c r="V99" s="84"/>
      <c r="W99" s="5">
        <f>IF(SUM(W100:W103)&gt;0,SUM(W100:W103),"")</f>
        <v>418</v>
      </c>
      <c r="X99" s="84"/>
      <c r="Y99" s="60">
        <f>IF(SUM(Y100:Y103)&gt;0,SUM(Y100:Y103),"")</f>
        <v>390</v>
      </c>
      <c r="Z99" s="5">
        <f>IF(SUM(Z100:Z103)&gt;0,SUM(Z100:Z103),"")</f>
        <v>120</v>
      </c>
      <c r="AA99" s="84"/>
      <c r="AB99" s="5">
        <f>IF(SUM(AB100:AB103)&gt;0,SUM(AB100:AB103),"")</f>
        <v>130</v>
      </c>
      <c r="AC99" s="84"/>
      <c r="AD99" s="5">
        <f>IF(SUM(AD100:AD103)&gt;0,SUM(AD100:AD103),"")</f>
        <v>140</v>
      </c>
      <c r="AE99" s="84"/>
      <c r="AF99" s="49">
        <f t="shared" si="15"/>
        <v>1158</v>
      </c>
    </row>
    <row r="100" spans="1:32" s="6" customFormat="1" ht="11.65" hidden="1" outlineLevel="1" x14ac:dyDescent="0.35">
      <c r="A100" s="7"/>
      <c r="B100" s="40" t="s">
        <v>90</v>
      </c>
      <c r="C100" s="123"/>
      <c r="D100" s="36">
        <f>IF(SUM(E100,G100,I100)&gt;0,SUM(E100,G100,I100),"")</f>
        <v>11</v>
      </c>
      <c r="E100" s="8"/>
      <c r="F100" s="56"/>
      <c r="G100" s="9">
        <v>7</v>
      </c>
      <c r="H100" s="56" t="s">
        <v>126</v>
      </c>
      <c r="I100" s="9">
        <v>4</v>
      </c>
      <c r="J100" s="56" t="s">
        <v>115</v>
      </c>
      <c r="K100" s="36">
        <f>IF(SUM(L100,N100,P100)&gt;0,SUM(L100,N100,P100),"")</f>
        <v>81</v>
      </c>
      <c r="L100" s="9">
        <v>25</v>
      </c>
      <c r="M100" s="56" t="s">
        <v>122</v>
      </c>
      <c r="N100" s="9">
        <v>18</v>
      </c>
      <c r="O100" s="56" t="s">
        <v>176</v>
      </c>
      <c r="P100" s="9">
        <v>38</v>
      </c>
      <c r="Q100" s="56" t="s">
        <v>265</v>
      </c>
      <c r="R100" s="36" t="str">
        <f>IF(SUM(S100,U100,W100)&gt;0,SUM(S100,U100,W100),"")</f>
        <v/>
      </c>
      <c r="S100" s="9"/>
      <c r="T100" s="80"/>
      <c r="U100" s="9"/>
      <c r="V100" s="55"/>
      <c r="W100" s="9"/>
      <c r="X100" s="80"/>
      <c r="Y100" s="36" t="str">
        <f>IF(SUM(Z100,AB100,AD100)&gt;0,SUM(Z100,AB100,AD100),"")</f>
        <v/>
      </c>
      <c r="Z100" s="9"/>
      <c r="AA100" s="55"/>
      <c r="AB100" s="9"/>
      <c r="AC100" s="82"/>
      <c r="AD100" s="9"/>
      <c r="AE100" s="82"/>
      <c r="AF100" s="36">
        <f t="shared" si="14"/>
        <v>92</v>
      </c>
    </row>
    <row r="101" spans="1:32" s="6" customFormat="1" ht="29.25" hidden="1" outlineLevel="1" x14ac:dyDescent="0.35">
      <c r="A101" s="7"/>
      <c r="B101" s="40"/>
      <c r="C101" s="123"/>
      <c r="D101" s="37" t="str">
        <f>IF(SUM(E101,G101,I101)&gt;0,SUM(E101,G101,I101),"")</f>
        <v/>
      </c>
      <c r="E101" s="10"/>
      <c r="F101" s="11"/>
      <c r="G101" s="12"/>
      <c r="H101" s="13"/>
      <c r="I101" s="12"/>
      <c r="J101" s="33"/>
      <c r="K101" s="37" t="str">
        <f>IF(SUM(L101,N101,P101)&gt;0,SUM(L101,N101,P101),"")</f>
        <v/>
      </c>
      <c r="L101" s="12"/>
      <c r="M101" s="33"/>
      <c r="N101" s="12"/>
      <c r="O101" s="33"/>
      <c r="P101" s="12"/>
      <c r="Q101" s="33"/>
      <c r="R101" s="37">
        <f>IF(SUM(S101,U101,W101)&gt;0,SUM(S101,U101,W101),"")</f>
        <v>468</v>
      </c>
      <c r="S101" s="12"/>
      <c r="T101" s="33"/>
      <c r="U101" s="12">
        <v>128</v>
      </c>
      <c r="V101" s="32" t="s">
        <v>273</v>
      </c>
      <c r="W101" s="12">
        <v>340</v>
      </c>
      <c r="X101" s="32" t="s">
        <v>285</v>
      </c>
      <c r="Y101" s="37" t="str">
        <f>IF(SUM(Z101,AB101,AD101)&gt;0,SUM(Z101,AB101,AD101),"")</f>
        <v/>
      </c>
      <c r="Z101" s="12"/>
      <c r="AA101" s="32"/>
      <c r="AB101" s="12"/>
      <c r="AC101" s="32"/>
      <c r="AD101" s="12"/>
      <c r="AE101" s="33"/>
      <c r="AF101" s="37">
        <f t="shared" si="14"/>
        <v>468</v>
      </c>
    </row>
    <row r="102" spans="1:32" s="6" customFormat="1" ht="19.5" hidden="1" outlineLevel="1" x14ac:dyDescent="0.35">
      <c r="A102" s="7"/>
      <c r="B102" s="40"/>
      <c r="C102" s="123"/>
      <c r="D102" s="38" t="str">
        <f>IF(SUM(E102,G102,I102)&gt;0,SUM(E102,G102,I102),"")</f>
        <v/>
      </c>
      <c r="E102" s="14"/>
      <c r="F102" s="28"/>
      <c r="G102" s="16"/>
      <c r="H102" s="15"/>
      <c r="I102" s="16"/>
      <c r="J102" s="15"/>
      <c r="K102" s="38" t="str">
        <f>IF(SUM(L102,N102,P102)&gt;0,SUM(L102,N102,P102),"")</f>
        <v/>
      </c>
      <c r="L102" s="16"/>
      <c r="M102" s="15"/>
      <c r="N102" s="16"/>
      <c r="O102" s="15"/>
      <c r="P102" s="16"/>
      <c r="Q102" s="15"/>
      <c r="R102" s="38">
        <f>IF(SUM(S102,U102,W102)&gt;0,SUM(S102,U102,W102),"")</f>
        <v>208</v>
      </c>
      <c r="S102" s="16">
        <v>80</v>
      </c>
      <c r="T102" s="15" t="s">
        <v>112</v>
      </c>
      <c r="U102" s="16">
        <v>50</v>
      </c>
      <c r="V102" s="15" t="s">
        <v>113</v>
      </c>
      <c r="W102" s="16">
        <v>78</v>
      </c>
      <c r="X102" s="15" t="s">
        <v>290</v>
      </c>
      <c r="Y102" s="38">
        <f>IF(SUM(Z102,AB102,AD102)&gt;0,SUM(Z102,AB102,AD102),"")</f>
        <v>390</v>
      </c>
      <c r="Z102" s="16">
        <v>120</v>
      </c>
      <c r="AA102" s="15" t="s">
        <v>173</v>
      </c>
      <c r="AB102" s="16">
        <v>130</v>
      </c>
      <c r="AC102" s="15" t="s">
        <v>132</v>
      </c>
      <c r="AD102" s="16">
        <v>140</v>
      </c>
      <c r="AE102" s="15" t="s">
        <v>208</v>
      </c>
      <c r="AF102" s="38">
        <f t="shared" si="14"/>
        <v>598</v>
      </c>
    </row>
    <row r="103" spans="1:32" s="6" customFormat="1" ht="11.65" hidden="1" outlineLevel="1" x14ac:dyDescent="0.35">
      <c r="A103" s="45"/>
      <c r="B103" s="40"/>
      <c r="C103" s="123"/>
      <c r="D103" s="61" t="str">
        <f>IF(SUM(E103,G103,I103)&gt;0,SUM(E103,G103,I103),"")</f>
        <v/>
      </c>
      <c r="E103" s="17"/>
      <c r="F103" s="73"/>
      <c r="G103" s="19"/>
      <c r="H103" s="23"/>
      <c r="I103" s="19"/>
      <c r="J103" s="23"/>
      <c r="K103" s="61" t="str">
        <f>IF(SUM(L103,N103,P103)&gt;0,SUM(L103,N103,P103),"")</f>
        <v/>
      </c>
      <c r="L103" s="19"/>
      <c r="M103" s="23"/>
      <c r="N103" s="19"/>
      <c r="O103" s="31"/>
      <c r="P103" s="19"/>
      <c r="Q103" s="23"/>
      <c r="R103" s="61" t="str">
        <f>IF(SUM(S103,U103,W103)&gt;0,SUM(S103,U103,W103),"")</f>
        <v/>
      </c>
      <c r="S103" s="19"/>
      <c r="T103" s="23"/>
      <c r="U103" s="19"/>
      <c r="V103" s="23"/>
      <c r="W103" s="19"/>
      <c r="X103" s="31"/>
      <c r="Y103" s="61" t="str">
        <f>IF(SUM(Z103,AB103,AD103)&gt;0,SUM(Z103,AB103,AD103),"")</f>
        <v/>
      </c>
      <c r="Z103" s="19"/>
      <c r="AA103" s="29" t="s">
        <v>65</v>
      </c>
      <c r="AB103" s="19"/>
      <c r="AC103" s="114"/>
      <c r="AD103" s="19"/>
      <c r="AE103" s="114"/>
      <c r="AF103" s="54" t="str">
        <f t="shared" si="14"/>
        <v/>
      </c>
    </row>
    <row r="104" spans="1:32" s="6" customFormat="1" ht="11.65" collapsed="1" x14ac:dyDescent="0.35">
      <c r="A104" s="44">
        <v>11</v>
      </c>
      <c r="B104" s="39" t="s">
        <v>24</v>
      </c>
      <c r="C104" s="122" t="s">
        <v>134</v>
      </c>
      <c r="D104" s="60">
        <f>IF(SUM(D105:D108)&gt;0,SUM(D105:D108),"")</f>
        <v>2</v>
      </c>
      <c r="E104" s="4" t="str">
        <f>IF(SUM(E105:E108)&gt;0,SUM(E105:E108),"")</f>
        <v/>
      </c>
      <c r="F104" s="72"/>
      <c r="G104" s="5">
        <f>IF(SUM(G105:G108)&gt;0,SUM(G105:G108),"")</f>
        <v>2</v>
      </c>
      <c r="H104" s="72"/>
      <c r="I104" s="5" t="str">
        <f>IF(SUM(I105:I108)&gt;0,SUM(I105:I108),"")</f>
        <v/>
      </c>
      <c r="J104" s="67"/>
      <c r="K104" s="60">
        <f>IF(SUM(K105:K108)&gt;0,SUM(K105:K108),"")</f>
        <v>36</v>
      </c>
      <c r="L104" s="5">
        <f>IF(SUM(L105:L108)&gt;0,SUM(L105:L108),"")</f>
        <v>16</v>
      </c>
      <c r="M104" s="67"/>
      <c r="N104" s="5" t="str">
        <f>IF(SUM(N105:N108)&gt;0,SUM(N105:N108),"")</f>
        <v/>
      </c>
      <c r="O104" s="67"/>
      <c r="P104" s="5">
        <f>IF(SUM(P105:P108)&gt;0,SUM(P105:P108),"")</f>
        <v>20</v>
      </c>
      <c r="Q104" s="67"/>
      <c r="R104" s="60">
        <f>IF(SUM(R105:R108)&gt;0,SUM(R105:R108),"")</f>
        <v>134</v>
      </c>
      <c r="S104" s="5">
        <f>IF(SUM(S105:S108)&gt;0,SUM(S105:S108),"")</f>
        <v>30</v>
      </c>
      <c r="T104" s="67"/>
      <c r="U104" s="5">
        <f>IF(SUM(U105:U108)&gt;0,SUM(U105:U108),"")</f>
        <v>74</v>
      </c>
      <c r="V104" s="84"/>
      <c r="W104" s="5">
        <f>IF(SUM(W105:W108)&gt;0,SUM(W105:W108),"")</f>
        <v>30</v>
      </c>
      <c r="X104" s="84"/>
      <c r="Y104" s="60">
        <f>IF(SUM(Y105:Y108)&gt;0,SUM(Y105:Y108),"")</f>
        <v>130</v>
      </c>
      <c r="Z104" s="5">
        <f>IF(SUM(Z105:Z108)&gt;0,SUM(Z105:Z108),"")</f>
        <v>40</v>
      </c>
      <c r="AA104" s="84"/>
      <c r="AB104" s="5">
        <f>IF(SUM(AB105:AB108)&gt;0,SUM(AB105:AB108),"")</f>
        <v>40</v>
      </c>
      <c r="AC104" s="84"/>
      <c r="AD104" s="5">
        <f>IF(SUM(AD105:AD108)&gt;0,SUM(AD105:AD108),"")</f>
        <v>50</v>
      </c>
      <c r="AE104" s="84"/>
      <c r="AF104" s="49">
        <f t="shared" si="15"/>
        <v>302</v>
      </c>
    </row>
    <row r="105" spans="1:32" s="6" customFormat="1" ht="11.65" hidden="1" outlineLevel="1" x14ac:dyDescent="0.35">
      <c r="A105" s="7"/>
      <c r="B105" s="40" t="s">
        <v>91</v>
      </c>
      <c r="C105" s="123"/>
      <c r="D105" s="36">
        <f>IF(SUM(E105,G105,I105)&gt;0,SUM(E105,G105,I105),"")</f>
        <v>2</v>
      </c>
      <c r="E105" s="8"/>
      <c r="F105" s="56"/>
      <c r="G105" s="9">
        <v>2</v>
      </c>
      <c r="H105" s="56" t="s">
        <v>124</v>
      </c>
      <c r="I105" s="9"/>
      <c r="J105" s="80"/>
      <c r="K105" s="36">
        <f>IF(SUM(L105,N105,P105)&gt;0,SUM(L105,N105,P105),"")</f>
        <v>36</v>
      </c>
      <c r="L105" s="9">
        <v>16</v>
      </c>
      <c r="M105" s="56" t="s">
        <v>196</v>
      </c>
      <c r="N105" s="9"/>
      <c r="O105" s="56"/>
      <c r="P105" s="9">
        <v>20</v>
      </c>
      <c r="Q105" s="56" t="s">
        <v>121</v>
      </c>
      <c r="R105" s="36" t="str">
        <f>IF(SUM(S105,U105,W105)&gt;0,SUM(S105,U105,W105),"")</f>
        <v/>
      </c>
      <c r="S105" s="9"/>
      <c r="T105" s="55"/>
      <c r="U105" s="9"/>
      <c r="V105" s="55"/>
      <c r="W105" s="9"/>
      <c r="X105" s="80"/>
      <c r="Y105" s="36" t="str">
        <f>IF(SUM(Z105,AB105,AD105)&gt;0,SUM(Z105,AB105,AD105),"")</f>
        <v/>
      </c>
      <c r="Z105" s="9"/>
      <c r="AA105" s="55"/>
      <c r="AB105" s="9"/>
      <c r="AC105" s="82"/>
      <c r="AD105" s="9"/>
      <c r="AE105" s="82"/>
      <c r="AF105" s="36">
        <f t="shared" si="14"/>
        <v>38</v>
      </c>
    </row>
    <row r="106" spans="1:32" s="6" customFormat="1" ht="11.65" hidden="1" outlineLevel="1" x14ac:dyDescent="0.35">
      <c r="A106" s="7"/>
      <c r="B106" s="40"/>
      <c r="C106" s="123"/>
      <c r="D106" s="37" t="str">
        <f>IF(SUM(E106,G106,I106)&gt;0,SUM(E106,G106,I106),"")</f>
        <v/>
      </c>
      <c r="E106" s="10"/>
      <c r="F106" s="13"/>
      <c r="G106" s="12"/>
      <c r="H106" s="63"/>
      <c r="I106" s="12"/>
      <c r="J106" s="33"/>
      <c r="K106" s="37" t="str">
        <f>IF(SUM(L106,N106,P106)&gt;0,SUM(L106,N106,P106),"")</f>
        <v/>
      </c>
      <c r="L106" s="12"/>
      <c r="M106" s="33"/>
      <c r="N106" s="12"/>
      <c r="O106" s="33"/>
      <c r="P106" s="12"/>
      <c r="Q106" s="33"/>
      <c r="R106" s="37">
        <f>IF(SUM(S106,U106,W106)&gt;0,SUM(S106,U106,W106),"")</f>
        <v>54</v>
      </c>
      <c r="S106" s="12"/>
      <c r="T106" s="33"/>
      <c r="U106" s="12">
        <v>54</v>
      </c>
      <c r="V106" s="32" t="s">
        <v>279</v>
      </c>
      <c r="W106" s="12"/>
      <c r="X106" s="32"/>
      <c r="Y106" s="37" t="str">
        <f>IF(SUM(Z106,AB106,AD106)&gt;0,SUM(Z106,AB106,AD106),"")</f>
        <v/>
      </c>
      <c r="Z106" s="12"/>
      <c r="AA106" s="33"/>
      <c r="AB106" s="12"/>
      <c r="AC106" s="83"/>
      <c r="AD106" s="12"/>
      <c r="AE106" s="33"/>
      <c r="AF106" s="37">
        <f t="shared" si="14"/>
        <v>54</v>
      </c>
    </row>
    <row r="107" spans="1:32" s="6" customFormat="1" ht="11.65" hidden="1" outlineLevel="1" x14ac:dyDescent="0.35">
      <c r="A107" s="7"/>
      <c r="B107" s="40"/>
      <c r="C107" s="123"/>
      <c r="D107" s="38" t="str">
        <f>IF(SUM(E107,G107,I107)&gt;0,SUM(E107,G107,I107),"")</f>
        <v/>
      </c>
      <c r="E107" s="16"/>
      <c r="F107" s="21"/>
      <c r="G107" s="16"/>
      <c r="H107" s="15"/>
      <c r="I107" s="16"/>
      <c r="J107" s="15"/>
      <c r="K107" s="38" t="str">
        <f>IF(SUM(L107,N107,P107)&gt;0,SUM(L107,N107,P107),"")</f>
        <v/>
      </c>
      <c r="L107" s="16"/>
      <c r="M107" s="15"/>
      <c r="N107" s="16"/>
      <c r="O107" s="15"/>
      <c r="P107" s="16"/>
      <c r="Q107" s="15"/>
      <c r="R107" s="38">
        <f>IF(SUM(S107,U107,W107)&gt;0,SUM(S107,U107,W107),"")</f>
        <v>80</v>
      </c>
      <c r="S107" s="16">
        <v>30</v>
      </c>
      <c r="T107" s="15" t="s">
        <v>116</v>
      </c>
      <c r="U107" s="16">
        <v>20</v>
      </c>
      <c r="V107" s="15" t="s">
        <v>121</v>
      </c>
      <c r="W107" s="16">
        <v>30</v>
      </c>
      <c r="X107" s="15" t="s">
        <v>116</v>
      </c>
      <c r="Y107" s="38">
        <f>IF(SUM(Z107,AB107,AD107)&gt;0,SUM(Z107,AB107,AD107),"")</f>
        <v>130</v>
      </c>
      <c r="Z107" s="16">
        <v>40</v>
      </c>
      <c r="AA107" s="15" t="s">
        <v>114</v>
      </c>
      <c r="AB107" s="16">
        <v>40</v>
      </c>
      <c r="AC107" s="15" t="s">
        <v>114</v>
      </c>
      <c r="AD107" s="16">
        <v>50</v>
      </c>
      <c r="AE107" s="15" t="s">
        <v>113</v>
      </c>
      <c r="AF107" s="38">
        <f t="shared" si="14"/>
        <v>210</v>
      </c>
    </row>
    <row r="108" spans="1:32" s="6" customFormat="1" ht="11.65" hidden="1" outlineLevel="1" x14ac:dyDescent="0.35">
      <c r="A108" s="45"/>
      <c r="B108" s="40"/>
      <c r="C108" s="123"/>
      <c r="D108" s="61" t="str">
        <f>IF(SUM(E108,G108,I108)&gt;0,SUM(E108,G108,I108),"")</f>
        <v/>
      </c>
      <c r="E108" s="17"/>
      <c r="F108" s="73"/>
      <c r="G108" s="19"/>
      <c r="H108" s="23"/>
      <c r="I108" s="19"/>
      <c r="J108" s="31"/>
      <c r="K108" s="61" t="str">
        <f>IF(SUM(L108,N108,P108)&gt;0,SUM(L108,N108,P108),"")</f>
        <v/>
      </c>
      <c r="L108" s="19"/>
      <c r="M108" s="31"/>
      <c r="N108" s="19"/>
      <c r="O108" s="31"/>
      <c r="P108" s="19"/>
      <c r="Q108" s="31"/>
      <c r="R108" s="61" t="str">
        <f>IF(SUM(S108,U108,W108)&gt;0,SUM(S108,U108,W108),"")</f>
        <v/>
      </c>
      <c r="S108" s="19"/>
      <c r="T108" s="31"/>
      <c r="U108" s="19"/>
      <c r="V108" s="31"/>
      <c r="W108" s="19"/>
      <c r="X108" s="85"/>
      <c r="Y108" s="61" t="str">
        <f>IF(SUM(Z108,AB108,AD108)&gt;0,SUM(Z108,AB108,AD108),"")</f>
        <v/>
      </c>
      <c r="Z108" s="19"/>
      <c r="AA108" s="31"/>
      <c r="AB108" s="19"/>
      <c r="AC108" s="18"/>
      <c r="AD108" s="19"/>
      <c r="AE108" s="18"/>
      <c r="AF108" s="54" t="str">
        <f t="shared" si="14"/>
        <v/>
      </c>
    </row>
    <row r="109" spans="1:32" s="6" customFormat="1" ht="11.65" collapsed="1" x14ac:dyDescent="0.35">
      <c r="A109" s="44">
        <v>12</v>
      </c>
      <c r="B109" s="39" t="s">
        <v>25</v>
      </c>
      <c r="C109" s="122" t="s">
        <v>134</v>
      </c>
      <c r="D109" s="60" t="str">
        <f>IF(SUM(D110:D113)&gt;0,SUM(D110:D113),"")</f>
        <v/>
      </c>
      <c r="E109" s="4" t="str">
        <f>IF(SUM(E110:E113)&gt;0,SUM(E110:E113),"")</f>
        <v/>
      </c>
      <c r="F109" s="72"/>
      <c r="G109" s="5" t="str">
        <f>IF(SUM(G110:G113)&gt;0,SUM(G110:G113),"")</f>
        <v/>
      </c>
      <c r="H109" s="72"/>
      <c r="I109" s="5" t="str">
        <f>IF(SUM(I110:I113)&gt;0,SUM(I110:I113),"")</f>
        <v/>
      </c>
      <c r="J109" s="67"/>
      <c r="K109" s="60">
        <f>IF(SUM(K110:K113)&gt;0,SUM(K110:K113),"")</f>
        <v>63</v>
      </c>
      <c r="L109" s="5">
        <f>IF(SUM(L110:L113)&gt;0,SUM(L110:L113),"")</f>
        <v>16</v>
      </c>
      <c r="M109" s="67"/>
      <c r="N109" s="5">
        <f>IF(SUM(N110:N113)&gt;0,SUM(N110:N113),"")</f>
        <v>17</v>
      </c>
      <c r="O109" s="67"/>
      <c r="P109" s="5">
        <f>IF(SUM(P110:P113)&gt;0,SUM(P110:P113),"")</f>
        <v>30</v>
      </c>
      <c r="Q109" s="67"/>
      <c r="R109" s="60">
        <f>IF(SUM(R110:R113)&gt;0,SUM(R110:R113),"")</f>
        <v>124</v>
      </c>
      <c r="S109" s="5">
        <f>IF(SUM(S110:S113)&gt;0,SUM(S110:S113),"")</f>
        <v>20</v>
      </c>
      <c r="T109" s="67"/>
      <c r="U109" s="5">
        <f>IF(SUM(U110:U113)&gt;0,SUM(U110:U113),"")</f>
        <v>74</v>
      </c>
      <c r="V109" s="84"/>
      <c r="W109" s="5">
        <f>IF(SUM(W110:W113)&gt;0,SUM(W110:W113),"")</f>
        <v>30</v>
      </c>
      <c r="X109" s="84"/>
      <c r="Y109" s="60">
        <f>IF(SUM(Y110:Y113)&gt;0,SUM(Y110:Y113),"")</f>
        <v>80</v>
      </c>
      <c r="Z109" s="5">
        <f>IF(SUM(Z110:Z113)&gt;0,SUM(Z110:Z113),"")</f>
        <v>25</v>
      </c>
      <c r="AA109" s="84"/>
      <c r="AB109" s="5">
        <f>IF(SUM(AB110:AB113)&gt;0,SUM(AB110:AB113),"")</f>
        <v>25</v>
      </c>
      <c r="AC109" s="84"/>
      <c r="AD109" s="5">
        <f>IF(SUM(AD110:AD113)&gt;0,SUM(AD110:AD113),"")</f>
        <v>30</v>
      </c>
      <c r="AE109" s="84"/>
      <c r="AF109" s="49">
        <f t="shared" si="15"/>
        <v>267</v>
      </c>
    </row>
    <row r="110" spans="1:32" s="6" customFormat="1" ht="11.65" hidden="1" outlineLevel="1" x14ac:dyDescent="0.35">
      <c r="A110" s="7"/>
      <c r="B110" s="40" t="s">
        <v>92</v>
      </c>
      <c r="C110" s="123"/>
      <c r="D110" s="36" t="str">
        <f>IF(SUM(E110,G110,I110)&gt;0,SUM(E110,G110,I110),"")</f>
        <v/>
      </c>
      <c r="E110" s="8"/>
      <c r="F110" s="74"/>
      <c r="G110" s="9"/>
      <c r="H110" s="56"/>
      <c r="I110" s="9"/>
      <c r="J110" s="80"/>
      <c r="K110" s="36">
        <f>IF(SUM(L110,N110,P110)&gt;0,SUM(L110,N110,P110),"")</f>
        <v>63</v>
      </c>
      <c r="L110" s="9">
        <v>16</v>
      </c>
      <c r="M110" s="56" t="s">
        <v>196</v>
      </c>
      <c r="N110" s="9">
        <v>17</v>
      </c>
      <c r="O110" s="56" t="s">
        <v>268</v>
      </c>
      <c r="P110" s="9">
        <v>30</v>
      </c>
      <c r="Q110" s="56" t="s">
        <v>116</v>
      </c>
      <c r="R110" s="36" t="str">
        <f>IF(SUM(S110,U110,W110)&gt;0,SUM(S110,U110,W110),"")</f>
        <v/>
      </c>
      <c r="S110" s="9"/>
      <c r="T110" s="55"/>
      <c r="U110" s="9"/>
      <c r="V110" s="55"/>
      <c r="W110" s="9"/>
      <c r="X110" s="80"/>
      <c r="Y110" s="36" t="str">
        <f>IF(SUM(Z110,AB110,AD110)&gt;0,SUM(Z110,AB110,AD110),"")</f>
        <v/>
      </c>
      <c r="Z110" s="9"/>
      <c r="AA110" s="55"/>
      <c r="AB110" s="9"/>
      <c r="AC110" s="82"/>
      <c r="AD110" s="9"/>
      <c r="AE110" s="82"/>
      <c r="AF110" s="36">
        <f t="shared" si="14"/>
        <v>63</v>
      </c>
    </row>
    <row r="111" spans="1:32" s="6" customFormat="1" ht="11.65" hidden="1" outlineLevel="1" x14ac:dyDescent="0.35">
      <c r="A111" s="7"/>
      <c r="B111" s="40"/>
      <c r="C111" s="123"/>
      <c r="D111" s="37" t="str">
        <f>IF(SUM(E111,G111,I111)&gt;0,SUM(E111,G111,I111),"")</f>
        <v/>
      </c>
      <c r="E111" s="10"/>
      <c r="F111" s="13"/>
      <c r="G111" s="12"/>
      <c r="H111" s="63"/>
      <c r="I111" s="12"/>
      <c r="J111" s="33"/>
      <c r="K111" s="37" t="str">
        <f>IF(SUM(L111,N111,P111)&gt;0,SUM(L111,N111,P111),"")</f>
        <v/>
      </c>
      <c r="L111" s="12"/>
      <c r="M111" s="33"/>
      <c r="N111" s="12"/>
      <c r="O111" s="33"/>
      <c r="P111" s="12"/>
      <c r="Q111" s="33"/>
      <c r="R111" s="37">
        <f>IF(SUM(S111,U111,W111)&gt;0,SUM(S111,U111,W111),"")</f>
        <v>54</v>
      </c>
      <c r="S111" s="12"/>
      <c r="T111" s="33"/>
      <c r="U111" s="12">
        <v>54</v>
      </c>
      <c r="V111" s="32" t="s">
        <v>279</v>
      </c>
      <c r="W111" s="12"/>
      <c r="X111" s="32"/>
      <c r="Y111" s="37" t="str">
        <f>IF(SUM(Z111,AB111,AD111)&gt;0,SUM(Z111,AB111,AD111),"")</f>
        <v/>
      </c>
      <c r="Z111" s="12"/>
      <c r="AA111" s="83"/>
      <c r="AB111" s="12"/>
      <c r="AC111" s="83"/>
      <c r="AD111" s="12"/>
      <c r="AE111" s="33"/>
      <c r="AF111" s="37">
        <f t="shared" si="14"/>
        <v>54</v>
      </c>
    </row>
    <row r="112" spans="1:32" s="6" customFormat="1" ht="11.65" hidden="1" outlineLevel="1" x14ac:dyDescent="0.35">
      <c r="A112" s="7"/>
      <c r="B112" s="40"/>
      <c r="C112" s="123"/>
      <c r="D112" s="38" t="str">
        <f>IF(SUM(E112,G112,I112)&gt;0,SUM(E112,G112,I112),"")</f>
        <v/>
      </c>
      <c r="E112" s="16"/>
      <c r="F112" s="21"/>
      <c r="G112" s="16"/>
      <c r="H112" s="15"/>
      <c r="I112" s="16"/>
      <c r="J112" s="15"/>
      <c r="K112" s="38" t="str">
        <f>IF(SUM(L112,N112,P112)&gt;0,SUM(L112,N112,P112),"")</f>
        <v/>
      </c>
      <c r="L112" s="16"/>
      <c r="M112" s="15"/>
      <c r="N112" s="16"/>
      <c r="O112" s="15"/>
      <c r="P112" s="16"/>
      <c r="Q112" s="15"/>
      <c r="R112" s="38">
        <f>IF(SUM(S112,U112,W112)&gt;0,SUM(S112,U112,W112),"")</f>
        <v>70</v>
      </c>
      <c r="S112" s="16">
        <v>20</v>
      </c>
      <c r="T112" s="15" t="s">
        <v>121</v>
      </c>
      <c r="U112" s="16">
        <v>20</v>
      </c>
      <c r="V112" s="15" t="s">
        <v>121</v>
      </c>
      <c r="W112" s="16">
        <v>30</v>
      </c>
      <c r="X112" s="15" t="s">
        <v>116</v>
      </c>
      <c r="Y112" s="38">
        <f>IF(SUM(Z112,AB112,AD112)&gt;0,SUM(Z112,AB112,AD112),"")</f>
        <v>80</v>
      </c>
      <c r="Z112" s="16">
        <v>25</v>
      </c>
      <c r="AA112" s="15" t="s">
        <v>122</v>
      </c>
      <c r="AB112" s="16">
        <v>25</v>
      </c>
      <c r="AC112" s="15" t="s">
        <v>122</v>
      </c>
      <c r="AD112" s="16">
        <v>30</v>
      </c>
      <c r="AE112" s="15" t="s">
        <v>116</v>
      </c>
      <c r="AF112" s="38">
        <f t="shared" si="14"/>
        <v>150</v>
      </c>
    </row>
    <row r="113" spans="1:32" s="6" customFormat="1" ht="11.65" hidden="1" outlineLevel="1" x14ac:dyDescent="0.35">
      <c r="A113" s="45"/>
      <c r="B113" s="40"/>
      <c r="C113" s="123"/>
      <c r="D113" s="61" t="str">
        <f>IF(SUM(E113,G113,I113)&gt;0,SUM(E113,G113,I113),"")</f>
        <v/>
      </c>
      <c r="E113" s="17"/>
      <c r="F113" s="73"/>
      <c r="G113" s="19"/>
      <c r="H113" s="23"/>
      <c r="I113" s="19"/>
      <c r="J113" s="31"/>
      <c r="K113" s="61" t="str">
        <f>IF(SUM(L113,N113,P113)&gt;0,SUM(L113,N113,P113),"")</f>
        <v/>
      </c>
      <c r="L113" s="19"/>
      <c r="M113" s="31"/>
      <c r="N113" s="19"/>
      <c r="O113" s="31"/>
      <c r="P113" s="19"/>
      <c r="Q113" s="31"/>
      <c r="R113" s="61" t="str">
        <f>IF(SUM(S113,U113,W113)&gt;0,SUM(S113,U113,W113),"")</f>
        <v/>
      </c>
      <c r="S113" s="19"/>
      <c r="T113" s="31"/>
      <c r="U113" s="19"/>
      <c r="V113" s="31"/>
      <c r="W113" s="19"/>
      <c r="X113" s="85"/>
      <c r="Y113" s="61" t="str">
        <f>IF(SUM(Z113,AB113,AD113)&gt;0,SUM(Z113,AB113,AD113),"")</f>
        <v/>
      </c>
      <c r="Z113" s="19"/>
      <c r="AA113" s="31"/>
      <c r="AB113" s="19"/>
      <c r="AC113" s="18"/>
      <c r="AD113" s="19"/>
      <c r="AE113" s="18"/>
      <c r="AF113" s="54" t="str">
        <f t="shared" si="14"/>
        <v/>
      </c>
    </row>
    <row r="114" spans="1:32" s="6" customFormat="1" ht="11.65" collapsed="1" x14ac:dyDescent="0.35">
      <c r="A114" s="44">
        <v>13</v>
      </c>
      <c r="B114" s="39" t="s">
        <v>14</v>
      </c>
      <c r="C114" s="122" t="s">
        <v>134</v>
      </c>
      <c r="D114" s="60" t="str">
        <f>IF(SUM(D115:D118)&gt;0,SUM(D115:D118),"")</f>
        <v/>
      </c>
      <c r="E114" s="4" t="str">
        <f>IF(SUM(E115:E118)&gt;0,SUM(E115:E118),"")</f>
        <v/>
      </c>
      <c r="F114" s="72"/>
      <c r="G114" s="5" t="str">
        <f>IF(SUM(G115:G118)&gt;0,SUM(G115:G118),"")</f>
        <v/>
      </c>
      <c r="H114" s="72"/>
      <c r="I114" s="5" t="str">
        <f>IF(SUM(I115:I118)&gt;0,SUM(I115:I118),"")</f>
        <v/>
      </c>
      <c r="J114" s="67"/>
      <c r="K114" s="60" t="str">
        <f>IF(SUM(K115:K118)&gt;0,SUM(K115:K118),"")</f>
        <v/>
      </c>
      <c r="L114" s="5" t="str">
        <f>IF(SUM(L115:L118)&gt;0,SUM(L115:L118),"")</f>
        <v/>
      </c>
      <c r="M114" s="67"/>
      <c r="N114" s="5" t="str">
        <f>IF(SUM(N115:N118)&gt;0,SUM(N115:N118),"")</f>
        <v/>
      </c>
      <c r="O114" s="67"/>
      <c r="P114" s="5" t="str">
        <f>IF(SUM(P115:P118)&gt;0,SUM(P115:P118),"")</f>
        <v/>
      </c>
      <c r="Q114" s="67"/>
      <c r="R114" s="60" t="str">
        <f>IF(SUM(R115:R118)&gt;0,SUM(R115:R118),"")</f>
        <v/>
      </c>
      <c r="S114" s="5" t="str">
        <f>IF(SUM(S115:S118)&gt;0,SUM(S115:S118),"")</f>
        <v/>
      </c>
      <c r="T114" s="67"/>
      <c r="U114" s="109" t="str">
        <f>IF(SUM(U115:U118)&gt;0,SUM(U115:U118),"")</f>
        <v/>
      </c>
      <c r="V114" s="72"/>
      <c r="W114" s="109" t="str">
        <f>IF(SUM(W115:W118)&gt;0,SUM(W115:W118),"")</f>
        <v/>
      </c>
      <c r="X114" s="97"/>
      <c r="Y114" s="60">
        <f>IF(SUM(Y115:Y118)&gt;0,SUM(Y115:Y118),"")</f>
        <v>5</v>
      </c>
      <c r="Z114" s="104">
        <f>IF(SUM(Z115:Z118)&gt;0,SUM(Z115:Z118),"")</f>
        <v>5</v>
      </c>
      <c r="AA114" s="72"/>
      <c r="AB114" s="5" t="str">
        <f>IF(SUM(AB115:AB118)&gt;0,SUM(AB115:AB118),"")</f>
        <v/>
      </c>
      <c r="AC114" s="72"/>
      <c r="AD114" s="5" t="str">
        <f>IF(SUM(AD115:AD118)&gt;0,SUM(AD115:AD118),"")</f>
        <v/>
      </c>
      <c r="AE114" s="84"/>
      <c r="AF114" s="49">
        <f t="shared" si="15"/>
        <v>5</v>
      </c>
    </row>
    <row r="115" spans="1:32" s="6" customFormat="1" ht="11.65" hidden="1" outlineLevel="1" x14ac:dyDescent="0.35">
      <c r="A115" s="7"/>
      <c r="B115" s="40" t="s">
        <v>93</v>
      </c>
      <c r="C115" s="123"/>
      <c r="D115" s="36" t="str">
        <f>IF(SUM(E115,G115,I115)&gt;0,SUM(E115,G115,I115),"")</f>
        <v/>
      </c>
      <c r="E115" s="8"/>
      <c r="F115" s="56"/>
      <c r="G115" s="9"/>
      <c r="H115" s="56"/>
      <c r="I115" s="9"/>
      <c r="J115" s="80"/>
      <c r="K115" s="36" t="str">
        <f>IF(SUM(L115,N115,P115)&gt;0,SUM(L115,N115,P115),"")</f>
        <v/>
      </c>
      <c r="L115" s="9"/>
      <c r="M115" s="80"/>
      <c r="N115" s="9"/>
      <c r="O115" s="55"/>
      <c r="P115" s="9"/>
      <c r="Q115" s="55"/>
      <c r="R115" s="36" t="str">
        <f>IF(SUM(S115,U115,W115)&gt;0,SUM(S115,U115,W115),"")</f>
        <v/>
      </c>
      <c r="S115" s="9"/>
      <c r="T115" s="55"/>
      <c r="U115" s="100"/>
      <c r="V115" s="56"/>
      <c r="W115" s="100"/>
      <c r="X115" s="117"/>
      <c r="Y115" s="36" t="str">
        <f>IF(SUM(Z115,AB115,AD115)&gt;0,SUM(Z115,AB115,AD115),"")</f>
        <v/>
      </c>
      <c r="Z115" s="105"/>
      <c r="AA115" s="74"/>
      <c r="AB115" s="9"/>
      <c r="AC115" s="74"/>
      <c r="AD115" s="9"/>
      <c r="AE115" s="82"/>
      <c r="AF115" s="36" t="str">
        <f t="shared" ref="AF115:AF132" si="22">IF(SUM(D115,K115,R115,Y115)&gt;0,SUM(D115,K115,R115,Y115),"")</f>
        <v/>
      </c>
    </row>
    <row r="116" spans="1:32" s="6" customFormat="1" ht="11.65" hidden="1" outlineLevel="1" x14ac:dyDescent="0.35">
      <c r="A116" s="7"/>
      <c r="B116" s="40"/>
      <c r="C116" s="123"/>
      <c r="D116" s="37" t="str">
        <f>IF(SUM(E116,G116,I116)&gt;0,SUM(E116,G116,I116),"")</f>
        <v/>
      </c>
      <c r="E116" s="10"/>
      <c r="F116" s="11"/>
      <c r="G116" s="12"/>
      <c r="H116" s="13"/>
      <c r="I116" s="12"/>
      <c r="J116" s="33"/>
      <c r="K116" s="37" t="str">
        <f>IF(SUM(L116,N116,P116)&gt;0,SUM(L116,N116,P116),"")</f>
        <v/>
      </c>
      <c r="L116" s="12"/>
      <c r="M116" s="33"/>
      <c r="N116" s="12"/>
      <c r="O116" s="33"/>
      <c r="P116" s="12"/>
      <c r="Q116" s="33"/>
      <c r="R116" s="37" t="str">
        <f>IF(SUM(S116,U116,W116)&gt;0,SUM(S116,U116,W116),"")</f>
        <v/>
      </c>
      <c r="S116" s="12"/>
      <c r="T116" s="33"/>
      <c r="U116" s="101"/>
      <c r="V116" s="63"/>
      <c r="W116" s="101"/>
      <c r="X116" s="111"/>
      <c r="Y116" s="37" t="str">
        <f>IF(SUM(Z116,AB116,AD116)&gt;0,SUM(Z116,AB116,AD116),"")</f>
        <v/>
      </c>
      <c r="Z116" s="106"/>
      <c r="AA116" s="13"/>
      <c r="AB116" s="12"/>
      <c r="AC116" s="63"/>
      <c r="AD116" s="12"/>
      <c r="AE116" s="83"/>
      <c r="AF116" s="37" t="str">
        <f t="shared" si="22"/>
        <v/>
      </c>
    </row>
    <row r="117" spans="1:32" s="6" customFormat="1" ht="11.65" hidden="1" outlineLevel="1" x14ac:dyDescent="0.35">
      <c r="A117" s="7"/>
      <c r="B117" s="40"/>
      <c r="C117" s="123"/>
      <c r="D117" s="38" t="str">
        <f>IF(SUM(E117,G117,I117)&gt;0,SUM(E117,G117,I117),"")</f>
        <v/>
      </c>
      <c r="E117" s="14"/>
      <c r="F117" s="21"/>
      <c r="G117" s="16"/>
      <c r="H117" s="15"/>
      <c r="I117" s="16"/>
      <c r="J117" s="15"/>
      <c r="K117" s="38" t="str">
        <f>IF(SUM(L117,N117,P117)&gt;0,SUM(L117,N117,P117),"")</f>
        <v/>
      </c>
      <c r="L117" s="16"/>
      <c r="M117" s="21"/>
      <c r="N117" s="16"/>
      <c r="O117" s="15"/>
      <c r="P117" s="16"/>
      <c r="Q117" s="30"/>
      <c r="R117" s="38" t="str">
        <f>IF(SUM(S117,U117,W117)&gt;0,SUM(S117,U117,W117),"")</f>
        <v/>
      </c>
      <c r="S117" s="16"/>
      <c r="T117" s="30"/>
      <c r="U117" s="102"/>
      <c r="V117" s="21"/>
      <c r="W117" s="102"/>
      <c r="X117" s="95"/>
      <c r="Y117" s="38">
        <f>IF(SUM(Z117,AB117,AD117)&gt;0,SUM(Z117,AB117,AD117),"")</f>
        <v>5</v>
      </c>
      <c r="Z117" s="107">
        <v>5</v>
      </c>
      <c r="AA117" s="15" t="s">
        <v>119</v>
      </c>
      <c r="AB117" s="16"/>
      <c r="AC117" s="21"/>
      <c r="AD117" s="16"/>
      <c r="AE117" s="21"/>
      <c r="AF117" s="38">
        <f t="shared" si="22"/>
        <v>5</v>
      </c>
    </row>
    <row r="118" spans="1:32" s="6" customFormat="1" ht="11.65" hidden="1" outlineLevel="1" x14ac:dyDescent="0.35">
      <c r="A118" s="45"/>
      <c r="B118" s="40"/>
      <c r="C118" s="123"/>
      <c r="D118" s="61" t="str">
        <f>IF(SUM(E118,G118,I118)&gt;0,SUM(E118,G118,I118),"")</f>
        <v/>
      </c>
      <c r="E118" s="17"/>
      <c r="F118" s="73"/>
      <c r="G118" s="19"/>
      <c r="H118" s="23"/>
      <c r="I118" s="19"/>
      <c r="J118" s="31"/>
      <c r="K118" s="61" t="str">
        <f>IF(SUM(L118,N118,P118)&gt;0,SUM(L118,N118,P118),"")</f>
        <v/>
      </c>
      <c r="L118" s="19"/>
      <c r="M118" s="31"/>
      <c r="N118" s="19"/>
      <c r="O118" s="31"/>
      <c r="P118" s="19"/>
      <c r="Q118" s="31"/>
      <c r="R118" s="61" t="str">
        <f>IF(SUM(S118,U118,W118)&gt;0,SUM(S118,U118,W118),"")</f>
        <v/>
      </c>
      <c r="S118" s="19"/>
      <c r="T118" s="31"/>
      <c r="U118" s="110"/>
      <c r="V118" s="23"/>
      <c r="W118" s="110"/>
      <c r="X118" s="96"/>
      <c r="Y118" s="61" t="str">
        <f>IF(SUM(Z118,AB118,AD118)&gt;0,SUM(Z118,AB118,AD118),"")</f>
        <v/>
      </c>
      <c r="Z118" s="103"/>
      <c r="AA118" s="23"/>
      <c r="AB118" s="19"/>
      <c r="AC118" s="23"/>
      <c r="AD118" s="19"/>
      <c r="AE118" s="85"/>
      <c r="AF118" s="54" t="str">
        <f t="shared" si="22"/>
        <v/>
      </c>
    </row>
    <row r="119" spans="1:32" s="6" customFormat="1" ht="11.65" collapsed="1" x14ac:dyDescent="0.35">
      <c r="A119" s="44">
        <v>14</v>
      </c>
      <c r="B119" s="39" t="s">
        <v>15</v>
      </c>
      <c r="C119" s="122" t="s">
        <v>134</v>
      </c>
      <c r="D119" s="60">
        <f>IF(SUM(D120:D123)&gt;0,SUM(D120:D123),"")</f>
        <v>2</v>
      </c>
      <c r="E119" s="4" t="str">
        <f>IF(SUM(E120:E123)&gt;0,SUM(E120:E123),"")</f>
        <v/>
      </c>
      <c r="F119" s="72"/>
      <c r="G119" s="5">
        <f>IF(SUM(G120:G123)&gt;0,SUM(G120:G123),"")</f>
        <v>1</v>
      </c>
      <c r="H119" s="72"/>
      <c r="I119" s="5">
        <f>IF(SUM(I120:I123)&gt;0,SUM(I120:I123),"")</f>
        <v>1</v>
      </c>
      <c r="J119" s="67"/>
      <c r="K119" s="60">
        <f>IF(SUM(K120:K123)&gt;0,SUM(K120:K123),"")</f>
        <v>9</v>
      </c>
      <c r="L119" s="5" t="str">
        <f>IF(SUM(L120:L123)&gt;0,SUM(L120:L123),"")</f>
        <v/>
      </c>
      <c r="M119" s="67"/>
      <c r="N119" s="5" t="str">
        <f>IF(SUM(N120:N123)&gt;0,SUM(N120:N123),"")</f>
        <v/>
      </c>
      <c r="O119" s="67"/>
      <c r="P119" s="5">
        <f>IF(SUM(P120:P123)&gt;0,SUM(P120:P123),"")</f>
        <v>9</v>
      </c>
      <c r="Q119" s="67"/>
      <c r="R119" s="60">
        <f>IF(SUM(R120:R123)&gt;0,SUM(R120:R123),"")</f>
        <v>213</v>
      </c>
      <c r="S119" s="5">
        <f>IF(SUM(S120:S123)&gt;0,SUM(S120:S123),"")</f>
        <v>10</v>
      </c>
      <c r="T119" s="67"/>
      <c r="U119" s="109">
        <f>IF(SUM(U120:U123)&gt;0,SUM(U120:U123),"")</f>
        <v>23</v>
      </c>
      <c r="V119" s="72"/>
      <c r="W119" s="109">
        <f>IF(SUM(W120:W123)&gt;0,SUM(W120:W123),"")</f>
        <v>180</v>
      </c>
      <c r="X119" s="97"/>
      <c r="Y119" s="60">
        <f>IF(SUM(Y120:Y123)&gt;0,SUM(Y120:Y123),"")</f>
        <v>45</v>
      </c>
      <c r="Z119" s="104">
        <f>IF(SUM(Z120:Z123)&gt;0,SUM(Z120:Z123),"")</f>
        <v>12</v>
      </c>
      <c r="AA119" s="72"/>
      <c r="AB119" s="5">
        <f>IF(SUM(AB120:AB123)&gt;0,SUM(AB120:AB123),"")</f>
        <v>15</v>
      </c>
      <c r="AC119" s="72"/>
      <c r="AD119" s="5">
        <f>IF(SUM(AD120:AD123)&gt;0,SUM(AD120:AD123),"")</f>
        <v>18</v>
      </c>
      <c r="AE119" s="84"/>
      <c r="AF119" s="49">
        <f t="shared" ref="AF119" si="23">IF(SUM(AF120:AF123)&gt;0,SUM(AF120:AF123),"")</f>
        <v>269</v>
      </c>
    </row>
    <row r="120" spans="1:32" s="6" customFormat="1" ht="11.65" hidden="1" outlineLevel="1" x14ac:dyDescent="0.35">
      <c r="A120" s="7"/>
      <c r="B120" s="40" t="s">
        <v>94</v>
      </c>
      <c r="C120" s="123"/>
      <c r="D120" s="36">
        <f>IF(SUM(E120,G120,I120)&gt;0,SUM(E120,G120,I120),"")</f>
        <v>2</v>
      </c>
      <c r="E120" s="8"/>
      <c r="F120" s="56"/>
      <c r="G120" s="9">
        <v>1</v>
      </c>
      <c r="H120" s="56" t="s">
        <v>127</v>
      </c>
      <c r="I120" s="9">
        <v>1</v>
      </c>
      <c r="J120" s="56" t="s">
        <v>127</v>
      </c>
      <c r="K120" s="36">
        <f>IF(SUM(L120,N120,P120)&gt;0,SUM(L120,N120,P120),"")</f>
        <v>9</v>
      </c>
      <c r="L120" s="9"/>
      <c r="M120" s="80"/>
      <c r="N120" s="9"/>
      <c r="O120" s="80"/>
      <c r="P120" s="9">
        <v>9</v>
      </c>
      <c r="Q120" s="80" t="s">
        <v>129</v>
      </c>
      <c r="R120" s="36" t="str">
        <f>IF(SUM(S120,U120,W120)&gt;0,SUM(S120,U120,W120),"")</f>
        <v/>
      </c>
      <c r="S120" s="9"/>
      <c r="T120" s="80"/>
      <c r="U120" s="100"/>
      <c r="V120" s="55"/>
      <c r="W120" s="100"/>
      <c r="X120" s="80"/>
      <c r="Y120" s="36" t="str">
        <f>IF(SUM(Z120,AB120,AD120)&gt;0,SUM(Z120,AB120,AD120),"")</f>
        <v/>
      </c>
      <c r="Z120" s="105"/>
      <c r="AA120" s="74"/>
      <c r="AB120" s="9"/>
      <c r="AC120" s="74"/>
      <c r="AD120" s="9"/>
      <c r="AE120" s="82"/>
      <c r="AF120" s="36">
        <f t="shared" si="22"/>
        <v>11</v>
      </c>
    </row>
    <row r="121" spans="1:32" s="6" customFormat="1" ht="19.5" hidden="1" outlineLevel="1" x14ac:dyDescent="0.35">
      <c r="A121" s="7"/>
      <c r="B121" s="40"/>
      <c r="C121" s="123"/>
      <c r="D121" s="37" t="str">
        <f>IF(SUM(E121,G121,I121)&gt;0,SUM(E121,G121,I121),"")</f>
        <v/>
      </c>
      <c r="E121" s="10"/>
      <c r="F121" s="11"/>
      <c r="G121" s="12"/>
      <c r="H121" s="63"/>
      <c r="I121" s="12"/>
      <c r="J121" s="33"/>
      <c r="K121" s="37" t="str">
        <f>IF(SUM(L121,N121,P121)&gt;0,SUM(L121,N121,P121),"")</f>
        <v/>
      </c>
      <c r="L121" s="12"/>
      <c r="M121" s="33"/>
      <c r="N121" s="12"/>
      <c r="O121" s="33"/>
      <c r="P121" s="12"/>
      <c r="Q121" s="32"/>
      <c r="R121" s="37">
        <f>IF(SUM(S121,U121,W121)&gt;0,SUM(S121,U121,W121),"")</f>
        <v>188</v>
      </c>
      <c r="S121" s="12"/>
      <c r="T121" s="33"/>
      <c r="U121" s="101">
        <v>18</v>
      </c>
      <c r="V121" s="32" t="s">
        <v>270</v>
      </c>
      <c r="W121" s="101">
        <v>170</v>
      </c>
      <c r="X121" s="32" t="s">
        <v>280</v>
      </c>
      <c r="Y121" s="37" t="str">
        <f>IF(SUM(Z121,AB121,AD121)&gt;0,SUM(Z121,AB121,AD121),"")</f>
        <v/>
      </c>
      <c r="Z121" s="106"/>
      <c r="AA121" s="32"/>
      <c r="AB121" s="12"/>
      <c r="AC121" s="13"/>
      <c r="AD121" s="12"/>
      <c r="AE121" s="83"/>
      <c r="AF121" s="37">
        <f t="shared" si="22"/>
        <v>188</v>
      </c>
    </row>
    <row r="122" spans="1:32" s="6" customFormat="1" ht="11.65" hidden="1" outlineLevel="1" x14ac:dyDescent="0.35">
      <c r="A122" s="7"/>
      <c r="B122" s="40"/>
      <c r="C122" s="123"/>
      <c r="D122" s="38" t="str">
        <f>IF(SUM(E122,G122,I122)&gt;0,SUM(E122,G122,I122),"")</f>
        <v/>
      </c>
      <c r="E122" s="14"/>
      <c r="F122" s="15"/>
      <c r="G122" s="16"/>
      <c r="H122" s="15"/>
      <c r="I122" s="16"/>
      <c r="J122" s="15"/>
      <c r="K122" s="38" t="str">
        <f>IF(SUM(L122,N122,P122)&gt;0,SUM(L122,N122,P122),"")</f>
        <v/>
      </c>
      <c r="L122" s="16"/>
      <c r="M122" s="15"/>
      <c r="N122" s="16"/>
      <c r="O122" s="15"/>
      <c r="P122" s="16"/>
      <c r="Q122" s="15"/>
      <c r="R122" s="38">
        <f>IF(SUM(S122,U122,W122)&gt;0,SUM(S122,U122,W122),"")</f>
        <v>25</v>
      </c>
      <c r="S122" s="16">
        <v>10</v>
      </c>
      <c r="T122" s="15" t="s">
        <v>117</v>
      </c>
      <c r="U122" s="102">
        <v>5</v>
      </c>
      <c r="V122" s="15" t="s">
        <v>119</v>
      </c>
      <c r="W122" s="102">
        <v>10</v>
      </c>
      <c r="X122" s="15" t="s">
        <v>117</v>
      </c>
      <c r="Y122" s="38">
        <f>IF(SUM(Z122,AB122,AD122)&gt;0,SUM(Z122,AB122,AD122),"")</f>
        <v>45</v>
      </c>
      <c r="Z122" s="107">
        <v>12</v>
      </c>
      <c r="AA122" s="15" t="s">
        <v>130</v>
      </c>
      <c r="AB122" s="16">
        <v>15</v>
      </c>
      <c r="AC122" s="15" t="s">
        <v>125</v>
      </c>
      <c r="AD122" s="16">
        <v>18</v>
      </c>
      <c r="AE122" s="15" t="s">
        <v>176</v>
      </c>
      <c r="AF122" s="38">
        <f t="shared" si="22"/>
        <v>70</v>
      </c>
    </row>
    <row r="123" spans="1:32" s="6" customFormat="1" ht="11.65" hidden="1" outlineLevel="1" x14ac:dyDescent="0.35">
      <c r="A123" s="45"/>
      <c r="B123" s="40"/>
      <c r="C123" s="123"/>
      <c r="D123" s="61" t="str">
        <f>IF(SUM(E123,G123,I123)&gt;0,SUM(E123,G123,I123),"")</f>
        <v/>
      </c>
      <c r="E123" s="17"/>
      <c r="F123" s="73"/>
      <c r="G123" s="19"/>
      <c r="H123" s="23"/>
      <c r="I123" s="19"/>
      <c r="J123" s="31"/>
      <c r="K123" s="61" t="str">
        <f>IF(SUM(L123,N123,P123)&gt;0,SUM(L123,N123,P123),"")</f>
        <v/>
      </c>
      <c r="L123" s="19"/>
      <c r="M123" s="31"/>
      <c r="N123" s="19"/>
      <c r="O123" s="31"/>
      <c r="P123" s="19"/>
      <c r="Q123" s="31"/>
      <c r="R123" s="61" t="str">
        <f>IF(SUM(S123,U123,W123)&gt;0,SUM(S123,U123,W123),"")</f>
        <v/>
      </c>
      <c r="S123" s="19"/>
      <c r="T123" s="23"/>
      <c r="U123" s="110"/>
      <c r="V123" s="23"/>
      <c r="W123" s="110"/>
      <c r="X123" s="23"/>
      <c r="Y123" s="61" t="str">
        <f>IF(SUM(Z123,AB123,AD123)&gt;0,SUM(Z123,AB123,AD123),"")</f>
        <v/>
      </c>
      <c r="Z123" s="103"/>
      <c r="AA123" s="18"/>
      <c r="AB123" s="19"/>
      <c r="AC123" s="31"/>
      <c r="AD123" s="19"/>
      <c r="AE123" s="31"/>
      <c r="AF123" s="54" t="str">
        <f t="shared" si="22"/>
        <v/>
      </c>
    </row>
    <row r="124" spans="1:32" s="6" customFormat="1" ht="11.65" collapsed="1" x14ac:dyDescent="0.35">
      <c r="A124" s="44">
        <v>15</v>
      </c>
      <c r="B124" s="39" t="s">
        <v>16</v>
      </c>
      <c r="C124" s="122" t="s">
        <v>134</v>
      </c>
      <c r="D124" s="60">
        <f>IF(SUM(D125:D128)&gt;0,SUM(D125:D128),"")</f>
        <v>37</v>
      </c>
      <c r="E124" s="4">
        <f>IF(SUM(E125:E128)&gt;0,SUM(E125:E128),"")</f>
        <v>30</v>
      </c>
      <c r="F124" s="72"/>
      <c r="G124" s="5">
        <f>IF(SUM(G125:G128)&gt;0,SUM(G125:G128),"")</f>
        <v>3</v>
      </c>
      <c r="H124" s="72"/>
      <c r="I124" s="5">
        <f>IF(SUM(I125:I128)&gt;0,SUM(I125:I128),"")</f>
        <v>4</v>
      </c>
      <c r="J124" s="67"/>
      <c r="K124" s="60">
        <f>IF(SUM(K125:K128)&gt;0,SUM(K125:K128),"")</f>
        <v>34</v>
      </c>
      <c r="L124" s="5">
        <f>IF(SUM(L125:L128)&gt;0,SUM(L125:L128),"")</f>
        <v>2</v>
      </c>
      <c r="M124" s="67"/>
      <c r="N124" s="5">
        <f>IF(SUM(N125:N128)&gt;0,SUM(N125:N128),"")</f>
        <v>6</v>
      </c>
      <c r="O124" s="67"/>
      <c r="P124" s="5">
        <f>IF(SUM(P125:P128)&gt;0,SUM(P125:P128),"")</f>
        <v>26</v>
      </c>
      <c r="Q124" s="67"/>
      <c r="R124" s="60">
        <f>IF(SUM(R125:R128)&gt;0,SUM(R125:R128),"")</f>
        <v>865</v>
      </c>
      <c r="S124" s="5">
        <f>IF(SUM(S125:S128)&gt;0,SUM(S125:S128),"")</f>
        <v>35</v>
      </c>
      <c r="T124" s="66"/>
      <c r="U124" s="109">
        <f>IF(SUM(U125:U128)&gt;0,SUM(U125:U128),"")</f>
        <v>110</v>
      </c>
      <c r="V124" s="72"/>
      <c r="W124" s="109">
        <f>IF(SUM(W125:W128)&gt;0,SUM(W125:W128),"")</f>
        <v>720</v>
      </c>
      <c r="X124" s="97"/>
      <c r="Y124" s="60">
        <f>IF(SUM(Y125:Y128)&gt;0,SUM(Y125:Y128),"")</f>
        <v>155</v>
      </c>
      <c r="Z124" s="104">
        <f>IF(SUM(Z125:Z128)&gt;0,SUM(Z125:Z128),"")</f>
        <v>50</v>
      </c>
      <c r="AA124" s="72"/>
      <c r="AB124" s="5">
        <f>IF(SUM(AB125:AB128)&gt;0,SUM(AB125:AB128),"")</f>
        <v>55</v>
      </c>
      <c r="AC124" s="72"/>
      <c r="AD124" s="5">
        <f>IF(SUM(AD125:AD128)&gt;0,SUM(AD125:AD128),"")</f>
        <v>50</v>
      </c>
      <c r="AE124" s="84"/>
      <c r="AF124" s="49">
        <f>IF(SUM(AF125:AF128)&gt;0,SUM(AF125:AF128),"")</f>
        <v>1091</v>
      </c>
    </row>
    <row r="125" spans="1:32" s="6" customFormat="1" ht="11.65" hidden="1" outlineLevel="1" x14ac:dyDescent="0.35">
      <c r="A125" s="7"/>
      <c r="B125" s="40" t="s">
        <v>95</v>
      </c>
      <c r="C125" s="123"/>
      <c r="D125" s="36">
        <f>IF(SUM(E125,G125,I125)&gt;0,SUM(E125,G125,I125),"")</f>
        <v>37</v>
      </c>
      <c r="E125" s="8">
        <v>30</v>
      </c>
      <c r="F125" s="56" t="s">
        <v>116</v>
      </c>
      <c r="G125" s="9">
        <v>3</v>
      </c>
      <c r="H125" s="56" t="s">
        <v>118</v>
      </c>
      <c r="I125" s="9">
        <v>4</v>
      </c>
      <c r="J125" s="56" t="s">
        <v>115</v>
      </c>
      <c r="K125" s="36">
        <f>IF(SUM(L125,N125,P125)&gt;0,SUM(L125,N125,P125),"")</f>
        <v>34</v>
      </c>
      <c r="L125" s="9">
        <v>2</v>
      </c>
      <c r="M125" s="56" t="s">
        <v>124</v>
      </c>
      <c r="N125" s="9">
        <v>6</v>
      </c>
      <c r="O125" s="56" t="s">
        <v>120</v>
      </c>
      <c r="P125" s="9">
        <v>26</v>
      </c>
      <c r="Q125" s="56" t="s">
        <v>260</v>
      </c>
      <c r="R125" s="36" t="str">
        <f>IF(SUM(S125,U125,W125)&gt;0,SUM(S125,U125,W125),"")</f>
        <v/>
      </c>
      <c r="S125" s="9"/>
      <c r="T125" s="56"/>
      <c r="U125" s="100"/>
      <c r="V125" s="56"/>
      <c r="W125" s="100"/>
      <c r="X125" s="80"/>
      <c r="Y125" s="36" t="str">
        <f>IF(SUM(Z125,AB125,AD125)&gt;0,SUM(Z125,AB125,AD125),"")</f>
        <v/>
      </c>
      <c r="Z125" s="105"/>
      <c r="AA125" s="56"/>
      <c r="AB125" s="9"/>
      <c r="AC125" s="74"/>
      <c r="AD125" s="9"/>
      <c r="AE125" s="82"/>
      <c r="AF125" s="36">
        <f>IF(SUM(D125,K125,R125,Y125)&gt;0,SUM(D125,K125,R125,Y125),"")</f>
        <v>71</v>
      </c>
    </row>
    <row r="126" spans="1:32" s="6" customFormat="1" ht="29.25" hidden="1" outlineLevel="1" x14ac:dyDescent="0.35">
      <c r="A126" s="7"/>
      <c r="B126" s="40"/>
      <c r="C126" s="123"/>
      <c r="D126" s="37" t="str">
        <f>IF(SUM(E126,G126,I126)&gt;0,SUM(E126,G126,I126),"")</f>
        <v/>
      </c>
      <c r="E126" s="10"/>
      <c r="F126" s="11"/>
      <c r="G126" s="12"/>
      <c r="H126" s="13"/>
      <c r="I126" s="121"/>
      <c r="J126" s="32"/>
      <c r="K126" s="37" t="str">
        <f>IF(SUM(L126,N126,P126)&gt;0,SUM(L126,N126,P126),"")</f>
        <v/>
      </c>
      <c r="L126" s="12"/>
      <c r="M126" s="33"/>
      <c r="N126" s="12"/>
      <c r="O126" s="33"/>
      <c r="P126" s="12"/>
      <c r="Q126" s="32"/>
      <c r="R126" s="37">
        <f>IF(SUM(S126,U126,W126)&gt;0,SUM(S126,U126,W126),"")</f>
        <v>760</v>
      </c>
      <c r="S126" s="12"/>
      <c r="T126" s="33"/>
      <c r="U126" s="101">
        <v>80</v>
      </c>
      <c r="V126" s="32" t="s">
        <v>277</v>
      </c>
      <c r="W126" s="101">
        <v>680</v>
      </c>
      <c r="X126" s="32" t="s">
        <v>283</v>
      </c>
      <c r="Y126" s="37" t="str">
        <f>IF(SUM(Z126,AB126,AD126)&gt;0,SUM(Z126,AB126,AD126),"")</f>
        <v/>
      </c>
      <c r="Z126" s="106"/>
      <c r="AA126" s="32"/>
      <c r="AB126" s="12"/>
      <c r="AC126" s="11"/>
      <c r="AD126" s="12"/>
      <c r="AE126" s="33"/>
      <c r="AF126" s="37">
        <f>IF(SUM(D126,K126,R126,Y126)&gt;0,SUM(D126,K126,R126,Y126),"")</f>
        <v>760</v>
      </c>
    </row>
    <row r="127" spans="1:32" s="6" customFormat="1" ht="11.65" hidden="1" outlineLevel="1" x14ac:dyDescent="0.35">
      <c r="A127" s="7"/>
      <c r="B127" s="40"/>
      <c r="C127" s="123"/>
      <c r="D127" s="38" t="str">
        <f>IF(SUM(E127,G127,I127)&gt;0,SUM(E127,G127,I127),"")</f>
        <v/>
      </c>
      <c r="E127" s="14"/>
      <c r="F127" s="21"/>
      <c r="G127" s="16"/>
      <c r="H127" s="15"/>
      <c r="I127" s="16"/>
      <c r="J127" s="15"/>
      <c r="K127" s="38" t="str">
        <f>IF(SUM(L127,N127,P127)&gt;0,SUM(L127,N127,P127),"")</f>
        <v/>
      </c>
      <c r="L127" s="14"/>
      <c r="M127" s="15"/>
      <c r="N127" s="16"/>
      <c r="O127" s="15"/>
      <c r="P127" s="16"/>
      <c r="Q127" s="15"/>
      <c r="R127" s="38">
        <f>IF(SUM(S127,U127,W127)&gt;0,SUM(S127,U127,W127),"")</f>
        <v>105</v>
      </c>
      <c r="S127" s="16">
        <v>35</v>
      </c>
      <c r="T127" s="15" t="s">
        <v>123</v>
      </c>
      <c r="U127" s="102">
        <v>30</v>
      </c>
      <c r="V127" s="15" t="s">
        <v>116</v>
      </c>
      <c r="W127" s="102">
        <v>40</v>
      </c>
      <c r="X127" s="15" t="s">
        <v>114</v>
      </c>
      <c r="Y127" s="38">
        <f>IF(SUM(Z127,AB127,AD127)&gt;0,SUM(Z127,AB127,AD127),"")</f>
        <v>155</v>
      </c>
      <c r="Z127" s="107">
        <v>50</v>
      </c>
      <c r="AA127" s="15" t="s">
        <v>113</v>
      </c>
      <c r="AB127" s="16">
        <v>55</v>
      </c>
      <c r="AC127" s="15" t="s">
        <v>206</v>
      </c>
      <c r="AD127" s="16">
        <v>50</v>
      </c>
      <c r="AE127" s="15" t="s">
        <v>113</v>
      </c>
      <c r="AF127" s="38">
        <f>IF(SUM(D127,K127,R127,Y127)&gt;0,SUM(D127,K127,R127,Y127),"")</f>
        <v>260</v>
      </c>
    </row>
    <row r="128" spans="1:32" s="6" customFormat="1" ht="11.65" hidden="1" outlineLevel="1" x14ac:dyDescent="0.35">
      <c r="A128" s="45"/>
      <c r="B128" s="40"/>
      <c r="C128" s="123"/>
      <c r="D128" s="61" t="str">
        <f>IF(SUM(E128,G128,I128)&gt;0,SUM(E128,G128,I128),"")</f>
        <v/>
      </c>
      <c r="E128" s="17"/>
      <c r="F128" s="23"/>
      <c r="G128" s="19"/>
      <c r="H128" s="23"/>
      <c r="I128" s="19"/>
      <c r="J128" s="31"/>
      <c r="K128" s="61" t="str">
        <f>IF(SUM(L128,N128,P128)&gt;0,SUM(L128,N128,P128),"")</f>
        <v/>
      </c>
      <c r="L128" s="19"/>
      <c r="M128" s="31"/>
      <c r="N128" s="19"/>
      <c r="O128" s="31"/>
      <c r="P128" s="19"/>
      <c r="Q128" s="31"/>
      <c r="R128" s="61" t="str">
        <f>IF(SUM(S128,U128,W128)&gt;0,SUM(S128,U128,W128),"")</f>
        <v/>
      </c>
      <c r="S128" s="19"/>
      <c r="T128" s="31"/>
      <c r="U128" s="110"/>
      <c r="V128" s="31"/>
      <c r="W128" s="110"/>
      <c r="X128" s="31"/>
      <c r="Y128" s="61" t="str">
        <f>IF(SUM(Z128,AB128,AD128)&gt;0,SUM(Z128,AB128,AD128),"")</f>
        <v/>
      </c>
      <c r="Z128" s="103"/>
      <c r="AA128" s="31"/>
      <c r="AB128" s="19"/>
      <c r="AC128" s="31"/>
      <c r="AD128" s="19"/>
      <c r="AE128" s="31"/>
      <c r="AF128" s="54" t="str">
        <f>IF(SUM(D128,K128,R128,Y128)&gt;0,SUM(D128,K128,R128,Y128),"")</f>
        <v/>
      </c>
    </row>
    <row r="129" spans="1:32" s="6" customFormat="1" ht="11.65" collapsed="1" x14ac:dyDescent="0.35">
      <c r="A129" s="44">
        <v>16</v>
      </c>
      <c r="B129" s="39" t="s">
        <v>17</v>
      </c>
      <c r="C129" s="122" t="s">
        <v>134</v>
      </c>
      <c r="D129" s="60">
        <f>IF(SUM(D130:D133)&gt;0,SUM(D130:D133),"")</f>
        <v>2</v>
      </c>
      <c r="E129" s="4" t="str">
        <f>IF(SUM(E130:E133)&gt;0,SUM(E130:E133),"")</f>
        <v/>
      </c>
      <c r="F129" s="66"/>
      <c r="G129" s="5">
        <f>IF(SUM(G130:G138)&gt;0,SUM(G130:G138),"")</f>
        <v>2</v>
      </c>
      <c r="H129" s="72"/>
      <c r="I129" s="5" t="str">
        <f>IF(SUM(I130:I138)&gt;0,SUM(I130:I138),"")</f>
        <v/>
      </c>
      <c r="J129" s="67"/>
      <c r="K129" s="60">
        <f>IF(SUM(K130:K133)&gt;0,SUM(K130:K133),"")</f>
        <v>25</v>
      </c>
      <c r="L129" s="5">
        <f>IF(SUM(L130:L138)&gt;0,SUM(L130:L138),"")</f>
        <v>10</v>
      </c>
      <c r="M129" s="67"/>
      <c r="N129" s="5">
        <f>IF(SUM(N130:N133)&gt;0,SUM(N130:N133),"")</f>
        <v>6</v>
      </c>
      <c r="O129" s="67"/>
      <c r="P129" s="5">
        <f>IF(SUM(P130:P133)&gt;0,SUM(P130:P133),"")</f>
        <v>19</v>
      </c>
      <c r="Q129" s="67"/>
      <c r="R129" s="60">
        <f>IF(SUM(R130:R133)&gt;0,SUM(R130:R133),"")</f>
        <v>93</v>
      </c>
      <c r="S129" s="5">
        <f>IF(SUM(S130:S133)&gt;0,SUM(S130:S133),"")</f>
        <v>7</v>
      </c>
      <c r="T129" s="66"/>
      <c r="U129" s="109">
        <f>IF(SUM(U130:U133)&gt;0,SUM(U130:U133),"")</f>
        <v>66</v>
      </c>
      <c r="V129" s="72"/>
      <c r="W129" s="109">
        <f>IF(SUM(W130:W133)&gt;0,SUM(W130:W133),"")</f>
        <v>20</v>
      </c>
      <c r="X129" s="97"/>
      <c r="Y129" s="60">
        <f>IF(SUM(Y130:Y133)&gt;0,SUM(Y130:Y133),"")</f>
        <v>50</v>
      </c>
      <c r="Z129" s="104">
        <f>IF(SUM(Z130:Z133)&gt;0,SUM(Z130:Z133),"")</f>
        <v>15</v>
      </c>
      <c r="AA129" s="72"/>
      <c r="AB129" s="5">
        <f>IF(SUM(AB130:AB133)&gt;0,SUM(AB130:AB133),"")</f>
        <v>20</v>
      </c>
      <c r="AC129" s="72"/>
      <c r="AD129" s="5">
        <f>IF(SUM(AD130:AD133)&gt;0,SUM(AD130:AD133),"")</f>
        <v>15</v>
      </c>
      <c r="AE129" s="84"/>
      <c r="AF129" s="49">
        <f>IF(SUM(AF130:AF133)&gt;0,SUM(AF130:AF133),"")</f>
        <v>170</v>
      </c>
    </row>
    <row r="130" spans="1:32" s="6" customFormat="1" ht="11.65" hidden="1" outlineLevel="1" x14ac:dyDescent="0.35">
      <c r="A130" s="7"/>
      <c r="B130" s="40" t="s">
        <v>96</v>
      </c>
      <c r="C130" s="123"/>
      <c r="D130" s="36">
        <f>IF(SUM(E130,G130,I130)&gt;0,SUM(E130,G130,I130),"")</f>
        <v>2</v>
      </c>
      <c r="E130" s="8"/>
      <c r="F130" s="56"/>
      <c r="G130" s="9">
        <v>2</v>
      </c>
      <c r="H130" s="79" t="s">
        <v>124</v>
      </c>
      <c r="I130" s="9"/>
      <c r="J130" s="80"/>
      <c r="K130" s="36">
        <f>IF(SUM(L130,N130,P130)&gt;0,SUM(L130,N130,P130),"")</f>
        <v>25</v>
      </c>
      <c r="L130" s="9"/>
      <c r="M130" s="80"/>
      <c r="N130" s="9">
        <v>6</v>
      </c>
      <c r="O130" s="80" t="s">
        <v>120</v>
      </c>
      <c r="P130" s="9">
        <v>19</v>
      </c>
      <c r="Q130" s="80" t="s">
        <v>269</v>
      </c>
      <c r="R130" s="36" t="str">
        <f>IF(SUM(S130,U130,W130)&gt;0,SUM(S130,U130,W130),"")</f>
        <v/>
      </c>
      <c r="S130" s="9"/>
      <c r="T130" s="80"/>
      <c r="U130" s="100"/>
      <c r="V130" s="55"/>
      <c r="W130" s="100"/>
      <c r="X130" s="80"/>
      <c r="Y130" s="36" t="str">
        <f>IF(SUM(Z130,AB130,AD130)&gt;0,SUM(Z130,AB130,AD130),"")</f>
        <v/>
      </c>
      <c r="Z130" s="105"/>
      <c r="AA130" s="74"/>
      <c r="AB130" s="9"/>
      <c r="AC130" s="74"/>
      <c r="AD130" s="9"/>
      <c r="AE130" s="82"/>
      <c r="AF130" s="36">
        <f>IF(SUM(D130,K130,R130,Y130)&gt;0,SUM(D130,K130,R130,Y130),"")</f>
        <v>27</v>
      </c>
    </row>
    <row r="131" spans="1:32" s="6" customFormat="1" ht="29.25" hidden="1" outlineLevel="1" x14ac:dyDescent="0.35">
      <c r="A131" s="7"/>
      <c r="B131" s="40"/>
      <c r="C131" s="123"/>
      <c r="D131" s="37" t="str">
        <f>IF(SUM(E131,G131,I131)&gt;0,SUM(E131,G131,I131),"")</f>
        <v/>
      </c>
      <c r="E131" s="10"/>
      <c r="F131" s="11"/>
      <c r="G131" s="12"/>
      <c r="H131" s="63"/>
      <c r="I131" s="12"/>
      <c r="J131" s="33"/>
      <c r="K131" s="37" t="str">
        <f>IF(SUM(L131,N131,P131)&gt;0,SUM(L131,N131,P131),"")</f>
        <v/>
      </c>
      <c r="L131" s="12"/>
      <c r="M131" s="33"/>
      <c r="N131" s="12"/>
      <c r="O131" s="33"/>
      <c r="P131" s="12"/>
      <c r="Q131" s="33"/>
      <c r="R131" s="37">
        <f>IF(SUM(S131,U131,W131)&gt;0,SUM(S131,U131,W131),"")</f>
        <v>56</v>
      </c>
      <c r="S131" s="12"/>
      <c r="T131" s="13"/>
      <c r="U131" s="101">
        <v>56</v>
      </c>
      <c r="V131" s="32" t="s">
        <v>278</v>
      </c>
      <c r="W131" s="101"/>
      <c r="X131" s="32"/>
      <c r="Y131" s="37" t="str">
        <f>IF(SUM(Z131,AB131,AD131)&gt;0,SUM(Z131,AB131,AD131),"")</f>
        <v/>
      </c>
      <c r="Z131" s="106"/>
      <c r="AA131" s="32"/>
      <c r="AB131" s="12"/>
      <c r="AC131" s="13"/>
      <c r="AD131" s="12"/>
      <c r="AE131" s="33"/>
      <c r="AF131" s="37">
        <f>IF(SUM(D131,K131,R131,Y131)&gt;0,SUM(D131,K131,R131,Y131),"")</f>
        <v>56</v>
      </c>
    </row>
    <row r="132" spans="1:32" s="6" customFormat="1" ht="11.65" hidden="1" outlineLevel="1" x14ac:dyDescent="0.35">
      <c r="A132" s="7"/>
      <c r="B132" s="40"/>
      <c r="C132" s="123"/>
      <c r="D132" s="38" t="str">
        <f>IF(SUM(E132,G132,I132)&gt;0,SUM(E132,G132,I132),"")</f>
        <v/>
      </c>
      <c r="E132" s="14"/>
      <c r="F132" s="21"/>
      <c r="G132" s="16"/>
      <c r="H132" s="15"/>
      <c r="I132" s="16"/>
      <c r="J132" s="15"/>
      <c r="K132" s="38" t="str">
        <f>IF(SUM(L132,N132,P132)&gt;0,SUM(L132,N132,P132),"")</f>
        <v/>
      </c>
      <c r="L132" s="14"/>
      <c r="M132" s="15"/>
      <c r="N132" s="16"/>
      <c r="O132" s="15"/>
      <c r="P132" s="16"/>
      <c r="Q132" s="15"/>
      <c r="R132" s="38">
        <f>IF(SUM(S132,U132,W132)&gt;0,SUM(S132,U132,W132),"")</f>
        <v>37</v>
      </c>
      <c r="S132" s="16">
        <v>7</v>
      </c>
      <c r="T132" s="15" t="s">
        <v>126</v>
      </c>
      <c r="U132" s="102">
        <v>10</v>
      </c>
      <c r="V132" s="15" t="s">
        <v>117</v>
      </c>
      <c r="W132" s="102">
        <v>20</v>
      </c>
      <c r="X132" s="15" t="s">
        <v>121</v>
      </c>
      <c r="Y132" s="38">
        <f>IF(SUM(Z132,AB132,AD132)&gt;0,SUM(Z132,AB132,AD132),"")</f>
        <v>50</v>
      </c>
      <c r="Z132" s="107">
        <v>15</v>
      </c>
      <c r="AA132" s="15" t="s">
        <v>125</v>
      </c>
      <c r="AB132" s="16">
        <v>20</v>
      </c>
      <c r="AC132" s="15" t="s">
        <v>121</v>
      </c>
      <c r="AD132" s="16">
        <v>15</v>
      </c>
      <c r="AE132" s="15" t="s">
        <v>125</v>
      </c>
      <c r="AF132" s="38">
        <f t="shared" si="22"/>
        <v>87</v>
      </c>
    </row>
    <row r="133" spans="1:32" s="6" customFormat="1" ht="11.65" hidden="1" outlineLevel="1" x14ac:dyDescent="0.35">
      <c r="A133" s="7"/>
      <c r="B133" s="40"/>
      <c r="C133" s="123"/>
      <c r="D133" s="87" t="str">
        <f>IF(SUM(E133,G133,I133)&gt;0,SUM(E133,G133,I133),"")</f>
        <v/>
      </c>
      <c r="E133" s="88"/>
      <c r="F133" s="89"/>
      <c r="G133" s="90"/>
      <c r="H133" s="23"/>
      <c r="I133" s="90"/>
      <c r="J133" s="92"/>
      <c r="K133" s="87" t="str">
        <f t="shared" ref="K133" si="24">IF(SUM(L133,N133,P133)&gt;0,SUM(L133,N133,P133),"")</f>
        <v/>
      </c>
      <c r="L133" s="90"/>
      <c r="M133" s="92"/>
      <c r="N133" s="90"/>
      <c r="O133" s="31"/>
      <c r="P133" s="90"/>
      <c r="Q133" s="93"/>
      <c r="R133" s="87" t="str">
        <f>IF(SUM(S133,U133,W133)&gt;0,SUM(S133,U133,W133),"")</f>
        <v/>
      </c>
      <c r="S133" s="90"/>
      <c r="T133" s="31"/>
      <c r="U133" s="110"/>
      <c r="V133" s="31"/>
      <c r="W133" s="110"/>
      <c r="X133" s="99"/>
      <c r="Y133" s="87" t="str">
        <f>IF(SUM(Z133,AB133,AD133)&gt;0,SUM(Z133,AB133,AD133),"")</f>
        <v/>
      </c>
      <c r="Z133" s="108"/>
      <c r="AA133" s="18"/>
      <c r="AB133" s="19"/>
      <c r="AC133" s="18"/>
      <c r="AD133" s="19"/>
      <c r="AE133" s="92"/>
      <c r="AF133" s="61" t="str">
        <f>IF(SUM(D133,K133,R133,Y133)&gt;0,SUM(D133,K133,R133,Y133),"")</f>
        <v/>
      </c>
    </row>
    <row r="134" spans="1:32" s="6" customFormat="1" ht="12" collapsed="1" thickBot="1" x14ac:dyDescent="0.4">
      <c r="A134" s="44">
        <v>17</v>
      </c>
      <c r="B134" s="39" t="s">
        <v>42</v>
      </c>
      <c r="C134" s="122" t="s">
        <v>134</v>
      </c>
      <c r="D134" s="60" t="str">
        <f>IF(SUM(D135:D138)&gt;0,SUM(D135:D138),"")</f>
        <v/>
      </c>
      <c r="E134" s="4" t="str">
        <f>IF(SUM(E135:E138)&gt;0,SUM(E135:E138),"")</f>
        <v/>
      </c>
      <c r="F134" s="72"/>
      <c r="G134" s="5"/>
      <c r="H134" s="72"/>
      <c r="I134" s="5" t="str">
        <f>IF(SUM(I135:I138)&gt;0,SUM(I135:I138),"")</f>
        <v/>
      </c>
      <c r="J134" s="67"/>
      <c r="K134" s="60">
        <f>IF(SUM(K135:K138)&gt;0,SUM(K135:K138),"")</f>
        <v>7</v>
      </c>
      <c r="L134" s="5">
        <f>IF(SUM(L135:L138)&gt;0,SUM(L135:L138),"")</f>
        <v>5</v>
      </c>
      <c r="M134" s="67"/>
      <c r="N134" s="5" t="str">
        <f>IF(SUM(N135:N138)&gt;0,SUM(N135:N138),"")</f>
        <v/>
      </c>
      <c r="O134" s="67"/>
      <c r="P134" s="5">
        <f>IF(SUM(P135:P138)&gt;0,SUM(P135:P138),"")</f>
        <v>2</v>
      </c>
      <c r="Q134" s="67"/>
      <c r="R134" s="60" t="str">
        <f>IF(SUM(R135:R138)&gt;0,SUM(R135:R138),"")</f>
        <v/>
      </c>
      <c r="S134" s="5" t="str">
        <f>IF(SUM(S135:S138)&gt;0,SUM(S135:S138),"")</f>
        <v/>
      </c>
      <c r="T134" s="66"/>
      <c r="U134" s="116" t="str">
        <f>IF(SUM(U135:U138)&gt;0,SUM(U135:U138),"")</f>
        <v/>
      </c>
      <c r="V134" s="72"/>
      <c r="W134" s="109" t="str">
        <f>IF(SUM(W135:W138)&gt;0,SUM(W135:W138),"")</f>
        <v/>
      </c>
      <c r="X134" s="97"/>
      <c r="Y134" s="60">
        <f>IF(SUM(Y135:Y138)&gt;0,SUM(Y135:Y138),"")</f>
        <v>4</v>
      </c>
      <c r="Z134" s="104">
        <f>IF(SUM(Z135:Z138)&gt;0,SUM(Z135:Z138),"")</f>
        <v>4</v>
      </c>
      <c r="AA134" s="72"/>
      <c r="AB134" s="5" t="str">
        <f>IF(SUM(AB135:AB138)&gt;0,SUM(AB135:AB138),"")</f>
        <v/>
      </c>
      <c r="AC134" s="72"/>
      <c r="AD134" s="5" t="str">
        <f>IF(SUM(AD135:AD138)&gt;0,SUM(AD135:AD138),"")</f>
        <v/>
      </c>
      <c r="AE134" s="84"/>
      <c r="AF134" s="49">
        <f>IF(SUM(AF135:AF138)&gt;0,SUM(AF135:AF138),"")</f>
        <v>11</v>
      </c>
    </row>
    <row r="135" spans="1:32" s="6" customFormat="1" ht="11.65" hidden="1" outlineLevel="1" x14ac:dyDescent="0.35">
      <c r="A135" s="7"/>
      <c r="B135" s="40" t="s">
        <v>97</v>
      </c>
      <c r="C135" s="123"/>
      <c r="D135" s="36" t="str">
        <f>IF(SUM(E135,G135,I135)&gt;0,SUM(E135,G135,I135),"")</f>
        <v/>
      </c>
      <c r="E135" s="8"/>
      <c r="F135" s="56"/>
      <c r="G135" s="9"/>
      <c r="H135" s="74"/>
      <c r="I135" s="9"/>
      <c r="J135" s="80"/>
      <c r="K135" s="36">
        <f t="shared" ref="K135:K136" si="25">IF(SUM(L135,N135,P135)&gt;0,SUM(L135,N135,P135),"")</f>
        <v>7</v>
      </c>
      <c r="L135" s="9">
        <v>5</v>
      </c>
      <c r="M135" s="80" t="s">
        <v>119</v>
      </c>
      <c r="N135" s="9"/>
      <c r="O135" s="80"/>
      <c r="P135" s="9">
        <v>2</v>
      </c>
      <c r="Q135" s="55" t="s">
        <v>124</v>
      </c>
      <c r="R135" s="36" t="str">
        <f>IF(SUM(S135,U135,W135)&gt;0,SUM(S135,U135,W135),"")</f>
        <v/>
      </c>
      <c r="S135" s="9"/>
      <c r="T135" s="56"/>
      <c r="U135" s="9"/>
      <c r="V135" s="56"/>
      <c r="W135" s="100"/>
      <c r="X135" s="117"/>
      <c r="Y135" s="36" t="str">
        <f>IF(SUM(Z135,AB135,AD135)&gt;0,SUM(Z135,AB135,AD135),"")</f>
        <v/>
      </c>
      <c r="Z135" s="105"/>
      <c r="AA135" s="74"/>
      <c r="AB135" s="9"/>
      <c r="AC135" s="74"/>
      <c r="AD135" s="9"/>
      <c r="AE135" s="82"/>
      <c r="AF135" s="36">
        <f t="shared" ref="AF135:AF137" si="26">IF(SUM(D135,K135,R135,Y135)&gt;0,SUM(D135,K135,R135,Y135),"")</f>
        <v>7</v>
      </c>
    </row>
    <row r="136" spans="1:32" s="6" customFormat="1" ht="11.65" hidden="1" outlineLevel="1" x14ac:dyDescent="0.35">
      <c r="A136" s="7"/>
      <c r="B136" s="40"/>
      <c r="C136" s="123"/>
      <c r="D136" s="37" t="str">
        <f>IF(SUM(E136,G136,I136)&gt;0,SUM(E136,G136,I136),"")</f>
        <v/>
      </c>
      <c r="E136" s="10"/>
      <c r="F136" s="11"/>
      <c r="G136" s="12"/>
      <c r="H136" s="11"/>
      <c r="I136" s="12"/>
      <c r="J136" s="33"/>
      <c r="K136" s="37" t="str">
        <f t="shared" si="25"/>
        <v/>
      </c>
      <c r="L136" s="12"/>
      <c r="M136" s="33"/>
      <c r="N136" s="12"/>
      <c r="O136" s="33"/>
      <c r="P136" s="12"/>
      <c r="Q136" s="33"/>
      <c r="R136" s="37" t="str">
        <f>IF(SUM(S136,U136,W136)&gt;0,SUM(S136,U136,W136),"")</f>
        <v/>
      </c>
      <c r="S136" s="12"/>
      <c r="T136" s="13"/>
      <c r="U136" s="12"/>
      <c r="V136" s="13"/>
      <c r="W136" s="12"/>
      <c r="X136" s="111"/>
      <c r="Y136" s="37" t="str">
        <f>IF(SUM(Z136,AB136,AD136)&gt;0,SUM(Z136,AB136,AD136),"")</f>
        <v/>
      </c>
      <c r="Z136" s="106"/>
      <c r="AA136" s="32"/>
      <c r="AB136" s="12"/>
      <c r="AC136" s="63"/>
      <c r="AD136" s="12"/>
      <c r="AE136" s="83"/>
      <c r="AF136" s="37" t="str">
        <f t="shared" si="26"/>
        <v/>
      </c>
    </row>
    <row r="137" spans="1:32" s="6" customFormat="1" ht="11.65" hidden="1" outlineLevel="1" x14ac:dyDescent="0.35">
      <c r="A137" s="7"/>
      <c r="B137" s="40"/>
      <c r="C137" s="123"/>
      <c r="D137" s="38" t="str">
        <f>IF(SUM(E137,G137,I137)&gt;0,SUM(E137,G137,I137),"")</f>
        <v/>
      </c>
      <c r="E137" s="14"/>
      <c r="F137" s="21"/>
      <c r="G137" s="16"/>
      <c r="H137" s="21"/>
      <c r="I137" s="16"/>
      <c r="J137" s="15"/>
      <c r="K137" s="38" t="str">
        <f>IF(SUM(L137,N137,P137)&gt;0,SUM(L137,N137,P137),"")</f>
        <v/>
      </c>
      <c r="L137" s="14"/>
      <c r="M137" s="21"/>
      <c r="N137" s="16"/>
      <c r="O137" s="15"/>
      <c r="P137" s="16"/>
      <c r="Q137" s="21"/>
      <c r="R137" s="38" t="str">
        <f>IF(SUM(S137,U137,W137)&gt;0,SUM(S137,U137,W137),"")</f>
        <v/>
      </c>
      <c r="S137" s="16"/>
      <c r="T137" s="21"/>
      <c r="U137" s="16"/>
      <c r="V137" s="15"/>
      <c r="W137" s="16"/>
      <c r="X137" s="98"/>
      <c r="Y137" s="38">
        <f>IF(SUM(Z137,AB137,AD137)&gt;0,SUM(Z137,AB137,AD137),"")</f>
        <v>4</v>
      </c>
      <c r="Z137" s="107">
        <v>4</v>
      </c>
      <c r="AA137" s="15" t="s">
        <v>115</v>
      </c>
      <c r="AB137" s="16"/>
      <c r="AC137" s="21"/>
      <c r="AD137" s="16"/>
      <c r="AE137" s="86"/>
      <c r="AF137" s="38">
        <f t="shared" si="26"/>
        <v>4</v>
      </c>
    </row>
    <row r="138" spans="1:32" s="6" customFormat="1" ht="12" hidden="1" outlineLevel="1" thickBot="1" x14ac:dyDescent="0.4">
      <c r="A138" s="46"/>
      <c r="B138" s="47"/>
      <c r="C138" s="124"/>
      <c r="D138" s="87" t="str">
        <f>IF(SUM(E138,G138,I138)&gt;0,SUM(E138,G138,I138),"")</f>
        <v/>
      </c>
      <c r="E138" s="88"/>
      <c r="F138" s="89"/>
      <c r="G138" s="90"/>
      <c r="H138" s="91"/>
      <c r="I138" s="90"/>
      <c r="J138" s="92"/>
      <c r="K138" s="87" t="str">
        <f>IF(SUM(L138,N138,P138)&gt;0,SUM(L138,N138,P138),"")</f>
        <v/>
      </c>
      <c r="L138" s="90"/>
      <c r="M138" s="92"/>
      <c r="N138" s="90"/>
      <c r="O138" s="92"/>
      <c r="P138" s="90"/>
      <c r="Q138" s="92"/>
      <c r="R138" s="87" t="str">
        <f>IF(SUM(S138,U138,W138)&gt;0,SUM(S138,U138,W138),"")</f>
        <v/>
      </c>
      <c r="S138" s="90"/>
      <c r="T138" s="93"/>
      <c r="U138" s="90"/>
      <c r="V138" s="93"/>
      <c r="W138" s="90"/>
      <c r="X138" s="94"/>
      <c r="Y138" s="87" t="str">
        <f>IF(SUM(Z138,AB138,AD138)&gt;0,SUM(Z138,AB138,AD138),"")</f>
        <v/>
      </c>
      <c r="Z138" s="90"/>
      <c r="AA138" s="92"/>
      <c r="AB138" s="90"/>
      <c r="AC138" s="92"/>
      <c r="AD138" s="90"/>
      <c r="AE138" s="94"/>
      <c r="AF138" s="61" t="str">
        <f>IF(SUM(D138,K138,R138,Y138)&gt;0,SUM(D138,K138,R138,Y138),"")</f>
        <v/>
      </c>
    </row>
    <row r="139" spans="1:32" s="3" customFormat="1" ht="13.15" x14ac:dyDescent="0.25">
      <c r="A139" s="50"/>
      <c r="B139" s="51" t="s">
        <v>47</v>
      </c>
      <c r="C139" s="51"/>
      <c r="D139" s="59"/>
      <c r="E139" s="52"/>
      <c r="F139" s="71"/>
      <c r="G139" s="52"/>
      <c r="H139" s="71"/>
      <c r="I139" s="52"/>
      <c r="J139" s="65"/>
      <c r="K139" s="59"/>
      <c r="L139" s="52"/>
      <c r="M139" s="65"/>
      <c r="N139" s="52"/>
      <c r="O139" s="65"/>
      <c r="P139" s="52"/>
      <c r="Q139" s="65"/>
      <c r="R139" s="59"/>
      <c r="S139" s="52"/>
      <c r="T139" s="65"/>
      <c r="U139" s="52"/>
      <c r="V139" s="71"/>
      <c r="W139" s="52"/>
      <c r="X139" s="71"/>
      <c r="Y139" s="59"/>
      <c r="Z139" s="52"/>
      <c r="AA139" s="71"/>
      <c r="AB139" s="52"/>
      <c r="AC139" s="71"/>
      <c r="AD139" s="52"/>
      <c r="AE139" s="71"/>
      <c r="AF139" s="53"/>
    </row>
    <row r="140" spans="1:32" s="6" customFormat="1" ht="11.65" collapsed="1" x14ac:dyDescent="0.35">
      <c r="A140" s="44">
        <v>1</v>
      </c>
      <c r="B140" s="39" t="s">
        <v>48</v>
      </c>
      <c r="C140" s="122" t="s">
        <v>134</v>
      </c>
      <c r="D140" s="60">
        <f>IF(SUM(D141:D144)&gt;0,SUM(D141:D144),"")</f>
        <v>5</v>
      </c>
      <c r="E140" s="4" t="str">
        <f>IF(SUM(E141:E144)&gt;0,SUM(E141:E144),"")</f>
        <v/>
      </c>
      <c r="F140" s="72"/>
      <c r="G140" s="5" t="str">
        <f>IF(SUM(G141:G144)&gt;0,SUM(G141:G144),"")</f>
        <v/>
      </c>
      <c r="H140" s="72"/>
      <c r="I140" s="5">
        <f>IF(SUM(I141:I144)&gt;0,SUM(I141:I144),"")</f>
        <v>5</v>
      </c>
      <c r="J140" s="67"/>
      <c r="K140" s="60" t="str">
        <f>IF(SUM(K141:K144)&gt;0,SUM(K141:K144),"")</f>
        <v/>
      </c>
      <c r="L140" s="5" t="str">
        <f>IF(SUM(L141:L144)&gt;0,SUM(L141:L144),"")</f>
        <v/>
      </c>
      <c r="M140" s="66"/>
      <c r="N140" s="5" t="str">
        <f t="shared" ref="N140" si="27">IF(SUM(N141:N144)&gt;0,SUM(N141:N144),"")</f>
        <v/>
      </c>
      <c r="O140" s="66"/>
      <c r="P140" s="5" t="str">
        <f t="shared" ref="P140" si="28">IF(SUM(P141:P144)&gt;0,SUM(P141:P144),"")</f>
        <v/>
      </c>
      <c r="Q140" s="66"/>
      <c r="R140" s="60">
        <f>IF(SUM(R141:R144)&gt;0,SUM(R141:R144),"")</f>
        <v>9</v>
      </c>
      <c r="S140" s="5" t="str">
        <f t="shared" ref="S140" si="29">IF(SUM(S141:S144)&gt;0,SUM(S141:S144),"")</f>
        <v/>
      </c>
      <c r="T140" s="66"/>
      <c r="U140" s="5" t="str">
        <f t="shared" ref="U140" si="30">IF(SUM(U141:U144)&gt;0,SUM(U141:U144),"")</f>
        <v/>
      </c>
      <c r="V140" s="72"/>
      <c r="W140" s="5">
        <f t="shared" ref="W140" si="31">IF(SUM(W141:W144)&gt;0,SUM(W141:W144),"")</f>
        <v>9</v>
      </c>
      <c r="X140" s="72"/>
      <c r="Y140" s="60">
        <f>IF(SUM(Y141:Y144)&gt;0,SUM(Y141:Y144),"")</f>
        <v>16</v>
      </c>
      <c r="Z140" s="5">
        <f t="shared" ref="Z140" si="32">IF(SUM(Z141:Z144)&gt;0,SUM(Z141:Z144),"")</f>
        <v>10</v>
      </c>
      <c r="AA140" s="72"/>
      <c r="AB140" s="5">
        <f t="shared" ref="AB140" si="33">IF(SUM(AB141:AB144)&gt;0,SUM(AB141:AB144),"")</f>
        <v>3</v>
      </c>
      <c r="AC140" s="72"/>
      <c r="AD140" s="5">
        <f t="shared" ref="AD140" si="34">IF(SUM(AD141:AD144)&gt;0,SUM(AD141:AD144),"")</f>
        <v>3</v>
      </c>
      <c r="AE140" s="84"/>
      <c r="AF140" s="49">
        <f>IF(SUM(AF141:AF144)&gt;0,SUM(AF141:AF144),"")</f>
        <v>30</v>
      </c>
    </row>
    <row r="141" spans="1:32" s="6" customFormat="1" ht="11.65" hidden="1" outlineLevel="1" x14ac:dyDescent="0.35">
      <c r="A141" s="7"/>
      <c r="B141" s="40" t="s">
        <v>98</v>
      </c>
      <c r="C141" s="123"/>
      <c r="D141" s="36">
        <f>IF(SUM(E141,G141,I141)&gt;0,SUM(E141,G141,I141),"")</f>
        <v>5</v>
      </c>
      <c r="E141" s="8"/>
      <c r="F141" s="79"/>
      <c r="G141" s="9"/>
      <c r="H141" s="79"/>
      <c r="I141" s="9">
        <v>5</v>
      </c>
      <c r="J141" s="80" t="s">
        <v>119</v>
      </c>
      <c r="K141" s="36" t="str">
        <f>IF(SUM(L141,N141,P141)&gt;0,SUM(L141,N141,P141),"")</f>
        <v/>
      </c>
      <c r="L141" s="9"/>
      <c r="M141" s="80"/>
      <c r="N141" s="9"/>
      <c r="O141" s="80"/>
      <c r="P141" s="9"/>
      <c r="Q141" s="80"/>
      <c r="R141" s="36" t="str">
        <f>IF(SUM(S141,U141,W141)&gt;0,SUM(S141,U141,W141),"")</f>
        <v/>
      </c>
      <c r="S141" s="9"/>
      <c r="T141" s="80"/>
      <c r="U141" s="9"/>
      <c r="V141" s="80"/>
      <c r="W141" s="9"/>
      <c r="X141" s="80"/>
      <c r="Y141" s="36" t="str">
        <f>IF(SUM(Z141,AB141,AD141)&gt;0,SUM(Z141,AB141,AD141),"")</f>
        <v/>
      </c>
      <c r="Z141" s="9"/>
      <c r="AA141" s="82"/>
      <c r="AB141" s="9"/>
      <c r="AC141" s="82"/>
      <c r="AD141" s="9"/>
      <c r="AE141" s="82"/>
      <c r="AF141" s="36">
        <f>IF(SUM(D141,K141,R141,Y141)&gt;0,SUM(D141,K141,R141,Y141),"")</f>
        <v>5</v>
      </c>
    </row>
    <row r="142" spans="1:32" s="6" customFormat="1" ht="11.65" hidden="1" outlineLevel="1" x14ac:dyDescent="0.35">
      <c r="A142" s="7"/>
      <c r="B142" s="40"/>
      <c r="C142" s="123"/>
      <c r="D142" s="37" t="str">
        <f>IF(SUM(E142,G142,I142)&gt;0,SUM(E142,G142,I142),"")</f>
        <v/>
      </c>
      <c r="E142" s="10"/>
      <c r="F142" s="11"/>
      <c r="G142" s="12"/>
      <c r="H142" s="11"/>
      <c r="I142" s="12"/>
      <c r="J142" s="32"/>
      <c r="K142" s="37" t="str">
        <f>IF(SUM(L142,N142,P142)&gt;0,SUM(L142,N142,P142),"")</f>
        <v/>
      </c>
      <c r="L142" s="12"/>
      <c r="M142" s="32"/>
      <c r="N142" s="12"/>
      <c r="O142" s="32"/>
      <c r="P142" s="12"/>
      <c r="Q142" s="32"/>
      <c r="R142" s="37" t="str">
        <f>IF(SUM(S142,U142,W142)&gt;0,SUM(S142,U142,W142),"")</f>
        <v/>
      </c>
      <c r="S142" s="12"/>
      <c r="T142" s="32"/>
      <c r="U142" s="12"/>
      <c r="V142" s="32"/>
      <c r="W142" s="12"/>
      <c r="X142" s="32"/>
      <c r="Y142" s="37" t="str">
        <f>IF(SUM(Z142,AB142,AD142)&gt;0,SUM(Z142,AB142,AD142),"")</f>
        <v/>
      </c>
      <c r="Z142" s="12"/>
      <c r="AA142" s="83"/>
      <c r="AB142" s="12"/>
      <c r="AC142" s="83"/>
      <c r="AD142" s="12"/>
      <c r="AE142" s="83"/>
      <c r="AF142" s="37" t="str">
        <f t="shared" ref="AF142:AF144" si="35">IF(SUM(D142,K142,R142,Y142)&gt;0,SUM(D142,K142,R142,Y142),"")</f>
        <v/>
      </c>
    </row>
    <row r="143" spans="1:32" s="6" customFormat="1" ht="19.5" hidden="1" outlineLevel="1" x14ac:dyDescent="0.35">
      <c r="A143" s="7"/>
      <c r="B143" s="40"/>
      <c r="C143" s="123"/>
      <c r="D143" s="38" t="str">
        <f>IF(SUM(E143,G143,I143)&gt;0,SUM(E143,G143,I143),"")</f>
        <v/>
      </c>
      <c r="E143" s="14"/>
      <c r="F143" s="15"/>
      <c r="G143" s="16"/>
      <c r="H143" s="15"/>
      <c r="I143" s="16"/>
      <c r="J143" s="28"/>
      <c r="K143" s="38" t="str">
        <f>IF(SUM(L143,N143,P143)&gt;0,SUM(L143,N143,P143),"")</f>
        <v/>
      </c>
      <c r="L143" s="14"/>
      <c r="M143" s="15"/>
      <c r="N143" s="16"/>
      <c r="O143" s="15"/>
      <c r="P143" s="16"/>
      <c r="Q143" s="15"/>
      <c r="R143" s="38">
        <f>IF(SUM(S143,U143,W143)&gt;0,SUM(S143,U143,W143),"")</f>
        <v>9</v>
      </c>
      <c r="S143" s="16"/>
      <c r="T143" s="15"/>
      <c r="U143" s="16"/>
      <c r="V143" s="15"/>
      <c r="W143" s="16">
        <v>9</v>
      </c>
      <c r="X143" s="15" t="s">
        <v>296</v>
      </c>
      <c r="Y143" s="38">
        <f>IF(SUM(Z143,AB143,AD143)&gt;0,SUM(Z143,AB143,AD143),"")</f>
        <v>16</v>
      </c>
      <c r="Z143" s="16">
        <v>10</v>
      </c>
      <c r="AA143" s="28" t="s">
        <v>298</v>
      </c>
      <c r="AB143" s="16">
        <v>3</v>
      </c>
      <c r="AC143" s="15" t="s">
        <v>118</v>
      </c>
      <c r="AD143" s="16">
        <v>3</v>
      </c>
      <c r="AE143" s="15" t="s">
        <v>118</v>
      </c>
      <c r="AF143" s="38">
        <f t="shared" si="35"/>
        <v>25</v>
      </c>
    </row>
    <row r="144" spans="1:32" s="6" customFormat="1" ht="11.65" hidden="1" outlineLevel="1" x14ac:dyDescent="0.35">
      <c r="A144" s="45"/>
      <c r="B144" s="40"/>
      <c r="C144" s="123"/>
      <c r="D144" s="61" t="str">
        <f>IF(SUM(E144,G144,I144)&gt;0,SUM(E144,G144,I144),"")</f>
        <v/>
      </c>
      <c r="E144" s="17"/>
      <c r="F144" s="23"/>
      <c r="G144" s="19"/>
      <c r="H144" s="18"/>
      <c r="I144" s="19"/>
      <c r="J144" s="29"/>
      <c r="K144" s="61" t="str">
        <f>IF(SUM(L144,N144,P144)&gt;0,SUM(L144,N144,P144),"")</f>
        <v/>
      </c>
      <c r="L144" s="19"/>
      <c r="M144" s="18"/>
      <c r="N144" s="19"/>
      <c r="O144" s="29"/>
      <c r="P144" s="19"/>
      <c r="Q144" s="29"/>
      <c r="R144" s="61" t="str">
        <f>IF(SUM(S144,U144,W144)&gt;0,SUM(S144,U144,W144),"")</f>
        <v/>
      </c>
      <c r="S144" s="19"/>
      <c r="T144" s="29"/>
      <c r="U144" s="19"/>
      <c r="V144" s="115"/>
      <c r="W144" s="19"/>
      <c r="X144" s="115"/>
      <c r="Y144" s="61" t="str">
        <f>IF(SUM(Z144,AB144,AD144)&gt;0,SUM(Z144,AB144,AD144),"")</f>
        <v/>
      </c>
      <c r="Z144" s="19"/>
      <c r="AA144" s="29"/>
      <c r="AB144" s="19"/>
      <c r="AC144" s="29"/>
      <c r="AD144" s="19"/>
      <c r="AE144" s="29"/>
      <c r="AF144" s="54" t="str">
        <f t="shared" si="35"/>
        <v/>
      </c>
    </row>
    <row r="145" spans="1:32" s="6" customFormat="1" ht="11.65" collapsed="1" x14ac:dyDescent="0.35">
      <c r="A145" s="44">
        <v>2</v>
      </c>
      <c r="B145" s="39" t="s">
        <v>49</v>
      </c>
      <c r="C145" s="122" t="s">
        <v>134</v>
      </c>
      <c r="D145" s="60">
        <f>IF(SUM(D146:D149)&gt;0,SUM(D146:D149),"")</f>
        <v>16</v>
      </c>
      <c r="E145" s="4" t="str">
        <f>IF(SUM(E146:E149)&gt;0,SUM(E146:E149),"")</f>
        <v/>
      </c>
      <c r="F145" s="72"/>
      <c r="G145" s="5">
        <f>IF(SUM(G146:G154)&gt;0,SUM(G146:G154),"")</f>
        <v>15</v>
      </c>
      <c r="H145" s="66"/>
      <c r="I145" s="5">
        <f>IF(SUM(I146:I149)&gt;0,SUM(I146:I149),"")</f>
        <v>1</v>
      </c>
      <c r="J145" s="67"/>
      <c r="K145" s="60">
        <f>IF(SUM(K146:K149)&gt;0,SUM(K146:K149),"")</f>
        <v>40</v>
      </c>
      <c r="L145" s="5" t="str">
        <f>IF(SUM(L146:L149)&gt;0,SUM(L146:L149),"")</f>
        <v/>
      </c>
      <c r="M145" s="67"/>
      <c r="N145" s="5">
        <f>IF(SUM(N146:N149)&gt;0,SUM(N146:N149),"")</f>
        <v>1</v>
      </c>
      <c r="O145" s="67"/>
      <c r="P145" s="5">
        <f>IF(SUM(P146:P149)&gt;0,SUM(P146:P149),"")</f>
        <v>39</v>
      </c>
      <c r="Q145" s="67"/>
      <c r="R145" s="60">
        <f>IF(SUM(R146:R149)&gt;0,SUM(R146:R149),"")</f>
        <v>10</v>
      </c>
      <c r="S145" s="5" t="str">
        <f>IF(SUM(S146:S149)&gt;0,SUM(S146:S149),"")</f>
        <v/>
      </c>
      <c r="T145" s="67"/>
      <c r="U145" s="5" t="str">
        <f>IF(SUM(U146:U149)&gt;0,SUM(U146:U149),"")</f>
        <v/>
      </c>
      <c r="V145" s="84"/>
      <c r="W145" s="5">
        <f>IF(SUM(W146:W149)&gt;0,SUM(W146:W149),"")</f>
        <v>10</v>
      </c>
      <c r="X145" s="84"/>
      <c r="Y145" s="60">
        <f>IF(SUM(Y146:Y149)&gt;0,SUM(Y146:Y149),"")</f>
        <v>67</v>
      </c>
      <c r="Z145" s="5">
        <f>IF(SUM(Z146:Z149)&gt;0,SUM(Z146:Z149),"")</f>
        <v>22</v>
      </c>
      <c r="AA145" s="84"/>
      <c r="AB145" s="5">
        <f>IF(SUM(AB146:AB149)&gt;0,SUM(AB146:AB149),"")</f>
        <v>40</v>
      </c>
      <c r="AC145" s="84"/>
      <c r="AD145" s="5">
        <f>IF(SUM(AD146:AD149)&gt;0,SUM(AD146:AD149),"")</f>
        <v>5</v>
      </c>
      <c r="AE145" s="84"/>
      <c r="AF145" s="49">
        <f>IF(SUM(AF146:AF149)&gt;0,SUM(AF146:AF149),"")</f>
        <v>133</v>
      </c>
    </row>
    <row r="146" spans="1:32" s="6" customFormat="1" ht="19.5" hidden="1" outlineLevel="1" x14ac:dyDescent="0.35">
      <c r="A146" s="7"/>
      <c r="B146" s="40" t="s">
        <v>99</v>
      </c>
      <c r="C146" s="123"/>
      <c r="D146" s="36">
        <f>IF(SUM(E146,G146,I146)&gt;0,SUM(E146,G146,I146),"")</f>
        <v>16</v>
      </c>
      <c r="E146" s="8"/>
      <c r="F146" s="56"/>
      <c r="G146" s="9">
        <v>15</v>
      </c>
      <c r="H146" s="79" t="s">
        <v>209</v>
      </c>
      <c r="I146" s="9">
        <v>1</v>
      </c>
      <c r="J146" s="80" t="s">
        <v>127</v>
      </c>
      <c r="K146" s="36">
        <f>IF(SUM(L146,N146,P146)&gt;0,SUM(L146,N146,P146),"")</f>
        <v>40</v>
      </c>
      <c r="L146" s="9"/>
      <c r="M146" s="80"/>
      <c r="N146" s="9">
        <v>1</v>
      </c>
      <c r="O146" s="80" t="s">
        <v>127</v>
      </c>
      <c r="P146" s="9">
        <v>39</v>
      </c>
      <c r="Q146" s="55" t="s">
        <v>210</v>
      </c>
      <c r="R146" s="36" t="str">
        <f>IF(SUM(S146,U146,W146)&gt;0,SUM(S146,U146,W146),"")</f>
        <v/>
      </c>
      <c r="S146" s="9"/>
      <c r="T146" s="80"/>
      <c r="U146" s="9"/>
      <c r="V146" s="55"/>
      <c r="W146" s="9"/>
      <c r="X146" s="55"/>
      <c r="Y146" s="36" t="str">
        <f>IF(SUM(Z146,AB146,AD146)&gt;0,SUM(Z146,AB146,AD146),"")</f>
        <v/>
      </c>
      <c r="Z146" s="9"/>
      <c r="AA146" s="82"/>
      <c r="AB146" s="9"/>
      <c r="AC146" s="82"/>
      <c r="AD146" s="9"/>
      <c r="AE146" s="82"/>
      <c r="AF146" s="36">
        <f t="shared" ref="AF146:AF149" si="36">IF(SUM(D146,K146,R146,Y146)&gt;0,SUM(D146,K146,R146,Y146),"")</f>
        <v>56</v>
      </c>
    </row>
    <row r="147" spans="1:32" s="6" customFormat="1" ht="11.65" hidden="1" outlineLevel="1" x14ac:dyDescent="0.35">
      <c r="A147" s="7"/>
      <c r="B147" s="40"/>
      <c r="C147" s="123"/>
      <c r="D147" s="37" t="str">
        <f>IF(SUM(E147,G147,I147)&gt;0,SUM(E147,G147,I147),"")</f>
        <v/>
      </c>
      <c r="E147" s="10"/>
      <c r="F147" s="11"/>
      <c r="G147" s="12"/>
      <c r="H147" s="11"/>
      <c r="I147" s="12"/>
      <c r="J147" s="32"/>
      <c r="K147" s="37" t="str">
        <f>IF(SUM(L147,N147,P147)&gt;0,SUM(L147,N147,P147),"")</f>
        <v/>
      </c>
      <c r="L147" s="12"/>
      <c r="M147" s="32"/>
      <c r="N147" s="12"/>
      <c r="O147" s="32"/>
      <c r="P147" s="12"/>
      <c r="Q147" s="32"/>
      <c r="R147" s="37" t="str">
        <f>IF(SUM(S147,U147,W147)&gt;0,SUM(S147,U147,W147),"")</f>
        <v/>
      </c>
      <c r="S147" s="12"/>
      <c r="T147" s="32"/>
      <c r="U147" s="12"/>
      <c r="V147" s="32"/>
      <c r="W147" s="12"/>
      <c r="X147" s="32"/>
      <c r="Y147" s="37" t="str">
        <f>IF(SUM(Z147,AB147,AD147)&gt;0,SUM(Z147,AB147,AD147),"")</f>
        <v/>
      </c>
      <c r="Z147" s="12"/>
      <c r="AA147" s="33"/>
      <c r="AB147" s="12"/>
      <c r="AC147" s="33"/>
      <c r="AD147" s="12"/>
      <c r="AE147" s="83"/>
      <c r="AF147" s="37" t="str">
        <f t="shared" si="36"/>
        <v/>
      </c>
    </row>
    <row r="148" spans="1:32" s="6" customFormat="1" ht="11.65" hidden="1" outlineLevel="1" x14ac:dyDescent="0.35">
      <c r="A148" s="7"/>
      <c r="B148" s="40"/>
      <c r="C148" s="123"/>
      <c r="D148" s="38" t="str">
        <f>IF(SUM(E148,G148,I148)&gt;0,SUM(E148,G148,I148),"")</f>
        <v/>
      </c>
      <c r="E148" s="14"/>
      <c r="F148" s="15"/>
      <c r="G148" s="16"/>
      <c r="H148" s="15"/>
      <c r="I148" s="16"/>
      <c r="J148" s="28"/>
      <c r="K148" s="38" t="str">
        <f>IF(SUM(L148,N148,P148)&gt;0,SUM(L148,N148,P148),"")</f>
        <v/>
      </c>
      <c r="L148" s="14"/>
      <c r="M148" s="15"/>
      <c r="N148" s="16"/>
      <c r="O148" s="15"/>
      <c r="P148" s="16"/>
      <c r="Q148" s="28"/>
      <c r="R148" s="38">
        <f>IF(SUM(S148,U148,W148)&gt;0,SUM(S148,U148,W148),"")</f>
        <v>10</v>
      </c>
      <c r="S148" s="16"/>
      <c r="T148" s="15"/>
      <c r="U148" s="16"/>
      <c r="V148" s="15"/>
      <c r="W148" s="16">
        <v>10</v>
      </c>
      <c r="X148" s="15" t="s">
        <v>117</v>
      </c>
      <c r="Y148" s="38">
        <f>IF(SUM(Z148,AB148,AD148)&gt;0,SUM(Z148,AB148,AD148),"")</f>
        <v>37</v>
      </c>
      <c r="Z148" s="16">
        <v>22</v>
      </c>
      <c r="AA148" s="28" t="s">
        <v>295</v>
      </c>
      <c r="AB148" s="16">
        <v>10</v>
      </c>
      <c r="AC148" s="15" t="s">
        <v>117</v>
      </c>
      <c r="AD148" s="16">
        <v>5</v>
      </c>
      <c r="AE148" s="15" t="s">
        <v>119</v>
      </c>
      <c r="AF148" s="38">
        <f t="shared" si="36"/>
        <v>47</v>
      </c>
    </row>
    <row r="149" spans="1:32" s="6" customFormat="1" ht="11.65" hidden="1" outlineLevel="1" x14ac:dyDescent="0.35">
      <c r="A149" s="45"/>
      <c r="B149" s="40"/>
      <c r="C149" s="123"/>
      <c r="D149" s="61" t="str">
        <f>IF(SUM(E149,G149,I149)&gt;0,SUM(E149,G149,I149),"")</f>
        <v/>
      </c>
      <c r="E149" s="17"/>
      <c r="F149" s="73"/>
      <c r="G149" s="19"/>
      <c r="H149" s="18"/>
      <c r="I149" s="19"/>
      <c r="J149" s="29"/>
      <c r="K149" s="61" t="str">
        <f>IF(SUM(L149,N149,P149)&gt;0,SUM(L149,N149,P149),"")</f>
        <v/>
      </c>
      <c r="L149" s="19"/>
      <c r="M149" s="18"/>
      <c r="N149" s="19"/>
      <c r="O149" s="29"/>
      <c r="P149" s="19"/>
      <c r="Q149" s="29"/>
      <c r="R149" s="61" t="str">
        <f>IF(SUM(S149,U149,W149)&gt;0,SUM(S149,U149,W149),"")</f>
        <v/>
      </c>
      <c r="S149" s="19"/>
      <c r="T149" s="29"/>
      <c r="U149" s="19"/>
      <c r="V149" s="115"/>
      <c r="W149" s="19"/>
      <c r="X149" s="115"/>
      <c r="Y149" s="61">
        <f>IF(SUM(Z149,AB149,AD149)&gt;0,SUM(Z149,AB149,AD149),"")</f>
        <v>30</v>
      </c>
      <c r="Z149" s="19"/>
      <c r="AA149" s="29"/>
      <c r="AB149" s="19">
        <v>30</v>
      </c>
      <c r="AC149" s="29" t="s">
        <v>350</v>
      </c>
      <c r="AD149" s="19"/>
      <c r="AE149" s="29"/>
      <c r="AF149" s="54">
        <f t="shared" si="36"/>
        <v>30</v>
      </c>
    </row>
    <row r="150" spans="1:32" s="6" customFormat="1" ht="11.65" collapsed="1" x14ac:dyDescent="0.35">
      <c r="A150" s="44">
        <v>3</v>
      </c>
      <c r="B150" s="39" t="s">
        <v>105</v>
      </c>
      <c r="C150" s="122" t="s">
        <v>135</v>
      </c>
      <c r="D150" s="60" t="str">
        <f>IF(SUM(D151:D154)&gt;0,SUM(D151:D154),"")</f>
        <v/>
      </c>
      <c r="E150" s="4" t="str">
        <f>IF(SUM(E151:E154)&gt;0,SUM(E151:E154),"")</f>
        <v/>
      </c>
      <c r="F150" s="72"/>
      <c r="G150" s="5"/>
      <c r="H150" s="66"/>
      <c r="I150" s="5" t="str">
        <f>IF(SUM(I151:I154)&gt;0,SUM(I151:I154),"")</f>
        <v/>
      </c>
      <c r="J150" s="67"/>
      <c r="K150" s="60" t="str">
        <f>IF(SUM(K151:K154)&gt;0,SUM(K151:K154),"")</f>
        <v/>
      </c>
      <c r="L150" s="5" t="str">
        <f>IF(SUM(L151:L154)&gt;0,SUM(L151:L154),"")</f>
        <v/>
      </c>
      <c r="M150" s="67"/>
      <c r="N150" s="5" t="str">
        <f>IF(SUM(N151:N154)&gt;0,SUM(N151:N154),"")</f>
        <v/>
      </c>
      <c r="O150" s="67"/>
      <c r="P150" s="5" t="str">
        <f>IF(SUM(P151:P154)&gt;0,SUM(P151:P154),"")</f>
        <v/>
      </c>
      <c r="Q150" s="67"/>
      <c r="R150" s="60" t="str">
        <f>IF(SUM(R151:R154)&gt;0,SUM(R151:R154),"")</f>
        <v/>
      </c>
      <c r="S150" s="5" t="str">
        <f>IF(SUM(S151:S154)&gt;0,SUM(S151:S154),"")</f>
        <v/>
      </c>
      <c r="T150" s="67"/>
      <c r="U150" s="5" t="str">
        <f>IF(SUM(U151:U154)&gt;0,SUM(U151:U154),"")</f>
        <v/>
      </c>
      <c r="V150" s="84"/>
      <c r="W150" s="5" t="str">
        <f>IF(SUM(W151:W154)&gt;0,SUM(W151:W154),"")</f>
        <v/>
      </c>
      <c r="X150" s="84"/>
      <c r="Y150" s="60" t="str">
        <f>IF(SUM(Y151:Y154)&gt;0,SUM(Y151:Y154),"")</f>
        <v/>
      </c>
      <c r="Z150" s="5" t="str">
        <f>IF(SUM(Z151:Z154)&gt;0,SUM(Z151:Z154),"")</f>
        <v/>
      </c>
      <c r="AA150" s="84"/>
      <c r="AB150" s="5" t="str">
        <f>IF(SUM(AB151:AB154)&gt;0,SUM(AB151:AB154),"")</f>
        <v/>
      </c>
      <c r="AC150" s="84"/>
      <c r="AD150" s="5" t="str">
        <f>IF(SUM(AD151:AD154)&gt;0,SUM(AD151:AD154),"")</f>
        <v/>
      </c>
      <c r="AE150" s="84"/>
      <c r="AF150" s="49" t="str">
        <f>IF(SUM(AF151:AF154)&gt;0,SUM(AF151:AF154),"")</f>
        <v/>
      </c>
    </row>
    <row r="151" spans="1:32" s="6" customFormat="1" ht="11.65" hidden="1" outlineLevel="1" x14ac:dyDescent="0.35">
      <c r="A151" s="7"/>
      <c r="B151" s="40" t="s">
        <v>107</v>
      </c>
      <c r="C151" s="123"/>
      <c r="D151" s="36" t="str">
        <f>IF(SUM(E151,G151,I151)&gt;0,SUM(E151,G151,I151),"")</f>
        <v/>
      </c>
      <c r="E151" s="8"/>
      <c r="F151" s="56"/>
      <c r="G151" s="9"/>
      <c r="H151" s="79"/>
      <c r="I151" s="9"/>
      <c r="J151" s="80"/>
      <c r="K151" s="36" t="str">
        <f>IF(SUM(L151,N151,P151)&gt;0,SUM(L151,N151,P151),"")</f>
        <v/>
      </c>
      <c r="L151" s="9"/>
      <c r="M151" s="80"/>
      <c r="N151" s="9"/>
      <c r="O151" s="80"/>
      <c r="P151" s="9"/>
      <c r="Q151" s="55"/>
      <c r="R151" s="36" t="str">
        <f>IF(SUM(S151,U151,W151)&gt;0,SUM(S151,U151,W151),"")</f>
        <v/>
      </c>
      <c r="S151" s="9"/>
      <c r="T151" s="80"/>
      <c r="U151" s="9"/>
      <c r="V151" s="55"/>
      <c r="W151" s="9"/>
      <c r="X151" s="82"/>
      <c r="Y151" s="36" t="str">
        <f>IF(SUM(Z151,AB151,AD151)&gt;0,SUM(Z151,AB151,AD151),"")</f>
        <v/>
      </c>
      <c r="Z151" s="9"/>
      <c r="AA151" s="82"/>
      <c r="AB151" s="9"/>
      <c r="AC151" s="82"/>
      <c r="AD151" s="9"/>
      <c r="AE151" s="82"/>
      <c r="AF151" s="36" t="str">
        <f t="shared" ref="AF151:AF154" si="37">IF(SUM(D151,K151,R151,Y151)&gt;0,SUM(D151,K151,R151,Y151),"")</f>
        <v/>
      </c>
    </row>
    <row r="152" spans="1:32" s="6" customFormat="1" ht="11.65" hidden="1" outlineLevel="1" x14ac:dyDescent="0.35">
      <c r="A152" s="7"/>
      <c r="B152" s="40"/>
      <c r="C152" s="123"/>
      <c r="D152" s="37" t="str">
        <f>IF(SUM(E152,G152,I152)&gt;0,SUM(E152,G152,I152),"")</f>
        <v/>
      </c>
      <c r="E152" s="10"/>
      <c r="F152" s="11"/>
      <c r="G152" s="12"/>
      <c r="H152" s="11"/>
      <c r="I152" s="12"/>
      <c r="J152" s="32"/>
      <c r="K152" s="37" t="str">
        <f>IF(SUM(L152,N152,P152)&gt;0,SUM(L152,N152,P152),"")</f>
        <v/>
      </c>
      <c r="L152" s="12"/>
      <c r="M152" s="32"/>
      <c r="N152" s="12"/>
      <c r="O152" s="32"/>
      <c r="P152" s="12"/>
      <c r="Q152" s="32"/>
      <c r="R152" s="37" t="str">
        <f>IF(SUM(S152,U152,W152)&gt;0,SUM(S152,U152,W152),"")</f>
        <v/>
      </c>
      <c r="S152" s="12"/>
      <c r="T152" s="32"/>
      <c r="U152" s="12"/>
      <c r="V152" s="32"/>
      <c r="W152" s="12"/>
      <c r="X152" s="32"/>
      <c r="Y152" s="37" t="str">
        <f>IF(SUM(Z152,AB152,AD152)&gt;0,SUM(Z152,AB152,AD152),"")</f>
        <v/>
      </c>
      <c r="Z152" s="12"/>
      <c r="AA152" s="83"/>
      <c r="AB152" s="12"/>
      <c r="AC152" s="83"/>
      <c r="AD152" s="12"/>
      <c r="AE152" s="83"/>
      <c r="AF152" s="37" t="str">
        <f t="shared" si="37"/>
        <v/>
      </c>
    </row>
    <row r="153" spans="1:32" s="6" customFormat="1" ht="11.65" hidden="1" outlineLevel="1" x14ac:dyDescent="0.35">
      <c r="A153" s="7"/>
      <c r="B153" s="40"/>
      <c r="C153" s="123"/>
      <c r="D153" s="38" t="str">
        <f>IF(SUM(E153,G153,I153)&gt;0,SUM(E153,G153,I153),"")</f>
        <v/>
      </c>
      <c r="E153" s="14"/>
      <c r="F153" s="15"/>
      <c r="G153" s="16"/>
      <c r="H153" s="15"/>
      <c r="I153" s="16"/>
      <c r="J153" s="28"/>
      <c r="K153" s="38" t="str">
        <f>IF(SUM(L153,N153,P153)&gt;0,SUM(L153,N153,P153),"")</f>
        <v/>
      </c>
      <c r="L153" s="14"/>
      <c r="M153" s="15"/>
      <c r="N153" s="16"/>
      <c r="O153" s="15"/>
      <c r="P153" s="16"/>
      <c r="Q153" s="28"/>
      <c r="R153" s="38" t="str">
        <f>IF(SUM(S153,U153,W153)&gt;0,SUM(S153,U153,W153),"")</f>
        <v/>
      </c>
      <c r="S153" s="16"/>
      <c r="T153" s="28"/>
      <c r="U153" s="16"/>
      <c r="V153" s="28"/>
      <c r="W153" s="16"/>
      <c r="X153" s="15"/>
      <c r="Y153" s="38" t="str">
        <f>IF(SUM(Z153,AB153,AD153)&gt;0,SUM(Z153,AB153,AD153),"")</f>
        <v/>
      </c>
      <c r="Z153" s="16"/>
      <c r="AA153" s="28"/>
      <c r="AB153" s="16"/>
      <c r="AC153" s="28"/>
      <c r="AD153" s="16"/>
      <c r="AE153" s="28"/>
      <c r="AF153" s="38" t="str">
        <f t="shared" si="37"/>
        <v/>
      </c>
    </row>
    <row r="154" spans="1:32" s="6" customFormat="1" ht="11.65" hidden="1" outlineLevel="1" x14ac:dyDescent="0.35">
      <c r="A154" s="45"/>
      <c r="B154" s="40"/>
      <c r="C154" s="123"/>
      <c r="D154" s="61" t="str">
        <f>IF(SUM(E154,G154,I154)&gt;0,SUM(E154,G154,I154),"")</f>
        <v/>
      </c>
      <c r="E154" s="17"/>
      <c r="F154" s="73"/>
      <c r="G154" s="19"/>
      <c r="H154" s="18"/>
      <c r="I154" s="19"/>
      <c r="J154" s="29"/>
      <c r="K154" s="61" t="str">
        <f>IF(SUM(L154,N154,P154)&gt;0,SUM(L154,N154,P154),"")</f>
        <v/>
      </c>
      <c r="L154" s="19"/>
      <c r="M154" s="18"/>
      <c r="N154" s="19"/>
      <c r="O154" s="29"/>
      <c r="P154" s="19"/>
      <c r="Q154" s="29"/>
      <c r="R154" s="61" t="str">
        <f>IF(SUM(S154,U154,W154)&gt;0,SUM(S154,U154,W154),"")</f>
        <v/>
      </c>
      <c r="S154" s="19"/>
      <c r="T154" s="29"/>
      <c r="U154" s="19"/>
      <c r="V154" s="115"/>
      <c r="W154" s="19"/>
      <c r="X154" s="115"/>
      <c r="Y154" s="61" t="str">
        <f>IF(SUM(Z154,AB154,AD154)&gt;0,SUM(Z154,AB154,AD154),"")</f>
        <v/>
      </c>
      <c r="Z154" s="19"/>
      <c r="AA154" s="29"/>
      <c r="AB154" s="19"/>
      <c r="AC154" s="29"/>
      <c r="AD154" s="19"/>
      <c r="AE154" s="29"/>
      <c r="AF154" s="54" t="str">
        <f t="shared" si="37"/>
        <v/>
      </c>
    </row>
    <row r="155" spans="1:32" s="6" customFormat="1" ht="11.65" collapsed="1" x14ac:dyDescent="0.35">
      <c r="A155" s="44">
        <v>4</v>
      </c>
      <c r="B155" s="39" t="s">
        <v>50</v>
      </c>
      <c r="C155" s="122" t="s">
        <v>134</v>
      </c>
      <c r="D155" s="60">
        <f>IF(SUM(D156:D159)&gt;0,SUM(D156:D159),"")</f>
        <v>9</v>
      </c>
      <c r="E155" s="4" t="str">
        <f>IF(SUM(E156:E159)&gt;0,SUM(E156:E159),"")</f>
        <v/>
      </c>
      <c r="F155" s="72"/>
      <c r="G155" s="5">
        <f>IF(SUM(G156:G159)&gt;0,SUM(G156:G159),"")</f>
        <v>4</v>
      </c>
      <c r="H155" s="66"/>
      <c r="I155" s="5">
        <f>IF(SUM(I156:I159)&gt;0,SUM(I156:I159),"")</f>
        <v>5</v>
      </c>
      <c r="J155" s="67"/>
      <c r="K155" s="60">
        <f>IF(SUM(K156:K159)&gt;0,SUM(K156:K159),"")</f>
        <v>40</v>
      </c>
      <c r="L155" s="5" t="str">
        <f>IF(SUM(L156:L159)&gt;0,SUM(L156:L159),"")</f>
        <v/>
      </c>
      <c r="M155" s="67"/>
      <c r="N155" s="5">
        <f>IF(SUM(N156:N159)&gt;0,SUM(N156:N159),"")</f>
        <v>1</v>
      </c>
      <c r="O155" s="67"/>
      <c r="P155" s="5">
        <f>IF(SUM(P156:P159)&gt;0,SUM(P156:P159),"")</f>
        <v>39</v>
      </c>
      <c r="Q155" s="67"/>
      <c r="R155" s="60">
        <f>IF(SUM(R156:R159)&gt;0,SUM(R156:R159),"")</f>
        <v>19</v>
      </c>
      <c r="S155" s="5" t="str">
        <f>IF(SUM(S156:S159)&gt;0,SUM(S156:S159),"")</f>
        <v/>
      </c>
      <c r="T155" s="67"/>
      <c r="U155" s="5" t="str">
        <f>IF(SUM(U156:U159)&gt;0,SUM(U156:U159),"")</f>
        <v/>
      </c>
      <c r="V155" s="84"/>
      <c r="W155" s="5">
        <f>IF(SUM(W156:W159)&gt;0,SUM(W156:W159),"")</f>
        <v>19</v>
      </c>
      <c r="X155" s="84"/>
      <c r="Y155" s="60">
        <f>IF(SUM(Y156:Y159)&gt;0,SUM(Y156:Y159),"")</f>
        <v>80</v>
      </c>
      <c r="Z155" s="5">
        <f>IF(SUM(Z156:Z159)&gt;0,SUM(Z156:Z159),"")</f>
        <v>29</v>
      </c>
      <c r="AA155" s="84"/>
      <c r="AB155" s="5">
        <f>IF(SUM(AB156:AB159)&gt;0,SUM(AB156:AB159),"")</f>
        <v>43</v>
      </c>
      <c r="AC155" s="84"/>
      <c r="AD155" s="5">
        <f>IF(SUM(AD156:AD159)&gt;0,SUM(AD156:AD159),"")</f>
        <v>8</v>
      </c>
      <c r="AE155" s="84"/>
      <c r="AF155" s="49">
        <f>IF(SUM(AF156:AF159)&gt;0,SUM(AF156:AF159),"")</f>
        <v>148</v>
      </c>
    </row>
    <row r="156" spans="1:32" s="6" customFormat="1" ht="11.65" hidden="1" outlineLevel="1" x14ac:dyDescent="0.35">
      <c r="A156" s="7"/>
      <c r="B156" s="40" t="s">
        <v>106</v>
      </c>
      <c r="C156" s="123"/>
      <c r="D156" s="36">
        <f>IF(SUM(E156,G156,I156)&gt;0,SUM(E156,G156,I156),"")</f>
        <v>9</v>
      </c>
      <c r="E156" s="8"/>
      <c r="F156" s="56"/>
      <c r="G156" s="9">
        <v>4</v>
      </c>
      <c r="H156" s="79" t="s">
        <v>115</v>
      </c>
      <c r="I156" s="9">
        <v>5</v>
      </c>
      <c r="J156" s="80" t="s">
        <v>119</v>
      </c>
      <c r="K156" s="36">
        <f>IF(SUM(L156,N156,P156)&gt;0,SUM(L156,N156,P156),"")</f>
        <v>40</v>
      </c>
      <c r="L156" s="9"/>
      <c r="M156" s="80"/>
      <c r="N156" s="9">
        <v>1</v>
      </c>
      <c r="O156" s="80" t="s">
        <v>127</v>
      </c>
      <c r="P156" s="9">
        <v>39</v>
      </c>
      <c r="Q156" s="55" t="s">
        <v>210</v>
      </c>
      <c r="R156" s="36" t="str">
        <f>IF(SUM(S156,U156,W156)&gt;0,SUM(S156,U156,W156),"")</f>
        <v/>
      </c>
      <c r="S156" s="9"/>
      <c r="T156" s="80"/>
      <c r="U156" s="9"/>
      <c r="V156" s="80"/>
      <c r="W156" s="9"/>
      <c r="X156" s="80"/>
      <c r="Y156" s="36" t="str">
        <f>IF(SUM(Z156,AB156,AD156)&gt;0,SUM(Z156,AB156,AD156),"")</f>
        <v/>
      </c>
      <c r="Z156" s="9"/>
      <c r="AA156" s="82"/>
      <c r="AB156" s="9"/>
      <c r="AC156" s="82"/>
      <c r="AD156" s="9"/>
      <c r="AE156" s="82"/>
      <c r="AF156" s="36">
        <f t="shared" ref="AF156:AF159" si="38">IF(SUM(D156,K156,R156,Y156)&gt;0,SUM(D156,K156,R156,Y156),"")</f>
        <v>49</v>
      </c>
    </row>
    <row r="157" spans="1:32" s="6" customFormat="1" ht="11.65" hidden="1" outlineLevel="1" x14ac:dyDescent="0.35">
      <c r="A157" s="7"/>
      <c r="B157" s="40"/>
      <c r="C157" s="123"/>
      <c r="D157" s="37" t="str">
        <f>IF(SUM(E157,G157,I157)&gt;0,SUM(E157,G157,I157),"")</f>
        <v/>
      </c>
      <c r="E157" s="10"/>
      <c r="F157" s="11"/>
      <c r="G157" s="12"/>
      <c r="H157" s="11"/>
      <c r="I157" s="12"/>
      <c r="J157" s="32"/>
      <c r="K157" s="37" t="str">
        <f>IF(SUM(L157,N157,P157)&gt;0,SUM(L157,N157,P157),"")</f>
        <v/>
      </c>
      <c r="L157" s="12"/>
      <c r="M157" s="32"/>
      <c r="N157" s="12"/>
      <c r="O157" s="32"/>
      <c r="P157" s="12"/>
      <c r="Q157" s="32"/>
      <c r="R157" s="37" t="str">
        <f>IF(SUM(S157,U157,W157)&gt;0,SUM(S157,U157,W157),"")</f>
        <v/>
      </c>
      <c r="S157" s="12"/>
      <c r="T157" s="32"/>
      <c r="U157" s="12"/>
      <c r="V157" s="32"/>
      <c r="W157" s="12"/>
      <c r="X157" s="32"/>
      <c r="Y157" s="37" t="str">
        <f>IF(SUM(Z157,AB157,AD157)&gt;0,SUM(Z157,AB157,AD157),"")</f>
        <v/>
      </c>
      <c r="Z157" s="12"/>
      <c r="AA157" s="33"/>
      <c r="AB157" s="12"/>
      <c r="AC157" s="33"/>
      <c r="AD157" s="12"/>
      <c r="AE157" s="83"/>
      <c r="AF157" s="37" t="str">
        <f t="shared" si="38"/>
        <v/>
      </c>
    </row>
    <row r="158" spans="1:32" s="6" customFormat="1" ht="19.5" hidden="1" outlineLevel="1" x14ac:dyDescent="0.35">
      <c r="A158" s="7"/>
      <c r="B158" s="40"/>
      <c r="C158" s="123"/>
      <c r="D158" s="38" t="str">
        <f>IF(SUM(E158,G158,I158)&gt;0,SUM(E158,G158,I158),"")</f>
        <v/>
      </c>
      <c r="E158" s="14"/>
      <c r="F158" s="15"/>
      <c r="G158" s="16"/>
      <c r="H158" s="15"/>
      <c r="I158" s="16"/>
      <c r="J158" s="28"/>
      <c r="K158" s="38" t="str">
        <f>IF(SUM(L158,N158,P158)&gt;0,SUM(L158,N158,P158),"")</f>
        <v/>
      </c>
      <c r="L158" s="16"/>
      <c r="M158" s="15"/>
      <c r="N158" s="16"/>
      <c r="O158" s="15"/>
      <c r="P158" s="16"/>
      <c r="Q158" s="15"/>
      <c r="R158" s="38">
        <f>IF(SUM(S158,U158,W158)&gt;0,SUM(S158,U158,W158),"")</f>
        <v>19</v>
      </c>
      <c r="S158" s="16"/>
      <c r="T158" s="15"/>
      <c r="U158" s="16"/>
      <c r="V158" s="15"/>
      <c r="W158" s="16">
        <v>19</v>
      </c>
      <c r="X158" s="15" t="s">
        <v>297</v>
      </c>
      <c r="Y158" s="38">
        <f>IF(SUM(Z158,AB158,AD158)&gt;0,SUM(Z158,AB158,AD158),"")</f>
        <v>50</v>
      </c>
      <c r="Z158" s="16">
        <v>29</v>
      </c>
      <c r="AA158" s="28" t="s">
        <v>299</v>
      </c>
      <c r="AB158" s="16">
        <v>13</v>
      </c>
      <c r="AC158" s="15" t="s">
        <v>201</v>
      </c>
      <c r="AD158" s="16">
        <v>8</v>
      </c>
      <c r="AE158" s="15" t="s">
        <v>131</v>
      </c>
      <c r="AF158" s="38">
        <f t="shared" si="38"/>
        <v>69</v>
      </c>
    </row>
    <row r="159" spans="1:32" s="6" customFormat="1" ht="11.65" hidden="1" outlineLevel="1" x14ac:dyDescent="0.35">
      <c r="A159" s="45"/>
      <c r="B159" s="40"/>
      <c r="C159" s="123"/>
      <c r="D159" s="61" t="str">
        <f>IF(SUM(E159,G159,I159)&gt;0,SUM(E159,G159,I159),"")</f>
        <v/>
      </c>
      <c r="E159" s="17"/>
      <c r="F159" s="73"/>
      <c r="G159" s="19"/>
      <c r="H159" s="18"/>
      <c r="I159" s="19"/>
      <c r="J159" s="29"/>
      <c r="K159" s="61" t="str">
        <f>IF(SUM(L159,N159,P159)&gt;0,SUM(L159,N159,P159),"")</f>
        <v/>
      </c>
      <c r="L159" s="19"/>
      <c r="M159" s="18"/>
      <c r="N159" s="19"/>
      <c r="O159" s="29"/>
      <c r="P159" s="19"/>
      <c r="Q159" s="29"/>
      <c r="R159" s="61" t="str">
        <f>IF(SUM(S159,U159,W159)&gt;0,SUM(S159,U159,W159),"")</f>
        <v/>
      </c>
      <c r="S159" s="19"/>
      <c r="T159" s="29"/>
      <c r="U159" s="19"/>
      <c r="V159" s="115"/>
      <c r="W159" s="19"/>
      <c r="X159" s="115"/>
      <c r="Y159" s="61">
        <f>IF(SUM(Z159,AB159,AD159)&gt;0,SUM(Z159,AB159,AD159),"")</f>
        <v>30</v>
      </c>
      <c r="Z159" s="19"/>
      <c r="AA159" s="29"/>
      <c r="AB159" s="19">
        <v>30</v>
      </c>
      <c r="AC159" s="29" t="s">
        <v>350</v>
      </c>
      <c r="AD159" s="19"/>
      <c r="AE159" s="29"/>
      <c r="AF159" s="54">
        <f t="shared" si="38"/>
        <v>30</v>
      </c>
    </row>
    <row r="160" spans="1:32" s="6" customFormat="1" ht="12" collapsed="1" thickBot="1" x14ac:dyDescent="0.4">
      <c r="A160" s="44">
        <v>5</v>
      </c>
      <c r="B160" s="39" t="s">
        <v>51</v>
      </c>
      <c r="C160" s="122" t="s">
        <v>134</v>
      </c>
      <c r="D160" s="60" t="str">
        <f>IF(SUM(D161:D164)&gt;0,SUM(D161:D164),"")</f>
        <v/>
      </c>
      <c r="E160" s="4" t="str">
        <f>IF(SUM(E161:E164)&gt;0,SUM(E161:E164),"")</f>
        <v/>
      </c>
      <c r="F160" s="72"/>
      <c r="G160" s="5" t="str">
        <f>IF(SUM(G161:G164)&gt;0,SUM(G161:G164),"")</f>
        <v/>
      </c>
      <c r="H160" s="66"/>
      <c r="I160" s="5" t="str">
        <f>IF(SUM(I161:I164)&gt;0,SUM(I161:I164),"")</f>
        <v/>
      </c>
      <c r="J160" s="67"/>
      <c r="K160" s="60" t="str">
        <f>IF(SUM(K161:K164)&gt;0,SUM(K161:K164),"")</f>
        <v/>
      </c>
      <c r="L160" s="5" t="str">
        <f>IF(SUM(L161:L164)&gt;0,SUM(L161:L164),"")</f>
        <v/>
      </c>
      <c r="M160" s="67"/>
      <c r="N160" s="5" t="str">
        <f>IF(SUM(N161:N164)&gt;0,SUM(N161:N164),"")</f>
        <v/>
      </c>
      <c r="O160" s="67"/>
      <c r="P160" s="5" t="str">
        <f>IF(SUM(P161:P164)&gt;0,SUM(P161:P164),"")</f>
        <v/>
      </c>
      <c r="Q160" s="67"/>
      <c r="R160" s="60" t="str">
        <f>IF(SUM(R161:R164)&gt;0,SUM(R161:R164),"")</f>
        <v/>
      </c>
      <c r="S160" s="5" t="str">
        <f>IF(SUM(S161:S164)&gt;0,SUM(S161:S164),"")</f>
        <v/>
      </c>
      <c r="T160" s="67"/>
      <c r="U160" s="5" t="str">
        <f>IF(SUM(U161:U164)&gt;0,SUM(U161:U164),"")</f>
        <v/>
      </c>
      <c r="V160" s="84"/>
      <c r="W160" s="5" t="str">
        <f>IF(SUM(W161:W164)&gt;0,SUM(W161:W164),"")</f>
        <v/>
      </c>
      <c r="X160" s="84"/>
      <c r="Y160" s="60" t="str">
        <f>IF(SUM(Y161:Y164)&gt;0,SUM(Y161:Y164),"")</f>
        <v/>
      </c>
      <c r="Z160" s="5" t="str">
        <f>IF(SUM(Z161:Z164)&gt;0,SUM(Z161:Z164),"")</f>
        <v/>
      </c>
      <c r="AA160" s="84"/>
      <c r="AB160" s="5" t="str">
        <f>IF(SUM(AB161:AB164)&gt;0,SUM(AB161:AB164),"")</f>
        <v/>
      </c>
      <c r="AC160" s="84"/>
      <c r="AD160" s="5" t="str">
        <f>IF(SUM(AD161:AD164)&gt;0,SUM(AD161:AD164),"")</f>
        <v/>
      </c>
      <c r="AE160" s="84"/>
      <c r="AF160" s="49" t="str">
        <f>IF(SUM(AF161:AF164)&gt;0,SUM(AF161:AF164),"")</f>
        <v/>
      </c>
    </row>
    <row r="161" spans="1:32" s="6" customFormat="1" ht="11.65" hidden="1" outlineLevel="1" x14ac:dyDescent="0.35">
      <c r="A161" s="7"/>
      <c r="B161" s="40" t="s">
        <v>108</v>
      </c>
      <c r="C161" s="123"/>
      <c r="D161" s="36" t="str">
        <f>IF(SUM(E161,G161,I161)&gt;0,SUM(E161,G161,I161),"")</f>
        <v/>
      </c>
      <c r="E161" s="8"/>
      <c r="F161" s="56"/>
      <c r="G161" s="9"/>
      <c r="H161" s="79"/>
      <c r="I161" s="9"/>
      <c r="J161" s="80"/>
      <c r="K161" s="36" t="str">
        <f>IF(SUM(L161,N161,P161)&gt;0,SUM(L161,N161,P161),"")</f>
        <v/>
      </c>
      <c r="L161" s="9"/>
      <c r="M161" s="80"/>
      <c r="N161" s="9"/>
      <c r="O161" s="55"/>
      <c r="P161" s="9"/>
      <c r="Q161" s="55"/>
      <c r="R161" s="36" t="str">
        <f>IF(SUM(S161,U161,W161)&gt;0,SUM(S161,U161,W161),"")</f>
        <v/>
      </c>
      <c r="S161" s="9"/>
      <c r="T161" s="80"/>
      <c r="U161" s="9"/>
      <c r="V161" s="55"/>
      <c r="W161" s="9"/>
      <c r="X161" s="82"/>
      <c r="Y161" s="36" t="str">
        <f>IF(SUM(Z161,AB161,AD161)&gt;0,SUM(Z161,AB161,AD161),"")</f>
        <v/>
      </c>
      <c r="Z161" s="9"/>
      <c r="AA161" s="82"/>
      <c r="AB161" s="9"/>
      <c r="AC161" s="82"/>
      <c r="AD161" s="9"/>
      <c r="AE161" s="82"/>
      <c r="AF161" s="36" t="str">
        <f t="shared" ref="AF161:AF164" si="39">IF(SUM(D161,K161,R161,Y161)&gt;0,SUM(D161,K161,R161,Y161),"")</f>
        <v/>
      </c>
    </row>
    <row r="162" spans="1:32" s="6" customFormat="1" ht="11.65" hidden="1" outlineLevel="1" x14ac:dyDescent="0.35">
      <c r="A162" s="7"/>
      <c r="B162" s="40"/>
      <c r="C162" s="123"/>
      <c r="D162" s="37" t="str">
        <f>IF(SUM(E162,G162,I162)&gt;0,SUM(E162,G162,I162),"")</f>
        <v/>
      </c>
      <c r="E162" s="10"/>
      <c r="F162" s="11"/>
      <c r="G162" s="12"/>
      <c r="H162" s="11"/>
      <c r="I162" s="12"/>
      <c r="J162" s="32"/>
      <c r="K162" s="37" t="str">
        <f>IF(SUM(L162,N162,P162)&gt;0,SUM(L162,N162,P162),"")</f>
        <v/>
      </c>
      <c r="L162" s="12"/>
      <c r="M162" s="32"/>
      <c r="N162" s="12"/>
      <c r="O162" s="32"/>
      <c r="P162" s="12"/>
      <c r="Q162" s="32"/>
      <c r="R162" s="37" t="str">
        <f>IF(SUM(S162,U162,W162)&gt;0,SUM(S162,U162,W162),"")</f>
        <v/>
      </c>
      <c r="S162" s="12"/>
      <c r="T162" s="32"/>
      <c r="U162" s="12"/>
      <c r="V162" s="32"/>
      <c r="W162" s="12"/>
      <c r="X162" s="32"/>
      <c r="Y162" s="37" t="str">
        <f>IF(SUM(Z162,AB162,AD162)&gt;0,SUM(Z162,AB162,AD162),"")</f>
        <v/>
      </c>
      <c r="Z162" s="12"/>
      <c r="AA162" s="83"/>
      <c r="AB162" s="12"/>
      <c r="AC162" s="83"/>
      <c r="AD162" s="12"/>
      <c r="AE162" s="83"/>
      <c r="AF162" s="37" t="str">
        <f t="shared" si="39"/>
        <v/>
      </c>
    </row>
    <row r="163" spans="1:32" s="6" customFormat="1" ht="11.65" hidden="1" outlineLevel="1" x14ac:dyDescent="0.35">
      <c r="A163" s="7"/>
      <c r="B163" s="40"/>
      <c r="C163" s="123"/>
      <c r="D163" s="38" t="str">
        <f>IF(SUM(E163,G163,I163)&gt;0,SUM(E163,G163,I163),"")</f>
        <v/>
      </c>
      <c r="E163" s="14"/>
      <c r="F163" s="15"/>
      <c r="G163" s="16"/>
      <c r="H163" s="15"/>
      <c r="I163" s="16"/>
      <c r="J163" s="15"/>
      <c r="K163" s="38" t="str">
        <f>IF(SUM(L163,N163,P163)&gt;0,SUM(L163,N163,P163),"")</f>
        <v/>
      </c>
      <c r="L163" s="16"/>
      <c r="M163" s="15"/>
      <c r="N163" s="16"/>
      <c r="O163" s="28"/>
      <c r="P163" s="16"/>
      <c r="Q163" s="28"/>
      <c r="R163" s="38" t="str">
        <f>IF(SUM(S163,U163,W163)&gt;0,SUM(S163,U163,W163),"")</f>
        <v/>
      </c>
      <c r="S163" s="112"/>
      <c r="T163" s="15"/>
      <c r="U163" s="16"/>
      <c r="V163" s="28"/>
      <c r="W163" s="16"/>
      <c r="X163" s="28"/>
      <c r="Y163" s="38" t="str">
        <f>IF(SUM(Z163,AB163,AD163)&gt;0,SUM(Z163,AB163,AD163),"")</f>
        <v/>
      </c>
      <c r="Z163" s="16"/>
      <c r="AA163" s="15"/>
      <c r="AB163" s="16"/>
      <c r="AC163" s="28"/>
      <c r="AD163" s="16"/>
      <c r="AE163" s="28"/>
      <c r="AF163" s="38" t="str">
        <f t="shared" si="39"/>
        <v/>
      </c>
    </row>
    <row r="164" spans="1:32" s="6" customFormat="1" ht="12" hidden="1" outlineLevel="1" thickBot="1" x14ac:dyDescent="0.4">
      <c r="A164" s="45"/>
      <c r="B164" s="40"/>
      <c r="C164" s="123"/>
      <c r="D164" s="61"/>
      <c r="E164" s="17"/>
      <c r="F164" s="73"/>
      <c r="G164" s="17"/>
      <c r="H164" s="73"/>
      <c r="I164" s="19"/>
      <c r="J164" s="29"/>
      <c r="K164" s="61" t="str">
        <f>IF(SUM(L164,N164,P164)&gt;0,SUM(L164,N164,P164),"")</f>
        <v/>
      </c>
      <c r="L164" s="19"/>
      <c r="M164" s="18"/>
      <c r="N164" s="19"/>
      <c r="O164" s="29"/>
      <c r="P164" s="19"/>
      <c r="Q164" s="29"/>
      <c r="R164" s="61" t="str">
        <f>IF(SUM(S164,U164,W164)&gt;0,SUM(S164,U164,W164),"")</f>
        <v/>
      </c>
      <c r="S164" s="19"/>
      <c r="T164" s="29"/>
      <c r="U164" s="19"/>
      <c r="V164" s="115"/>
      <c r="W164" s="19"/>
      <c r="X164" s="29"/>
      <c r="Y164" s="61" t="str">
        <f>IF(SUM(Z164,AB164,AD164)&gt;0,SUM(Z164,AB164,AD164),"")</f>
        <v/>
      </c>
      <c r="Z164" s="19"/>
      <c r="AA164" s="29"/>
      <c r="AB164" s="19"/>
      <c r="AC164" s="29"/>
      <c r="AD164" s="19"/>
      <c r="AE164" s="29"/>
      <c r="AF164" s="54" t="str">
        <f t="shared" si="39"/>
        <v/>
      </c>
    </row>
    <row r="165" spans="1:32" s="3" customFormat="1" ht="13.15" x14ac:dyDescent="0.25">
      <c r="A165" s="50"/>
      <c r="B165" s="51" t="s">
        <v>52</v>
      </c>
      <c r="C165" s="51"/>
      <c r="D165" s="59"/>
      <c r="E165" s="52"/>
      <c r="F165" s="71"/>
      <c r="G165" s="52"/>
      <c r="H165" s="71"/>
      <c r="I165" s="52"/>
      <c r="J165" s="65"/>
      <c r="K165" s="59"/>
      <c r="L165" s="52"/>
      <c r="M165" s="65"/>
      <c r="N165" s="52"/>
      <c r="O165" s="65"/>
      <c r="P165" s="52"/>
      <c r="Q165" s="65"/>
      <c r="R165" s="59"/>
      <c r="S165" s="52"/>
      <c r="T165" s="65"/>
      <c r="U165" s="52"/>
      <c r="V165" s="71"/>
      <c r="W165" s="52"/>
      <c r="X165" s="71"/>
      <c r="Y165" s="59"/>
      <c r="Z165" s="52"/>
      <c r="AA165" s="71"/>
      <c r="AB165" s="52"/>
      <c r="AC165" s="71"/>
      <c r="AD165" s="52"/>
      <c r="AE165" s="71"/>
      <c r="AF165" s="53"/>
    </row>
    <row r="166" spans="1:32" s="6" customFormat="1" ht="11.65" collapsed="1" x14ac:dyDescent="0.35">
      <c r="A166" s="44">
        <v>1</v>
      </c>
      <c r="B166" s="39" t="s">
        <v>53</v>
      </c>
      <c r="C166" s="122" t="s">
        <v>134</v>
      </c>
      <c r="D166" s="60">
        <f>IF(SUM(D167:D170)&gt;0,SUM(D167:D170),"")</f>
        <v>11</v>
      </c>
      <c r="E166" s="4">
        <f>IF(SUM(E167:E170)&gt;0,SUM(E167:E170),"")</f>
        <v>4</v>
      </c>
      <c r="F166" s="72"/>
      <c r="G166" s="5">
        <f>IF(SUM(G167:G170)&gt;0,SUM(G167:G170),"")</f>
        <v>2</v>
      </c>
      <c r="H166" s="72"/>
      <c r="I166" s="5">
        <f>IF(SUM(I167:I170)&gt;0,SUM(I167:I170),"")</f>
        <v>5</v>
      </c>
      <c r="J166" s="67"/>
      <c r="K166" s="60">
        <f>IF(SUM(K167:K170)&gt;0,SUM(K167:K170),"")</f>
        <v>5</v>
      </c>
      <c r="L166" s="5">
        <f>IF(SUM(L167:L170)&gt;0,SUM(L167:L170),"")</f>
        <v>3</v>
      </c>
      <c r="M166" s="66"/>
      <c r="N166" s="5">
        <f t="shared" ref="N166" si="40">IF(SUM(N167:N170)&gt;0,SUM(N167:N170),"")</f>
        <v>2</v>
      </c>
      <c r="O166" s="66"/>
      <c r="P166" s="5" t="str">
        <f t="shared" ref="P166" si="41">IF(SUM(P167:P170)&gt;0,SUM(P167:P170),"")</f>
        <v/>
      </c>
      <c r="Q166" s="66"/>
      <c r="R166" s="60">
        <f>IF(SUM(R167:R170)&gt;0,SUM(R167:R170),"")</f>
        <v>50</v>
      </c>
      <c r="S166" s="5">
        <f t="shared" ref="S166" si="42">IF(SUM(S167:S170)&gt;0,SUM(S167:S170),"")</f>
        <v>10</v>
      </c>
      <c r="T166" s="66"/>
      <c r="U166" s="5">
        <f t="shared" ref="U166" si="43">IF(SUM(U167:U170)&gt;0,SUM(U167:U170),"")</f>
        <v>20</v>
      </c>
      <c r="V166" s="72"/>
      <c r="W166" s="5">
        <f t="shared" ref="W166" si="44">IF(SUM(W167:W170)&gt;0,SUM(W167:W170),"")</f>
        <v>20</v>
      </c>
      <c r="X166" s="72"/>
      <c r="Y166" s="60">
        <f>IF(SUM(Y167:Y170)&gt;0,SUM(Y167:Y170),"")</f>
        <v>75</v>
      </c>
      <c r="Z166" s="5">
        <f t="shared" ref="Z166" si="45">IF(SUM(Z167:Z170)&gt;0,SUM(Z167:Z170),"")</f>
        <v>25</v>
      </c>
      <c r="AA166" s="72"/>
      <c r="AB166" s="5">
        <f t="shared" ref="AB166" si="46">IF(SUM(AB167:AB170)&gt;0,SUM(AB167:AB170),"")</f>
        <v>25</v>
      </c>
      <c r="AC166" s="72"/>
      <c r="AD166" s="5">
        <f t="shared" ref="AD166" si="47">IF(SUM(AD167:AD170)&gt;0,SUM(AD167:AD170),"")</f>
        <v>25</v>
      </c>
      <c r="AE166" s="84"/>
      <c r="AF166" s="49">
        <f>IF(SUM(AF167:AF170)&gt;0,SUM(AF167:AF170),"")</f>
        <v>141</v>
      </c>
    </row>
    <row r="167" spans="1:32" s="6" customFormat="1" ht="11.65" hidden="1" outlineLevel="1" x14ac:dyDescent="0.35">
      <c r="A167" s="7"/>
      <c r="B167" s="40" t="s">
        <v>101</v>
      </c>
      <c r="C167" s="123"/>
      <c r="D167" s="36">
        <f>IF(SUM(E167,G167,I167)&gt;0,SUM(E167,G167,I167),"")</f>
        <v>11</v>
      </c>
      <c r="E167" s="8">
        <v>4</v>
      </c>
      <c r="F167" s="79" t="s">
        <v>115</v>
      </c>
      <c r="G167" s="9">
        <v>2</v>
      </c>
      <c r="H167" s="79" t="s">
        <v>124</v>
      </c>
      <c r="I167" s="9">
        <v>5</v>
      </c>
      <c r="J167" s="79" t="s">
        <v>119</v>
      </c>
      <c r="K167" s="36">
        <f>IF(SUM(L167,N167,P167)&gt;0,SUM(L167,N167,P167),"")</f>
        <v>5</v>
      </c>
      <c r="L167" s="9">
        <v>3</v>
      </c>
      <c r="M167" s="79" t="s">
        <v>118</v>
      </c>
      <c r="N167" s="9">
        <v>2</v>
      </c>
      <c r="O167" s="79" t="s">
        <v>124</v>
      </c>
      <c r="P167" s="9"/>
      <c r="Q167" s="79"/>
      <c r="R167" s="36" t="str">
        <f>IF(SUM(S167,U167,W167)&gt;0,SUM(S167,U167,W167),"")</f>
        <v/>
      </c>
      <c r="S167" s="9"/>
      <c r="T167" s="79"/>
      <c r="U167" s="9"/>
      <c r="V167" s="55"/>
      <c r="W167" s="9"/>
      <c r="X167" s="55"/>
      <c r="Y167" s="36" t="str">
        <f>IF(SUM(Z167,AB167,AD167)&gt;0,SUM(Z167,AB167,AD167),"")</f>
        <v/>
      </c>
      <c r="Z167" s="9"/>
      <c r="AA167" s="55"/>
      <c r="AB167" s="9"/>
      <c r="AC167" s="82"/>
      <c r="AD167" s="9"/>
      <c r="AE167" s="82"/>
      <c r="AF167" s="36">
        <f>IF(SUM(D167,K167,R167,Y167)&gt;0,SUM(D167,K167,R167,Y167),"")</f>
        <v>16</v>
      </c>
    </row>
    <row r="168" spans="1:32" s="6" customFormat="1" ht="11.65" hidden="1" outlineLevel="1" x14ac:dyDescent="0.35">
      <c r="A168" s="7"/>
      <c r="B168" s="40"/>
      <c r="C168" s="123"/>
      <c r="D168" s="37" t="str">
        <f>IF(SUM(E168,G168,I168)&gt;0,SUM(E168,G168,I168),"")</f>
        <v/>
      </c>
      <c r="E168" s="10"/>
      <c r="F168" s="11"/>
      <c r="G168" s="12"/>
      <c r="H168" s="11"/>
      <c r="I168" s="12"/>
      <c r="J168" s="32"/>
      <c r="K168" s="37" t="str">
        <f>IF(SUM(L168,N168,P168)&gt;0,SUM(L168,N168,P168),"")</f>
        <v/>
      </c>
      <c r="L168" s="12"/>
      <c r="M168" s="32"/>
      <c r="N168" s="12"/>
      <c r="O168" s="32"/>
      <c r="P168" s="12"/>
      <c r="Q168" s="32"/>
      <c r="R168" s="37" t="str">
        <f>IF(SUM(S168,U168,W168)&gt;0,SUM(S168,U168,W168),"")</f>
        <v/>
      </c>
      <c r="S168" s="12"/>
      <c r="T168" s="32"/>
      <c r="U168" s="12"/>
      <c r="V168" s="32"/>
      <c r="W168" s="12"/>
      <c r="X168" s="32"/>
      <c r="Y168" s="37" t="str">
        <f>IF(SUM(Z168,AB168,AD168)&gt;0,SUM(Z168,AB168,AD168),"")</f>
        <v/>
      </c>
      <c r="Z168" s="12"/>
      <c r="AA168" s="32"/>
      <c r="AB168" s="12"/>
      <c r="AC168" s="33"/>
      <c r="AD168" s="12"/>
      <c r="AE168" s="33"/>
      <c r="AF168" s="37" t="str">
        <f t="shared" ref="AF168:AF170" si="48">IF(SUM(D168,K168,R168,Y168)&gt;0,SUM(D168,K168,R168,Y168),"")</f>
        <v/>
      </c>
    </row>
    <row r="169" spans="1:32" s="6" customFormat="1" ht="11.65" hidden="1" outlineLevel="1" x14ac:dyDescent="0.35">
      <c r="A169" s="7"/>
      <c r="B169" s="40"/>
      <c r="C169" s="123"/>
      <c r="D169" s="38" t="str">
        <f>IF(SUM(E169,G169,I169)&gt;0,SUM(E169,G169,I169),"")</f>
        <v/>
      </c>
      <c r="E169" s="14"/>
      <c r="F169" s="15"/>
      <c r="G169" s="16"/>
      <c r="H169" s="15"/>
      <c r="I169" s="16"/>
      <c r="J169" s="15"/>
      <c r="K169" s="38" t="str">
        <f>IF(SUM(L169,N169,P169)&gt;0,SUM(L169,N169,P169),"")</f>
        <v/>
      </c>
      <c r="L169" s="14"/>
      <c r="M169" s="15"/>
      <c r="N169" s="16"/>
      <c r="O169" s="15"/>
      <c r="P169" s="16"/>
      <c r="Q169" s="15"/>
      <c r="R169" s="38">
        <f>IF(SUM(S169,U169,W169)&gt;0,SUM(S169,U169,W169),"")</f>
        <v>50</v>
      </c>
      <c r="S169" s="16">
        <v>10</v>
      </c>
      <c r="T169" s="15" t="s">
        <v>117</v>
      </c>
      <c r="U169" s="16">
        <v>20</v>
      </c>
      <c r="V169" s="15" t="s">
        <v>121</v>
      </c>
      <c r="W169" s="16">
        <v>20</v>
      </c>
      <c r="X169" s="15" t="s">
        <v>121</v>
      </c>
      <c r="Y169" s="38">
        <f>IF(SUM(Z169,AB169,AD169)&gt;0,SUM(Z169,AB169,AD169),"")</f>
        <v>75</v>
      </c>
      <c r="Z169" s="16">
        <v>25</v>
      </c>
      <c r="AA169" s="15" t="s">
        <v>122</v>
      </c>
      <c r="AB169" s="16">
        <v>25</v>
      </c>
      <c r="AC169" s="15" t="s">
        <v>122</v>
      </c>
      <c r="AD169" s="16">
        <v>25</v>
      </c>
      <c r="AE169" s="15" t="s">
        <v>122</v>
      </c>
      <c r="AF169" s="38">
        <f t="shared" si="48"/>
        <v>125</v>
      </c>
    </row>
    <row r="170" spans="1:32" s="6" customFormat="1" ht="11.65" hidden="1" outlineLevel="1" x14ac:dyDescent="0.35">
      <c r="A170" s="45"/>
      <c r="B170" s="40"/>
      <c r="C170" s="123"/>
      <c r="D170" s="61" t="str">
        <f>IF(SUM(E170,G170,I170)&gt;0,SUM(E170,G170,I170),"")</f>
        <v/>
      </c>
      <c r="E170" s="17"/>
      <c r="F170" s="23"/>
      <c r="G170" s="19"/>
      <c r="H170" s="18"/>
      <c r="I170" s="19"/>
      <c r="J170" s="29"/>
      <c r="K170" s="61" t="str">
        <f>IF(SUM(L170,N170,P170)&gt;0,SUM(L170,N170,P170),"")</f>
        <v/>
      </c>
      <c r="L170" s="19"/>
      <c r="M170" s="18"/>
      <c r="N170" s="19"/>
      <c r="O170" s="29"/>
      <c r="P170" s="19"/>
      <c r="Q170" s="29"/>
      <c r="R170" s="61" t="str">
        <f>IF(SUM(S170,U170,W170)&gt;0,SUM(S170,U170,W170),"")</f>
        <v/>
      </c>
      <c r="S170" s="19"/>
      <c r="T170" s="29"/>
      <c r="U170" s="19"/>
      <c r="V170" s="115"/>
      <c r="W170" s="19"/>
      <c r="X170" s="29"/>
      <c r="Y170" s="61" t="str">
        <f>IF(SUM(Z170,AB170,AD170)&gt;0,SUM(Z170,AB170,AD170),"")</f>
        <v/>
      </c>
      <c r="Z170" s="19"/>
      <c r="AA170" s="29"/>
      <c r="AB170" s="19"/>
      <c r="AC170" s="29"/>
      <c r="AD170" s="19"/>
      <c r="AE170" s="29"/>
      <c r="AF170" s="54" t="str">
        <f t="shared" si="48"/>
        <v/>
      </c>
    </row>
    <row r="171" spans="1:32" s="6" customFormat="1" ht="12" collapsed="1" thickBot="1" x14ac:dyDescent="0.4">
      <c r="A171" s="44">
        <v>2</v>
      </c>
      <c r="B171" s="39" t="s">
        <v>54</v>
      </c>
      <c r="C171" s="122" t="s">
        <v>136</v>
      </c>
      <c r="D171" s="60" t="str">
        <f>IF(SUM(D172:D175)&gt;0,SUM(D172:D175),"")</f>
        <v/>
      </c>
      <c r="E171" s="4" t="str">
        <f>IF(SUM(E172:E175)&gt;0,SUM(E172:E175),"")</f>
        <v/>
      </c>
      <c r="F171" s="72"/>
      <c r="G171" s="5"/>
      <c r="H171" s="66"/>
      <c r="I171" s="5" t="str">
        <f>IF(SUM(I172:I175)&gt;0,SUM(I172:I175),"")</f>
        <v/>
      </c>
      <c r="J171" s="67"/>
      <c r="K171" s="60" t="str">
        <f>IF(SUM(K172:K175)&gt;0,SUM(K172:K175),"")</f>
        <v/>
      </c>
      <c r="L171" s="5" t="str">
        <f>IF(SUM(L172:L175)&gt;0,SUM(L172:L175),"")</f>
        <v/>
      </c>
      <c r="M171" s="67"/>
      <c r="N171" s="5" t="str">
        <f>IF(SUM(N172:N175)&gt;0,SUM(N172:N175),"")</f>
        <v/>
      </c>
      <c r="O171" s="67"/>
      <c r="P171" s="5" t="str">
        <f>IF(SUM(P172:P175)&gt;0,SUM(P172:P175),"")</f>
        <v/>
      </c>
      <c r="Q171" s="67"/>
      <c r="R171" s="60">
        <f>IF(SUM(R172:R175)&gt;0,SUM(R172:R175),"")</f>
        <v>3</v>
      </c>
      <c r="S171" s="5" t="str">
        <f>IF(SUM(S172:S175)&gt;0,SUM(S172:S175),"")</f>
        <v/>
      </c>
      <c r="T171" s="67"/>
      <c r="U171" s="5" t="str">
        <f>IF(SUM(U172:U175)&gt;0,SUM(U172:U175),"")</f>
        <v/>
      </c>
      <c r="V171" s="84"/>
      <c r="W171" s="5">
        <f>IF(SUM(W172:W175)&gt;0,SUM(W172:W175),"")</f>
        <v>3</v>
      </c>
      <c r="X171" s="84"/>
      <c r="Y171" s="60">
        <f>IF(SUM(Y172:Y175)&gt;0,SUM(Y172:Y175),"")</f>
        <v>2</v>
      </c>
      <c r="Z171" s="5" t="str">
        <f>IF(SUM(Z172:Z175)&gt;0,SUM(Z172:Z175),"")</f>
        <v/>
      </c>
      <c r="AA171" s="84"/>
      <c r="AB171" s="5">
        <f>IF(SUM(AB172:AB175)&gt;0,SUM(AB172:AB175),"")</f>
        <v>2</v>
      </c>
      <c r="AC171" s="84"/>
      <c r="AD171" s="5" t="str">
        <f>IF(SUM(AD172:AD175)&gt;0,SUM(AD172:AD175),"")</f>
        <v/>
      </c>
      <c r="AE171" s="84"/>
      <c r="AF171" s="49">
        <f>IF(SUM(AF172:AF175)&gt;0,SUM(AF172:AF175),"")</f>
        <v>5</v>
      </c>
    </row>
    <row r="172" spans="1:32" s="6" customFormat="1" ht="11.65" hidden="1" outlineLevel="1" x14ac:dyDescent="0.35">
      <c r="A172" s="7"/>
      <c r="B172" s="40" t="s">
        <v>100</v>
      </c>
      <c r="C172" s="123"/>
      <c r="D172" s="36" t="str">
        <f>IF(SUM(E172,G172,I172)&gt;0,SUM(E172,G172,I172),"")</f>
        <v/>
      </c>
      <c r="E172" s="8"/>
      <c r="F172" s="56"/>
      <c r="G172" s="9"/>
      <c r="H172" s="79"/>
      <c r="I172" s="9"/>
      <c r="J172" s="80"/>
      <c r="K172" s="36" t="str">
        <f>IF(SUM(L172,N172,P172)&gt;0,SUM(L172,N172,P172),"")</f>
        <v/>
      </c>
      <c r="L172" s="9"/>
      <c r="M172" s="80"/>
      <c r="N172" s="9"/>
      <c r="O172" s="80"/>
      <c r="P172" s="9"/>
      <c r="Q172" s="55"/>
      <c r="R172" s="36" t="str">
        <f>IF(SUM(S172,U172,W172)&gt;0,SUM(S172,U172,W172),"")</f>
        <v/>
      </c>
      <c r="S172" s="9"/>
      <c r="T172" s="79"/>
      <c r="U172" s="9"/>
      <c r="V172" s="80"/>
      <c r="W172" s="9"/>
      <c r="X172" s="80"/>
      <c r="Y172" s="36" t="str">
        <f>IF(SUM(Z172,AB172,AD172)&gt;0,SUM(Z172,AB172,AD172),"")</f>
        <v/>
      </c>
      <c r="Z172" s="9"/>
      <c r="AA172" s="82"/>
      <c r="AB172" s="9"/>
      <c r="AC172" s="82"/>
      <c r="AD172" s="9"/>
      <c r="AE172" s="82"/>
      <c r="AF172" s="36" t="str">
        <f t="shared" ref="AF172:AF175" si="49">IF(SUM(D172,K172,R172,Y172)&gt;0,SUM(D172,K172,R172,Y172),"")</f>
        <v/>
      </c>
    </row>
    <row r="173" spans="1:32" s="6" customFormat="1" ht="11.65" hidden="1" outlineLevel="1" x14ac:dyDescent="0.35">
      <c r="A173" s="7"/>
      <c r="B173" s="40"/>
      <c r="C173" s="123"/>
      <c r="D173" s="37" t="str">
        <f>IF(SUM(E173,G173,I173)&gt;0,SUM(E173,G173,I173),"")</f>
        <v/>
      </c>
      <c r="E173" s="10"/>
      <c r="F173" s="11"/>
      <c r="G173" s="12"/>
      <c r="H173" s="11"/>
      <c r="I173" s="12"/>
      <c r="J173" s="32"/>
      <c r="K173" s="37" t="str">
        <f>IF(SUM(L173,N173,P173)&gt;0,SUM(L173,N173,P173),"")</f>
        <v/>
      </c>
      <c r="L173" s="12"/>
      <c r="M173" s="32"/>
      <c r="N173" s="12"/>
      <c r="O173" s="32"/>
      <c r="P173" s="12"/>
      <c r="Q173" s="32"/>
      <c r="R173" s="37" t="str">
        <f>IF(SUM(S173,U173,W173)&gt;0,SUM(S173,U173,W173),"")</f>
        <v/>
      </c>
      <c r="S173" s="12"/>
      <c r="T173" s="32"/>
      <c r="U173" s="12"/>
      <c r="V173" s="32"/>
      <c r="W173" s="12"/>
      <c r="X173" s="32"/>
      <c r="Y173" s="37" t="str">
        <f>IF(SUM(Z173,AB173,AD173)&gt;0,SUM(Z173,AB173,AD173),"")</f>
        <v/>
      </c>
      <c r="Z173" s="12"/>
      <c r="AA173" s="83"/>
      <c r="AB173" s="12"/>
      <c r="AC173" s="32"/>
      <c r="AD173" s="12"/>
      <c r="AE173" s="83"/>
      <c r="AF173" s="37" t="str">
        <f t="shared" si="49"/>
        <v/>
      </c>
    </row>
    <row r="174" spans="1:32" s="6" customFormat="1" ht="11.65" hidden="1" outlineLevel="1" x14ac:dyDescent="0.35">
      <c r="A174" s="7"/>
      <c r="B174" s="40"/>
      <c r="C174" s="123"/>
      <c r="D174" s="38" t="str">
        <f>IF(SUM(E174,G174,I174)&gt;0,SUM(E174,G174,I174),"")</f>
        <v/>
      </c>
      <c r="E174" s="14"/>
      <c r="F174" s="15"/>
      <c r="G174" s="16"/>
      <c r="H174" s="15"/>
      <c r="I174" s="16"/>
      <c r="J174" s="28"/>
      <c r="K174" s="38" t="str">
        <f>IF(SUM(L174,N174,P174)&gt;0,SUM(L174,N174,P174),"")</f>
        <v/>
      </c>
      <c r="L174" s="14"/>
      <c r="M174" s="15"/>
      <c r="N174" s="16"/>
      <c r="O174" s="15"/>
      <c r="P174" s="16"/>
      <c r="Q174" s="15"/>
      <c r="R174" s="38">
        <f>IF(SUM(S174,U174,W174)&gt;0,SUM(S174,U174,W174),"")</f>
        <v>3</v>
      </c>
      <c r="S174" s="16"/>
      <c r="T174" s="28"/>
      <c r="U174" s="16"/>
      <c r="V174" s="28"/>
      <c r="W174" s="16">
        <v>3</v>
      </c>
      <c r="X174" s="28" t="s">
        <v>118</v>
      </c>
      <c r="Y174" s="38">
        <f>IF(SUM(Z174,AB174,AD174)&gt;0,SUM(Z174,AB174,AD174),"")</f>
        <v>2</v>
      </c>
      <c r="Z174" s="16"/>
      <c r="AA174" s="28"/>
      <c r="AB174" s="16">
        <v>2</v>
      </c>
      <c r="AC174" s="28" t="s">
        <v>124</v>
      </c>
      <c r="AD174" s="16"/>
      <c r="AE174" s="28"/>
      <c r="AF174" s="38">
        <f t="shared" si="49"/>
        <v>5</v>
      </c>
    </row>
    <row r="175" spans="1:32" s="6" customFormat="1" ht="12" hidden="1" outlineLevel="1" thickBot="1" x14ac:dyDescent="0.4">
      <c r="A175" s="45"/>
      <c r="B175" s="40"/>
      <c r="C175" s="123"/>
      <c r="D175" s="61" t="str">
        <f>IF(SUM(E175,G175,I175)&gt;0,SUM(E175,G175,I175),"")</f>
        <v/>
      </c>
      <c r="E175" s="17"/>
      <c r="F175" s="73"/>
      <c r="G175" s="19"/>
      <c r="H175" s="18"/>
      <c r="I175" s="19"/>
      <c r="J175" s="29"/>
      <c r="K175" s="61" t="str">
        <f>IF(SUM(L175,N175,P175)&gt;0,SUM(L175,N175,P175),"")</f>
        <v/>
      </c>
      <c r="L175" s="19"/>
      <c r="M175" s="18"/>
      <c r="N175" s="19"/>
      <c r="O175" s="29"/>
      <c r="P175" s="19"/>
      <c r="Q175" s="29"/>
      <c r="R175" s="61" t="str">
        <f>IF(SUM(S175,U175,W175)&gt;0,SUM(S175,U175,W175),"")</f>
        <v/>
      </c>
      <c r="S175" s="19"/>
      <c r="T175" s="29"/>
      <c r="U175" s="19"/>
      <c r="V175" s="29"/>
      <c r="W175" s="19"/>
      <c r="X175" s="29"/>
      <c r="Y175" s="61" t="str">
        <f>IF(SUM(Z175,AB175,AD175)&gt;0,SUM(Z175,AB175,AD175),"")</f>
        <v/>
      </c>
      <c r="Z175" s="19"/>
      <c r="AA175" s="29"/>
      <c r="AB175" s="19"/>
      <c r="AC175" s="29"/>
      <c r="AD175" s="19"/>
      <c r="AE175" s="29"/>
      <c r="AF175" s="54" t="str">
        <f t="shared" si="49"/>
        <v/>
      </c>
    </row>
    <row r="176" spans="1:32" s="3" customFormat="1" ht="13.15" collapsed="1" x14ac:dyDescent="0.25">
      <c r="A176" s="50"/>
      <c r="B176" s="51" t="s">
        <v>64</v>
      </c>
      <c r="C176" s="51"/>
      <c r="D176" s="59"/>
      <c r="E176" s="52"/>
      <c r="F176" s="71"/>
      <c r="G176" s="52"/>
      <c r="H176" s="71"/>
      <c r="I176" s="52"/>
      <c r="J176" s="65"/>
      <c r="K176" s="59"/>
      <c r="L176" s="52"/>
      <c r="M176" s="65"/>
      <c r="N176" s="52"/>
      <c r="O176" s="65"/>
      <c r="P176" s="52"/>
      <c r="Q176" s="65"/>
      <c r="R176" s="59"/>
      <c r="S176" s="52"/>
      <c r="T176" s="65"/>
      <c r="U176" s="52"/>
      <c r="V176" s="71"/>
      <c r="W176" s="52"/>
      <c r="X176" s="71"/>
      <c r="Y176" s="59"/>
      <c r="Z176" s="52"/>
      <c r="AA176" s="71"/>
      <c r="AB176" s="52"/>
      <c r="AC176" s="71"/>
      <c r="AD176" s="52"/>
      <c r="AE176" s="71"/>
      <c r="AF176" s="52" t="str">
        <f>IF(SUM(E176,G176,I176,AD176)&gt;0,SUM(E176,G176,I176,AD176),"")</f>
        <v/>
      </c>
    </row>
    <row r="177" spans="1:32" s="6" customFormat="1" ht="11.65" hidden="1" outlineLevel="1" x14ac:dyDescent="0.35">
      <c r="A177" s="7"/>
      <c r="B177" s="40"/>
      <c r="C177" s="123"/>
      <c r="D177" s="36" t="str">
        <f>IF(SUM(E177,G177,I177)&gt;0,SUM(E177,G177,I177),"")</f>
        <v/>
      </c>
      <c r="E177" s="8"/>
      <c r="F177" s="56"/>
      <c r="G177" s="9"/>
      <c r="H177" s="79"/>
      <c r="I177" s="9"/>
      <c r="J177" s="80"/>
      <c r="K177" s="36" t="str">
        <f>IF(SUM(L177,N177,P177)&gt;0,SUM(L177,N177,P177),"")</f>
        <v/>
      </c>
      <c r="L177" s="9"/>
      <c r="M177" s="80"/>
      <c r="N177" s="9"/>
      <c r="O177" s="55"/>
      <c r="P177" s="9"/>
      <c r="Q177" s="55"/>
      <c r="R177" s="36" t="str">
        <f>IF(SUM(S177,U177,W177)&gt;0,SUM(S177,U177,W177),"")</f>
        <v/>
      </c>
      <c r="S177" s="9"/>
      <c r="T177" s="55"/>
      <c r="U177" s="9"/>
      <c r="V177" s="82"/>
      <c r="W177" s="9"/>
      <c r="X177" s="82"/>
      <c r="Y177" s="36" t="str">
        <f>IF(SUM(Z177,AB177,AD177)&gt;0,SUM(Z177,AB177,AD177),"")</f>
        <v/>
      </c>
      <c r="Z177" s="9"/>
      <c r="AA177" s="82"/>
      <c r="AB177" s="9"/>
      <c r="AC177" s="82"/>
      <c r="AD177" s="9"/>
      <c r="AE177" s="82"/>
      <c r="AF177" s="36" t="str">
        <f t="shared" ref="AF177:AF178" si="50">IF(SUM(D177,K177,R177,Y177)&gt;0,SUM(D177,K177,R177,Y177),"")</f>
        <v/>
      </c>
    </row>
    <row r="178" spans="1:32" s="6" customFormat="1" ht="11.65" hidden="1" outlineLevel="1" x14ac:dyDescent="0.35">
      <c r="A178" s="7"/>
      <c r="B178" s="40"/>
      <c r="C178" s="123"/>
      <c r="D178" s="37" t="str">
        <f>IF(SUM(E178,G178,I178)&gt;0,SUM(E178,G178,I178),"")</f>
        <v/>
      </c>
      <c r="E178" s="10"/>
      <c r="F178" s="11"/>
      <c r="G178" s="12"/>
      <c r="H178" s="11"/>
      <c r="I178" s="12"/>
      <c r="J178" s="33"/>
      <c r="K178" s="37" t="str">
        <f>IF(SUM(L178,N178,P178)&gt;0,SUM(L178,N178,P178),"")</f>
        <v/>
      </c>
      <c r="L178" s="12"/>
      <c r="M178" s="11"/>
      <c r="N178" s="12"/>
      <c r="O178" s="33"/>
      <c r="P178" s="12"/>
      <c r="Q178" s="33"/>
      <c r="R178" s="37" t="str">
        <f>IF(SUM(S178,U178,W178)&gt;0,SUM(S178,U178,W178),"")</f>
        <v/>
      </c>
      <c r="S178" s="12"/>
      <c r="T178" s="33"/>
      <c r="U178" s="12"/>
      <c r="V178" s="32"/>
      <c r="W178" s="12"/>
      <c r="X178" s="32"/>
      <c r="Y178" s="37" t="str">
        <f>IF(SUM(Z178,AB178,AD178)&gt;0,SUM(Z178,AB178,AD178),"")</f>
        <v/>
      </c>
      <c r="Z178" s="12"/>
      <c r="AA178" s="32"/>
      <c r="AB178" s="12"/>
      <c r="AC178" s="33"/>
      <c r="AD178" s="12"/>
      <c r="AE178" s="83"/>
      <c r="AF178" s="37" t="str">
        <f t="shared" si="50"/>
        <v/>
      </c>
    </row>
    <row r="179" spans="1:32" s="6" customFormat="1" ht="11.65" hidden="1" outlineLevel="1" x14ac:dyDescent="0.35">
      <c r="A179" s="7"/>
      <c r="B179" s="40"/>
      <c r="C179" s="123"/>
      <c r="D179" s="38" t="str">
        <f>IF(SUM(E179,G179,I179)&gt;0,SUM(E179,G179,I179),"")</f>
        <v/>
      </c>
      <c r="E179" s="14"/>
      <c r="F179" s="15"/>
      <c r="G179" s="16"/>
      <c r="H179" s="15"/>
      <c r="I179" s="16"/>
      <c r="J179" s="15"/>
      <c r="K179" s="38" t="str">
        <f>IF(SUM(L179,N179,P179)&gt;0,SUM(L179,N179,P179),"")</f>
        <v/>
      </c>
      <c r="L179" s="16"/>
      <c r="M179" s="15"/>
      <c r="N179" s="16"/>
      <c r="O179" s="15"/>
      <c r="P179" s="16"/>
      <c r="Q179" s="15"/>
      <c r="R179" s="38" t="str">
        <f>IF(SUM(S179,U179,W179)&gt;0,SUM(S179,U179,W179),"")</f>
        <v/>
      </c>
      <c r="S179" s="16"/>
      <c r="T179" s="15"/>
      <c r="U179" s="16"/>
      <c r="V179" s="15"/>
      <c r="W179" s="16"/>
      <c r="X179" s="15"/>
      <c r="Y179" s="38" t="str">
        <f>IF(SUM(Z179,AB179,AD179)&gt;0,SUM(Z179,AB179,AD179),"")</f>
        <v/>
      </c>
      <c r="Z179" s="16"/>
      <c r="AA179" s="15"/>
      <c r="AB179" s="16"/>
      <c r="AC179" s="15"/>
      <c r="AD179" s="16"/>
      <c r="AE179" s="15"/>
      <c r="AF179" s="38" t="str">
        <f>IF(SUM(D179,K179,R179,Y179)&gt;0,SUM(D179,K179,R179,Y179),"")</f>
        <v/>
      </c>
    </row>
    <row r="180" spans="1:32" s="6" customFormat="1" ht="11.65" hidden="1" outlineLevel="1" x14ac:dyDescent="0.35">
      <c r="A180" s="45"/>
      <c r="B180" s="40"/>
      <c r="C180" s="123"/>
      <c r="D180" s="61" t="str">
        <f>IF(SUM(E180,G180,I180)&gt;0,SUM(E180,G180,I180),"")</f>
        <v/>
      </c>
      <c r="E180" s="17"/>
      <c r="F180" s="73"/>
      <c r="G180" s="19"/>
      <c r="H180" s="23"/>
      <c r="I180" s="19"/>
      <c r="J180" s="31"/>
      <c r="K180" s="61" t="str">
        <f>IF(SUM(L180,N180,P180)&gt;0,SUM(L180,N180,P180),"")</f>
        <v/>
      </c>
      <c r="L180" s="19"/>
      <c r="M180" s="31"/>
      <c r="N180" s="19"/>
      <c r="O180" s="31"/>
      <c r="P180" s="19"/>
      <c r="Q180" s="31"/>
      <c r="R180" s="61" t="str">
        <f>IF(SUM(S180,U180,W180)&gt;0,SUM(S180,U180,W180),"")</f>
        <v/>
      </c>
      <c r="S180" s="19"/>
      <c r="T180" s="31"/>
      <c r="U180" s="19"/>
      <c r="V180" s="31"/>
      <c r="W180" s="19"/>
      <c r="X180" s="31"/>
      <c r="Y180" s="61" t="str">
        <f>IF(SUM(Z180,AB180,AD180)&gt;0,SUM(Z180,AB180,AD180),"")</f>
        <v/>
      </c>
      <c r="Z180" s="19"/>
      <c r="AA180" s="18"/>
      <c r="AB180" s="19"/>
      <c r="AC180" s="18"/>
      <c r="AD180" s="19"/>
      <c r="AE180" s="18"/>
      <c r="AF180" s="54" t="str">
        <f t="shared" ref="AF180" si="51">IF(SUM(D180,K180,R180,Y180)&gt;0,SUM(D180,K180,R180,Y180),"")</f>
        <v/>
      </c>
    </row>
    <row r="181" spans="1:32" s="6" customFormat="1" ht="11.65" collapsed="1" x14ac:dyDescent="0.35">
      <c r="A181" s="44">
        <v>1</v>
      </c>
      <c r="B181" s="39" t="s">
        <v>55</v>
      </c>
      <c r="C181" s="122" t="s">
        <v>134</v>
      </c>
      <c r="D181" s="60" t="str">
        <f>IF(SUM(D182:D185)&gt;0,SUM(D182:D185),"")</f>
        <v/>
      </c>
      <c r="E181" s="4" t="str">
        <f>IF(SUM(E182:E185)&gt;0,SUM(E182:E185),"")</f>
        <v/>
      </c>
      <c r="F181" s="72"/>
      <c r="G181" s="5" t="str">
        <f>IF(SUM(G182:G185)&gt;0,SUM(G182:G185),"")</f>
        <v/>
      </c>
      <c r="H181" s="72"/>
      <c r="I181" s="5" t="str">
        <f>IF(SUM(I182:I185)&gt;0,SUM(I182:I185),"")</f>
        <v/>
      </c>
      <c r="J181" s="66"/>
      <c r="K181" s="60">
        <f>IF(SUM(K182:K185)&gt;0,SUM(K182:K185),"")</f>
        <v>2</v>
      </c>
      <c r="L181" s="5">
        <f>IF(SUM(L182:L185)&gt;0,SUM(L182:L185),"")</f>
        <v>1</v>
      </c>
      <c r="M181" s="66"/>
      <c r="N181" s="5">
        <f>IF(SUM(N182:N185)&gt;0,SUM(N182:N185),"")</f>
        <v>1</v>
      </c>
      <c r="O181" s="66"/>
      <c r="P181" s="5" t="str">
        <f>IF(SUM(P182:P185)&gt;0,SUM(P182:P185),"")</f>
        <v/>
      </c>
      <c r="Q181" s="66"/>
      <c r="R181" s="60">
        <f>IF(SUM(R182:R185)&gt;0,SUM(R182:R185),"")</f>
        <v>2</v>
      </c>
      <c r="S181" s="5" t="str">
        <f>IF(SUM(S182:S185)&gt;0,SUM(S182:S185),"")</f>
        <v/>
      </c>
      <c r="T181" s="66"/>
      <c r="U181" s="5">
        <f>IF(SUM(U182:U185)&gt;0,SUM(U182:U185),"")</f>
        <v>1</v>
      </c>
      <c r="V181" s="72"/>
      <c r="W181" s="5">
        <f>IF(SUM(W182:W185)&gt;0,SUM(W182:W185),"")</f>
        <v>1</v>
      </c>
      <c r="X181" s="72"/>
      <c r="Y181" s="60">
        <f>IF(SUM(Y182:Y185)&gt;0,SUM(Y182:Y185),"")</f>
        <v>6</v>
      </c>
      <c r="Z181" s="5">
        <f>IF(SUM(Z182:Z185)&gt;0,SUM(Z182:Z185),"")</f>
        <v>3</v>
      </c>
      <c r="AA181" s="72"/>
      <c r="AB181" s="5">
        <f>IF(SUM(AB182:AB185)&gt;0,SUM(AB182:AB185),"")</f>
        <v>2</v>
      </c>
      <c r="AC181" s="72"/>
      <c r="AD181" s="5">
        <f>IF(SUM(AD182:AD185)&gt;0,SUM(AD182:AD185),"")</f>
        <v>1</v>
      </c>
      <c r="AE181" s="72"/>
      <c r="AF181" s="49">
        <f>IF(SUM(AF182:AF185)&gt;0,SUM(AF182:AF185),"")</f>
        <v>10</v>
      </c>
    </row>
    <row r="182" spans="1:32" s="6" customFormat="1" ht="11.65" hidden="1" outlineLevel="1" x14ac:dyDescent="0.35">
      <c r="A182" s="7"/>
      <c r="B182" s="40" t="s">
        <v>300</v>
      </c>
      <c r="C182" s="123"/>
      <c r="D182" s="36" t="str">
        <f>IF(SUM(E182,G182,I182)&gt;0,SUM(E182,G182,I182),"")</f>
        <v/>
      </c>
      <c r="E182" s="8"/>
      <c r="F182" s="56"/>
      <c r="G182" s="9"/>
      <c r="H182" s="79"/>
      <c r="I182" s="9"/>
      <c r="J182" s="80"/>
      <c r="K182" s="36">
        <f>IF(SUM(L182,N182,P182)&gt;0,SUM(L182,N182,P182),"")</f>
        <v>2</v>
      </c>
      <c r="L182" s="9">
        <v>1</v>
      </c>
      <c r="M182" s="79" t="s">
        <v>144</v>
      </c>
      <c r="N182" s="9">
        <v>1</v>
      </c>
      <c r="O182" s="80" t="s">
        <v>145</v>
      </c>
      <c r="P182" s="9"/>
      <c r="Q182" s="79"/>
      <c r="R182" s="36" t="str">
        <f>IF(SUM(S182,U182,W182)&gt;0,SUM(S182,U182,W182),"")</f>
        <v/>
      </c>
      <c r="S182" s="9"/>
      <c r="T182" s="79"/>
      <c r="U182" s="9"/>
      <c r="V182" s="79"/>
      <c r="W182" s="9"/>
      <c r="X182" s="56"/>
      <c r="Y182" s="36" t="str">
        <f>IF(SUM(Z182,AB182,AD182)&gt;0,SUM(Z182,AB182,AD182),"")</f>
        <v/>
      </c>
      <c r="Z182" s="9"/>
      <c r="AA182" s="74"/>
      <c r="AB182" s="9"/>
      <c r="AC182" s="74"/>
      <c r="AD182" s="9"/>
      <c r="AE182" s="74"/>
      <c r="AF182" s="36">
        <f t="shared" ref="AF182:AF183" si="52">IF(SUM(D182,K182,R182,Y182)&gt;0,SUM(D182,K182,R182,Y182),"")</f>
        <v>2</v>
      </c>
    </row>
    <row r="183" spans="1:32" s="6" customFormat="1" ht="19.5" hidden="1" outlineLevel="1" x14ac:dyDescent="0.35">
      <c r="A183" s="7"/>
      <c r="B183" s="40"/>
      <c r="C183" s="123"/>
      <c r="D183" s="37" t="str">
        <f>IF(SUM(E183,G183,I183)&gt;0,SUM(E183,G183,I183),"")</f>
        <v/>
      </c>
      <c r="E183" s="10"/>
      <c r="F183" s="11"/>
      <c r="G183" s="12"/>
      <c r="H183" s="11"/>
      <c r="I183" s="12"/>
      <c r="J183" s="13"/>
      <c r="K183" s="37" t="str">
        <f>IF(SUM(L183,N183,P183)&gt;0,SUM(L183,N183,P183),"")</f>
        <v/>
      </c>
      <c r="L183" s="12"/>
      <c r="M183" s="11"/>
      <c r="N183" s="12"/>
      <c r="O183" s="11"/>
      <c r="P183" s="12"/>
      <c r="Q183" s="11"/>
      <c r="R183" s="37">
        <f>IF(SUM(S183,U183,W183)&gt;0,SUM(S183,U183,W183),"")</f>
        <v>2</v>
      </c>
      <c r="S183" s="12"/>
      <c r="T183" s="32"/>
      <c r="U183" s="12">
        <v>1</v>
      </c>
      <c r="V183" s="32" t="s">
        <v>302</v>
      </c>
      <c r="W183" s="12">
        <v>1</v>
      </c>
      <c r="X183" s="32" t="s">
        <v>301</v>
      </c>
      <c r="Y183" s="37">
        <f>IF(SUM(Z183,AB183,AD183)&gt;0,SUM(Z183,AB183,AD183),"")</f>
        <v>2</v>
      </c>
      <c r="Z183" s="12">
        <v>2</v>
      </c>
      <c r="AA183" s="32" t="s">
        <v>303</v>
      </c>
      <c r="AB183" s="12"/>
      <c r="AC183" s="11"/>
      <c r="AD183" s="12"/>
      <c r="AE183" s="11"/>
      <c r="AF183" s="37">
        <f t="shared" si="52"/>
        <v>4</v>
      </c>
    </row>
    <row r="184" spans="1:32" s="6" customFormat="1" ht="11.65" hidden="1" outlineLevel="1" x14ac:dyDescent="0.35">
      <c r="A184" s="7"/>
      <c r="B184" s="40"/>
      <c r="C184" s="123"/>
      <c r="D184" s="38" t="str">
        <f>IF(SUM(E184,G184,I184)&gt;0,SUM(E184,G184,I184),"")</f>
        <v/>
      </c>
      <c r="E184" s="14"/>
      <c r="F184" s="15"/>
      <c r="G184" s="16"/>
      <c r="H184" s="15"/>
      <c r="I184" s="16"/>
      <c r="J184" s="15"/>
      <c r="K184" s="38" t="str">
        <f>IF(SUM(L184,N184,P184)&gt;0,SUM(L184,N184,P184),"")</f>
        <v/>
      </c>
      <c r="L184" s="16"/>
      <c r="M184" s="15"/>
      <c r="N184" s="16"/>
      <c r="O184" s="15"/>
      <c r="P184" s="16"/>
      <c r="Q184" s="15"/>
      <c r="R184" s="38" t="str">
        <f>IF(SUM(S184,U184,W184)&gt;0,SUM(S184,U184,W184),"")</f>
        <v/>
      </c>
      <c r="S184" s="16"/>
      <c r="T184" s="15"/>
      <c r="U184" s="16"/>
      <c r="V184" s="15"/>
      <c r="W184" s="16"/>
      <c r="X184" s="15"/>
      <c r="Y184" s="38">
        <f>IF(SUM(Z184,AB184,AD184)&gt;0,SUM(Z184,AB184,AD184),"")</f>
        <v>1</v>
      </c>
      <c r="Z184" s="16"/>
      <c r="AA184" s="15"/>
      <c r="AB184" s="16">
        <v>1</v>
      </c>
      <c r="AC184" s="15" t="s">
        <v>304</v>
      </c>
      <c r="AD184" s="16"/>
      <c r="AE184" s="15"/>
      <c r="AF184" s="38">
        <f>IF(SUM(D184,K184,R184,Y184)&gt;0,SUM(D184,K184,R184,Y184),"")</f>
        <v>1</v>
      </c>
    </row>
    <row r="185" spans="1:32" s="6" customFormat="1" ht="11.65" hidden="1" outlineLevel="1" x14ac:dyDescent="0.35">
      <c r="A185" s="45"/>
      <c r="B185" s="40"/>
      <c r="C185" s="123"/>
      <c r="D185" s="61" t="str">
        <f>IF(SUM(E185,G185,I185)&gt;0,SUM(E185,G185,I185),"")</f>
        <v/>
      </c>
      <c r="E185" s="17"/>
      <c r="F185" s="73"/>
      <c r="G185" s="19"/>
      <c r="H185" s="23"/>
      <c r="I185" s="19"/>
      <c r="J185" s="23"/>
      <c r="K185" s="61" t="str">
        <f>IF(SUM(L185,N185,P185)&gt;0,SUM(L185,N185,P185),"")</f>
        <v/>
      </c>
      <c r="L185" s="19"/>
      <c r="M185" s="23"/>
      <c r="N185" s="19"/>
      <c r="O185" s="23"/>
      <c r="P185" s="19"/>
      <c r="Q185" s="23"/>
      <c r="R185" s="61" t="str">
        <f>IF(SUM(S185,U185,W185)&gt;0,SUM(S185,U185,W185),"")</f>
        <v/>
      </c>
      <c r="S185" s="19"/>
      <c r="T185" s="23"/>
      <c r="U185" s="19"/>
      <c r="V185" s="23"/>
      <c r="W185" s="19"/>
      <c r="X185" s="23"/>
      <c r="Y185" s="61">
        <f>IF(SUM(Z185,AB185,AD185)&gt;0,SUM(Z185,AB185,AD185),"")</f>
        <v>3</v>
      </c>
      <c r="Z185" s="19">
        <v>1</v>
      </c>
      <c r="AA185" s="18" t="s">
        <v>146</v>
      </c>
      <c r="AB185" s="19">
        <v>1</v>
      </c>
      <c r="AC185" s="18" t="s">
        <v>147</v>
      </c>
      <c r="AD185" s="19">
        <v>1</v>
      </c>
      <c r="AE185" s="18" t="s">
        <v>147</v>
      </c>
      <c r="AF185" s="54">
        <f t="shared" ref="AF185" si="53">IF(SUM(D185,K185,R185,Y185)&gt;0,SUM(D185,K185,R185,Y185),"")</f>
        <v>3</v>
      </c>
    </row>
    <row r="186" spans="1:32" s="6" customFormat="1" ht="11.65" collapsed="1" x14ac:dyDescent="0.35">
      <c r="A186" s="44">
        <v>2</v>
      </c>
      <c r="B186" s="39" t="s">
        <v>214</v>
      </c>
      <c r="C186" s="122" t="s">
        <v>137</v>
      </c>
      <c r="D186" s="60" t="str">
        <f>IF(SUM(D187:D190)&gt;0,SUM(D187:D190),"")</f>
        <v/>
      </c>
      <c r="E186" s="4" t="str">
        <f>IF(SUM(E187:E190)&gt;0,SUM(E187:E190),"")</f>
        <v/>
      </c>
      <c r="F186" s="72"/>
      <c r="G186" s="5" t="str">
        <f>IF(SUM(G187:G190)&gt;0,SUM(G187:G190),"")</f>
        <v/>
      </c>
      <c r="H186" s="72"/>
      <c r="I186" s="5" t="str">
        <f>IF(SUM(I187:I190)&gt;0,SUM(I187:I190),"")</f>
        <v/>
      </c>
      <c r="J186" s="66"/>
      <c r="K186" s="60" t="str">
        <f>IF(SUM(K187:K190)&gt;0,SUM(K187:K190),"")</f>
        <v/>
      </c>
      <c r="L186" s="5" t="str">
        <f>IF(SUM(L187:L190)&gt;0,SUM(L187:L190),"")</f>
        <v/>
      </c>
      <c r="M186" s="66"/>
      <c r="N186" s="5" t="str">
        <f>IF(SUM(N187:N190)&gt;0,SUM(N187:N190),"")</f>
        <v/>
      </c>
      <c r="O186" s="66"/>
      <c r="P186" s="5" t="str">
        <f>IF(SUM(P187:P190)&gt;0,SUM(P187:P190),"")</f>
        <v/>
      </c>
      <c r="Q186" s="66"/>
      <c r="R186" s="60" t="str">
        <f>IF(SUM(R187:R190)&gt;0,SUM(R187:R190),"")</f>
        <v/>
      </c>
      <c r="S186" s="5" t="str">
        <f>IF(SUM(S187:S190)&gt;0,SUM(S187:S190),"")</f>
        <v/>
      </c>
      <c r="T186" s="66"/>
      <c r="U186" s="5" t="str">
        <f>IF(SUM(U187:U190)&gt;0,SUM(U187:U190),"")</f>
        <v/>
      </c>
      <c r="V186" s="72"/>
      <c r="W186" s="5" t="str">
        <f>IF(SUM(W187:W190)&gt;0,SUM(W187:W190),"")</f>
        <v/>
      </c>
      <c r="X186" s="72"/>
      <c r="Y186" s="60">
        <f>IF(SUM(Y187:Y190)&gt;0,SUM(Y187:Y190),"")</f>
        <v>6</v>
      </c>
      <c r="Z186" s="5">
        <f>IF(SUM(Z187:Z190)&gt;0,SUM(Z187:Z190),"")</f>
        <v>3</v>
      </c>
      <c r="AA186" s="72"/>
      <c r="AB186" s="5">
        <f>IF(SUM(AB187:AB190)&gt;0,SUM(AB187:AB190),"")</f>
        <v>2</v>
      </c>
      <c r="AC186" s="72"/>
      <c r="AD186" s="5">
        <f>IF(SUM(AD187:AD190)&gt;0,SUM(AD187:AD190),"")</f>
        <v>1</v>
      </c>
      <c r="AE186" s="72"/>
      <c r="AF186" s="49">
        <f t="shared" ref="AF186:AF281" si="54">IF(SUM(AF187:AF190)&gt;0,SUM(AF187:AF190),"")</f>
        <v>6</v>
      </c>
    </row>
    <row r="187" spans="1:32" s="6" customFormat="1" ht="11.65" hidden="1" outlineLevel="1" x14ac:dyDescent="0.35">
      <c r="A187" s="7"/>
      <c r="B187" s="40"/>
      <c r="C187" s="123"/>
      <c r="D187" s="36" t="str">
        <f>IF(SUM(E187,G187,I187)&gt;0,SUM(E187,G187,I187),"")</f>
        <v/>
      </c>
      <c r="E187" s="8"/>
      <c r="F187" s="56"/>
      <c r="G187" s="9"/>
      <c r="H187" s="79"/>
      <c r="I187" s="9"/>
      <c r="J187" s="79"/>
      <c r="K187" s="36" t="str">
        <f t="shared" ref="K187:K190" si="55">IF(SUM(L187,N187,P187)&gt;0,SUM(L187,N187,P187),"")</f>
        <v/>
      </c>
      <c r="L187" s="9"/>
      <c r="M187" s="79"/>
      <c r="N187" s="9"/>
      <c r="O187" s="55"/>
      <c r="P187" s="9"/>
      <c r="Q187" s="56"/>
      <c r="R187" s="36" t="str">
        <f>IF(SUM(S187,U187,W187)&gt;0,SUM(S187,U187,W187),"")</f>
        <v/>
      </c>
      <c r="S187" s="9"/>
      <c r="T187" s="56"/>
      <c r="U187" s="9"/>
      <c r="V187" s="74"/>
      <c r="W187" s="9"/>
      <c r="X187" s="74"/>
      <c r="Y187" s="36" t="str">
        <f>IF(SUM(Z187,AB187,AD187)&gt;0,SUM(Z187,AB187,AD187),"")</f>
        <v/>
      </c>
      <c r="Z187" s="9"/>
      <c r="AA187" s="74"/>
      <c r="AB187" s="9"/>
      <c r="AC187" s="74"/>
      <c r="AD187" s="9"/>
      <c r="AE187" s="74"/>
      <c r="AF187" s="36" t="str">
        <f t="shared" ref="AF187:AF190" si="56">IF(SUM(D187,K187,R187,Y187)&gt;0,SUM(D187,K187,R187,Y187),"")</f>
        <v/>
      </c>
    </row>
    <row r="188" spans="1:32" s="6" customFormat="1" ht="29.25" hidden="1" outlineLevel="1" x14ac:dyDescent="0.35">
      <c r="A188" s="7"/>
      <c r="B188" s="40"/>
      <c r="C188" s="123"/>
      <c r="D188" s="37" t="str">
        <f>IF(SUM(E188,G188,I188)&gt;0,SUM(E188,G188,I188),"")</f>
        <v/>
      </c>
      <c r="E188" s="10"/>
      <c r="F188" s="11"/>
      <c r="G188" s="12"/>
      <c r="H188" s="11"/>
      <c r="I188" s="12"/>
      <c r="J188" s="11"/>
      <c r="K188" s="37" t="str">
        <f t="shared" si="55"/>
        <v/>
      </c>
      <c r="L188" s="12"/>
      <c r="M188" s="11"/>
      <c r="N188" s="12"/>
      <c r="O188" s="11"/>
      <c r="P188" s="12"/>
      <c r="Q188" s="33"/>
      <c r="R188" s="37" t="str">
        <f>IF(SUM(S188,U188,W188)&gt;0,SUM(S188,U188,W188),"")</f>
        <v/>
      </c>
      <c r="S188" s="12"/>
      <c r="T188" s="33"/>
      <c r="U188" s="12"/>
      <c r="V188" s="32"/>
      <c r="W188" s="12"/>
      <c r="X188" s="32"/>
      <c r="Y188" s="37">
        <f>IF(SUM(Z188,AB188,AD188)&gt;0,SUM(Z188,AB188,AD188),"")</f>
        <v>3</v>
      </c>
      <c r="Z188" s="12">
        <v>3</v>
      </c>
      <c r="AA188" s="32" t="s">
        <v>305</v>
      </c>
      <c r="AB188" s="12"/>
      <c r="AC188" s="11"/>
      <c r="AD188" s="12"/>
      <c r="AE188" s="11"/>
      <c r="AF188" s="37">
        <f t="shared" si="56"/>
        <v>3</v>
      </c>
    </row>
    <row r="189" spans="1:32" s="6" customFormat="1" ht="11.65" hidden="1" outlineLevel="1" x14ac:dyDescent="0.35">
      <c r="A189" s="7"/>
      <c r="B189" s="40"/>
      <c r="C189" s="123"/>
      <c r="D189" s="38" t="str">
        <f>IF(SUM(E189,G189,I189)&gt;0,SUM(E189,G189,I189),"")</f>
        <v/>
      </c>
      <c r="E189" s="14"/>
      <c r="F189" s="15"/>
      <c r="G189" s="16"/>
      <c r="H189" s="15"/>
      <c r="I189" s="16"/>
      <c r="J189" s="15"/>
      <c r="K189" s="38" t="str">
        <f t="shared" si="55"/>
        <v/>
      </c>
      <c r="L189" s="16"/>
      <c r="M189" s="15"/>
      <c r="N189" s="16"/>
      <c r="O189" s="15"/>
      <c r="P189" s="16"/>
      <c r="Q189" s="15"/>
      <c r="R189" s="38" t="str">
        <f>IF(SUM(S189,U189,W189)&gt;0,SUM(S189,U189,W189),"")</f>
        <v/>
      </c>
      <c r="S189" s="16"/>
      <c r="T189" s="15"/>
      <c r="U189" s="16"/>
      <c r="V189" s="15"/>
      <c r="W189" s="16"/>
      <c r="X189" s="15"/>
      <c r="Y189" s="38" t="str">
        <f>IF(SUM(Z189,AB189,AD189)&gt;0,SUM(Z189,AB189,AD189),"")</f>
        <v/>
      </c>
      <c r="Z189" s="16"/>
      <c r="AA189" s="15"/>
      <c r="AB189" s="16"/>
      <c r="AC189" s="15"/>
      <c r="AD189" s="16"/>
      <c r="AE189" s="15"/>
      <c r="AF189" s="38" t="str">
        <f t="shared" si="56"/>
        <v/>
      </c>
    </row>
    <row r="190" spans="1:32" s="6" customFormat="1" ht="19.5" hidden="1" outlineLevel="1" x14ac:dyDescent="0.35">
      <c r="A190" s="45"/>
      <c r="B190" s="40"/>
      <c r="C190" s="123"/>
      <c r="D190" s="61" t="str">
        <f>IF(SUM(E190,G190,I190)&gt;0,SUM(E190,G190,I190),"")</f>
        <v/>
      </c>
      <c r="E190" s="22"/>
      <c r="F190" s="76"/>
      <c r="G190" s="62"/>
      <c r="H190" s="114"/>
      <c r="I190" s="57"/>
      <c r="J190" s="31"/>
      <c r="K190" s="61" t="str">
        <f t="shared" si="55"/>
        <v/>
      </c>
      <c r="L190" s="57"/>
      <c r="M190" s="31"/>
      <c r="N190" s="62"/>
      <c r="O190" s="114"/>
      <c r="P190" s="57"/>
      <c r="Q190" s="31"/>
      <c r="R190" s="61" t="str">
        <f>IF(SUM(S190,U190,W190)&gt;0,SUM(S190,U190,W190),"")</f>
        <v/>
      </c>
      <c r="S190" s="57"/>
      <c r="T190" s="31"/>
      <c r="U190" s="62"/>
      <c r="V190" s="114"/>
      <c r="W190" s="19"/>
      <c r="X190" s="18"/>
      <c r="Y190" s="61">
        <f>IF(SUM(Z190,AB190,AD190)&gt;0,SUM(Z190,AB190,AD190),"")</f>
        <v>3</v>
      </c>
      <c r="Z190" s="62"/>
      <c r="AA190" s="18"/>
      <c r="AB190" s="57">
        <v>2</v>
      </c>
      <c r="AC190" s="18" t="s">
        <v>306</v>
      </c>
      <c r="AD190" s="57">
        <v>1</v>
      </c>
      <c r="AE190" s="31" t="s">
        <v>147</v>
      </c>
      <c r="AF190" s="54">
        <f t="shared" si="56"/>
        <v>3</v>
      </c>
    </row>
    <row r="191" spans="1:32" s="6" customFormat="1" ht="11.65" collapsed="1" x14ac:dyDescent="0.35">
      <c r="A191" s="44">
        <v>3</v>
      </c>
      <c r="B191" s="39" t="s">
        <v>56</v>
      </c>
      <c r="C191" s="122" t="s">
        <v>137</v>
      </c>
      <c r="D191" s="60">
        <f>IF(SUM(D192:D195)&gt;0,SUM(D192:D195),"")</f>
        <v>1</v>
      </c>
      <c r="E191" s="4" t="str">
        <f>IF(SUM(E192:E195)&gt;0,SUM(E192:E195),"")</f>
        <v/>
      </c>
      <c r="F191" s="72"/>
      <c r="G191" s="5">
        <f>IF(SUM(G192:G195)&gt;0,SUM(G192:G195),"")</f>
        <v>1</v>
      </c>
      <c r="H191" s="72"/>
      <c r="I191" s="5" t="str">
        <f>IF(SUM(I192:I195)&gt;0,SUM(I192:I195),"")</f>
        <v/>
      </c>
      <c r="J191" s="66"/>
      <c r="K191" s="60">
        <f>IF(SUM(K192:K195)&gt;0,SUM(K192:K195),"")</f>
        <v>1</v>
      </c>
      <c r="L191" s="5">
        <f>IF(SUM(L192:L195)&gt;0,SUM(L192:L195),"")</f>
        <v>1</v>
      </c>
      <c r="M191" s="66"/>
      <c r="N191" s="5" t="str">
        <f>IF(SUM(N192:N195)&gt;0,SUM(N192:N195),"")</f>
        <v/>
      </c>
      <c r="O191" s="66"/>
      <c r="P191" s="5" t="str">
        <f>IF(SUM(P192:P195)&gt;0,SUM(P192:P195),"")</f>
        <v/>
      </c>
      <c r="Q191" s="66"/>
      <c r="R191" s="60">
        <f>IF(SUM(R192:R195)&gt;0,SUM(R192:R195),"")</f>
        <v>6</v>
      </c>
      <c r="S191" s="5" t="str">
        <f>IF(SUM(S192:S195)&gt;0,SUM(S192:S195),"")</f>
        <v/>
      </c>
      <c r="T191" s="66"/>
      <c r="U191" s="5">
        <f>IF(SUM(U192:U195)&gt;0,SUM(U192:U195),"")</f>
        <v>4</v>
      </c>
      <c r="V191" s="72"/>
      <c r="W191" s="5">
        <f>IF(SUM(W192:W195)&gt;0,SUM(W192:W195),"")</f>
        <v>2</v>
      </c>
      <c r="X191" s="72"/>
      <c r="Y191" s="60">
        <f>IF(SUM(Y192:Y195)&gt;0,SUM(Y192:Y195),"")</f>
        <v>7</v>
      </c>
      <c r="Z191" s="5">
        <f>IF(SUM(Z192:Z195)&gt;0,SUM(Z192:Z195),"")</f>
        <v>2</v>
      </c>
      <c r="AA191" s="72"/>
      <c r="AB191" s="5">
        <f>IF(SUM(AB192:AB195)&gt;0,SUM(AB192:AB195),"")</f>
        <v>4</v>
      </c>
      <c r="AC191" s="72"/>
      <c r="AD191" s="5">
        <f>IF(SUM(AD192:AD195)&gt;0,SUM(AD192:AD195),"")</f>
        <v>1</v>
      </c>
      <c r="AE191" s="72"/>
      <c r="AF191" s="49">
        <f t="shared" si="54"/>
        <v>15</v>
      </c>
    </row>
    <row r="192" spans="1:32" s="6" customFormat="1" ht="11.65" hidden="1" outlineLevel="1" x14ac:dyDescent="0.35">
      <c r="A192" s="7"/>
      <c r="B192" s="40" t="s">
        <v>312</v>
      </c>
      <c r="C192" s="123"/>
      <c r="D192" s="36">
        <f>IF(SUM(E192,G192,I192)&gt;0,SUM(E192,G192,I192),"")</f>
        <v>1</v>
      </c>
      <c r="E192" s="8"/>
      <c r="F192" s="74"/>
      <c r="G192" s="9">
        <v>1</v>
      </c>
      <c r="H192" s="56" t="s">
        <v>148</v>
      </c>
      <c r="I192" s="9"/>
      <c r="J192" s="56"/>
      <c r="K192" s="36">
        <f t="shared" ref="K192:K195" si="57">IF(SUM(L192,N192,P192)&gt;0,SUM(L192,N192,P192),"")</f>
        <v>1</v>
      </c>
      <c r="L192" s="9">
        <v>1</v>
      </c>
      <c r="M192" s="79" t="s">
        <v>149</v>
      </c>
      <c r="N192" s="9"/>
      <c r="O192" s="79"/>
      <c r="P192" s="9"/>
      <c r="Q192" s="56"/>
      <c r="R192" s="36" t="str">
        <f>IF(SUM(S192,U192,W192)&gt;0,SUM(S192,U192,W192),"")</f>
        <v/>
      </c>
      <c r="S192" s="9"/>
      <c r="T192" s="79"/>
      <c r="U192" s="9"/>
      <c r="V192" s="74"/>
      <c r="W192" s="9"/>
      <c r="X192" s="56"/>
      <c r="Y192" s="36" t="str">
        <f>IF(SUM(Z192,AB192,AD192)&gt;0,SUM(Z192,AB192,AD192),"")</f>
        <v/>
      </c>
      <c r="Z192" s="9"/>
      <c r="AA192" s="74"/>
      <c r="AB192" s="9"/>
      <c r="AC192" s="74"/>
      <c r="AD192" s="9"/>
      <c r="AE192" s="74"/>
      <c r="AF192" s="36">
        <f t="shared" ref="AF192:AF195" si="58">IF(SUM(D192,K192,R192,Y192)&gt;0,SUM(D192,K192,R192,Y192),"")</f>
        <v>2</v>
      </c>
    </row>
    <row r="193" spans="1:32" s="6" customFormat="1" ht="19.5" hidden="1" outlineLevel="1" x14ac:dyDescent="0.35">
      <c r="A193" s="7"/>
      <c r="B193" s="40"/>
      <c r="C193" s="123"/>
      <c r="D193" s="37" t="str">
        <f>IF(SUM(E193,G193,I193)&gt;0,SUM(E193,G193,I193),"")</f>
        <v/>
      </c>
      <c r="E193" s="10"/>
      <c r="F193" s="11"/>
      <c r="G193" s="12"/>
      <c r="H193" s="11"/>
      <c r="I193" s="12"/>
      <c r="J193" s="13"/>
      <c r="K193" s="37" t="str">
        <f t="shared" si="57"/>
        <v/>
      </c>
      <c r="L193" s="12"/>
      <c r="M193" s="11"/>
      <c r="N193" s="12"/>
      <c r="O193" s="13"/>
      <c r="P193" s="12"/>
      <c r="Q193" s="13"/>
      <c r="R193" s="37">
        <f>IF(SUM(S193,U193,W193)&gt;0,SUM(S193,U193,W193),"")</f>
        <v>6</v>
      </c>
      <c r="S193" s="12"/>
      <c r="T193" s="13"/>
      <c r="U193" s="12">
        <v>4</v>
      </c>
      <c r="V193" s="11" t="s">
        <v>307</v>
      </c>
      <c r="W193" s="12">
        <v>2</v>
      </c>
      <c r="X193" s="11" t="s">
        <v>311</v>
      </c>
      <c r="Y193" s="37">
        <f>IF(SUM(Z193,AB193,AD193)&gt;0,SUM(Z193,AB193,AD193),"")</f>
        <v>2</v>
      </c>
      <c r="Z193" s="12">
        <v>1</v>
      </c>
      <c r="AA193" s="11" t="s">
        <v>219</v>
      </c>
      <c r="AB193" s="12">
        <v>1</v>
      </c>
      <c r="AC193" s="11" t="s">
        <v>310</v>
      </c>
      <c r="AD193" s="12"/>
      <c r="AE193" s="11"/>
      <c r="AF193" s="37">
        <f t="shared" si="58"/>
        <v>8</v>
      </c>
    </row>
    <row r="194" spans="1:32" s="6" customFormat="1" ht="29.25" hidden="1" outlineLevel="1" x14ac:dyDescent="0.35">
      <c r="A194" s="7"/>
      <c r="B194" s="40"/>
      <c r="C194" s="123"/>
      <c r="D194" s="38" t="str">
        <f>IF(SUM(E194,G194,I194)&gt;0,SUM(E194,G194,I194),"")</f>
        <v/>
      </c>
      <c r="E194" s="14"/>
      <c r="F194" s="15"/>
      <c r="G194" s="16"/>
      <c r="H194" s="15"/>
      <c r="I194" s="16"/>
      <c r="J194" s="15"/>
      <c r="K194" s="38" t="str">
        <f t="shared" si="57"/>
        <v/>
      </c>
      <c r="L194" s="16"/>
      <c r="M194" s="15"/>
      <c r="N194" s="16"/>
      <c r="O194" s="15"/>
      <c r="P194" s="16"/>
      <c r="Q194" s="15"/>
      <c r="R194" s="38" t="str">
        <f>IF(SUM(S194,U194,W194)&gt;0,SUM(S194,U194,W194),"")</f>
        <v/>
      </c>
      <c r="S194" s="16"/>
      <c r="T194" s="15"/>
      <c r="U194" s="16"/>
      <c r="V194" s="15"/>
      <c r="W194" s="16"/>
      <c r="X194" s="15"/>
      <c r="Y194" s="38">
        <f>IF(SUM(Z194,AB194,AD194)&gt;0,SUM(Z194,AB194,AD194),"")</f>
        <v>4</v>
      </c>
      <c r="Z194" s="16">
        <v>1</v>
      </c>
      <c r="AA194" s="15" t="s">
        <v>309</v>
      </c>
      <c r="AB194" s="16">
        <v>3</v>
      </c>
      <c r="AC194" s="15" t="s">
        <v>321</v>
      </c>
      <c r="AD194" s="16"/>
      <c r="AE194" s="15"/>
      <c r="AF194" s="38">
        <f t="shared" si="58"/>
        <v>4</v>
      </c>
    </row>
    <row r="195" spans="1:32" s="6" customFormat="1" ht="11.65" hidden="1" outlineLevel="1" x14ac:dyDescent="0.35">
      <c r="A195" s="45"/>
      <c r="B195" s="40"/>
      <c r="C195" s="123"/>
      <c r="D195" s="61" t="str">
        <f>IF(SUM(E195,G195,I195)&gt;0,SUM(E195,G195,I195),"")</f>
        <v/>
      </c>
      <c r="E195" s="17"/>
      <c r="F195" s="73"/>
      <c r="G195" s="19"/>
      <c r="H195" s="23"/>
      <c r="I195" s="19"/>
      <c r="J195" s="23"/>
      <c r="K195" s="61" t="str">
        <f t="shared" si="57"/>
        <v/>
      </c>
      <c r="L195" s="19"/>
      <c r="M195" s="23"/>
      <c r="N195" s="19"/>
      <c r="O195" s="23"/>
      <c r="P195" s="19"/>
      <c r="Q195" s="23"/>
      <c r="R195" s="61" t="str">
        <f>IF(SUM(S195,U195,W195)&gt;0,SUM(S195,U195,W195),"")</f>
        <v/>
      </c>
      <c r="S195" s="19"/>
      <c r="T195" s="23"/>
      <c r="U195" s="19"/>
      <c r="V195" s="23"/>
      <c r="W195" s="19"/>
      <c r="X195" s="18"/>
      <c r="Y195" s="61">
        <f>IF(SUM(Z195,AB195,AD195)&gt;0,SUM(Z195,AB195,AD195),"")</f>
        <v>1</v>
      </c>
      <c r="Z195" s="19"/>
      <c r="AA195" s="18"/>
      <c r="AB195" s="19"/>
      <c r="AC195" s="18"/>
      <c r="AD195" s="19">
        <v>1</v>
      </c>
      <c r="AE195" s="18" t="s">
        <v>147</v>
      </c>
      <c r="AF195" s="54">
        <f t="shared" si="58"/>
        <v>1</v>
      </c>
    </row>
    <row r="196" spans="1:32" s="6" customFormat="1" ht="11.65" collapsed="1" x14ac:dyDescent="0.35">
      <c r="A196" s="44">
        <v>4</v>
      </c>
      <c r="B196" s="39" t="s">
        <v>57</v>
      </c>
      <c r="C196" s="122" t="s">
        <v>134</v>
      </c>
      <c r="D196" s="60" t="str">
        <f>IF(SUM(D197:D200)&gt;0,SUM(D197:D200),"")</f>
        <v/>
      </c>
      <c r="E196" s="4" t="str">
        <f>IF(SUM(E197:E200)&gt;0,SUM(E197:E200),"")</f>
        <v/>
      </c>
      <c r="F196" s="72"/>
      <c r="G196" s="5" t="str">
        <f>IF(SUM(G197:G200)&gt;0,SUM(G197:G200),"")</f>
        <v/>
      </c>
      <c r="H196" s="72"/>
      <c r="I196" s="5" t="str">
        <f>IF(SUM(I197:I200)&gt;0,SUM(I197:I200),"")</f>
        <v/>
      </c>
      <c r="J196" s="66"/>
      <c r="K196" s="60">
        <f>IF(SUM(K197:K200)&gt;0,SUM(K197:K200),"")</f>
        <v>3</v>
      </c>
      <c r="L196" s="5">
        <f>IF(SUM(L197:L200)&gt;0,SUM(L197:L200),"")</f>
        <v>2</v>
      </c>
      <c r="M196" s="66"/>
      <c r="N196" s="5">
        <f>IF(SUM(N197:N200)&gt;0,SUM(N197:N200),"")</f>
        <v>1</v>
      </c>
      <c r="O196" s="66"/>
      <c r="P196" s="5" t="str">
        <f>IF(SUM(P197:P200)&gt;0,SUM(P197:P200),"")</f>
        <v/>
      </c>
      <c r="Q196" s="66"/>
      <c r="R196" s="60">
        <f>IF(SUM(R197:R200)&gt;0,SUM(R197:R200),"")</f>
        <v>3</v>
      </c>
      <c r="S196" s="5" t="str">
        <f>IF(SUM(S197:S200)&gt;0,SUM(S197:S200),"")</f>
        <v/>
      </c>
      <c r="T196" s="66"/>
      <c r="U196" s="5">
        <f>IF(SUM(U197:U200)&gt;0,SUM(U197:U200),"")</f>
        <v>1</v>
      </c>
      <c r="V196" s="72"/>
      <c r="W196" s="5">
        <f>IF(SUM(W197:W200)&gt;0,SUM(W197:W200),"")</f>
        <v>2</v>
      </c>
      <c r="X196" s="72"/>
      <c r="Y196" s="60">
        <f>IF(SUM(Y197:Y200)&gt;0,SUM(Y197:Y200),"")</f>
        <v>9</v>
      </c>
      <c r="Z196" s="5">
        <f>IF(SUM(Z197:Z200)&gt;0,SUM(Z197:Z200),"")</f>
        <v>5</v>
      </c>
      <c r="AA196" s="72"/>
      <c r="AB196" s="5">
        <f>IF(SUM(AB197:AB200)&gt;0,SUM(AB197:AB200),"")</f>
        <v>3</v>
      </c>
      <c r="AC196" s="72"/>
      <c r="AD196" s="5">
        <f>IF(SUM(AD197:AD200)&gt;0,SUM(AD197:AD200),"")</f>
        <v>1</v>
      </c>
      <c r="AE196" s="72"/>
      <c r="AF196" s="49">
        <f t="shared" si="54"/>
        <v>15</v>
      </c>
    </row>
    <row r="197" spans="1:32" s="6" customFormat="1" ht="11.65" hidden="1" outlineLevel="1" x14ac:dyDescent="0.35">
      <c r="A197" s="7"/>
      <c r="B197" s="40" t="s">
        <v>102</v>
      </c>
      <c r="C197" s="123"/>
      <c r="D197" s="36" t="str">
        <f>IF(SUM(E197,G197,I197)&gt;0,SUM(E197,G197,I197),"")</f>
        <v/>
      </c>
      <c r="E197" s="8"/>
      <c r="F197" s="56"/>
      <c r="G197" s="9"/>
      <c r="H197" s="56"/>
      <c r="I197" s="119"/>
      <c r="J197" s="80"/>
      <c r="K197" s="36">
        <f t="shared" ref="K197:K200" si="59">IF(SUM(L197,N197,P197)&gt;0,SUM(L197,N197,P197),"")</f>
        <v>3</v>
      </c>
      <c r="L197" s="9">
        <v>2</v>
      </c>
      <c r="M197" s="79" t="s">
        <v>152</v>
      </c>
      <c r="N197" s="9">
        <v>1</v>
      </c>
      <c r="O197" s="80" t="s">
        <v>153</v>
      </c>
      <c r="P197" s="9"/>
      <c r="Q197" s="56"/>
      <c r="R197" s="36" t="str">
        <f>IF(SUM(S197,U197,W197)&gt;0,SUM(S197,U197,W197),"")</f>
        <v/>
      </c>
      <c r="S197" s="9"/>
      <c r="T197" s="79"/>
      <c r="U197" s="9"/>
      <c r="V197" s="56"/>
      <c r="W197" s="9"/>
      <c r="X197" s="56"/>
      <c r="Y197" s="36" t="str">
        <f>IF(SUM(Z197,AB197,AD197)&gt;0,SUM(Z197,AB197,AD197),"")</f>
        <v/>
      </c>
      <c r="Z197" s="9"/>
      <c r="AA197" s="74"/>
      <c r="AB197" s="9"/>
      <c r="AC197" s="74"/>
      <c r="AD197" s="9"/>
      <c r="AE197" s="74"/>
      <c r="AF197" s="36">
        <f t="shared" ref="AF197:AF200" si="60">IF(SUM(D197,K197,R197,Y197)&gt;0,SUM(D197,K197,R197,Y197),"")</f>
        <v>3</v>
      </c>
    </row>
    <row r="198" spans="1:32" s="6" customFormat="1" ht="39" hidden="1" outlineLevel="1" x14ac:dyDescent="0.35">
      <c r="A198" s="7"/>
      <c r="B198" s="40"/>
      <c r="C198" s="123"/>
      <c r="D198" s="37" t="str">
        <f>IF(SUM(E198,G198,I198)&gt;0,SUM(E198,G198,I198),"")</f>
        <v/>
      </c>
      <c r="E198" s="10"/>
      <c r="F198" s="11"/>
      <c r="G198" s="12"/>
      <c r="H198" s="11"/>
      <c r="I198" s="12"/>
      <c r="J198" s="11"/>
      <c r="K198" s="37" t="str">
        <f t="shared" si="59"/>
        <v/>
      </c>
      <c r="L198" s="12"/>
      <c r="M198" s="11"/>
      <c r="N198" s="12"/>
      <c r="O198" s="11"/>
      <c r="P198" s="12"/>
      <c r="Q198" s="11"/>
      <c r="R198" s="37">
        <f>IF(SUM(S198,U198,W198)&gt;0,SUM(S198,U198,W198),"")</f>
        <v>3</v>
      </c>
      <c r="S198" s="12"/>
      <c r="T198" s="13"/>
      <c r="U198" s="12">
        <v>1</v>
      </c>
      <c r="V198" s="32" t="s">
        <v>150</v>
      </c>
      <c r="W198" s="12">
        <v>2</v>
      </c>
      <c r="X198" s="11" t="s">
        <v>311</v>
      </c>
      <c r="Y198" s="37">
        <f>IF(SUM(Z198,AB198,AD198)&gt;0,SUM(Z198,AB198,AD198),"")</f>
        <v>5</v>
      </c>
      <c r="Z198" s="12">
        <v>4</v>
      </c>
      <c r="AA198" s="32" t="s">
        <v>313</v>
      </c>
      <c r="AB198" s="12">
        <v>1</v>
      </c>
      <c r="AC198" s="11" t="s">
        <v>310</v>
      </c>
      <c r="AD198" s="12"/>
      <c r="AE198" s="13"/>
      <c r="AF198" s="37">
        <f t="shared" si="60"/>
        <v>8</v>
      </c>
    </row>
    <row r="199" spans="1:32" s="6" customFormat="1" ht="19.5" hidden="1" outlineLevel="1" x14ac:dyDescent="0.35">
      <c r="A199" s="7"/>
      <c r="B199" s="40"/>
      <c r="C199" s="123"/>
      <c r="D199" s="38" t="str">
        <f>IF(SUM(E199,G199,I199)&gt;0,SUM(E199,G199,I199),"")</f>
        <v/>
      </c>
      <c r="E199" s="14"/>
      <c r="F199" s="28"/>
      <c r="G199" s="16"/>
      <c r="H199" s="15"/>
      <c r="I199" s="16"/>
      <c r="J199" s="15"/>
      <c r="K199" s="38" t="str">
        <f t="shared" si="59"/>
        <v/>
      </c>
      <c r="L199" s="16"/>
      <c r="M199" s="15"/>
      <c r="N199" s="16"/>
      <c r="O199" s="15"/>
      <c r="P199" s="16"/>
      <c r="Q199" s="15"/>
      <c r="R199" s="38" t="str">
        <f>IF(SUM(S199,U199,W199)&gt;0,SUM(S199,U199,W199),"")</f>
        <v/>
      </c>
      <c r="S199" s="16"/>
      <c r="T199" s="15"/>
      <c r="U199" s="16"/>
      <c r="V199" s="15"/>
      <c r="W199" s="16"/>
      <c r="X199" s="21"/>
      <c r="Y199" s="38">
        <f>IF(SUM(Z199,AB199,AD199)&gt;0,SUM(Z199,AB199,AD199),"")</f>
        <v>2</v>
      </c>
      <c r="Z199" s="16">
        <v>1</v>
      </c>
      <c r="AA199" s="15" t="s">
        <v>309</v>
      </c>
      <c r="AB199" s="16">
        <v>1</v>
      </c>
      <c r="AC199" s="15" t="s">
        <v>308</v>
      </c>
      <c r="AD199" s="16"/>
      <c r="AE199" s="21"/>
      <c r="AF199" s="38">
        <f t="shared" si="60"/>
        <v>2</v>
      </c>
    </row>
    <row r="200" spans="1:32" s="6" customFormat="1" ht="11.65" hidden="1" outlineLevel="1" x14ac:dyDescent="0.35">
      <c r="A200" s="45"/>
      <c r="B200" s="40"/>
      <c r="C200" s="123"/>
      <c r="D200" s="61" t="str">
        <f>IF(SUM(E200,G200,I200)&gt;0,SUM(E200,G200,I200),"")</f>
        <v/>
      </c>
      <c r="E200" s="17"/>
      <c r="F200" s="73"/>
      <c r="G200" s="19"/>
      <c r="H200" s="73"/>
      <c r="I200" s="19"/>
      <c r="J200" s="23"/>
      <c r="K200" s="61" t="str">
        <f t="shared" si="59"/>
        <v/>
      </c>
      <c r="L200" s="19"/>
      <c r="M200" s="23"/>
      <c r="N200" s="19"/>
      <c r="O200" s="23"/>
      <c r="P200" s="19"/>
      <c r="Q200" s="23"/>
      <c r="R200" s="61" t="str">
        <f>IF(SUM(S200,U200,W200)&gt;0,SUM(S200,U200,W200),"")</f>
        <v/>
      </c>
      <c r="S200" s="19"/>
      <c r="T200" s="23"/>
      <c r="U200" s="19"/>
      <c r="V200" s="23"/>
      <c r="W200" s="19"/>
      <c r="X200" s="23"/>
      <c r="Y200" s="61">
        <f>IF(SUM(Z200,AB200,AD200)&gt;0,SUM(Z200,AB200,AD200),"")</f>
        <v>2</v>
      </c>
      <c r="Z200" s="19"/>
      <c r="AA200" s="18"/>
      <c r="AB200" s="19">
        <v>1</v>
      </c>
      <c r="AC200" s="18" t="s">
        <v>127</v>
      </c>
      <c r="AD200" s="19">
        <v>1</v>
      </c>
      <c r="AE200" s="18" t="s">
        <v>127</v>
      </c>
      <c r="AF200" s="54">
        <f t="shared" si="60"/>
        <v>2</v>
      </c>
    </row>
    <row r="201" spans="1:32" s="6" customFormat="1" ht="11.65" collapsed="1" x14ac:dyDescent="0.35">
      <c r="A201" s="44">
        <v>5</v>
      </c>
      <c r="B201" s="39" t="s">
        <v>69</v>
      </c>
      <c r="C201" s="122" t="s">
        <v>134</v>
      </c>
      <c r="D201" s="60">
        <f>IF(SUM(D202:D205)&gt;0,SUM(D202:D205),"")</f>
        <v>8</v>
      </c>
      <c r="E201" s="4" t="str">
        <f>IF(SUM(E202:E205)&gt;0,SUM(E202:E205),"")</f>
        <v/>
      </c>
      <c r="F201" s="72"/>
      <c r="G201" s="5" t="str">
        <f>IF(SUM(G202:G205)&gt;0,SUM(G202:G205),"")</f>
        <v/>
      </c>
      <c r="H201" s="72"/>
      <c r="I201" s="5">
        <f>IF(SUM(I202:I205)&gt;0,SUM(I202:I205),"")</f>
        <v>8</v>
      </c>
      <c r="J201" s="66"/>
      <c r="K201" s="60">
        <f>IF(SUM(K202:K205)&gt;0,SUM(K202:K205),"")</f>
        <v>12</v>
      </c>
      <c r="L201" s="5"/>
      <c r="M201" s="66"/>
      <c r="N201" s="5">
        <f>IF(SUM(N202:N205)&gt;0,SUM(N202:N205),"")</f>
        <v>2</v>
      </c>
      <c r="O201" s="66"/>
      <c r="P201" s="5">
        <f>IF(SUM(P202:P205)&gt;0,SUM(P202:P205),"")</f>
        <v>9</v>
      </c>
      <c r="Q201" s="66"/>
      <c r="R201" s="60">
        <f>IF(SUM(R202:R205)&gt;0,SUM(R202:R205),"")</f>
        <v>1</v>
      </c>
      <c r="S201" s="5" t="str">
        <f>IF(SUM(S202:S205)&gt;0,SUM(S202:S205),"")</f>
        <v/>
      </c>
      <c r="T201" s="66"/>
      <c r="U201" s="5" t="str">
        <f>IF(SUM(U202:U205)&gt;0,SUM(U202:U205),"")</f>
        <v/>
      </c>
      <c r="V201" s="72"/>
      <c r="W201" s="5">
        <f>IF(SUM(W202:W205)&gt;0,SUM(W202:W205),"")</f>
        <v>1</v>
      </c>
      <c r="X201" s="72"/>
      <c r="Y201" s="60">
        <f>IF(SUM(Y202:Y205)&gt;0,SUM(Y202:Y205),"")</f>
        <v>1</v>
      </c>
      <c r="Z201" s="5" t="str">
        <f>IF(SUM(Z202:Z205)&gt;0,SUM(Z202:Z205),"")</f>
        <v/>
      </c>
      <c r="AA201" s="72"/>
      <c r="AB201" s="5">
        <f>IF(SUM(AB202:AB205)&gt;0,SUM(AB202:AB205),"")</f>
        <v>1</v>
      </c>
      <c r="AC201" s="72"/>
      <c r="AD201" s="5" t="str">
        <f>IF(SUM(AD202:AD205)&gt;0,SUM(AD202:AD205),"")</f>
        <v/>
      </c>
      <c r="AE201" s="72"/>
      <c r="AF201" s="49">
        <f t="shared" si="54"/>
        <v>22</v>
      </c>
    </row>
    <row r="202" spans="1:32" s="6" customFormat="1" ht="19.5" hidden="1" outlineLevel="1" x14ac:dyDescent="0.35">
      <c r="A202" s="7"/>
      <c r="B202" s="40" t="s">
        <v>103</v>
      </c>
      <c r="C202" s="123"/>
      <c r="D202" s="36">
        <f>IF(SUM(E202,G202,I202)&gt;0,SUM(E202,G202,I202),"")</f>
        <v>8</v>
      </c>
      <c r="E202" s="8"/>
      <c r="F202" s="56"/>
      <c r="G202" s="9"/>
      <c r="H202" s="79"/>
      <c r="I202" s="9">
        <v>8</v>
      </c>
      <c r="J202" s="79" t="s">
        <v>154</v>
      </c>
      <c r="K202" s="36">
        <f t="shared" ref="K202:K205" si="61">IF(SUM(L202,N202,P202)&gt;0,SUM(L202,N202,P202),"")</f>
        <v>12</v>
      </c>
      <c r="L202" s="9">
        <v>1</v>
      </c>
      <c r="M202" s="79" t="s">
        <v>144</v>
      </c>
      <c r="N202" s="9">
        <v>2</v>
      </c>
      <c r="O202" s="79" t="s">
        <v>152</v>
      </c>
      <c r="P202" s="9">
        <v>9</v>
      </c>
      <c r="Q202" s="79" t="s">
        <v>314</v>
      </c>
      <c r="R202" s="36" t="str">
        <f>IF(SUM(S202,U202,W202)&gt;0,SUM(S202,U202,W202),"")</f>
        <v/>
      </c>
      <c r="S202" s="9"/>
      <c r="T202" s="79"/>
      <c r="U202" s="9"/>
      <c r="V202" s="56"/>
      <c r="W202" s="9"/>
      <c r="X202" s="56"/>
      <c r="Y202" s="36" t="str">
        <f>IF(SUM(Z202,AB202,AD202)&gt;0,SUM(Z202,AB202,AD202),"")</f>
        <v/>
      </c>
      <c r="Z202" s="9"/>
      <c r="AA202" s="74"/>
      <c r="AB202" s="9"/>
      <c r="AC202" s="74"/>
      <c r="AD202" s="9"/>
      <c r="AE202" s="74"/>
      <c r="AF202" s="36">
        <f t="shared" ref="AF202:AF205" si="62">IF(SUM(D202,K202,R202,Y202)&gt;0,SUM(D202,K202,R202,Y202),"")</f>
        <v>20</v>
      </c>
    </row>
    <row r="203" spans="1:32" s="6" customFormat="1" ht="11.65" hidden="1" outlineLevel="1" x14ac:dyDescent="0.35">
      <c r="A203" s="7"/>
      <c r="B203" s="40"/>
      <c r="C203" s="123"/>
      <c r="D203" s="37" t="str">
        <f>IF(SUM(E203,G203,I203)&gt;0,SUM(E203,G203,I203),"")</f>
        <v/>
      </c>
      <c r="E203" s="10"/>
      <c r="F203" s="11"/>
      <c r="G203" s="12"/>
      <c r="H203" s="13"/>
      <c r="I203" s="12"/>
      <c r="J203" s="11"/>
      <c r="K203" s="37" t="str">
        <f t="shared" si="61"/>
        <v/>
      </c>
      <c r="L203" s="12"/>
      <c r="M203" s="11"/>
      <c r="N203" s="12"/>
      <c r="O203" s="11"/>
      <c r="P203" s="12"/>
      <c r="Q203" s="33"/>
      <c r="R203" s="37" t="str">
        <f>IF(SUM(S203,U203,W203)&gt;0,SUM(S203,U203,W203),"")</f>
        <v/>
      </c>
      <c r="S203" s="12"/>
      <c r="T203" s="33"/>
      <c r="U203" s="12"/>
      <c r="V203" s="32"/>
      <c r="W203" s="12"/>
      <c r="X203" s="32"/>
      <c r="Y203" s="37" t="str">
        <f>IF(SUM(Z203,AB203,AD203)&gt;0,SUM(Z203,AB203,AD203),"")</f>
        <v/>
      </c>
      <c r="Z203" s="12"/>
      <c r="AA203" s="32"/>
      <c r="AB203" s="12"/>
      <c r="AC203" s="11"/>
      <c r="AD203" s="12"/>
      <c r="AE203" s="11"/>
      <c r="AF203" s="37" t="str">
        <f t="shared" si="62"/>
        <v/>
      </c>
    </row>
    <row r="204" spans="1:32" s="6" customFormat="1" ht="11.65" hidden="1" outlineLevel="1" x14ac:dyDescent="0.35">
      <c r="A204" s="7"/>
      <c r="B204" s="40"/>
      <c r="C204" s="123"/>
      <c r="D204" s="38" t="str">
        <f>IF(SUM(E204,G204,I204)&gt;0,SUM(E204,G204,I204),"")</f>
        <v/>
      </c>
      <c r="E204" s="14"/>
      <c r="F204" s="15"/>
      <c r="G204" s="16"/>
      <c r="H204" s="15"/>
      <c r="I204" s="16"/>
      <c r="J204" s="15"/>
      <c r="K204" s="38" t="str">
        <f t="shared" si="61"/>
        <v/>
      </c>
      <c r="L204" s="16"/>
      <c r="M204" s="15"/>
      <c r="N204" s="16"/>
      <c r="O204" s="15"/>
      <c r="P204" s="16"/>
      <c r="Q204" s="15"/>
      <c r="R204" s="38" t="str">
        <f>IF(SUM(S204,U204,W204)&gt;0,SUM(S204,U204,W204),"")</f>
        <v/>
      </c>
      <c r="S204" s="16"/>
      <c r="T204" s="15"/>
      <c r="U204" s="16"/>
      <c r="V204" s="15"/>
      <c r="W204" s="16"/>
      <c r="X204" s="15"/>
      <c r="Y204" s="38" t="str">
        <f>IF(SUM(Z204,AB204,AD204)&gt;0,SUM(Z204,AB204,AD204),"")</f>
        <v/>
      </c>
      <c r="Z204" s="16"/>
      <c r="AA204" s="15"/>
      <c r="AB204" s="16"/>
      <c r="AC204" s="15"/>
      <c r="AD204" s="16"/>
      <c r="AE204" s="15"/>
      <c r="AF204" s="38" t="str">
        <f t="shared" si="62"/>
        <v/>
      </c>
    </row>
    <row r="205" spans="1:32" s="6" customFormat="1" ht="11.65" hidden="1" outlineLevel="1" x14ac:dyDescent="0.35">
      <c r="A205" s="45"/>
      <c r="B205" s="40"/>
      <c r="C205" s="123"/>
      <c r="D205" s="61" t="str">
        <f>IF(SUM(E205,G205,I205)&gt;0,SUM(E205,G205,I205),"")</f>
        <v/>
      </c>
      <c r="E205" s="22"/>
      <c r="F205" s="76"/>
      <c r="G205" s="62"/>
      <c r="H205" s="114"/>
      <c r="I205" s="62"/>
      <c r="J205" s="114"/>
      <c r="K205" s="61" t="str">
        <f t="shared" si="61"/>
        <v/>
      </c>
      <c r="L205" s="20"/>
      <c r="M205" s="114"/>
      <c r="N205" s="62"/>
      <c r="O205" s="114"/>
      <c r="P205" s="20"/>
      <c r="Q205" s="114"/>
      <c r="R205" s="61">
        <f>IF(SUM(S205,U205,W205)&gt;0,SUM(S205,U205,W205),"")</f>
        <v>1</v>
      </c>
      <c r="S205" s="62"/>
      <c r="T205" s="114"/>
      <c r="U205" s="62"/>
      <c r="V205" s="23"/>
      <c r="W205" s="62">
        <v>1</v>
      </c>
      <c r="X205" s="23" t="s">
        <v>127</v>
      </c>
      <c r="Y205" s="61">
        <f>IF(SUM(Z205,AB205,AD205)&gt;0,SUM(Z205,AB205,AD205),"")</f>
        <v>1</v>
      </c>
      <c r="Z205" s="62"/>
      <c r="AA205" s="18"/>
      <c r="AB205" s="62">
        <v>1</v>
      </c>
      <c r="AC205" s="23" t="s">
        <v>127</v>
      </c>
      <c r="AD205" s="62"/>
      <c r="AE205" s="23"/>
      <c r="AF205" s="54">
        <f t="shared" si="62"/>
        <v>2</v>
      </c>
    </row>
    <row r="206" spans="1:32" s="6" customFormat="1" ht="11.65" collapsed="1" x14ac:dyDescent="0.35">
      <c r="A206" s="44">
        <v>6</v>
      </c>
      <c r="B206" s="39" t="s">
        <v>58</v>
      </c>
      <c r="C206" s="122" t="s">
        <v>134</v>
      </c>
      <c r="D206" s="60">
        <f>IF(SUM(D207:D210)&gt;0,SUM(D207:D210),"")</f>
        <v>2</v>
      </c>
      <c r="E206" s="4" t="str">
        <f>IF(SUM(E207:E210)&gt;0,SUM(E207:E210),"")</f>
        <v/>
      </c>
      <c r="F206" s="72"/>
      <c r="G206" s="5">
        <f>IF(SUM(G207:G210)&gt;0,SUM(G207:G210),"")</f>
        <v>1</v>
      </c>
      <c r="H206" s="72"/>
      <c r="I206" s="5">
        <f>IF(SUM(I207:I210)&gt;0,SUM(I207:I210),"")</f>
        <v>1</v>
      </c>
      <c r="J206" s="67"/>
      <c r="K206" s="60">
        <f>IF(SUM(K207:K210)&gt;0,SUM(K207:K210),"")</f>
        <v>1</v>
      </c>
      <c r="L206" s="5" t="str">
        <f>IF(SUM(L207:L210)&gt;0,SUM(L207:L210),"")</f>
        <v/>
      </c>
      <c r="M206" s="67"/>
      <c r="N206" s="5" t="str">
        <f>IF(SUM(N207:N210)&gt;0,SUM(N207:N210),"")</f>
        <v/>
      </c>
      <c r="O206" s="67"/>
      <c r="P206" s="5">
        <f>IF(SUM(P207:P210)&gt;0,SUM(P207:P210),"")</f>
        <v>1</v>
      </c>
      <c r="Q206" s="67"/>
      <c r="R206" s="60">
        <f>IF(SUM(R207:R210)&gt;0,SUM(R207:R210),"")</f>
        <v>1</v>
      </c>
      <c r="S206" s="5" t="str">
        <f>IF(SUM(S207:S210)&gt;0,SUM(S207:S210),"")</f>
        <v/>
      </c>
      <c r="T206" s="67"/>
      <c r="U206" s="5">
        <f>IF(SUM(U207:U210)&gt;0,SUM(U207:U210),"")</f>
        <v>1</v>
      </c>
      <c r="V206" s="84"/>
      <c r="W206" s="5" t="str">
        <f>IF(SUM(W207:W210)&gt;0,SUM(W207:W210),"")</f>
        <v/>
      </c>
      <c r="X206" s="84"/>
      <c r="Y206" s="60">
        <f>IF(SUM(Y207:Y210)&gt;0,SUM(Y207:Y210),"")</f>
        <v>5</v>
      </c>
      <c r="Z206" s="5">
        <f>IF(SUM(Z207:Z210)&gt;0,SUM(Z207:Z210),"")</f>
        <v>3</v>
      </c>
      <c r="AA206" s="84"/>
      <c r="AB206" s="5">
        <f>IF(SUM(AB207:AB210)&gt;0,SUM(AB207:AB210),"")</f>
        <v>1</v>
      </c>
      <c r="AC206" s="84"/>
      <c r="AD206" s="5">
        <f>IF(SUM(AD207:AD210)&gt;0,SUM(AD207:AD210),"")</f>
        <v>1</v>
      </c>
      <c r="AE206" s="84"/>
      <c r="AF206" s="49">
        <f t="shared" si="54"/>
        <v>9</v>
      </c>
    </row>
    <row r="207" spans="1:32" s="6" customFormat="1" ht="11.65" hidden="1" outlineLevel="1" x14ac:dyDescent="0.35">
      <c r="A207" s="7"/>
      <c r="B207" s="40" t="s">
        <v>104</v>
      </c>
      <c r="C207" s="123"/>
      <c r="D207" s="36">
        <f>IF(SUM(E207,G207,I207)&gt;0,SUM(E207,G207,I207),"")</f>
        <v>2</v>
      </c>
      <c r="E207" s="8"/>
      <c r="F207" s="79"/>
      <c r="G207" s="9">
        <v>1</v>
      </c>
      <c r="H207" s="79" t="s">
        <v>150</v>
      </c>
      <c r="I207" s="9">
        <v>1</v>
      </c>
      <c r="J207" s="79" t="s">
        <v>133</v>
      </c>
      <c r="K207" s="36">
        <f t="shared" ref="K207:K210" si="63">IF(SUM(L207,N207,P207)&gt;0,SUM(L207,N207,P207),"")</f>
        <v>1</v>
      </c>
      <c r="L207" s="9"/>
      <c r="M207" s="80"/>
      <c r="N207" s="9"/>
      <c r="O207" s="79"/>
      <c r="P207" s="9">
        <v>1</v>
      </c>
      <c r="Q207" s="80" t="s">
        <v>315</v>
      </c>
      <c r="R207" s="36" t="str">
        <f>IF(SUM(S207,U207,W207)&gt;0,SUM(S207,U207,W207),"")</f>
        <v/>
      </c>
      <c r="S207" s="9"/>
      <c r="T207" s="79"/>
      <c r="U207" s="9"/>
      <c r="V207" s="80"/>
      <c r="W207" s="9"/>
      <c r="X207" s="80"/>
      <c r="Y207" s="36" t="str">
        <f>IF(SUM(Z207,AB207,AD207)&gt;0,SUM(Z207,AB207,AD207),"")</f>
        <v/>
      </c>
      <c r="Z207" s="9"/>
      <c r="AA207" s="82"/>
      <c r="AB207" s="9"/>
      <c r="AC207" s="82"/>
      <c r="AD207" s="9"/>
      <c r="AE207" s="82"/>
      <c r="AF207" s="36">
        <f t="shared" ref="AF207:AF210" si="64">IF(SUM(D207,K207,R207,Y207)&gt;0,SUM(D207,K207,R207,Y207),"")</f>
        <v>3</v>
      </c>
    </row>
    <row r="208" spans="1:32" s="6" customFormat="1" ht="11.65" hidden="1" outlineLevel="1" x14ac:dyDescent="0.35">
      <c r="A208" s="7"/>
      <c r="B208" s="40"/>
      <c r="C208" s="123"/>
      <c r="D208" s="37" t="str">
        <f>IF(SUM(E208,G208,I208)&gt;0,SUM(E208,G208,I208),"")</f>
        <v/>
      </c>
      <c r="E208" s="10"/>
      <c r="F208" s="11"/>
      <c r="G208" s="12"/>
      <c r="H208" s="11"/>
      <c r="I208" s="12"/>
      <c r="J208" s="32"/>
      <c r="K208" s="37" t="str">
        <f t="shared" si="63"/>
        <v/>
      </c>
      <c r="L208" s="12"/>
      <c r="M208" s="11"/>
      <c r="N208" s="12"/>
      <c r="O208" s="11"/>
      <c r="P208" s="12"/>
      <c r="Q208" s="33"/>
      <c r="R208" s="37">
        <f>IF(SUM(S208,U208,W208)&gt;0,SUM(S208,U208,W208),"")</f>
        <v>1</v>
      </c>
      <c r="S208" s="12"/>
      <c r="T208" s="33"/>
      <c r="U208" s="12">
        <v>1</v>
      </c>
      <c r="V208" s="13" t="s">
        <v>150</v>
      </c>
      <c r="W208" s="12"/>
      <c r="X208" s="13"/>
      <c r="Y208" s="37">
        <f>IF(SUM(Z208,AB208,AD208)&gt;0,SUM(Z208,AB208,AD208),"")</f>
        <v>1</v>
      </c>
      <c r="Z208" s="12">
        <v>1</v>
      </c>
      <c r="AA208" s="32" t="s">
        <v>143</v>
      </c>
      <c r="AB208" s="12"/>
      <c r="AC208" s="32"/>
      <c r="AD208" s="12"/>
      <c r="AE208" s="33"/>
      <c r="AF208" s="37">
        <f t="shared" si="64"/>
        <v>2</v>
      </c>
    </row>
    <row r="209" spans="1:32" s="6" customFormat="1" ht="11.65" hidden="1" outlineLevel="1" x14ac:dyDescent="0.35">
      <c r="A209" s="7"/>
      <c r="B209" s="40"/>
      <c r="C209" s="123"/>
      <c r="D209" s="38" t="str">
        <f>IF(SUM(E209,G209,I209)&gt;0,SUM(E209,G209,I209),"")</f>
        <v/>
      </c>
      <c r="E209" s="14"/>
      <c r="F209" s="28"/>
      <c r="G209" s="16"/>
      <c r="H209" s="28"/>
      <c r="I209" s="16"/>
      <c r="J209" s="15"/>
      <c r="K209" s="38" t="str">
        <f t="shared" si="63"/>
        <v/>
      </c>
      <c r="L209" s="16"/>
      <c r="M209" s="15"/>
      <c r="N209" s="16"/>
      <c r="O209" s="15"/>
      <c r="P209" s="16"/>
      <c r="Q209" s="15"/>
      <c r="R209" s="38" t="str">
        <f>IF(SUM(S209,U209,W209)&gt;0,SUM(S209,U209,W209),"")</f>
        <v/>
      </c>
      <c r="S209" s="16"/>
      <c r="T209" s="15"/>
      <c r="U209" s="16"/>
      <c r="V209" s="15"/>
      <c r="W209" s="16"/>
      <c r="X209" s="15"/>
      <c r="Y209" s="38">
        <f>IF(SUM(Z209,AB209,AD209)&gt;0,SUM(Z209,AB209,AD209),"")</f>
        <v>1</v>
      </c>
      <c r="Z209" s="16">
        <v>1</v>
      </c>
      <c r="AA209" s="15" t="s">
        <v>218</v>
      </c>
      <c r="AB209" s="16"/>
      <c r="AC209" s="15"/>
      <c r="AD209" s="16"/>
      <c r="AE209" s="15"/>
      <c r="AF209" s="38">
        <f t="shared" si="64"/>
        <v>1</v>
      </c>
    </row>
    <row r="210" spans="1:32" s="6" customFormat="1" ht="11.65" hidden="1" outlineLevel="1" x14ac:dyDescent="0.35">
      <c r="A210" s="45"/>
      <c r="B210" s="40"/>
      <c r="C210" s="123"/>
      <c r="D210" s="61" t="str">
        <f>IF(SUM(E210,G210,I210)&gt;0,SUM(E210,G210,I210),"")</f>
        <v/>
      </c>
      <c r="E210" s="17"/>
      <c r="F210" s="73"/>
      <c r="G210" s="19"/>
      <c r="H210" s="23"/>
      <c r="I210" s="19"/>
      <c r="J210" s="31"/>
      <c r="K210" s="61" t="str">
        <f t="shared" si="63"/>
        <v/>
      </c>
      <c r="L210" s="19"/>
      <c r="M210" s="31"/>
      <c r="N210" s="19"/>
      <c r="O210" s="114"/>
      <c r="P210" s="19"/>
      <c r="Q210" s="31"/>
      <c r="R210" s="61" t="str">
        <f>IF(SUM(S210,U210,W210)&gt;0,SUM(S210,U210,W210),"")</f>
        <v/>
      </c>
      <c r="S210" s="19"/>
      <c r="T210" s="31"/>
      <c r="U210" s="19"/>
      <c r="V210" s="31"/>
      <c r="W210" s="19"/>
      <c r="X210" s="31"/>
      <c r="Y210" s="61">
        <f>IF(SUM(Z210,AB210,AD210)&gt;0,SUM(Z210,AB210,AD210),"")</f>
        <v>3</v>
      </c>
      <c r="Z210" s="19">
        <v>1</v>
      </c>
      <c r="AA210" s="31" t="s">
        <v>127</v>
      </c>
      <c r="AB210" s="19">
        <v>1</v>
      </c>
      <c r="AC210" s="31" t="s">
        <v>127</v>
      </c>
      <c r="AD210" s="19">
        <v>1</v>
      </c>
      <c r="AE210" s="31" t="s">
        <v>127</v>
      </c>
      <c r="AF210" s="54">
        <f t="shared" si="64"/>
        <v>3</v>
      </c>
    </row>
    <row r="211" spans="1:32" s="6" customFormat="1" ht="11.65" collapsed="1" x14ac:dyDescent="0.35">
      <c r="A211" s="44">
        <v>7</v>
      </c>
      <c r="B211" s="39" t="s">
        <v>59</v>
      </c>
      <c r="C211" s="122" t="s">
        <v>135</v>
      </c>
      <c r="D211" s="60" t="str">
        <f>IF(SUM(D212:D215)&gt;0,SUM(D212:D215),"")</f>
        <v/>
      </c>
      <c r="E211" s="4" t="str">
        <f>IF(SUM(E212:E215)&gt;0,SUM(E212:E215),"")</f>
        <v/>
      </c>
      <c r="F211" s="72"/>
      <c r="G211" s="5" t="str">
        <f>IF(SUM(G212:G215)&gt;0,SUM(G212:G215),"")</f>
        <v/>
      </c>
      <c r="H211" s="72"/>
      <c r="I211" s="5" t="str">
        <f>IF(SUM(I212:I215)&gt;0,SUM(I212:I215),"")</f>
        <v/>
      </c>
      <c r="J211" s="67"/>
      <c r="K211" s="60">
        <f>IF(SUM(K212:K215)&gt;0,SUM(K212:K215),"")</f>
        <v>4</v>
      </c>
      <c r="L211" s="5" t="str">
        <f>IF(SUM(L212:L215)&gt;0,SUM(L212:L215),"")</f>
        <v/>
      </c>
      <c r="M211" s="67"/>
      <c r="N211" s="5">
        <f>IF(SUM(N212:N215)&gt;0,SUM(N212:N215),"")</f>
        <v>2</v>
      </c>
      <c r="O211" s="67"/>
      <c r="P211" s="5">
        <f>IF(SUM(P212:P215)&gt;0,SUM(P212:P215),"")</f>
        <v>2</v>
      </c>
      <c r="Q211" s="67"/>
      <c r="R211" s="60">
        <f>IF(SUM(R212:R215)&gt;0,SUM(R212:R215),"")</f>
        <v>1</v>
      </c>
      <c r="S211" s="5" t="str">
        <f>IF(SUM(S212:S215)&gt;0,SUM(S212:S215),"")</f>
        <v/>
      </c>
      <c r="T211" s="67"/>
      <c r="U211" s="5">
        <f>IF(SUM(U212:U215)&gt;0,SUM(U212:U215),"")</f>
        <v>1</v>
      </c>
      <c r="V211" s="84"/>
      <c r="W211" s="5" t="str">
        <f>IF(SUM(W212:W215)&gt;0,SUM(W212:W215),"")</f>
        <v/>
      </c>
      <c r="X211" s="84"/>
      <c r="Y211" s="60">
        <f>IF(SUM(Y212:Y215)&gt;0,SUM(Y212:Y215),"")</f>
        <v>11</v>
      </c>
      <c r="Z211" s="5">
        <f>IF(SUM(Z212:Z215)&gt;0,SUM(Z212:Z215),"")</f>
        <v>5</v>
      </c>
      <c r="AA211" s="84"/>
      <c r="AB211" s="5">
        <f>IF(SUM(AB212:AB215)&gt;0,SUM(AB212:AB215),"")</f>
        <v>5</v>
      </c>
      <c r="AC211" s="84"/>
      <c r="AD211" s="5">
        <f>IF(SUM(AD212:AD215)&gt;0,SUM(AD212:AD215),"")</f>
        <v>1</v>
      </c>
      <c r="AE211" s="84"/>
      <c r="AF211" s="49">
        <f>IF(SUM(AF212:AF215)&gt;0,SUM(AF212:AF215),"")</f>
        <v>16</v>
      </c>
    </row>
    <row r="212" spans="1:32" s="6" customFormat="1" ht="19.5" hidden="1" outlineLevel="1" x14ac:dyDescent="0.35">
      <c r="A212" s="7"/>
      <c r="B212" s="40" t="s">
        <v>316</v>
      </c>
      <c r="C212" s="123"/>
      <c r="D212" s="36" t="str">
        <f>IF(SUM(E212,G212,I212)&gt;0,SUM(E212,G212,I212),"")</f>
        <v/>
      </c>
      <c r="E212" s="8"/>
      <c r="F212" s="56"/>
      <c r="G212" s="9"/>
      <c r="H212" s="56"/>
      <c r="I212" s="9"/>
      <c r="J212" s="79"/>
      <c r="K212" s="36">
        <f t="shared" ref="K212:K220" si="65">IF(SUM(L212,N212,P212)&gt;0,SUM(L212,N212,P212),"")</f>
        <v>4</v>
      </c>
      <c r="L212" s="9"/>
      <c r="M212" s="80"/>
      <c r="N212" s="9">
        <v>2</v>
      </c>
      <c r="O212" s="80" t="s">
        <v>152</v>
      </c>
      <c r="P212" s="9">
        <v>2</v>
      </c>
      <c r="Q212" s="80" t="s">
        <v>215</v>
      </c>
      <c r="R212" s="36" t="str">
        <f>IF(SUM(S212,U212,W212)&gt;0,SUM(S212,U212,W212),"")</f>
        <v/>
      </c>
      <c r="S212" s="9"/>
      <c r="T212" s="80"/>
      <c r="U212" s="9"/>
      <c r="V212" s="80"/>
      <c r="W212" s="9"/>
      <c r="X212" s="55"/>
      <c r="Y212" s="36" t="str">
        <f>IF(SUM(Z212,AB212,AD212)&gt;0,SUM(Z212,AB212,AD212),"")</f>
        <v/>
      </c>
      <c r="Z212" s="9"/>
      <c r="AA212" s="55"/>
      <c r="AB212" s="9"/>
      <c r="AC212" s="82"/>
      <c r="AD212" s="9"/>
      <c r="AE212" s="82"/>
      <c r="AF212" s="36">
        <f t="shared" ref="AF212:AF215" si="66">IF(SUM(D212,K212,R212,Y212)&gt;0,SUM(D212,K212,R212,Y212),"")</f>
        <v>4</v>
      </c>
    </row>
    <row r="213" spans="1:32" s="6" customFormat="1" ht="11.65" hidden="1" outlineLevel="1" x14ac:dyDescent="0.35">
      <c r="A213" s="7"/>
      <c r="B213" s="40"/>
      <c r="C213" s="123"/>
      <c r="D213" s="37" t="str">
        <f>IF(SUM(E213,G213,I213)&gt;0,SUM(E213,G213,I213),"")</f>
        <v/>
      </c>
      <c r="E213" s="10"/>
      <c r="F213" s="13"/>
      <c r="G213" s="12"/>
      <c r="H213" s="11"/>
      <c r="I213" s="12"/>
      <c r="J213" s="11"/>
      <c r="K213" s="37" t="str">
        <f t="shared" si="65"/>
        <v/>
      </c>
      <c r="L213" s="12"/>
      <c r="M213" s="11"/>
      <c r="N213" s="12"/>
      <c r="O213" s="11"/>
      <c r="P213" s="12"/>
      <c r="Q213" s="11"/>
      <c r="R213" s="37">
        <f>IF(SUM(S213,U213,W213)&gt;0,SUM(S213,U213,W213),"")</f>
        <v>1</v>
      </c>
      <c r="S213" s="12"/>
      <c r="T213" s="33"/>
      <c r="U213" s="12">
        <v>1</v>
      </c>
      <c r="V213" s="13" t="s">
        <v>150</v>
      </c>
      <c r="W213" s="12"/>
      <c r="X213" s="13"/>
      <c r="Y213" s="37">
        <f>IF(SUM(Z213,AB213,AD213)&gt;0,SUM(Z213,AB213,AD213),"")</f>
        <v>1</v>
      </c>
      <c r="Z213" s="12">
        <v>1</v>
      </c>
      <c r="AA213" s="32" t="s">
        <v>317</v>
      </c>
      <c r="AB213" s="12"/>
      <c r="AC213" s="32"/>
      <c r="AD213" s="12"/>
      <c r="AE213" s="33"/>
      <c r="AF213" s="37">
        <f t="shared" si="66"/>
        <v>2</v>
      </c>
    </row>
    <row r="214" spans="1:32" s="6" customFormat="1" ht="39" hidden="1" outlineLevel="1" x14ac:dyDescent="0.35">
      <c r="A214" s="7"/>
      <c r="B214" s="40"/>
      <c r="C214" s="123"/>
      <c r="D214" s="38" t="str">
        <f>IF(SUM(E214,G214,I214)&gt;0,SUM(E214,G214,I214),"")</f>
        <v/>
      </c>
      <c r="E214" s="14"/>
      <c r="F214" s="28"/>
      <c r="G214" s="16"/>
      <c r="H214" s="28"/>
      <c r="I214" s="14"/>
      <c r="J214" s="28"/>
      <c r="K214" s="38" t="str">
        <f t="shared" si="65"/>
        <v/>
      </c>
      <c r="L214" s="14"/>
      <c r="M214" s="21"/>
      <c r="N214" s="14"/>
      <c r="O214" s="28"/>
      <c r="P214" s="16"/>
      <c r="Q214" s="28"/>
      <c r="R214" s="38" t="str">
        <f>IF(SUM(S214,U214,W214)&gt;0,SUM(S214,U214,W214),"")</f>
        <v/>
      </c>
      <c r="S214" s="14"/>
      <c r="T214" s="28"/>
      <c r="U214" s="14"/>
      <c r="V214" s="28"/>
      <c r="W214" s="16"/>
      <c r="X214" s="28"/>
      <c r="Y214" s="38">
        <f>IF(SUM(Z214,AB214,AD214)&gt;0,SUM(Z214,AB214,AD214),"")</f>
        <v>7</v>
      </c>
      <c r="Z214" s="14">
        <v>3</v>
      </c>
      <c r="AA214" s="28" t="s">
        <v>319</v>
      </c>
      <c r="AB214" s="16">
        <v>4</v>
      </c>
      <c r="AC214" s="28" t="s">
        <v>320</v>
      </c>
      <c r="AD214" s="16"/>
      <c r="AE214" s="28"/>
      <c r="AF214" s="38">
        <f t="shared" si="66"/>
        <v>7</v>
      </c>
    </row>
    <row r="215" spans="1:32" s="6" customFormat="1" ht="11.65" hidden="1" outlineLevel="1" x14ac:dyDescent="0.35">
      <c r="A215" s="45"/>
      <c r="B215" s="40"/>
      <c r="C215" s="123"/>
      <c r="D215" s="61" t="str">
        <f>IF(SUM(E215,G215,I215)&gt;0,SUM(E215,G215,I215),"")</f>
        <v/>
      </c>
      <c r="E215" s="17"/>
      <c r="F215" s="73"/>
      <c r="G215" s="19"/>
      <c r="H215" s="23"/>
      <c r="I215" s="19"/>
      <c r="J215" s="31"/>
      <c r="K215" s="61" t="str">
        <f t="shared" si="65"/>
        <v/>
      </c>
      <c r="L215" s="19"/>
      <c r="M215" s="31"/>
      <c r="N215" s="19"/>
      <c r="O215" s="23"/>
      <c r="P215" s="19"/>
      <c r="Q215" s="31"/>
      <c r="R215" s="61" t="str">
        <f>IF(SUM(S215,U215,W215)&gt;0,SUM(S215,U215,W215),"")</f>
        <v/>
      </c>
      <c r="S215" s="19"/>
      <c r="T215" s="31"/>
      <c r="U215" s="19"/>
      <c r="V215" s="31"/>
      <c r="W215" s="19"/>
      <c r="X215" s="29"/>
      <c r="Y215" s="61">
        <f>IF(SUM(Z215,AB215,AD215)&gt;0,SUM(Z215,AB215,AD215),"")</f>
        <v>3</v>
      </c>
      <c r="Z215" s="19">
        <v>1</v>
      </c>
      <c r="AA215" s="18" t="s">
        <v>147</v>
      </c>
      <c r="AB215" s="19">
        <v>1</v>
      </c>
      <c r="AC215" s="18" t="s">
        <v>147</v>
      </c>
      <c r="AD215" s="19">
        <v>1</v>
      </c>
      <c r="AE215" s="18" t="s">
        <v>147</v>
      </c>
      <c r="AF215" s="54">
        <f t="shared" si="66"/>
        <v>3</v>
      </c>
    </row>
    <row r="216" spans="1:32" s="6" customFormat="1" ht="11.65" collapsed="1" x14ac:dyDescent="0.35">
      <c r="A216" s="44">
        <v>8</v>
      </c>
      <c r="B216" s="39" t="s">
        <v>60</v>
      </c>
      <c r="C216" s="122" t="s">
        <v>135</v>
      </c>
      <c r="D216" s="60" t="str">
        <f>IF(SUM(D217:D220)&gt;0,SUM(D217:D220),"")</f>
        <v/>
      </c>
      <c r="E216" s="4" t="str">
        <f>IF(SUM(E217:E220)&gt;0,SUM(E217:E220),"")</f>
        <v/>
      </c>
      <c r="F216" s="72"/>
      <c r="G216" s="5" t="str">
        <f>IF(SUM(G217:G220)&gt;0,SUM(G217:G220),"")</f>
        <v/>
      </c>
      <c r="H216" s="72"/>
      <c r="I216" s="5" t="str">
        <f>IF(SUM(I217:I220)&gt;0,SUM(I217:I220),"")</f>
        <v/>
      </c>
      <c r="J216" s="67"/>
      <c r="K216" s="60" t="str">
        <f t="shared" si="65"/>
        <v/>
      </c>
      <c r="L216" s="5" t="str">
        <f>IF(SUM(L217:L220)&gt;0,SUM(L217:L220),"")</f>
        <v/>
      </c>
      <c r="M216" s="67"/>
      <c r="N216" s="5" t="str">
        <f>IF(SUM(N217:N220)&gt;0,SUM(N217:N220),"")</f>
        <v/>
      </c>
      <c r="O216" s="67"/>
      <c r="P216" s="5" t="str">
        <f>IF(SUM(P217:P220)&gt;0,SUM(P217:P220),"")</f>
        <v/>
      </c>
      <c r="Q216" s="67"/>
      <c r="R216" s="60" t="str">
        <f>IF(SUM(R217:R220)&gt;0,SUM(R217:R220),"")</f>
        <v/>
      </c>
      <c r="S216" s="5" t="str">
        <f>IF(SUM(S217:S220)&gt;0,SUM(S217:S220),"")</f>
        <v/>
      </c>
      <c r="T216" s="67"/>
      <c r="U216" s="5" t="str">
        <f>IF(SUM(U217:U220)&gt;0,SUM(U217:U220),"")</f>
        <v/>
      </c>
      <c r="V216" s="84"/>
      <c r="W216" s="5" t="str">
        <f>IF(SUM(W217:W220)&gt;0,SUM(W217:W220),"")</f>
        <v/>
      </c>
      <c r="X216" s="84"/>
      <c r="Y216" s="60" t="str">
        <f>IF(SUM(Y217:Y220)&gt;0,SUM(Y217:Y220),"")</f>
        <v/>
      </c>
      <c r="Z216" s="5" t="str">
        <f>IF(SUM(Z217:Z220)&gt;0,SUM(Z217:Z220),"")</f>
        <v/>
      </c>
      <c r="AA216" s="84"/>
      <c r="AB216" s="5" t="str">
        <f>IF(SUM(AB217:AB220)&gt;0,SUM(AB217:AB220),"")</f>
        <v/>
      </c>
      <c r="AC216" s="84"/>
      <c r="AD216" s="5" t="str">
        <f>IF(SUM(AD217:AD220)&gt;0,SUM(AD217:AD220),"")</f>
        <v/>
      </c>
      <c r="AE216" s="84"/>
      <c r="AF216" s="49" t="str">
        <f t="shared" si="54"/>
        <v/>
      </c>
    </row>
    <row r="217" spans="1:32" s="6" customFormat="1" ht="11.65" hidden="1" outlineLevel="1" x14ac:dyDescent="0.35">
      <c r="A217" s="7"/>
      <c r="B217" s="40"/>
      <c r="C217" s="123"/>
      <c r="D217" s="36" t="str">
        <f>IF(SUM(E217,G217,I217)&gt;0,SUM(E217,G217,I217),"")</f>
        <v/>
      </c>
      <c r="E217" s="8"/>
      <c r="F217" s="74"/>
      <c r="G217" s="9"/>
      <c r="H217" s="79"/>
      <c r="I217" s="9"/>
      <c r="J217" s="80"/>
      <c r="K217" s="36" t="str">
        <f t="shared" si="65"/>
        <v/>
      </c>
      <c r="L217" s="9"/>
      <c r="M217" s="55"/>
      <c r="N217" s="9"/>
      <c r="O217" s="55"/>
      <c r="P217" s="9"/>
      <c r="Q217" s="55"/>
      <c r="R217" s="36" t="str">
        <f>IF(SUM(S217,U217,W217)&gt;0,SUM(S217,U217,W217),"")</f>
        <v/>
      </c>
      <c r="S217" s="9"/>
      <c r="T217" s="55"/>
      <c r="U217" s="9"/>
      <c r="V217" s="82"/>
      <c r="W217" s="9"/>
      <c r="X217" s="82"/>
      <c r="Y217" s="36" t="str">
        <f>IF(SUM(Z217,AB217,AD217)&gt;0,SUM(Z217,AB217,AD217),"")</f>
        <v/>
      </c>
      <c r="Z217" s="9"/>
      <c r="AA217" s="82"/>
      <c r="AB217" s="9"/>
      <c r="AC217" s="82"/>
      <c r="AD217" s="9"/>
      <c r="AE217" s="82"/>
      <c r="AF217" s="36" t="str">
        <f t="shared" ref="AF217:AF220" si="67">IF(SUM(D217,K217,R217,Y217)&gt;0,SUM(D217,K217,R217,Y217),"")</f>
        <v/>
      </c>
    </row>
    <row r="218" spans="1:32" s="6" customFormat="1" ht="11.65" hidden="1" outlineLevel="1" x14ac:dyDescent="0.35">
      <c r="A218" s="7"/>
      <c r="B218" s="40"/>
      <c r="C218" s="123"/>
      <c r="D218" s="37" t="str">
        <f>IF(SUM(E218,G218,I218)&gt;0,SUM(E218,G218,I218),"")</f>
        <v/>
      </c>
      <c r="E218" s="10"/>
      <c r="F218" s="63"/>
      <c r="G218" s="12"/>
      <c r="H218" s="63"/>
      <c r="I218" s="12"/>
      <c r="J218" s="33"/>
      <c r="K218" s="37" t="str">
        <f t="shared" si="65"/>
        <v/>
      </c>
      <c r="L218" s="12"/>
      <c r="M218" s="33"/>
      <c r="N218" s="12"/>
      <c r="O218" s="33"/>
      <c r="P218" s="12"/>
      <c r="Q218" s="33"/>
      <c r="R218" s="37" t="str">
        <f>IF(SUM(S218,U218,W218)&gt;0,SUM(S218,U218,W218),"")</f>
        <v/>
      </c>
      <c r="S218" s="12"/>
      <c r="T218" s="33"/>
      <c r="U218" s="12"/>
      <c r="V218" s="33"/>
      <c r="W218" s="12"/>
      <c r="X218" s="33"/>
      <c r="Y218" s="37" t="str">
        <f>IF(SUM(Z218,AB218,AD218)&gt;0,SUM(Z218,AB218,AD218),"")</f>
        <v/>
      </c>
      <c r="Z218" s="12"/>
      <c r="AA218" s="33"/>
      <c r="AB218" s="12"/>
      <c r="AC218" s="33"/>
      <c r="AD218" s="12"/>
      <c r="AE218" s="83"/>
      <c r="AF218" s="37" t="str">
        <f t="shared" si="67"/>
        <v/>
      </c>
    </row>
    <row r="219" spans="1:32" s="6" customFormat="1" ht="11.65" hidden="1" outlineLevel="1" x14ac:dyDescent="0.35">
      <c r="A219" s="7"/>
      <c r="B219" s="40"/>
      <c r="C219" s="123"/>
      <c r="D219" s="38" t="str">
        <f>IF(SUM(E219,G219,I219)&gt;0,SUM(E219,G219,I219),"")</f>
        <v/>
      </c>
      <c r="E219" s="14"/>
      <c r="F219" s="28"/>
      <c r="G219" s="16"/>
      <c r="H219" s="15"/>
      <c r="I219" s="14"/>
      <c r="J219" s="15"/>
      <c r="K219" s="38" t="str">
        <f t="shared" si="65"/>
        <v/>
      </c>
      <c r="L219" s="14"/>
      <c r="M219" s="21"/>
      <c r="N219" s="14"/>
      <c r="O219" s="21"/>
      <c r="P219" s="14"/>
      <c r="Q219" s="21"/>
      <c r="R219" s="38" t="str">
        <f>IF(SUM(S219,U219,W219)&gt;0,SUM(S219,U219,W219),"")</f>
        <v/>
      </c>
      <c r="S219" s="14"/>
      <c r="T219" s="21"/>
      <c r="U219" s="14"/>
      <c r="V219" s="21"/>
      <c r="W219" s="14"/>
      <c r="X219" s="21"/>
      <c r="Y219" s="38" t="str">
        <f>IF(SUM(Z219,AB219,AD219)&gt;0,SUM(Z219,AB219,AD219),"")</f>
        <v/>
      </c>
      <c r="Z219" s="14"/>
      <c r="AA219" s="15"/>
      <c r="AB219" s="14"/>
      <c r="AC219" s="21"/>
      <c r="AD219" s="14"/>
      <c r="AE219" s="75"/>
      <c r="AF219" s="38" t="str">
        <f t="shared" si="67"/>
        <v/>
      </c>
    </row>
    <row r="220" spans="1:32" s="6" customFormat="1" ht="11.65" hidden="1" outlineLevel="1" x14ac:dyDescent="0.35">
      <c r="A220" s="45"/>
      <c r="B220" s="40"/>
      <c r="C220" s="123"/>
      <c r="D220" s="61" t="str">
        <f>IF(SUM(E220,G220,I220)&gt;0,SUM(E220,G220,I220),"")</f>
        <v/>
      </c>
      <c r="E220" s="17"/>
      <c r="F220" s="73"/>
      <c r="G220" s="19"/>
      <c r="H220" s="23"/>
      <c r="I220" s="19"/>
      <c r="J220" s="31"/>
      <c r="K220" s="61" t="str">
        <f t="shared" si="65"/>
        <v/>
      </c>
      <c r="L220" s="19"/>
      <c r="M220" s="31"/>
      <c r="N220" s="19"/>
      <c r="O220" s="23"/>
      <c r="P220" s="19"/>
      <c r="Q220" s="31"/>
      <c r="R220" s="61" t="str">
        <f>IF(SUM(S220,U220,W220)&gt;0,SUM(S220,U220,W220),"")</f>
        <v/>
      </c>
      <c r="S220" s="19"/>
      <c r="T220" s="31"/>
      <c r="U220" s="19"/>
      <c r="V220" s="23"/>
      <c r="W220" s="19"/>
      <c r="X220" s="85"/>
      <c r="Y220" s="61" t="str">
        <f>IF(SUM(Z220,AB220,AD220)&gt;0,SUM(Z220,AB220,AD220),"")</f>
        <v/>
      </c>
      <c r="Z220" s="19"/>
      <c r="AA220" s="23"/>
      <c r="AB220" s="19"/>
      <c r="AC220" s="31"/>
      <c r="AD220" s="19"/>
      <c r="AE220" s="85"/>
      <c r="AF220" s="54" t="str">
        <f t="shared" si="67"/>
        <v/>
      </c>
    </row>
    <row r="221" spans="1:32" s="6" customFormat="1" ht="11.65" collapsed="1" x14ac:dyDescent="0.35">
      <c r="A221" s="44">
        <v>9</v>
      </c>
      <c r="B221" s="39" t="s">
        <v>61</v>
      </c>
      <c r="C221" s="122" t="s">
        <v>138</v>
      </c>
      <c r="D221" s="60">
        <f>IF(SUM(D222:D225)&gt;0,SUM(D222:D225),"")</f>
        <v>1</v>
      </c>
      <c r="E221" s="4" t="str">
        <f>IF(SUM(E222:E225)&gt;0,SUM(E222:E225),"")</f>
        <v/>
      </c>
      <c r="F221" s="72"/>
      <c r="G221" s="5" t="str">
        <f>IF(SUM(G222:G225)&gt;0,SUM(G222:G225),"")</f>
        <v/>
      </c>
      <c r="H221" s="72"/>
      <c r="I221" s="5">
        <f>IF(SUM(I222:I225)&gt;0,SUM(I222:I225),"")</f>
        <v>1</v>
      </c>
      <c r="J221" s="67"/>
      <c r="K221" s="60">
        <f>IF(SUM(K222:K225)&gt;0,SUM(K222:K225),"")</f>
        <v>1</v>
      </c>
      <c r="L221" s="5" t="str">
        <f>IF(SUM(L222:L225)&gt;0,SUM(L222:L225),"")</f>
        <v/>
      </c>
      <c r="M221" s="67"/>
      <c r="N221" s="5">
        <f>IF(SUM(N222:N225)&gt;0,SUM(N222:N225),"")</f>
        <v>1</v>
      </c>
      <c r="O221" s="67"/>
      <c r="P221" s="5" t="str">
        <f>IF(SUM(P222:P225)&gt;0,SUM(P222:P225),"")</f>
        <v/>
      </c>
      <c r="Q221" s="67"/>
      <c r="R221" s="60" t="str">
        <f>IF(SUM(R222:R225)&gt;0,SUM(R222:R225),"")</f>
        <v/>
      </c>
      <c r="S221" s="5" t="str">
        <f>IF(SUM(S222:S225)&gt;0,SUM(S222:S225),"")</f>
        <v/>
      </c>
      <c r="T221" s="67"/>
      <c r="U221" s="5" t="str">
        <f>IF(SUM(U222:U225)&gt;0,SUM(U222:U225),"")</f>
        <v/>
      </c>
      <c r="V221" s="84"/>
      <c r="W221" s="5" t="str">
        <f>IF(SUM(W222:W225)&gt;0,SUM(W222:W225),"")</f>
        <v/>
      </c>
      <c r="X221" s="84"/>
      <c r="Y221" s="60" t="str">
        <f>IF(SUM(Y222:Y225)&gt;0,SUM(Y222:Y225),"")</f>
        <v/>
      </c>
      <c r="Z221" s="5" t="str">
        <f>IF(SUM(Z222:Z225)&gt;0,SUM(Z222:Z225),"")</f>
        <v/>
      </c>
      <c r="AA221" s="84"/>
      <c r="AB221" s="5" t="str">
        <f>IF(SUM(AB222:AB225)&gt;0,SUM(AB222:AB225),"")</f>
        <v/>
      </c>
      <c r="AC221" s="84"/>
      <c r="AD221" s="5" t="str">
        <f>IF(SUM(AD222:AD225)&gt;0,SUM(AD222:AD225),"")</f>
        <v/>
      </c>
      <c r="AE221" s="84"/>
      <c r="AF221" s="49">
        <f t="shared" si="54"/>
        <v>2</v>
      </c>
    </row>
    <row r="222" spans="1:32" s="6" customFormat="1" ht="11.65" hidden="1" outlineLevel="1" x14ac:dyDescent="0.35">
      <c r="A222" s="7"/>
      <c r="B222" s="40" t="s">
        <v>323</v>
      </c>
      <c r="C222" s="123"/>
      <c r="D222" s="36">
        <f>IF(SUM(E222,G222,I222)&gt;0,SUM(E222,G222,I222),"")</f>
        <v>1</v>
      </c>
      <c r="E222" s="8"/>
      <c r="F222" s="56"/>
      <c r="G222" s="9"/>
      <c r="H222" s="79"/>
      <c r="I222" s="9">
        <v>1</v>
      </c>
      <c r="J222" s="80" t="s">
        <v>133</v>
      </c>
      <c r="K222" s="36">
        <f>IF(SUM(L222,N222,P222)&gt;0,SUM(L222,N222,P222),"")</f>
        <v>1</v>
      </c>
      <c r="L222" s="9"/>
      <c r="M222" s="55"/>
      <c r="N222" s="9">
        <v>1</v>
      </c>
      <c r="O222" s="55" t="s">
        <v>155</v>
      </c>
      <c r="P222" s="9"/>
      <c r="Q222" s="55"/>
      <c r="R222" s="36" t="str">
        <f>IF(SUM(S222,U222,W222)&gt;0,SUM(S222,U222,W222),"")</f>
        <v/>
      </c>
      <c r="S222" s="9"/>
      <c r="T222" s="55"/>
      <c r="U222" s="9"/>
      <c r="V222" s="82"/>
      <c r="W222" s="9"/>
      <c r="X222" s="82"/>
      <c r="Y222" s="36" t="str">
        <f>IF(SUM(Z222,AB222,AD222)&gt;0,SUM(Z222,AB222,AD222),"")</f>
        <v/>
      </c>
      <c r="Z222" s="9"/>
      <c r="AA222" s="82"/>
      <c r="AB222" s="9"/>
      <c r="AC222" s="82"/>
      <c r="AD222" s="9"/>
      <c r="AE222" s="82"/>
      <c r="AF222" s="36">
        <f t="shared" ref="AF222:AF225" si="68">IF(SUM(D222,K222,R222,Y222)&gt;0,SUM(D222,K222,R222,Y222),"")</f>
        <v>2</v>
      </c>
    </row>
    <row r="223" spans="1:32" s="6" customFormat="1" ht="11.65" hidden="1" outlineLevel="1" x14ac:dyDescent="0.35">
      <c r="A223" s="7"/>
      <c r="B223" s="40"/>
      <c r="C223" s="123"/>
      <c r="D223" s="37" t="str">
        <f>IF(SUM(E223,G223,I223)&gt;0,SUM(E223,G223,I223),"")</f>
        <v/>
      </c>
      <c r="E223" s="10"/>
      <c r="F223" s="11"/>
      <c r="G223" s="12"/>
      <c r="H223" s="13"/>
      <c r="I223" s="12"/>
      <c r="J223" s="33"/>
      <c r="K223" s="37" t="str">
        <f>IF(SUM(L223,N223,P223)&gt;0,SUM(L223,N223,P223),"")</f>
        <v/>
      </c>
      <c r="L223" s="12"/>
      <c r="M223" s="33"/>
      <c r="N223" s="12"/>
      <c r="O223" s="11"/>
      <c r="P223" s="12"/>
      <c r="Q223" s="33"/>
      <c r="R223" s="37" t="str">
        <f>IF(SUM(S223,U223,W223)&gt;0,SUM(S223,U223,W223),"")</f>
        <v/>
      </c>
      <c r="S223" s="12"/>
      <c r="T223" s="33"/>
      <c r="U223" s="12"/>
      <c r="V223" s="32"/>
      <c r="W223" s="12"/>
      <c r="X223" s="33"/>
      <c r="Y223" s="37" t="str">
        <f>IF(SUM(Z223,AB223,AD223)&gt;0,SUM(Z223,AB223,AD223),"")</f>
        <v/>
      </c>
      <c r="Z223" s="12"/>
      <c r="AA223" s="32"/>
      <c r="AB223" s="12"/>
      <c r="AC223" s="32"/>
      <c r="AD223" s="12"/>
      <c r="AE223" s="83"/>
      <c r="AF223" s="37" t="str">
        <f t="shared" si="68"/>
        <v/>
      </c>
    </row>
    <row r="224" spans="1:32" s="6" customFormat="1" ht="11.65" hidden="1" outlineLevel="1" x14ac:dyDescent="0.35">
      <c r="A224" s="7"/>
      <c r="B224" s="40"/>
      <c r="C224" s="123"/>
      <c r="D224" s="38" t="str">
        <f>IF(SUM(E224,G224,I224)&gt;0,SUM(E224,G224,I224),"")</f>
        <v/>
      </c>
      <c r="E224" s="14"/>
      <c r="F224" s="28"/>
      <c r="G224" s="16"/>
      <c r="H224" s="21"/>
      <c r="I224" s="16"/>
      <c r="J224" s="21"/>
      <c r="K224" s="38" t="str">
        <f>IF(SUM(L224,N224,P224)&gt;0,SUM(L224,N224,P224),"")</f>
        <v/>
      </c>
      <c r="L224" s="16"/>
      <c r="M224" s="21"/>
      <c r="N224" s="16"/>
      <c r="O224" s="21"/>
      <c r="P224" s="16"/>
      <c r="Q224" s="15"/>
      <c r="R224" s="38" t="str">
        <f>IF(SUM(S224,U224,W224)&gt;0,SUM(S224,U224,W224),"")</f>
        <v/>
      </c>
      <c r="S224" s="16"/>
      <c r="T224" s="15"/>
      <c r="U224" s="16"/>
      <c r="V224" s="15"/>
      <c r="W224" s="16"/>
      <c r="X224" s="15"/>
      <c r="Y224" s="38" t="str">
        <f>IF(SUM(Z224,AB224,AD224)&gt;0,SUM(Z224,AB224,AD224),"")</f>
        <v/>
      </c>
      <c r="Z224" s="16"/>
      <c r="AA224" s="21"/>
      <c r="AB224" s="16"/>
      <c r="AC224" s="15"/>
      <c r="AD224" s="16"/>
      <c r="AE224" s="21"/>
      <c r="AF224" s="38" t="str">
        <f t="shared" si="68"/>
        <v/>
      </c>
    </row>
    <row r="225" spans="1:32" s="6" customFormat="1" ht="11.65" hidden="1" outlineLevel="1" x14ac:dyDescent="0.35">
      <c r="A225" s="45"/>
      <c r="B225" s="40"/>
      <c r="C225" s="123"/>
      <c r="D225" s="61" t="str">
        <f>IF(SUM(E225,G225,I225)&gt;0,SUM(E225,G225,I225),"")</f>
        <v/>
      </c>
      <c r="E225" s="17"/>
      <c r="F225" s="73"/>
      <c r="G225" s="19"/>
      <c r="H225" s="23"/>
      <c r="I225" s="19"/>
      <c r="J225" s="23"/>
      <c r="K225" s="61" t="str">
        <f>IF(SUM(L225,N225,P225)&gt;0,SUM(L225,N225,P225),"")</f>
        <v/>
      </c>
      <c r="L225" s="19"/>
      <c r="M225" s="23"/>
      <c r="N225" s="19"/>
      <c r="O225" s="31"/>
      <c r="P225" s="19"/>
      <c r="Q225" s="23"/>
      <c r="R225" s="61" t="str">
        <f>IF(SUM(S225,U225,W225)&gt;0,SUM(S225,U225,W225),"")</f>
        <v/>
      </c>
      <c r="S225" s="19"/>
      <c r="T225" s="23"/>
      <c r="U225" s="19"/>
      <c r="V225" s="31"/>
      <c r="W225" s="19"/>
      <c r="X225" s="31"/>
      <c r="Y225" s="61" t="str">
        <f>IF(SUM(Z225,AB225,AD225)&gt;0,SUM(Z225,AB225,AD225),"")</f>
        <v/>
      </c>
      <c r="Z225" s="19"/>
      <c r="AA225" s="31"/>
      <c r="AB225" s="19"/>
      <c r="AC225" s="23"/>
      <c r="AD225" s="19"/>
      <c r="AE225" s="23"/>
      <c r="AF225" s="54" t="str">
        <f t="shared" si="68"/>
        <v/>
      </c>
    </row>
    <row r="226" spans="1:32" s="6" customFormat="1" ht="11.65" collapsed="1" x14ac:dyDescent="0.35">
      <c r="A226" s="44">
        <v>10</v>
      </c>
      <c r="B226" s="39" t="s">
        <v>70</v>
      </c>
      <c r="C226" s="122" t="s">
        <v>135</v>
      </c>
      <c r="D226" s="60" t="str">
        <f>IF(SUM(D227:D230)&gt;0,SUM(D227:D230),"")</f>
        <v/>
      </c>
      <c r="E226" s="4" t="str">
        <f>IF(SUM(E227:E230)&gt;0,SUM(E227:E230),"")</f>
        <v/>
      </c>
      <c r="F226" s="72"/>
      <c r="G226" s="5" t="str">
        <f>IF(SUM(G227:G230)&gt;0,SUM(G227:G230),"")</f>
        <v/>
      </c>
      <c r="H226" s="72"/>
      <c r="I226" s="5" t="str">
        <f>IF(SUM(I227:I230)&gt;0,SUM(I227:I230),"")</f>
        <v/>
      </c>
      <c r="J226" s="67"/>
      <c r="K226" s="60" t="str">
        <f>IF(SUM(K227:K230)&gt;0,SUM(K227:K230),"")</f>
        <v/>
      </c>
      <c r="L226" s="5" t="str">
        <f>IF(SUM(L227:L230)&gt;0,SUM(L227:L230),"")</f>
        <v/>
      </c>
      <c r="M226" s="67"/>
      <c r="N226" s="5" t="str">
        <f>IF(SUM(N227:N230)&gt;0,SUM(N227:N230),"")</f>
        <v/>
      </c>
      <c r="O226" s="67"/>
      <c r="P226" s="5" t="str">
        <f>IF(SUM(P227:P230)&gt;0,SUM(P227:P230),"")</f>
        <v/>
      </c>
      <c r="Q226" s="67"/>
      <c r="R226" s="60" t="str">
        <f>IF(SUM(R227:R230)&gt;0,SUM(R227:R230),"")</f>
        <v/>
      </c>
      <c r="S226" s="5" t="str">
        <f>IF(SUM(S227:S230)&gt;0,SUM(S227:S230),"")</f>
        <v/>
      </c>
      <c r="T226" s="67"/>
      <c r="U226" s="5" t="str">
        <f>IF(SUM(U227:U230)&gt;0,SUM(U227:U230),"")</f>
        <v/>
      </c>
      <c r="V226" s="84"/>
      <c r="W226" s="5" t="str">
        <f>IF(SUM(W227:W230)&gt;0,SUM(W227:W230),"")</f>
        <v/>
      </c>
      <c r="X226" s="84"/>
      <c r="Y226" s="60">
        <f>IF(SUM(Y227:Y230)&gt;0,SUM(Y227:Y230),"")</f>
        <v>4</v>
      </c>
      <c r="Z226" s="5">
        <f>IF(SUM(Z227:Z230)&gt;0,SUM(Z227:Z230),"")</f>
        <v>3</v>
      </c>
      <c r="AA226" s="84"/>
      <c r="AB226" s="5">
        <f>IF(SUM(AB227:AB230)&gt;0,SUM(AB227:AB230),"")</f>
        <v>1</v>
      </c>
      <c r="AC226" s="84"/>
      <c r="AD226" s="5" t="str">
        <f>IF(SUM(AD227:AD230)&gt;0,SUM(AD227:AD230),"")</f>
        <v/>
      </c>
      <c r="AE226" s="84"/>
      <c r="AF226" s="49">
        <f t="shared" si="54"/>
        <v>4</v>
      </c>
    </row>
    <row r="227" spans="1:32" s="6" customFormat="1" ht="11.65" hidden="1" outlineLevel="1" x14ac:dyDescent="0.35">
      <c r="A227" s="7"/>
      <c r="B227" s="40" t="s">
        <v>324</v>
      </c>
      <c r="C227" s="123"/>
      <c r="D227" s="36" t="str">
        <f>IF(SUM(E227,G227,I227)&gt;0,SUM(E227,G227,I227),"")</f>
        <v/>
      </c>
      <c r="E227" s="8"/>
      <c r="F227" s="74"/>
      <c r="G227" s="9"/>
      <c r="H227" s="56"/>
      <c r="I227" s="9"/>
      <c r="J227" s="80"/>
      <c r="K227" s="36" t="str">
        <f>IF(SUM(L227,N227,P227)&gt;0,SUM(L227,N227,P227),"")</f>
        <v/>
      </c>
      <c r="L227" s="9"/>
      <c r="M227" s="82"/>
      <c r="N227" s="9"/>
      <c r="O227" s="55"/>
      <c r="P227" s="9"/>
      <c r="Q227" s="55"/>
      <c r="R227" s="36" t="str">
        <f>IF(SUM(S227,U227,W227)&gt;0,SUM(S227,U227,W227),"")</f>
        <v/>
      </c>
      <c r="S227" s="9"/>
      <c r="T227" s="55"/>
      <c r="U227" s="9"/>
      <c r="V227" s="82"/>
      <c r="W227" s="9"/>
      <c r="X227" s="55"/>
      <c r="Y227" s="36" t="str">
        <f>IF(SUM(Z227,AB227,AD227)&gt;0,SUM(Z227,AB227,AD227),"")</f>
        <v/>
      </c>
      <c r="Z227" s="9"/>
      <c r="AA227" s="82"/>
      <c r="AB227" s="9"/>
      <c r="AC227" s="82"/>
      <c r="AD227" s="9"/>
      <c r="AE227" s="82"/>
      <c r="AF227" s="36" t="str">
        <f t="shared" ref="AF227:AF230" si="69">IF(SUM(D227,K227,R227,Y227)&gt;0,SUM(D227,K227,R227,Y227),"")</f>
        <v/>
      </c>
    </row>
    <row r="228" spans="1:32" s="6" customFormat="1" ht="19.5" hidden="1" outlineLevel="1" x14ac:dyDescent="0.35">
      <c r="A228" s="7"/>
      <c r="B228" s="40"/>
      <c r="C228" s="123"/>
      <c r="D228" s="37" t="str">
        <f>IF(SUM(E228,G228,I228)&gt;0,SUM(E228,G228,I228),"")</f>
        <v/>
      </c>
      <c r="E228" s="10"/>
      <c r="F228" s="11"/>
      <c r="G228" s="12"/>
      <c r="H228" s="13"/>
      <c r="I228" s="12"/>
      <c r="J228" s="33"/>
      <c r="K228" s="37" t="str">
        <f>IF(SUM(L228,N228,P228)&gt;0,SUM(L228,N228,P228),"")</f>
        <v/>
      </c>
      <c r="L228" s="12"/>
      <c r="M228" s="33"/>
      <c r="N228" s="12"/>
      <c r="O228" s="33"/>
      <c r="P228" s="12"/>
      <c r="Q228" s="32"/>
      <c r="R228" s="37" t="str">
        <f>IF(SUM(S228,U228,W228)&gt;0,SUM(S228,U228,W228),"")</f>
        <v/>
      </c>
      <c r="S228" s="12"/>
      <c r="T228" s="33"/>
      <c r="U228" s="12"/>
      <c r="V228" s="32"/>
      <c r="W228" s="12"/>
      <c r="X228" s="32"/>
      <c r="Y228" s="37">
        <f>IF(SUM(Z228,AB228,AD228)&gt;0,SUM(Z228,AB228,AD228),"")</f>
        <v>2</v>
      </c>
      <c r="Z228" s="12">
        <v>2</v>
      </c>
      <c r="AA228" s="32" t="s">
        <v>303</v>
      </c>
      <c r="AB228" s="12"/>
      <c r="AC228" s="32"/>
      <c r="AD228" s="12"/>
      <c r="AE228" s="33"/>
      <c r="AF228" s="37">
        <f t="shared" si="69"/>
        <v>2</v>
      </c>
    </row>
    <row r="229" spans="1:32" s="6" customFormat="1" ht="11.65" hidden="1" outlineLevel="1" x14ac:dyDescent="0.35">
      <c r="A229" s="7"/>
      <c r="B229" s="40"/>
      <c r="C229" s="123"/>
      <c r="D229" s="38" t="str">
        <f>IF(SUM(E229,G229,I229)&gt;0,SUM(E229,G229,I229),"")</f>
        <v/>
      </c>
      <c r="E229" s="14"/>
      <c r="F229" s="28"/>
      <c r="G229" s="16"/>
      <c r="H229" s="21"/>
      <c r="I229" s="16"/>
      <c r="J229" s="21"/>
      <c r="K229" s="38" t="str">
        <f>IF(SUM(L229,N229,P229)&gt;0,SUM(L229,N229,P229),"")</f>
        <v/>
      </c>
      <c r="L229" s="16"/>
      <c r="M229" s="21"/>
      <c r="N229" s="16"/>
      <c r="O229" s="21"/>
      <c r="P229" s="16"/>
      <c r="Q229" s="15"/>
      <c r="R229" s="38" t="str">
        <f>IF(SUM(S229,U229,W229)&gt;0,SUM(S229,U229,W229),"")</f>
        <v/>
      </c>
      <c r="S229" s="16"/>
      <c r="T229" s="15"/>
      <c r="U229" s="16"/>
      <c r="V229" s="21"/>
      <c r="W229" s="16"/>
      <c r="X229" s="15"/>
      <c r="Y229" s="38">
        <f>IF(SUM(Z229,AB229,AD229)&gt;0,SUM(Z229,AB229,AD229),"")</f>
        <v>1</v>
      </c>
      <c r="Z229" s="16">
        <v>1</v>
      </c>
      <c r="AA229" s="15" t="s">
        <v>309</v>
      </c>
      <c r="AB229" s="16"/>
      <c r="AC229" s="21"/>
      <c r="AD229" s="16"/>
      <c r="AE229" s="21"/>
      <c r="AF229" s="38">
        <f t="shared" si="69"/>
        <v>1</v>
      </c>
    </row>
    <row r="230" spans="1:32" s="6" customFormat="1" ht="11.65" hidden="1" outlineLevel="1" x14ac:dyDescent="0.35">
      <c r="A230" s="45"/>
      <c r="B230" s="40"/>
      <c r="C230" s="123"/>
      <c r="D230" s="61" t="str">
        <f>IF(SUM(E230,G230,I230)&gt;0,SUM(E230,G230,I230),"")</f>
        <v/>
      </c>
      <c r="E230" s="17"/>
      <c r="F230" s="73"/>
      <c r="G230" s="19"/>
      <c r="H230" s="23"/>
      <c r="I230" s="19"/>
      <c r="J230" s="23"/>
      <c r="K230" s="61" t="str">
        <f>IF(SUM(L230,N230,P230)&gt;0,SUM(L230,N230,P230),"")</f>
        <v/>
      </c>
      <c r="L230" s="19"/>
      <c r="M230" s="23"/>
      <c r="N230" s="19"/>
      <c r="O230" s="31"/>
      <c r="P230" s="19"/>
      <c r="Q230" s="23"/>
      <c r="R230" s="61" t="str">
        <f>IF(SUM(S230,U230,W230)&gt;0,SUM(S230,U230,W230),"")</f>
        <v/>
      </c>
      <c r="S230" s="19"/>
      <c r="T230" s="23"/>
      <c r="U230" s="19"/>
      <c r="V230" s="31"/>
      <c r="W230" s="19"/>
      <c r="X230" s="31"/>
      <c r="Y230" s="61">
        <f>IF(SUM(Z230,AB230,AD230)&gt;0,SUM(Z230,AB230,AD230),"")</f>
        <v>1</v>
      </c>
      <c r="Z230" s="19"/>
      <c r="AA230" s="29"/>
      <c r="AB230" s="19">
        <v>1</v>
      </c>
      <c r="AC230" s="18" t="s">
        <v>325</v>
      </c>
      <c r="AD230" s="19"/>
      <c r="AE230" s="18"/>
      <c r="AF230" s="54">
        <f t="shared" si="69"/>
        <v>1</v>
      </c>
    </row>
    <row r="231" spans="1:32" s="6" customFormat="1" ht="11.65" collapsed="1" x14ac:dyDescent="0.35">
      <c r="A231" s="44">
        <v>11</v>
      </c>
      <c r="B231" s="39" t="s">
        <v>139</v>
      </c>
      <c r="C231" s="122" t="s">
        <v>135</v>
      </c>
      <c r="D231" s="60" t="str">
        <f>IF(SUM(D232:D235)&gt;0,SUM(D232:D235),"")</f>
        <v/>
      </c>
      <c r="E231" s="4" t="str">
        <f>IF(SUM(E232:E235)&gt;0,SUM(E232:E235),"")</f>
        <v/>
      </c>
      <c r="F231" s="72"/>
      <c r="G231" s="5" t="str">
        <f>IF(SUM(G232:G235)&gt;0,SUM(G232:G235),"")</f>
        <v/>
      </c>
      <c r="H231" s="72"/>
      <c r="I231" s="5" t="str">
        <f>IF(SUM(I232:I235)&gt;0,SUM(I232:I235),"")</f>
        <v/>
      </c>
      <c r="J231" s="67"/>
      <c r="K231" s="60" t="str">
        <f>IF(SUM(K232:K235)&gt;0,SUM(K232:K235),"")</f>
        <v/>
      </c>
      <c r="L231" s="5" t="str">
        <f>IF(SUM(L232:L235)&gt;0,SUM(L232:L235),"")</f>
        <v/>
      </c>
      <c r="M231" s="67"/>
      <c r="N231" s="5" t="str">
        <f>IF(SUM(N232:N235)&gt;0,SUM(N232:N235),"")</f>
        <v/>
      </c>
      <c r="O231" s="67"/>
      <c r="P231" s="5" t="str">
        <f>IF(SUM(P232:P235)&gt;0,SUM(P232:P235),"")</f>
        <v/>
      </c>
      <c r="Q231" s="67"/>
      <c r="R231" s="60">
        <f>IF(SUM(R232:R235)&gt;0,SUM(R232:R235),"")</f>
        <v>1</v>
      </c>
      <c r="S231" s="5" t="str">
        <f>IF(SUM(S232:S235)&gt;0,SUM(S232:S235),"")</f>
        <v/>
      </c>
      <c r="T231" s="67"/>
      <c r="U231" s="5" t="str">
        <f>IF(SUM(U232:U235)&gt;0,SUM(U232:U235),"")</f>
        <v/>
      </c>
      <c r="V231" s="84"/>
      <c r="W231" s="5">
        <f>IF(SUM(W232:W235)&gt;0,SUM(W232:W235),"")</f>
        <v>1</v>
      </c>
      <c r="X231" s="84"/>
      <c r="Y231" s="60">
        <f>IF(SUM(Y232:Y235)&gt;0,SUM(Y232:Y235),"")</f>
        <v>3</v>
      </c>
      <c r="Z231" s="5">
        <f>IF(SUM(Z232:Z235)&gt;0,SUM(Z232:Z235),"")</f>
        <v>3</v>
      </c>
      <c r="AA231" s="84"/>
      <c r="AB231" s="5" t="str">
        <f>IF(SUM(AB232:AB235)&gt;0,SUM(AB232:AB235),"")</f>
        <v/>
      </c>
      <c r="AC231" s="84"/>
      <c r="AD231" s="5" t="str">
        <f>IF(SUM(AD232:AD235)&gt;0,SUM(AD232:AD235),"")</f>
        <v/>
      </c>
      <c r="AE231" s="84"/>
      <c r="AF231" s="49">
        <f t="shared" si="54"/>
        <v>4</v>
      </c>
    </row>
    <row r="232" spans="1:32" s="6" customFormat="1" ht="11.65" hidden="1" outlineLevel="1" x14ac:dyDescent="0.35">
      <c r="A232" s="7"/>
      <c r="B232" s="40" t="s">
        <v>326</v>
      </c>
      <c r="C232" s="123"/>
      <c r="D232" s="36" t="str">
        <f>IF(SUM(E232,G232,I232)&gt;0,SUM(E232,G232,I232),"")</f>
        <v/>
      </c>
      <c r="E232" s="8"/>
      <c r="F232" s="74"/>
      <c r="G232" s="9"/>
      <c r="H232" s="56"/>
      <c r="I232" s="9"/>
      <c r="J232" s="80"/>
      <c r="K232" s="36" t="str">
        <f>IF(SUM(L232,N232,P232)&gt;0,SUM(L232,N232,P232),"")</f>
        <v/>
      </c>
      <c r="L232" s="9"/>
      <c r="M232" s="82"/>
      <c r="N232" s="9"/>
      <c r="O232" s="55"/>
      <c r="P232" s="9"/>
      <c r="Q232" s="55"/>
      <c r="R232" s="36" t="str">
        <f>IF(SUM(S232,U232,W232)&gt;0,SUM(S232,U232,W232),"")</f>
        <v/>
      </c>
      <c r="S232" s="9"/>
      <c r="T232" s="55"/>
      <c r="U232" s="9"/>
      <c r="V232" s="80"/>
      <c r="W232" s="9"/>
      <c r="X232" s="55"/>
      <c r="Y232" s="36" t="str">
        <f>IF(SUM(Z232,AB232,AD232)&gt;0,SUM(Z232,AB232,AD232),"")</f>
        <v/>
      </c>
      <c r="Z232" s="9"/>
      <c r="AA232" s="82"/>
      <c r="AB232" s="9"/>
      <c r="AC232" s="82"/>
      <c r="AD232" s="9"/>
      <c r="AE232" s="82"/>
      <c r="AF232" s="36" t="str">
        <f t="shared" ref="AF232:AF235" si="70">IF(SUM(D232,K232,R232,Y232)&gt;0,SUM(D232,K232,R232,Y232),"")</f>
        <v/>
      </c>
    </row>
    <row r="233" spans="1:32" s="6" customFormat="1" ht="19.5" hidden="1" outlineLevel="1" x14ac:dyDescent="0.35">
      <c r="A233" s="7"/>
      <c r="B233" s="40"/>
      <c r="C233" s="123"/>
      <c r="D233" s="37" t="str">
        <f>IF(SUM(E233,G233,I233)&gt;0,SUM(E233,G233,I233),"")</f>
        <v/>
      </c>
      <c r="E233" s="10"/>
      <c r="F233" s="11"/>
      <c r="G233" s="12"/>
      <c r="H233" s="13"/>
      <c r="I233" s="12"/>
      <c r="J233" s="33"/>
      <c r="K233" s="37" t="str">
        <f>IF(SUM(L233,N233,P233)&gt;0,SUM(L233,N233,P233),"")</f>
        <v/>
      </c>
      <c r="L233" s="12"/>
      <c r="M233" s="32"/>
      <c r="N233" s="12"/>
      <c r="O233" s="32"/>
      <c r="P233" s="12"/>
      <c r="Q233" s="32"/>
      <c r="R233" s="37">
        <f>IF(SUM(S233,U233,W233)&gt;0,SUM(S233,U233,W233),"")</f>
        <v>1</v>
      </c>
      <c r="S233" s="12"/>
      <c r="T233" s="33"/>
      <c r="U233" s="12"/>
      <c r="V233" s="32"/>
      <c r="W233" s="12">
        <v>1</v>
      </c>
      <c r="X233" s="32" t="s">
        <v>325</v>
      </c>
      <c r="Y233" s="37">
        <f>IF(SUM(Z233,AB233,AD233)&gt;0,SUM(Z233,AB233,AD233),"")</f>
        <v>2</v>
      </c>
      <c r="Z233" s="12">
        <v>2</v>
      </c>
      <c r="AA233" s="32" t="s">
        <v>303</v>
      </c>
      <c r="AB233" s="12"/>
      <c r="AC233" s="32"/>
      <c r="AD233" s="12"/>
      <c r="AE233" s="33"/>
      <c r="AF233" s="37">
        <f t="shared" si="70"/>
        <v>3</v>
      </c>
    </row>
    <row r="234" spans="1:32" s="6" customFormat="1" ht="11.65" hidden="1" outlineLevel="1" x14ac:dyDescent="0.35">
      <c r="A234" s="7"/>
      <c r="B234" s="40"/>
      <c r="C234" s="123"/>
      <c r="D234" s="38" t="str">
        <f>IF(SUM(E234,G234,I234)&gt;0,SUM(E234,G234,I234),"")</f>
        <v/>
      </c>
      <c r="E234" s="14"/>
      <c r="F234" s="28"/>
      <c r="G234" s="16"/>
      <c r="H234" s="21"/>
      <c r="I234" s="16"/>
      <c r="J234" s="21"/>
      <c r="K234" s="38" t="str">
        <f>IF(SUM(L234,N234,P234)&gt;0,SUM(L234,N234,P234),"")</f>
        <v/>
      </c>
      <c r="L234" s="16"/>
      <c r="M234" s="21"/>
      <c r="N234" s="16"/>
      <c r="O234" s="21"/>
      <c r="P234" s="16"/>
      <c r="Q234" s="15"/>
      <c r="R234" s="38" t="str">
        <f>IF(SUM(S234,U234,W234)&gt;0,SUM(S234,U234,W234),"")</f>
        <v/>
      </c>
      <c r="S234" s="16"/>
      <c r="T234" s="15"/>
      <c r="U234" s="16"/>
      <c r="V234" s="21"/>
      <c r="W234" s="16"/>
      <c r="X234" s="15"/>
      <c r="Y234" s="38">
        <f>IF(SUM(Z234,AB234,AD234)&gt;0,SUM(Z234,AB234,AD234),"")</f>
        <v>1</v>
      </c>
      <c r="Z234" s="112">
        <v>1</v>
      </c>
      <c r="AA234" s="15" t="s">
        <v>309</v>
      </c>
      <c r="AB234" s="16"/>
      <c r="AC234" s="21"/>
      <c r="AD234" s="16"/>
      <c r="AE234" s="21"/>
      <c r="AF234" s="38">
        <f t="shared" si="70"/>
        <v>1</v>
      </c>
    </row>
    <row r="235" spans="1:32" s="6" customFormat="1" ht="11.65" hidden="1" outlineLevel="1" x14ac:dyDescent="0.35">
      <c r="A235" s="45"/>
      <c r="B235" s="40"/>
      <c r="C235" s="123"/>
      <c r="D235" s="61" t="str">
        <f>IF(SUM(E235,G235,I235)&gt;0,SUM(E235,G235,I235),"")</f>
        <v/>
      </c>
      <c r="E235" s="17"/>
      <c r="F235" s="73"/>
      <c r="G235" s="19"/>
      <c r="H235" s="23"/>
      <c r="I235" s="19"/>
      <c r="J235" s="23"/>
      <c r="K235" s="61" t="str">
        <f>IF(SUM(L235,N235,P235)&gt;0,SUM(L235,N235,P235),"")</f>
        <v/>
      </c>
      <c r="L235" s="19"/>
      <c r="M235" s="23"/>
      <c r="N235" s="19"/>
      <c r="O235" s="31"/>
      <c r="P235" s="19"/>
      <c r="Q235" s="23"/>
      <c r="R235" s="61" t="str">
        <f>IF(SUM(S235,U235,W235)&gt;0,SUM(S235,U235,W235),"")</f>
        <v/>
      </c>
      <c r="S235" s="19"/>
      <c r="T235" s="23"/>
      <c r="U235" s="19"/>
      <c r="V235" s="31"/>
      <c r="W235" s="19"/>
      <c r="X235" s="31"/>
      <c r="Y235" s="61" t="str">
        <f>IF(SUM(Z235,AB235,AD235)&gt;0,SUM(Z235,AB235,AD235),"")</f>
        <v/>
      </c>
      <c r="Z235" s="118"/>
      <c r="AA235" s="29"/>
      <c r="AB235" s="19"/>
      <c r="AC235" s="18"/>
      <c r="AD235" s="19"/>
      <c r="AE235" s="29"/>
      <c r="AF235" s="54" t="str">
        <f t="shared" si="70"/>
        <v/>
      </c>
    </row>
    <row r="236" spans="1:32" s="6" customFormat="1" ht="11.65" collapsed="1" x14ac:dyDescent="0.35">
      <c r="A236" s="44">
        <v>12</v>
      </c>
      <c r="B236" s="39" t="s">
        <v>109</v>
      </c>
      <c r="C236" s="122" t="s">
        <v>134</v>
      </c>
      <c r="D236" s="60" t="str">
        <f>IF(SUM(D237:D240)&gt;0,SUM(D237:D240),"")</f>
        <v/>
      </c>
      <c r="E236" s="4" t="str">
        <f>IF(SUM(E237:E240)&gt;0,SUM(E237:E240),"")</f>
        <v/>
      </c>
      <c r="F236" s="72"/>
      <c r="G236" s="5" t="str">
        <f>IF(SUM(G237:G240)&gt;0,SUM(G237:G240),"")</f>
        <v/>
      </c>
      <c r="H236" s="72"/>
      <c r="I236" s="5" t="str">
        <f>IF(SUM(I237:I240)&gt;0,SUM(I237:I240),"")</f>
        <v/>
      </c>
      <c r="J236" s="67"/>
      <c r="K236" s="60" t="str">
        <f>IF(SUM(K237:K240)&gt;0,SUM(K237:K240),"")</f>
        <v/>
      </c>
      <c r="L236" s="5" t="str">
        <f>IF(SUM(L237:L240)&gt;0,SUM(L237:L240),"")</f>
        <v/>
      </c>
      <c r="M236" s="67"/>
      <c r="N236" s="5" t="str">
        <f>IF(SUM(N237:N240)&gt;0,SUM(N237:N240),"")</f>
        <v/>
      </c>
      <c r="O236" s="67"/>
      <c r="P236" s="5" t="str">
        <f>IF(SUM(P237:P240)&gt;0,SUM(P237:P240),"")</f>
        <v/>
      </c>
      <c r="Q236" s="67"/>
      <c r="R236" s="60" t="str">
        <f>IF(SUM(R237:R240)&gt;0,SUM(R237:R240),"")</f>
        <v/>
      </c>
      <c r="S236" s="5" t="str">
        <f>IF(SUM(S237:S240)&gt;0,SUM(S237:S240),"")</f>
        <v/>
      </c>
      <c r="T236" s="67"/>
      <c r="U236" s="5" t="str">
        <f>IF(SUM(U237:U240)&gt;0,SUM(U237:U240),"")</f>
        <v/>
      </c>
      <c r="V236" s="84"/>
      <c r="W236" s="5" t="str">
        <f>IF(SUM(W237:W240)&gt;0,SUM(W237:W240),"")</f>
        <v/>
      </c>
      <c r="X236" s="84"/>
      <c r="Y236" s="60" t="str">
        <f>IF(SUM(Y237:Y240)&gt;0,SUM(Y237:Y240),"")</f>
        <v/>
      </c>
      <c r="Z236" s="5" t="str">
        <f>IF(SUM(Z237:Z240)&gt;0,SUM(Z237:Z240),"")</f>
        <v/>
      </c>
      <c r="AA236" s="84"/>
      <c r="AB236" s="5" t="str">
        <f>IF(SUM(AB237:AB240)&gt;0,SUM(AB237:AB240),"")</f>
        <v/>
      </c>
      <c r="AC236" s="84"/>
      <c r="AD236" s="5" t="str">
        <f>IF(SUM(AD237:AD240)&gt;0,SUM(AD237:AD240),"")</f>
        <v/>
      </c>
      <c r="AE236" s="84"/>
      <c r="AF236" s="49" t="str">
        <f t="shared" si="54"/>
        <v/>
      </c>
    </row>
    <row r="237" spans="1:32" s="6" customFormat="1" ht="11.65" hidden="1" outlineLevel="1" x14ac:dyDescent="0.35">
      <c r="A237" s="7"/>
      <c r="B237" s="40" t="s">
        <v>327</v>
      </c>
      <c r="C237" s="123"/>
      <c r="D237" s="36" t="str">
        <f>IF(SUM(E237,G237,I237)&gt;0,SUM(E237,G237,I237),"")</f>
        <v/>
      </c>
      <c r="E237" s="8"/>
      <c r="F237" s="74"/>
      <c r="G237" s="9"/>
      <c r="H237" s="74"/>
      <c r="I237" s="9"/>
      <c r="J237" s="55"/>
      <c r="K237" s="36" t="str">
        <f>IF(SUM(L237,N237,P237)&gt;0,SUM(L237,N237,P237),"")</f>
        <v/>
      </c>
      <c r="L237" s="9"/>
      <c r="M237" s="55"/>
      <c r="N237" s="9"/>
      <c r="O237" s="55"/>
      <c r="P237" s="9"/>
      <c r="Q237" s="55"/>
      <c r="R237" s="36" t="str">
        <f>IF(SUM(S237,U237,W237)&gt;0,SUM(S237,U237,W237),"")</f>
        <v/>
      </c>
      <c r="S237" s="9"/>
      <c r="T237" s="55"/>
      <c r="U237" s="9"/>
      <c r="V237" s="82"/>
      <c r="W237" s="9"/>
      <c r="X237" s="82"/>
      <c r="Y237" s="36" t="str">
        <f>IF(SUM(Z237,AB237,AD237)&gt;0,SUM(Z237,AB237,AD237),"")</f>
        <v/>
      </c>
      <c r="Z237" s="9"/>
      <c r="AA237" s="82"/>
      <c r="AB237" s="9"/>
      <c r="AC237" s="82"/>
      <c r="AD237" s="9"/>
      <c r="AE237" s="82"/>
      <c r="AF237" s="36" t="str">
        <f t="shared" ref="AF237:AF240" si="71">IF(SUM(D237,K237,R237,Y237)&gt;0,SUM(D237,K237,R237,Y237),"")</f>
        <v/>
      </c>
    </row>
    <row r="238" spans="1:32" s="6" customFormat="1" ht="11.65" hidden="1" outlineLevel="1" x14ac:dyDescent="0.35">
      <c r="A238" s="7"/>
      <c r="B238" s="40"/>
      <c r="C238" s="123"/>
      <c r="D238" s="37" t="str">
        <f>IF(SUM(E238,G238,I238)&gt;0,SUM(E238,G238,I238),"")</f>
        <v/>
      </c>
      <c r="E238" s="10"/>
      <c r="F238" s="63"/>
      <c r="G238" s="12"/>
      <c r="H238" s="63"/>
      <c r="I238" s="12"/>
      <c r="J238" s="33"/>
      <c r="K238" s="37" t="str">
        <f>IF(SUM(L238,N238,P238)&gt;0,SUM(L238,N238,P238),"")</f>
        <v/>
      </c>
      <c r="L238" s="12"/>
      <c r="M238" s="33"/>
      <c r="N238" s="12"/>
      <c r="O238" s="32"/>
      <c r="P238" s="12"/>
      <c r="Q238" s="33"/>
      <c r="R238" s="37" t="str">
        <f>IF(SUM(S238,U238,W238)&gt;0,SUM(S238,U238,W238),"")</f>
        <v/>
      </c>
      <c r="S238" s="12"/>
      <c r="T238" s="33"/>
      <c r="U238" s="12"/>
      <c r="V238" s="33"/>
      <c r="W238" s="12"/>
      <c r="X238" s="83"/>
      <c r="Y238" s="37" t="str">
        <f>IF(SUM(Z238,AB238,AD238)&gt;0,SUM(Z238,AB238,AD238),"")</f>
        <v/>
      </c>
      <c r="Z238" s="12"/>
      <c r="AA238" s="33"/>
      <c r="AB238" s="12"/>
      <c r="AC238" s="83"/>
      <c r="AD238" s="12"/>
      <c r="AE238" s="33"/>
      <c r="AF238" s="37" t="str">
        <f t="shared" si="71"/>
        <v/>
      </c>
    </row>
    <row r="239" spans="1:32" s="6" customFormat="1" ht="11.65" hidden="1" outlineLevel="1" x14ac:dyDescent="0.35">
      <c r="A239" s="7"/>
      <c r="B239" s="40"/>
      <c r="C239" s="123"/>
      <c r="D239" s="38" t="str">
        <f>IF(SUM(E239,G239,I239)&gt;0,SUM(E239,G239,I239),"")</f>
        <v/>
      </c>
      <c r="E239" s="16"/>
      <c r="F239" s="21"/>
      <c r="G239" s="16"/>
      <c r="H239" s="21"/>
      <c r="I239" s="16"/>
      <c r="J239" s="15"/>
      <c r="K239" s="38" t="str">
        <f>IF(SUM(L239,N239,P239)&gt;0,SUM(L239,N239,P239),"")</f>
        <v/>
      </c>
      <c r="L239" s="16"/>
      <c r="M239" s="21"/>
      <c r="N239" s="16"/>
      <c r="O239" s="21"/>
      <c r="P239" s="16"/>
      <c r="Q239" s="21"/>
      <c r="R239" s="38" t="str">
        <f>IF(SUM(S239,U239,W239)&gt;0,SUM(S239,U239,W239),"")</f>
        <v/>
      </c>
      <c r="S239" s="16"/>
      <c r="T239" s="21"/>
      <c r="U239" s="16"/>
      <c r="V239" s="21"/>
      <c r="W239" s="16"/>
      <c r="X239" s="21"/>
      <c r="Y239" s="38" t="str">
        <f>IF(SUM(Z239,AB239,AD239)&gt;0,SUM(Z239,AB239,AD239),"")</f>
        <v/>
      </c>
      <c r="Z239" s="16"/>
      <c r="AA239" s="21"/>
      <c r="AB239" s="16"/>
      <c r="AC239" s="21"/>
      <c r="AD239" s="16"/>
      <c r="AE239" s="15"/>
      <c r="AF239" s="38" t="str">
        <f t="shared" si="71"/>
        <v/>
      </c>
    </row>
    <row r="240" spans="1:32" s="6" customFormat="1" ht="11.65" hidden="1" outlineLevel="1" x14ac:dyDescent="0.35">
      <c r="A240" s="45"/>
      <c r="B240" s="40"/>
      <c r="C240" s="123"/>
      <c r="D240" s="61" t="str">
        <f>IF(SUM(E240,G240,I240)&gt;0,SUM(E240,G240,I240),"")</f>
        <v/>
      </c>
      <c r="E240" s="17"/>
      <c r="F240" s="73"/>
      <c r="G240" s="19"/>
      <c r="H240" s="23"/>
      <c r="I240" s="19"/>
      <c r="J240" s="31"/>
      <c r="K240" s="61" t="str">
        <f>IF(SUM(L240,N240,P240)&gt;0,SUM(L240,N240,P240),"")</f>
        <v/>
      </c>
      <c r="L240" s="19"/>
      <c r="M240" s="31"/>
      <c r="N240" s="19"/>
      <c r="O240" s="31"/>
      <c r="P240" s="19"/>
      <c r="Q240" s="31"/>
      <c r="R240" s="61" t="str">
        <f>IF(SUM(S240,U240,W240)&gt;0,SUM(S240,U240,W240),"")</f>
        <v/>
      </c>
      <c r="S240" s="19"/>
      <c r="T240" s="31"/>
      <c r="U240" s="19"/>
      <c r="V240" s="31"/>
      <c r="W240" s="19"/>
      <c r="X240" s="85"/>
      <c r="Y240" s="61" t="str">
        <f>IF(SUM(Z240,AB240,AD240)&gt;0,SUM(Z240,AB240,AD240),"")</f>
        <v/>
      </c>
      <c r="Z240" s="19"/>
      <c r="AA240" s="31"/>
      <c r="AB240" s="19"/>
      <c r="AC240" s="31"/>
      <c r="AD240" s="19"/>
      <c r="AE240" s="85"/>
      <c r="AF240" s="54" t="str">
        <f t="shared" si="71"/>
        <v/>
      </c>
    </row>
    <row r="241" spans="1:32" s="6" customFormat="1" ht="11.65" collapsed="1" x14ac:dyDescent="0.35">
      <c r="A241" s="44">
        <v>13</v>
      </c>
      <c r="B241" s="39" t="s">
        <v>66</v>
      </c>
      <c r="C241" s="122" t="s">
        <v>135</v>
      </c>
      <c r="D241" s="60">
        <f>IF(SUM(D242:D245)&gt;0,SUM(D242:D245),"")</f>
        <v>1</v>
      </c>
      <c r="E241" s="4" t="str">
        <f>IF(SUM(E242:E245)&gt;0,SUM(E242:E245),"")</f>
        <v/>
      </c>
      <c r="F241" s="72"/>
      <c r="G241" s="5">
        <f>IF(SUM(G242:G245)&gt;0,SUM(G242:G245),"")</f>
        <v>1</v>
      </c>
      <c r="H241" s="72"/>
      <c r="I241" s="5" t="str">
        <f>IF(SUM(I242:I245)&gt;0,SUM(I242:I245),"")</f>
        <v/>
      </c>
      <c r="J241" s="67"/>
      <c r="K241" s="60">
        <f>IF(SUM(K242:K245)&gt;0,SUM(K242:K245),"")</f>
        <v>1</v>
      </c>
      <c r="L241" s="5">
        <f>IF(SUM(L242:L245)&gt;0,SUM(L242:L245),"")</f>
        <v>1</v>
      </c>
      <c r="M241" s="67"/>
      <c r="N241" s="5" t="str">
        <f>IF(SUM(N242:N245)&gt;0,SUM(N242:N245),"")</f>
        <v/>
      </c>
      <c r="O241" s="67"/>
      <c r="P241" s="5" t="str">
        <f>IF(SUM(P242:P245)&gt;0,SUM(P242:P245),"")</f>
        <v/>
      </c>
      <c r="Q241" s="67"/>
      <c r="R241" s="60">
        <f>IF(SUM(R242:R245)&gt;0,SUM(R242:R245),"")</f>
        <v>4</v>
      </c>
      <c r="S241" s="5" t="str">
        <f>IF(SUM(S242:S245)&gt;0,SUM(S242:S245),"")</f>
        <v/>
      </c>
      <c r="T241" s="67"/>
      <c r="U241" s="5">
        <f>IF(SUM(U242:U245)&gt;0,SUM(U242:U245),"")</f>
        <v>3</v>
      </c>
      <c r="V241" s="84"/>
      <c r="W241" s="5">
        <f>IF(SUM(W242:W245)&gt;0,SUM(W242:W245),"")</f>
        <v>1</v>
      </c>
      <c r="X241" s="84"/>
      <c r="Y241" s="60">
        <f>IF(SUM(Y242:Y245)&gt;0,SUM(Y242:Y245),"")</f>
        <v>10</v>
      </c>
      <c r="Z241" s="5">
        <f>IF(SUM(Z242:Z245)&gt;0,SUM(Z242:Z245),"")</f>
        <v>6</v>
      </c>
      <c r="AA241" s="84"/>
      <c r="AB241" s="5">
        <f>IF(SUM(AB242:AB245)&gt;0,SUM(AB242:AB245),"")</f>
        <v>3</v>
      </c>
      <c r="AC241" s="84"/>
      <c r="AD241" s="5">
        <f>IF(SUM(AD242:AD245)&gt;0,SUM(AD242:AD245),"")</f>
        <v>1</v>
      </c>
      <c r="AE241" s="84"/>
      <c r="AF241" s="49">
        <f t="shared" si="54"/>
        <v>16</v>
      </c>
    </row>
    <row r="242" spans="1:32" s="6" customFormat="1" ht="11.65" hidden="1" outlineLevel="1" x14ac:dyDescent="0.35">
      <c r="A242" s="7"/>
      <c r="B242" s="40" t="s">
        <v>328</v>
      </c>
      <c r="C242" s="123"/>
      <c r="D242" s="36">
        <f>IF(SUM(E242,G242,I242)&gt;0,SUM(E242,G242,I242),"")</f>
        <v>1</v>
      </c>
      <c r="E242" s="8"/>
      <c r="F242" s="56"/>
      <c r="G242" s="9">
        <v>1</v>
      </c>
      <c r="H242" s="56" t="s">
        <v>156</v>
      </c>
      <c r="I242" s="9"/>
      <c r="J242" s="80"/>
      <c r="K242" s="36">
        <f>IF(SUM(L242,N242,P242)&gt;0,SUM(L242,N242,P242),"")</f>
        <v>1</v>
      </c>
      <c r="L242" s="9">
        <v>1</v>
      </c>
      <c r="M242" s="80" t="s">
        <v>149</v>
      </c>
      <c r="N242" s="9"/>
      <c r="O242" s="80"/>
      <c r="P242" s="9"/>
      <c r="Q242" s="55"/>
      <c r="R242" s="36" t="str">
        <f>IF(SUM(S242,U242,W242)&gt;0,SUM(S242,U242,W242),"")</f>
        <v/>
      </c>
      <c r="S242" s="9"/>
      <c r="T242" s="80"/>
      <c r="U242" s="9"/>
      <c r="V242" s="55"/>
      <c r="W242" s="9"/>
      <c r="X242" s="80"/>
      <c r="Y242" s="36" t="str">
        <f>IF(SUM(Z242,AB242,AD242)&gt;0,SUM(Z242,AB242,AD242),"")</f>
        <v/>
      </c>
      <c r="Z242" s="9"/>
      <c r="AA242" s="82"/>
      <c r="AB242" s="9"/>
      <c r="AC242" s="82"/>
      <c r="AD242" s="9"/>
      <c r="AE242" s="82"/>
      <c r="AF242" s="36">
        <f t="shared" ref="AF242:AF245" si="72">IF(SUM(D242,K242,R242,Y242)&gt;0,SUM(D242,K242,R242,Y242),"")</f>
        <v>2</v>
      </c>
    </row>
    <row r="243" spans="1:32" s="6" customFormat="1" ht="39" hidden="1" outlineLevel="1" x14ac:dyDescent="0.35">
      <c r="A243" s="7"/>
      <c r="B243" s="40"/>
      <c r="C243" s="123"/>
      <c r="D243" s="37" t="str">
        <f>IF(SUM(E243,G243,I243)&gt;0,SUM(E243,G243,I243),"")</f>
        <v/>
      </c>
      <c r="E243" s="10"/>
      <c r="F243" s="11"/>
      <c r="G243" s="12"/>
      <c r="H243" s="13"/>
      <c r="I243" s="12"/>
      <c r="J243" s="11"/>
      <c r="K243" s="37" t="str">
        <f>IF(SUM(L243,N243,P243)&gt;0,SUM(L243,N243,P243),"")</f>
        <v/>
      </c>
      <c r="L243" s="12"/>
      <c r="M243" s="11"/>
      <c r="N243" s="12"/>
      <c r="O243" s="33"/>
      <c r="P243" s="12"/>
      <c r="Q243" s="32"/>
      <c r="R243" s="37">
        <f>IF(SUM(S243,U243,W243)&gt;0,SUM(S243,U243,W243),"")</f>
        <v>4</v>
      </c>
      <c r="S243" s="12"/>
      <c r="T243" s="32"/>
      <c r="U243" s="12">
        <v>3</v>
      </c>
      <c r="V243" s="11" t="s">
        <v>329</v>
      </c>
      <c r="W243" s="12">
        <v>1</v>
      </c>
      <c r="X243" s="13" t="s">
        <v>330</v>
      </c>
      <c r="Y243" s="37">
        <f>IF(SUM(Z243,AB243,AD243)&gt;0,SUM(Z243,AB243,AD243),"")</f>
        <v>4</v>
      </c>
      <c r="Z243" s="12">
        <v>4</v>
      </c>
      <c r="AA243" s="32" t="s">
        <v>331</v>
      </c>
      <c r="AB243" s="12"/>
      <c r="AC243" s="32"/>
      <c r="AD243" s="12"/>
      <c r="AE243" s="32"/>
      <c r="AF243" s="37">
        <f t="shared" si="72"/>
        <v>8</v>
      </c>
    </row>
    <row r="244" spans="1:32" s="6" customFormat="1" ht="11.65" hidden="1" outlineLevel="1" x14ac:dyDescent="0.35">
      <c r="A244" s="7"/>
      <c r="B244" s="40"/>
      <c r="C244" s="123"/>
      <c r="D244" s="38" t="str">
        <f>IF(SUM(E244,G244,I244)&gt;0,SUM(E244,G244,I244),"")</f>
        <v/>
      </c>
      <c r="E244" s="14"/>
      <c r="F244" s="28"/>
      <c r="G244" s="16"/>
      <c r="H244" s="21"/>
      <c r="I244" s="16"/>
      <c r="J244" s="21"/>
      <c r="K244" s="38" t="str">
        <f>IF(SUM(L244,N244,P244)&gt;0,SUM(L244,N244,P244),"")</f>
        <v/>
      </c>
      <c r="L244" s="16"/>
      <c r="M244" s="21"/>
      <c r="N244" s="16"/>
      <c r="O244" s="15"/>
      <c r="P244" s="16"/>
      <c r="Q244" s="15"/>
      <c r="R244" s="38" t="str">
        <f>IF(SUM(S244,U244,W244)&gt;0,SUM(S244,U244,W244),"")</f>
        <v/>
      </c>
      <c r="S244" s="16"/>
      <c r="T244" s="15"/>
      <c r="U244" s="16"/>
      <c r="V244" s="15"/>
      <c r="W244" s="16"/>
      <c r="X244" s="21"/>
      <c r="Y244" s="38">
        <f>IF(SUM(Z244,AB244,AD244)&gt;0,SUM(Z244,AB244,AD244),"")</f>
        <v>2</v>
      </c>
      <c r="Z244" s="16">
        <v>1</v>
      </c>
      <c r="AA244" s="15" t="s">
        <v>333</v>
      </c>
      <c r="AB244" s="16">
        <v>1</v>
      </c>
      <c r="AC244" s="15" t="s">
        <v>332</v>
      </c>
      <c r="AD244" s="16"/>
      <c r="AE244" s="21"/>
      <c r="AF244" s="38">
        <f t="shared" si="72"/>
        <v>2</v>
      </c>
    </row>
    <row r="245" spans="1:32" s="6" customFormat="1" ht="19.5" hidden="1" outlineLevel="1" x14ac:dyDescent="0.35">
      <c r="A245" s="45"/>
      <c r="B245" s="40"/>
      <c r="C245" s="123"/>
      <c r="D245" s="61" t="str">
        <f>IF(SUM(E245,G245,I245)&gt;0,SUM(E245,G245,I245),"")</f>
        <v/>
      </c>
      <c r="E245" s="17"/>
      <c r="F245" s="73"/>
      <c r="G245" s="19"/>
      <c r="H245" s="23"/>
      <c r="I245" s="19"/>
      <c r="J245" s="23"/>
      <c r="K245" s="61" t="str">
        <f>IF(SUM(L245,N245,P245)&gt;0,SUM(L245,N245,P245),"")</f>
        <v/>
      </c>
      <c r="L245" s="19"/>
      <c r="M245" s="23"/>
      <c r="N245" s="19"/>
      <c r="O245" s="31"/>
      <c r="P245" s="19"/>
      <c r="Q245" s="23"/>
      <c r="R245" s="61" t="str">
        <f>IF(SUM(S245,U245,W245)&gt;0,SUM(S245,U245,W245),"")</f>
        <v/>
      </c>
      <c r="S245" s="19"/>
      <c r="T245" s="23"/>
      <c r="U245" s="19"/>
      <c r="V245" s="31"/>
      <c r="W245" s="19"/>
      <c r="X245" s="31"/>
      <c r="Y245" s="61">
        <f>IF(SUM(Z245,AB245,AD245)&gt;0,SUM(Z245,AB245,AD245),"")</f>
        <v>4</v>
      </c>
      <c r="Z245" s="19">
        <v>1</v>
      </c>
      <c r="AA245" s="31" t="s">
        <v>147</v>
      </c>
      <c r="AB245" s="19">
        <v>2</v>
      </c>
      <c r="AC245" s="18" t="s">
        <v>334</v>
      </c>
      <c r="AD245" s="19">
        <v>1</v>
      </c>
      <c r="AE245" s="31" t="s">
        <v>147</v>
      </c>
      <c r="AF245" s="54">
        <f t="shared" si="72"/>
        <v>4</v>
      </c>
    </row>
    <row r="246" spans="1:32" s="6" customFormat="1" ht="11.65" collapsed="1" x14ac:dyDescent="0.35">
      <c r="A246" s="44">
        <v>14</v>
      </c>
      <c r="B246" s="39" t="s">
        <v>110</v>
      </c>
      <c r="C246" s="122" t="s">
        <v>135</v>
      </c>
      <c r="D246" s="60">
        <f>IF(SUM(D247:D250)&gt;0,SUM(D247:D250),"")</f>
        <v>2</v>
      </c>
      <c r="E246" s="4" t="str">
        <f>IF(SUM(E247:E250)&gt;0,SUM(E247:E250),"")</f>
        <v/>
      </c>
      <c r="F246" s="72"/>
      <c r="G246" s="5" t="str">
        <f>IF(SUM(G247:G250)&gt;0,SUM(G247:G250),"")</f>
        <v/>
      </c>
      <c r="H246" s="72"/>
      <c r="I246" s="5">
        <f>IF(SUM(I247:I250)&gt;0,SUM(I247:I250),"")</f>
        <v>2</v>
      </c>
      <c r="J246" s="67"/>
      <c r="K246" s="60">
        <f>IF(SUM(K247:K250)&gt;0,SUM(K247:K250),"")</f>
        <v>1</v>
      </c>
      <c r="L246" s="5">
        <f>IF(SUM(L247:L250)&gt;0,SUM(L247:L250),"")</f>
        <v>1</v>
      </c>
      <c r="M246" s="67"/>
      <c r="N246" s="5" t="str">
        <f>IF(SUM(N247:N250)&gt;0,SUM(N247:N250),"")</f>
        <v/>
      </c>
      <c r="O246" s="67"/>
      <c r="P246" s="5" t="str">
        <f>IF(SUM(P247:P250)&gt;0,SUM(P247:P250),"")</f>
        <v/>
      </c>
      <c r="Q246" s="67"/>
      <c r="R246" s="60">
        <f>IF(SUM(R247:R250)&gt;0,SUM(R247:R250),"")</f>
        <v>4</v>
      </c>
      <c r="S246" s="5">
        <f>IF(SUM(S247:S250)&gt;0,SUM(S247:S250),"")</f>
        <v>1</v>
      </c>
      <c r="T246" s="67"/>
      <c r="U246" s="5">
        <f>IF(SUM(U247:U250)&gt;0,SUM(U247:U250),"")</f>
        <v>2</v>
      </c>
      <c r="V246" s="84"/>
      <c r="W246" s="5">
        <f>IF(SUM(W247:W250)&gt;0,SUM(W247:W250),"")</f>
        <v>1</v>
      </c>
      <c r="X246" s="84"/>
      <c r="Y246" s="60">
        <f>IF(SUM(Y247:Y250)&gt;0,SUM(Y247:Y250),"")</f>
        <v>2</v>
      </c>
      <c r="Z246" s="5" t="str">
        <f>IF(SUM(Z247:Z250)&gt;0,SUM(Z247:Z250),"")</f>
        <v/>
      </c>
      <c r="AA246" s="84"/>
      <c r="AB246" s="5">
        <f>IF(SUM(AB247:AB250)&gt;0,SUM(AB247:AB250),"")</f>
        <v>1</v>
      </c>
      <c r="AC246" s="84"/>
      <c r="AD246" s="5">
        <f>IF(SUM(AD247:AD250)&gt;0,SUM(AD247:AD250),"")</f>
        <v>1</v>
      </c>
      <c r="AE246" s="84"/>
      <c r="AF246" s="49">
        <f t="shared" si="54"/>
        <v>9</v>
      </c>
    </row>
    <row r="247" spans="1:32" s="6" customFormat="1" ht="19.5" hidden="1" outlineLevel="1" x14ac:dyDescent="0.35">
      <c r="A247" s="7"/>
      <c r="B247" s="40"/>
      <c r="C247" s="123"/>
      <c r="D247" s="36">
        <f>IF(SUM(E247,G247,I247)&gt;0,SUM(E247,G247,I247),"")</f>
        <v>2</v>
      </c>
      <c r="E247" s="8"/>
      <c r="F247" s="56"/>
      <c r="G247" s="9"/>
      <c r="H247" s="56"/>
      <c r="I247" s="9">
        <v>2</v>
      </c>
      <c r="J247" s="80" t="s">
        <v>217</v>
      </c>
      <c r="K247" s="36">
        <f>IF(SUM(L247,N247,P247)&gt;0,SUM(L247,N247,P247),"")</f>
        <v>1</v>
      </c>
      <c r="L247" s="9">
        <v>1</v>
      </c>
      <c r="M247" s="80" t="s">
        <v>157</v>
      </c>
      <c r="N247" s="9"/>
      <c r="O247" s="55"/>
      <c r="P247" s="9"/>
      <c r="Q247" s="55"/>
      <c r="R247" s="36">
        <f>IF(SUM(S247,U247,W247)&gt;0,SUM(S247,U247,W247),"")</f>
        <v>3</v>
      </c>
      <c r="S247" s="9">
        <v>1</v>
      </c>
      <c r="T247" s="80" t="s">
        <v>335</v>
      </c>
      <c r="U247" s="9">
        <v>2</v>
      </c>
      <c r="V247" s="80" t="s">
        <v>213</v>
      </c>
      <c r="W247" s="9"/>
      <c r="X247" s="80"/>
      <c r="Y247" s="36" t="str">
        <f>IF(SUM(Z247,AB247,AD247)&gt;0,SUM(Z247,AB247,AD247),"")</f>
        <v/>
      </c>
      <c r="Z247" s="9"/>
      <c r="AA247" s="82"/>
      <c r="AB247" s="9"/>
      <c r="AC247" s="82"/>
      <c r="AD247" s="9"/>
      <c r="AE247" s="82"/>
      <c r="AF247" s="36">
        <f t="shared" ref="AF247:AF250" si="73">IF(SUM(D247,K247,R247,Y247)&gt;0,SUM(D247,K247,R247,Y247),"")</f>
        <v>6</v>
      </c>
    </row>
    <row r="248" spans="1:32" s="6" customFormat="1" ht="11.65" hidden="1" outlineLevel="1" x14ac:dyDescent="0.35">
      <c r="A248" s="7"/>
      <c r="B248" s="40"/>
      <c r="C248" s="123"/>
      <c r="D248" s="37" t="str">
        <f>IF(SUM(E248,G248,I248)&gt;0,SUM(E248,G248,I248),"")</f>
        <v/>
      </c>
      <c r="E248" s="10"/>
      <c r="F248" s="13"/>
      <c r="G248" s="12"/>
      <c r="H248" s="13"/>
      <c r="I248" s="12"/>
      <c r="J248" s="11"/>
      <c r="K248" s="37" t="str">
        <f>IF(SUM(L248,N248,P248)&gt;0,SUM(L248,N248,P248),"")</f>
        <v/>
      </c>
      <c r="L248" s="12"/>
      <c r="M248" s="33"/>
      <c r="N248" s="12"/>
      <c r="O248" s="33"/>
      <c r="P248" s="12"/>
      <c r="Q248" s="32"/>
      <c r="R248" s="37">
        <f>IF(SUM(S248,U248,W248)&gt;0,SUM(S248,U248,W248),"")</f>
        <v>1</v>
      </c>
      <c r="S248" s="12"/>
      <c r="T248" s="32"/>
      <c r="U248" s="12"/>
      <c r="V248" s="32"/>
      <c r="W248" s="12">
        <v>1</v>
      </c>
      <c r="X248" s="32" t="s">
        <v>336</v>
      </c>
      <c r="Y248" s="37" t="str">
        <f>IF(SUM(Z248,AB248,AD248)&gt;0,SUM(Z248,AB248,AD248),"")</f>
        <v/>
      </c>
      <c r="Z248" s="12"/>
      <c r="AA248" s="32"/>
      <c r="AB248" s="12"/>
      <c r="AC248" s="32"/>
      <c r="AD248" s="12"/>
      <c r="AE248" s="32"/>
      <c r="AF248" s="37">
        <f t="shared" si="73"/>
        <v>1</v>
      </c>
    </row>
    <row r="249" spans="1:32" s="6" customFormat="1" ht="11.65" hidden="1" outlineLevel="1" x14ac:dyDescent="0.35">
      <c r="A249" s="7"/>
      <c r="B249" s="40"/>
      <c r="C249" s="123"/>
      <c r="D249" s="38" t="str">
        <f>IF(SUM(E249,G249,I249)&gt;0,SUM(E249,G249,I249),"")</f>
        <v/>
      </c>
      <c r="E249" s="14"/>
      <c r="F249" s="28"/>
      <c r="G249" s="16"/>
      <c r="H249" s="21"/>
      <c r="I249" s="16"/>
      <c r="J249" s="15"/>
      <c r="K249" s="38" t="str">
        <f>IF(SUM(L249,N249,P249)&gt;0,SUM(L249,N249,P249),"")</f>
        <v/>
      </c>
      <c r="L249" s="16"/>
      <c r="M249" s="21"/>
      <c r="N249" s="16"/>
      <c r="O249" s="21"/>
      <c r="P249" s="16"/>
      <c r="Q249" s="21"/>
      <c r="R249" s="38" t="str">
        <f>IF(SUM(S249,U249,W249)&gt;0,SUM(S249,U249,W249),"")</f>
        <v/>
      </c>
      <c r="S249" s="16"/>
      <c r="T249" s="15"/>
      <c r="U249" s="16"/>
      <c r="V249" s="21"/>
      <c r="W249" s="16"/>
      <c r="X249" s="21"/>
      <c r="Y249" s="38" t="str">
        <f>IF(SUM(Z249,AB249,AD249)&gt;0,SUM(Z249,AB249,AD249),"")</f>
        <v/>
      </c>
      <c r="Z249" s="16"/>
      <c r="AA249" s="21"/>
      <c r="AB249" s="16"/>
      <c r="AC249" s="15"/>
      <c r="AD249" s="16"/>
      <c r="AE249" s="15"/>
      <c r="AF249" s="38" t="str">
        <f t="shared" si="73"/>
        <v/>
      </c>
    </row>
    <row r="250" spans="1:32" s="6" customFormat="1" ht="11.65" hidden="1" outlineLevel="1" x14ac:dyDescent="0.35">
      <c r="A250" s="45"/>
      <c r="B250" s="40"/>
      <c r="C250" s="123"/>
      <c r="D250" s="61" t="str">
        <f>IF(SUM(E250,G250,I250)&gt;0,SUM(E250,G250,I250),"")</f>
        <v/>
      </c>
      <c r="E250" s="17"/>
      <c r="F250" s="73"/>
      <c r="G250" s="19"/>
      <c r="H250" s="23"/>
      <c r="I250" s="19"/>
      <c r="J250" s="23"/>
      <c r="K250" s="61" t="str">
        <f>IF(SUM(L250,N250,P250)&gt;0,SUM(L250,N250,P250),"")</f>
        <v/>
      </c>
      <c r="L250" s="19"/>
      <c r="M250" s="23"/>
      <c r="N250" s="19"/>
      <c r="O250" s="31"/>
      <c r="P250" s="19"/>
      <c r="Q250" s="23"/>
      <c r="R250" s="61" t="str">
        <f>IF(SUM(S250,U250,W250)&gt;0,SUM(S250,U250,W250),"")</f>
        <v/>
      </c>
      <c r="S250" s="19"/>
      <c r="T250" s="23"/>
      <c r="U250" s="19"/>
      <c r="V250" s="31"/>
      <c r="W250" s="19"/>
      <c r="X250" s="31"/>
      <c r="Y250" s="61">
        <f>IF(SUM(Z250,AB250,AD250)&gt;0,SUM(Z250,AB250,AD250),"")</f>
        <v>2</v>
      </c>
      <c r="Z250" s="19"/>
      <c r="AA250" s="31"/>
      <c r="AB250" s="19">
        <v>1</v>
      </c>
      <c r="AC250" s="18" t="s">
        <v>337</v>
      </c>
      <c r="AD250" s="19">
        <v>1</v>
      </c>
      <c r="AE250" s="31" t="s">
        <v>147</v>
      </c>
      <c r="AF250" s="54">
        <f t="shared" si="73"/>
        <v>2</v>
      </c>
    </row>
    <row r="251" spans="1:32" s="6" customFormat="1" ht="11.65" collapsed="1" x14ac:dyDescent="0.35">
      <c r="A251" s="44">
        <v>15</v>
      </c>
      <c r="B251" s="39" t="s">
        <v>212</v>
      </c>
      <c r="C251" s="122" t="s">
        <v>136</v>
      </c>
      <c r="D251" s="60">
        <f>IF(SUM(D252:D255)&gt;0,SUM(D252:D255),"")</f>
        <v>1</v>
      </c>
      <c r="E251" s="4" t="str">
        <f>IF(SUM(E252:E255)&gt;0,SUM(E252:E255),"")</f>
        <v/>
      </c>
      <c r="F251" s="72"/>
      <c r="G251" s="5">
        <f>IF(SUM(G252:G255)&gt;0,SUM(G252:G255),"")</f>
        <v>1</v>
      </c>
      <c r="H251" s="72"/>
      <c r="I251" s="5" t="str">
        <f>IF(SUM(I252:I255)&gt;0,SUM(I252:I255),"")</f>
        <v/>
      </c>
      <c r="J251" s="67"/>
      <c r="K251" s="60" t="str">
        <f>IF(SUM(K252:K255)&gt;0,SUM(K252:K255),"")</f>
        <v/>
      </c>
      <c r="L251" s="5" t="str">
        <f>IF(SUM(L252:L255)&gt;0,SUM(L252:L255),"")</f>
        <v/>
      </c>
      <c r="M251" s="67"/>
      <c r="N251" s="5" t="str">
        <f>IF(SUM(N252:N255)&gt;0,SUM(N252:N255),"")</f>
        <v/>
      </c>
      <c r="O251" s="67"/>
      <c r="P251" s="5" t="str">
        <f>IF(SUM(P252:P255)&gt;0,SUM(P252:P255),"")</f>
        <v/>
      </c>
      <c r="Q251" s="67"/>
      <c r="R251" s="60">
        <f>IF(SUM(R252:R255)&gt;0,SUM(R252:R255),"")</f>
        <v>4</v>
      </c>
      <c r="S251" s="5" t="str">
        <f>IF(SUM(S252:S255)&gt;0,SUM(S252:S255),"")</f>
        <v/>
      </c>
      <c r="T251" s="67"/>
      <c r="U251" s="5" t="str">
        <f>IF(SUM(U252:U255)&gt;0,SUM(U252:U255),"")</f>
        <v/>
      </c>
      <c r="V251" s="84"/>
      <c r="W251" s="5">
        <f>IF(SUM(W252:W255)&gt;0,SUM(W252:W255),"")</f>
        <v>4</v>
      </c>
      <c r="X251" s="84"/>
      <c r="Y251" s="60">
        <f>IF(SUM(Y252:Y255)&gt;0,SUM(Y252:Y255),"")</f>
        <v>3</v>
      </c>
      <c r="Z251" s="5">
        <f>IF(SUM(Z252:Z255)&gt;0,SUM(Z252:Z255),"")</f>
        <v>1</v>
      </c>
      <c r="AA251" s="84"/>
      <c r="AB251" s="5">
        <f>IF(SUM(AB252:AB255)&gt;0,SUM(AB252:AB255),"")</f>
        <v>2</v>
      </c>
      <c r="AC251" s="84"/>
      <c r="AD251" s="5" t="str">
        <f>IF(SUM(AD252:AD255)&gt;0,SUM(AD252:AD255),"")</f>
        <v/>
      </c>
      <c r="AE251" s="84"/>
      <c r="AF251" s="49">
        <f t="shared" si="54"/>
        <v>8</v>
      </c>
    </row>
    <row r="252" spans="1:32" s="6" customFormat="1" ht="11.65" hidden="1" outlineLevel="1" x14ac:dyDescent="0.35">
      <c r="A252" s="7"/>
      <c r="B252" s="40"/>
      <c r="C252" s="123"/>
      <c r="D252" s="36">
        <f>IF(SUM(E252,G252,I252)&gt;0,SUM(E252,G252,I252),"")</f>
        <v>1</v>
      </c>
      <c r="E252" s="8"/>
      <c r="F252" s="56"/>
      <c r="G252" s="9">
        <v>1</v>
      </c>
      <c r="H252" s="56" t="s">
        <v>220</v>
      </c>
      <c r="I252" s="9"/>
      <c r="J252" s="80"/>
      <c r="K252" s="36" t="str">
        <f>IF(SUM(L252,N252,P252)&gt;0,SUM(L252,N252,P252),"")</f>
        <v/>
      </c>
      <c r="L252" s="9"/>
      <c r="M252" s="80"/>
      <c r="N252" s="9"/>
      <c r="O252" s="55"/>
      <c r="P252" s="9"/>
      <c r="Q252" s="55"/>
      <c r="R252" s="36" t="str">
        <f>IF(SUM(S252,U252,W252)&gt;0,SUM(S252,U252,W252),"")</f>
        <v/>
      </c>
      <c r="S252" s="9"/>
      <c r="T252" s="80"/>
      <c r="U252" s="9"/>
      <c r="V252" s="55"/>
      <c r="W252" s="9"/>
      <c r="X252" s="82"/>
      <c r="Y252" s="36" t="str">
        <f>IF(SUM(Z252,AB252,AD252)&gt;0,SUM(Z252,AB252,AD252),"")</f>
        <v/>
      </c>
      <c r="Z252" s="9"/>
      <c r="AA252" s="82"/>
      <c r="AB252" s="9"/>
      <c r="AC252" s="82"/>
      <c r="AD252" s="9"/>
      <c r="AE252" s="82"/>
      <c r="AF252" s="36">
        <f t="shared" ref="AF252:AF255" si="74">IF(SUM(D252,K252,R252,Y252)&gt;0,SUM(D252,K252,R252,Y252),"")</f>
        <v>1</v>
      </c>
    </row>
    <row r="253" spans="1:32" s="6" customFormat="1" ht="11.65" hidden="1" outlineLevel="1" x14ac:dyDescent="0.35">
      <c r="A253" s="7"/>
      <c r="B253" s="125" t="s">
        <v>341</v>
      </c>
      <c r="C253" s="123"/>
      <c r="D253" s="37" t="str">
        <f>IF(SUM(E253,G253,I253)&gt;0,SUM(E253,G253,I253),"")</f>
        <v/>
      </c>
      <c r="E253" s="10"/>
      <c r="F253" s="11"/>
      <c r="G253" s="12"/>
      <c r="H253" s="13"/>
      <c r="I253" s="12"/>
      <c r="J253" s="11"/>
      <c r="K253" s="37" t="str">
        <f>IF(SUM(L253,N253,P253)&gt;0,SUM(L253,N253,P253),"")</f>
        <v/>
      </c>
      <c r="L253" s="12"/>
      <c r="M253" s="33"/>
      <c r="N253" s="12"/>
      <c r="O253" s="11"/>
      <c r="P253" s="12"/>
      <c r="Q253" s="32"/>
      <c r="R253" s="37">
        <f>IF(SUM(S253,U253,W253)&gt;0,SUM(S253,U253,W253),"")</f>
        <v>4</v>
      </c>
      <c r="S253" s="12"/>
      <c r="T253" s="32"/>
      <c r="U253" s="12"/>
      <c r="V253" s="32"/>
      <c r="W253" s="12">
        <v>4</v>
      </c>
      <c r="X253" s="32" t="s">
        <v>151</v>
      </c>
      <c r="Y253" s="37">
        <f>IF(SUM(Z253,AB253,AD253)&gt;0,SUM(Z253,AB253,AD253),"")</f>
        <v>2</v>
      </c>
      <c r="Z253" s="12">
        <v>1</v>
      </c>
      <c r="AA253" s="32" t="s">
        <v>143</v>
      </c>
      <c r="AB253" s="12">
        <v>1</v>
      </c>
      <c r="AC253" s="32" t="s">
        <v>318</v>
      </c>
      <c r="AD253" s="12"/>
      <c r="AE253" s="32"/>
      <c r="AF253" s="37">
        <f t="shared" si="74"/>
        <v>6</v>
      </c>
    </row>
    <row r="254" spans="1:32" s="6" customFormat="1" ht="11.65" hidden="1" outlineLevel="1" x14ac:dyDescent="0.35">
      <c r="A254" s="7"/>
      <c r="B254" s="40"/>
      <c r="C254" s="123"/>
      <c r="D254" s="38" t="str">
        <f>IF(SUM(E254,G254,I254)&gt;0,SUM(E254,G254,I254),"")</f>
        <v/>
      </c>
      <c r="E254" s="14"/>
      <c r="F254" s="28"/>
      <c r="G254" s="16"/>
      <c r="H254" s="21"/>
      <c r="I254" s="16"/>
      <c r="J254" s="21"/>
      <c r="K254" s="38" t="str">
        <f>IF(SUM(L254,N254,P254)&gt;0,SUM(L254,N254,P254),"")</f>
        <v/>
      </c>
      <c r="L254" s="16"/>
      <c r="M254" s="21"/>
      <c r="N254" s="16"/>
      <c r="O254" s="15"/>
      <c r="P254" s="16"/>
      <c r="Q254" s="15"/>
      <c r="R254" s="38" t="str">
        <f>IF(SUM(S254,U254,W254)&gt;0,SUM(S254,U254,W254),"")</f>
        <v/>
      </c>
      <c r="S254" s="16"/>
      <c r="T254" s="15"/>
      <c r="U254" s="16"/>
      <c r="V254" s="21"/>
      <c r="W254" s="16"/>
      <c r="X254" s="28"/>
      <c r="Y254" s="38" t="str">
        <f>IF(SUM(Z254,AB254,AD254)&gt;0,SUM(Z254,AB254,AD254),"")</f>
        <v/>
      </c>
      <c r="Z254" s="16"/>
      <c r="AA254" s="15"/>
      <c r="AB254" s="16"/>
      <c r="AC254" s="28"/>
      <c r="AD254" s="16"/>
      <c r="AE254" s="15"/>
      <c r="AF254" s="38" t="str">
        <f t="shared" si="74"/>
        <v/>
      </c>
    </row>
    <row r="255" spans="1:32" s="6" customFormat="1" ht="11.65" hidden="1" outlineLevel="1" x14ac:dyDescent="0.35">
      <c r="A255" s="45"/>
      <c r="B255" s="40"/>
      <c r="C255" s="123"/>
      <c r="D255" s="61" t="str">
        <f>IF(SUM(E255,G255,I255)&gt;0,SUM(E255,G255,I255),"")</f>
        <v/>
      </c>
      <c r="E255" s="17"/>
      <c r="F255" s="73"/>
      <c r="G255" s="19"/>
      <c r="H255" s="23"/>
      <c r="I255" s="19"/>
      <c r="J255" s="23"/>
      <c r="K255" s="61" t="str">
        <f>IF(SUM(L255,N255,P255)&gt;0,SUM(L255,N255,P255),"")</f>
        <v/>
      </c>
      <c r="L255" s="19"/>
      <c r="M255" s="23"/>
      <c r="N255" s="19"/>
      <c r="O255" s="31"/>
      <c r="P255" s="19"/>
      <c r="Q255" s="23"/>
      <c r="R255" s="61" t="str">
        <f>IF(SUM(S255,U255,W255)&gt;0,SUM(S255,U255,W255),"")</f>
        <v/>
      </c>
      <c r="S255" s="19"/>
      <c r="T255" s="23"/>
      <c r="U255" s="19"/>
      <c r="V255" s="31"/>
      <c r="W255" s="19"/>
      <c r="X255" s="31"/>
      <c r="Y255" s="61">
        <f>IF(SUM(Z255,AB255,AD255)&gt;0,SUM(Z255,AB255,AD255),"")</f>
        <v>1</v>
      </c>
      <c r="Z255" s="19"/>
      <c r="AA255" s="31"/>
      <c r="AB255" s="19">
        <v>1</v>
      </c>
      <c r="AC255" s="18" t="s">
        <v>147</v>
      </c>
      <c r="AD255" s="19"/>
      <c r="AE255" s="18"/>
      <c r="AF255" s="54">
        <f t="shared" si="74"/>
        <v>1</v>
      </c>
    </row>
    <row r="256" spans="1:32" s="6" customFormat="1" ht="11.65" collapsed="1" x14ac:dyDescent="0.35">
      <c r="A256" s="44">
        <v>16</v>
      </c>
      <c r="B256" s="39" t="s">
        <v>211</v>
      </c>
      <c r="C256" s="122" t="s">
        <v>136</v>
      </c>
      <c r="D256" s="60" t="str">
        <f>IF(SUM(D257:D260)&gt;0,SUM(D257:D260),"")</f>
        <v/>
      </c>
      <c r="E256" s="4" t="str">
        <f>IF(SUM(E257:E260)&gt;0,SUM(E257:E260),"")</f>
        <v/>
      </c>
      <c r="F256" s="72"/>
      <c r="G256" s="5" t="str">
        <f>IF(SUM(G257:G260)&gt;0,SUM(G257:G260),"")</f>
        <v/>
      </c>
      <c r="H256" s="72"/>
      <c r="I256" s="5" t="str">
        <f>IF(SUM(I257:I260)&gt;0,SUM(I257:I260),"")</f>
        <v/>
      </c>
      <c r="J256" s="67"/>
      <c r="K256" s="60" t="str">
        <f>IF(SUM(K257:K260)&gt;0,SUM(K257:K260),"")</f>
        <v/>
      </c>
      <c r="L256" s="5" t="str">
        <f>IF(SUM(L257:L260)&gt;0,SUM(L257:L260),"")</f>
        <v/>
      </c>
      <c r="M256" s="67"/>
      <c r="N256" s="5" t="str">
        <f>IF(SUM(N257:N260)&gt;0,SUM(N257:N260),"")</f>
        <v/>
      </c>
      <c r="O256" s="67"/>
      <c r="P256" s="5" t="str">
        <f>IF(SUM(P257:P260)&gt;0,SUM(P257:P260),"")</f>
        <v/>
      </c>
      <c r="Q256" s="67"/>
      <c r="R256" s="60">
        <f>IF(SUM(R257:R260)&gt;0,SUM(R257:R260),"")</f>
        <v>3</v>
      </c>
      <c r="S256" s="5" t="str">
        <f>IF(SUM(S257:S260)&gt;0,SUM(S257:S260),"")</f>
        <v/>
      </c>
      <c r="T256" s="67"/>
      <c r="U256" s="5">
        <f>IF(SUM(U257:U260)&gt;0,SUM(U257:U260),"")</f>
        <v>2</v>
      </c>
      <c r="V256" s="84"/>
      <c r="W256" s="5">
        <f>IF(SUM(W257:W260)&gt;0,SUM(W257:W260),"")</f>
        <v>1</v>
      </c>
      <c r="X256" s="84"/>
      <c r="Y256" s="60">
        <f>IF(SUM(Y257:Y260)&gt;0,SUM(Y257:Y260),"")</f>
        <v>3</v>
      </c>
      <c r="Z256" s="5" t="str">
        <f>IF(SUM(Z257:Z260)&gt;0,SUM(Z257:Z260),"")</f>
        <v/>
      </c>
      <c r="AA256" s="84"/>
      <c r="AB256" s="5">
        <f>IF(SUM(AB257:AB260)&gt;0,SUM(AB257:AB260),"")</f>
        <v>2</v>
      </c>
      <c r="AC256" s="84"/>
      <c r="AD256" s="5">
        <f>IF(SUM(AD257:AD260)&gt;0,SUM(AD257:AD260),"")</f>
        <v>1</v>
      </c>
      <c r="AE256" s="84"/>
      <c r="AF256" s="49">
        <f t="shared" si="54"/>
        <v>6</v>
      </c>
    </row>
    <row r="257" spans="1:32" s="6" customFormat="1" ht="11.65" hidden="1" outlineLevel="1" x14ac:dyDescent="0.35">
      <c r="A257" s="7"/>
      <c r="B257" s="40"/>
      <c r="C257" s="123"/>
      <c r="D257" s="36" t="str">
        <f>IF(SUM(E257,G257,I257)&gt;0,SUM(E257,G257,I257),"")</f>
        <v/>
      </c>
      <c r="E257" s="8"/>
      <c r="F257" s="56"/>
      <c r="G257" s="9"/>
      <c r="H257" s="56"/>
      <c r="I257" s="9"/>
      <c r="J257" s="80"/>
      <c r="K257" s="36" t="str">
        <f>IF(SUM(L257,N257,P257)&gt;0,SUM(L257,N257,P257),"")</f>
        <v/>
      </c>
      <c r="L257" s="9"/>
      <c r="M257" s="80"/>
      <c r="N257" s="9"/>
      <c r="O257" s="55"/>
      <c r="P257" s="9"/>
      <c r="Q257" s="55"/>
      <c r="R257" s="36" t="str">
        <f>IF(SUM(S257,U257,W257)&gt;0,SUM(S257,U257,W257),"")</f>
        <v/>
      </c>
      <c r="S257" s="9"/>
      <c r="T257" s="80"/>
      <c r="U257" s="9"/>
      <c r="V257" s="55"/>
      <c r="W257" s="9"/>
      <c r="X257" s="82"/>
      <c r="Y257" s="36" t="str">
        <f>IF(SUM(Z257,AB257,AD257)&gt;0,SUM(Z257,AB257,AD257),"")</f>
        <v/>
      </c>
      <c r="Z257" s="9"/>
      <c r="AA257" s="82"/>
      <c r="AB257" s="9"/>
      <c r="AC257" s="82"/>
      <c r="AD257" s="9"/>
      <c r="AE257" s="82"/>
      <c r="AF257" s="36" t="str">
        <f t="shared" ref="AF257:AF260" si="75">IF(SUM(D257,K257,R257,Y257)&gt;0,SUM(D257,K257,R257,Y257),"")</f>
        <v/>
      </c>
    </row>
    <row r="258" spans="1:32" s="6" customFormat="1" ht="23.25" hidden="1" outlineLevel="1" x14ac:dyDescent="0.35">
      <c r="A258" s="7"/>
      <c r="B258" s="40" t="s">
        <v>344</v>
      </c>
      <c r="C258" s="123"/>
      <c r="D258" s="37" t="str">
        <f>IF(SUM(E258,G258,I258)&gt;0,SUM(E258,G258,I258),"")</f>
        <v/>
      </c>
      <c r="E258" s="10"/>
      <c r="F258" s="11"/>
      <c r="G258" s="12"/>
      <c r="H258" s="13"/>
      <c r="I258" s="12"/>
      <c r="J258" s="11"/>
      <c r="K258" s="37" t="str">
        <f>IF(SUM(L258,N258,P258)&gt;0,SUM(L258,N258,P258),"")</f>
        <v/>
      </c>
      <c r="L258" s="12"/>
      <c r="M258" s="33"/>
      <c r="N258" s="12"/>
      <c r="O258" s="11"/>
      <c r="P258" s="12"/>
      <c r="Q258" s="32"/>
      <c r="R258" s="37">
        <f>IF(SUM(S258,U258,W258)&gt;0,SUM(S258,U258,W258),"")</f>
        <v>3</v>
      </c>
      <c r="S258" s="12"/>
      <c r="T258" s="32"/>
      <c r="U258" s="12">
        <v>2</v>
      </c>
      <c r="V258" s="32" t="s">
        <v>340</v>
      </c>
      <c r="W258" s="12">
        <v>1</v>
      </c>
      <c r="X258" s="32" t="s">
        <v>343</v>
      </c>
      <c r="Y258" s="37" t="str">
        <f>IF(SUM(Z258,AB258,AD258)&gt;0,SUM(Z258,AB258,AD258),"")</f>
        <v/>
      </c>
      <c r="Z258" s="12"/>
      <c r="AA258" s="32"/>
      <c r="AB258" s="12"/>
      <c r="AC258" s="32"/>
      <c r="AD258" s="12"/>
      <c r="AE258" s="32"/>
      <c r="AF258" s="37">
        <f t="shared" si="75"/>
        <v>3</v>
      </c>
    </row>
    <row r="259" spans="1:32" s="6" customFormat="1" ht="11.65" hidden="1" outlineLevel="1" x14ac:dyDescent="0.35">
      <c r="A259" s="7"/>
      <c r="B259" s="40"/>
      <c r="C259" s="123"/>
      <c r="D259" s="38" t="str">
        <f>IF(SUM(E259,G259,I259)&gt;0,SUM(E259,G259,I259),"")</f>
        <v/>
      </c>
      <c r="E259" s="14"/>
      <c r="F259" s="28"/>
      <c r="G259" s="16"/>
      <c r="H259" s="21"/>
      <c r="I259" s="16"/>
      <c r="J259" s="21"/>
      <c r="K259" s="38" t="str">
        <f>IF(SUM(L259,N259,P259)&gt;0,SUM(L259,N259,P259),"")</f>
        <v/>
      </c>
      <c r="L259" s="16"/>
      <c r="M259" s="21"/>
      <c r="N259" s="16"/>
      <c r="O259" s="15"/>
      <c r="P259" s="16"/>
      <c r="Q259" s="15"/>
      <c r="R259" s="38" t="str">
        <f>IF(SUM(S259,U259,W259)&gt;0,SUM(S259,U259,W259),"")</f>
        <v/>
      </c>
      <c r="S259" s="16"/>
      <c r="T259" s="15"/>
      <c r="U259" s="16"/>
      <c r="V259" s="21"/>
      <c r="W259" s="16"/>
      <c r="X259" s="28"/>
      <c r="Y259" s="38">
        <f>IF(SUM(Z259,AB259,AD259)&gt;0,SUM(Z259,AB259,AD259),"")</f>
        <v>1</v>
      </c>
      <c r="Z259" s="16"/>
      <c r="AA259" s="15"/>
      <c r="AB259" s="16">
        <v>1</v>
      </c>
      <c r="AC259" s="28" t="s">
        <v>342</v>
      </c>
      <c r="AD259" s="16"/>
      <c r="AE259" s="15"/>
      <c r="AF259" s="38">
        <f t="shared" si="75"/>
        <v>1</v>
      </c>
    </row>
    <row r="260" spans="1:32" s="6" customFormat="1" ht="11.65" hidden="1" outlineLevel="1" x14ac:dyDescent="0.35">
      <c r="A260" s="45"/>
      <c r="B260" s="40"/>
      <c r="C260" s="123"/>
      <c r="D260" s="61" t="str">
        <f>IF(SUM(E260,G260,I260)&gt;0,SUM(E260,G260,I260),"")</f>
        <v/>
      </c>
      <c r="E260" s="17"/>
      <c r="F260" s="73"/>
      <c r="G260" s="19"/>
      <c r="H260" s="23"/>
      <c r="I260" s="19"/>
      <c r="J260" s="23"/>
      <c r="K260" s="61" t="str">
        <f>IF(SUM(L260,N260,P260)&gt;0,SUM(L260,N260,P260),"")</f>
        <v/>
      </c>
      <c r="L260" s="19"/>
      <c r="M260" s="23"/>
      <c r="N260" s="19"/>
      <c r="O260" s="31"/>
      <c r="P260" s="19"/>
      <c r="Q260" s="23"/>
      <c r="R260" s="61" t="str">
        <f>IF(SUM(S260,U260,W260)&gt;0,SUM(S260,U260,W260),"")</f>
        <v/>
      </c>
      <c r="S260" s="19"/>
      <c r="T260" s="23"/>
      <c r="U260" s="19"/>
      <c r="V260" s="31"/>
      <c r="W260" s="19"/>
      <c r="X260" s="31"/>
      <c r="Y260" s="61">
        <f>IF(SUM(Z260,AB260,AD260)&gt;0,SUM(Z260,AB260,AD260),"")</f>
        <v>2</v>
      </c>
      <c r="Z260" s="19"/>
      <c r="AA260" s="31"/>
      <c r="AB260" s="19">
        <v>1</v>
      </c>
      <c r="AC260" s="18" t="s">
        <v>147</v>
      </c>
      <c r="AD260" s="19">
        <v>1</v>
      </c>
      <c r="AE260" s="18" t="s">
        <v>147</v>
      </c>
      <c r="AF260" s="54">
        <f t="shared" si="75"/>
        <v>2</v>
      </c>
    </row>
    <row r="261" spans="1:32" s="6" customFormat="1" ht="11.65" collapsed="1" x14ac:dyDescent="0.35">
      <c r="A261" s="44">
        <v>17</v>
      </c>
      <c r="B261" s="39" t="s">
        <v>128</v>
      </c>
      <c r="C261" s="122" t="s">
        <v>135</v>
      </c>
      <c r="D261" s="60" t="str">
        <f>IF(SUM(D262:D265)&gt;0,SUM(D262:D265),"")</f>
        <v/>
      </c>
      <c r="E261" s="4" t="str">
        <f>IF(SUM(E262:E265)&gt;0,SUM(E262:E265),"")</f>
        <v/>
      </c>
      <c r="F261" s="72"/>
      <c r="G261" s="5" t="str">
        <f>IF(SUM(G262:G265)&gt;0,SUM(G262:G265),"")</f>
        <v/>
      </c>
      <c r="H261" s="72"/>
      <c r="I261" s="5" t="str">
        <f>IF(SUM(I262:I265)&gt;0,SUM(I262:I265),"")</f>
        <v/>
      </c>
      <c r="J261" s="67"/>
      <c r="K261" s="60">
        <f>IF(SUM(K262:K265)&gt;0,SUM(K262:K265),"")</f>
        <v>10</v>
      </c>
      <c r="L261" s="5" t="str">
        <f>IF(SUM(L262:L265)&gt;0,SUM(L262:L265),"")</f>
        <v/>
      </c>
      <c r="M261" s="67"/>
      <c r="N261" s="5">
        <f>IF(SUM(N262:N265)&gt;0,SUM(N262:N265),"")</f>
        <v>1</v>
      </c>
      <c r="O261" s="67"/>
      <c r="P261" s="5">
        <f>IF(SUM(P262:P265)&gt;0,SUM(P262:P265),"")</f>
        <v>9</v>
      </c>
      <c r="Q261" s="67"/>
      <c r="R261" s="60">
        <f>IF(SUM(R262:R265)&gt;0,SUM(R262:R265),"")</f>
        <v>15</v>
      </c>
      <c r="S261" s="5" t="str">
        <f>IF(SUM(S262:S265)&gt;0,SUM(S262:S265),"")</f>
        <v/>
      </c>
      <c r="T261" s="67"/>
      <c r="U261" s="5">
        <f>IF(SUM(U262:U265)&gt;0,SUM(U262:U265),"")</f>
        <v>1</v>
      </c>
      <c r="V261" s="84"/>
      <c r="W261" s="5">
        <f>IF(SUM(W262:W265)&gt;0,SUM(W262:W265),"")</f>
        <v>14</v>
      </c>
      <c r="X261" s="84"/>
      <c r="Y261" s="60">
        <f>IF(SUM(Y262:Y265)&gt;0,SUM(Y262:Y265),"")</f>
        <v>25</v>
      </c>
      <c r="Z261" s="5">
        <f>IF(SUM(Z262:Z265)&gt;0,SUM(Z262:Z265),"")</f>
        <v>10</v>
      </c>
      <c r="AA261" s="84"/>
      <c r="AB261" s="5">
        <f>IF(SUM(AB262:AB265)&gt;0,SUM(AB262:AB265),"")</f>
        <v>10</v>
      </c>
      <c r="AC261" s="84"/>
      <c r="AD261" s="5">
        <f>IF(SUM(AD262:AD265)&gt;0,SUM(AD262:AD265),"")</f>
        <v>5</v>
      </c>
      <c r="AE261" s="84"/>
      <c r="AF261" s="49">
        <f t="shared" si="54"/>
        <v>50</v>
      </c>
    </row>
    <row r="262" spans="1:32" s="6" customFormat="1" ht="29.25" hidden="1" outlineLevel="1" x14ac:dyDescent="0.35">
      <c r="A262" s="7"/>
      <c r="B262" s="40" t="s">
        <v>345</v>
      </c>
      <c r="C262" s="123"/>
      <c r="D262" s="36" t="str">
        <f>IF(SUM(E262,G262,I262)&gt;0,SUM(E262,G262,I262),"")</f>
        <v/>
      </c>
      <c r="E262" s="8"/>
      <c r="F262" s="56"/>
      <c r="G262" s="9"/>
      <c r="H262" s="56"/>
      <c r="I262" s="9"/>
      <c r="J262" s="80"/>
      <c r="K262" s="36">
        <f>IF(SUM(L262,N262,P262)&gt;0,SUM(L262,N262,P262),"")</f>
        <v>10</v>
      </c>
      <c r="L262" s="9"/>
      <c r="M262" s="80"/>
      <c r="N262" s="9">
        <v>1</v>
      </c>
      <c r="O262" s="55" t="s">
        <v>339</v>
      </c>
      <c r="P262" s="9">
        <v>9</v>
      </c>
      <c r="Q262" s="80" t="s">
        <v>346</v>
      </c>
      <c r="R262" s="36" t="str">
        <f>IF(SUM(S262,U262,W262)&gt;0,SUM(S262,U262,W262),"")</f>
        <v/>
      </c>
      <c r="S262" s="9"/>
      <c r="T262" s="80"/>
      <c r="U262" s="9"/>
      <c r="V262" s="55"/>
      <c r="W262" s="9"/>
      <c r="X262" s="82"/>
      <c r="Y262" s="36" t="str">
        <f>IF(SUM(Z262,AB262,AD262)&gt;0,SUM(Z262,AB262,AD262),"")</f>
        <v/>
      </c>
      <c r="Z262" s="9"/>
      <c r="AA262" s="82"/>
      <c r="AB262" s="9"/>
      <c r="AC262" s="82"/>
      <c r="AD262" s="9"/>
      <c r="AE262" s="82"/>
      <c r="AF262" s="36">
        <f t="shared" ref="AF262:AF265" si="76">IF(SUM(D262,K262,R262,Y262)&gt;0,SUM(D262,K262,R262,Y262),"")</f>
        <v>10</v>
      </c>
    </row>
    <row r="263" spans="1:32" s="6" customFormat="1" ht="58.5" hidden="1" outlineLevel="1" x14ac:dyDescent="0.35">
      <c r="A263" s="7"/>
      <c r="B263" s="40"/>
      <c r="C263" s="123"/>
      <c r="D263" s="37" t="str">
        <f>IF(SUM(E263,G263,I263)&gt;0,SUM(E263,G263,I263),"")</f>
        <v/>
      </c>
      <c r="E263" s="10"/>
      <c r="F263" s="11"/>
      <c r="G263" s="12"/>
      <c r="H263" s="11"/>
      <c r="I263" s="12"/>
      <c r="J263" s="11"/>
      <c r="K263" s="37" t="str">
        <f>IF(SUM(L263,N263,P263)&gt;0,SUM(L263,N263,P263),"")</f>
        <v/>
      </c>
      <c r="L263" s="12"/>
      <c r="M263" s="32"/>
      <c r="N263" s="12"/>
      <c r="O263" s="11"/>
      <c r="P263" s="12"/>
      <c r="Q263" s="32"/>
      <c r="R263" s="37">
        <f>IF(SUM(S263,U263,W263)&gt;0,SUM(S263,U263,W263),"")</f>
        <v>15</v>
      </c>
      <c r="S263" s="12"/>
      <c r="T263" s="32"/>
      <c r="U263" s="12">
        <v>1</v>
      </c>
      <c r="V263" s="32" t="s">
        <v>347</v>
      </c>
      <c r="W263" s="12">
        <v>14</v>
      </c>
      <c r="X263" s="32" t="s">
        <v>349</v>
      </c>
      <c r="Y263" s="37">
        <f>IF(SUM(Z263,AB263,AD263)&gt;0,SUM(Z263,AB263,AD263),"")</f>
        <v>10</v>
      </c>
      <c r="Z263" s="12">
        <v>6</v>
      </c>
      <c r="AA263" s="32" t="s">
        <v>348</v>
      </c>
      <c r="AB263" s="12">
        <v>4</v>
      </c>
      <c r="AC263" s="32" t="s">
        <v>353</v>
      </c>
      <c r="AD263" s="12"/>
      <c r="AE263" s="32"/>
      <c r="AF263" s="37">
        <f t="shared" si="76"/>
        <v>25</v>
      </c>
    </row>
    <row r="264" spans="1:32" s="6" customFormat="1" ht="19.5" hidden="1" outlineLevel="1" x14ac:dyDescent="0.35">
      <c r="A264" s="7"/>
      <c r="B264" s="40"/>
      <c r="C264" s="123"/>
      <c r="D264" s="38" t="str">
        <f>IF(SUM(E264,G264,I264)&gt;0,SUM(E264,G264,I264),"")</f>
        <v/>
      </c>
      <c r="E264" s="14"/>
      <c r="F264" s="28"/>
      <c r="G264" s="16"/>
      <c r="H264" s="21"/>
      <c r="I264" s="16"/>
      <c r="J264" s="21"/>
      <c r="K264" s="38" t="str">
        <f>IF(SUM(L264,N264,P264)&gt;0,SUM(L264,N264,P264),"")</f>
        <v/>
      </c>
      <c r="L264" s="16"/>
      <c r="M264" s="21"/>
      <c r="N264" s="16"/>
      <c r="O264" s="15"/>
      <c r="P264" s="16"/>
      <c r="Q264" s="15"/>
      <c r="R264" s="38" t="str">
        <f>IF(SUM(S264,U264,W264)&gt;0,SUM(S264,U264,W264),"")</f>
        <v/>
      </c>
      <c r="S264" s="16"/>
      <c r="T264" s="15"/>
      <c r="U264" s="16"/>
      <c r="V264" s="15"/>
      <c r="W264" s="16"/>
      <c r="X264" s="15"/>
      <c r="Y264" s="38">
        <f>IF(SUM(Z264,AB264,AD264)&gt;0,SUM(Z264,AB264,AD264),"")</f>
        <v>4</v>
      </c>
      <c r="Z264" s="16">
        <v>2</v>
      </c>
      <c r="AA264" s="15" t="s">
        <v>351</v>
      </c>
      <c r="AB264" s="16">
        <v>2</v>
      </c>
      <c r="AC264" s="15" t="s">
        <v>352</v>
      </c>
      <c r="AD264" s="16"/>
      <c r="AE264" s="21"/>
      <c r="AF264" s="38">
        <f t="shared" si="76"/>
        <v>4</v>
      </c>
    </row>
    <row r="265" spans="1:32" s="6" customFormat="1" ht="19.5" hidden="1" outlineLevel="1" x14ac:dyDescent="0.35">
      <c r="A265" s="45"/>
      <c r="B265" s="40"/>
      <c r="C265" s="123"/>
      <c r="D265" s="61" t="str">
        <f>IF(SUM(E265,G265,I265)&gt;0,SUM(E265,G265,I265),"")</f>
        <v/>
      </c>
      <c r="E265" s="17"/>
      <c r="F265" s="73"/>
      <c r="G265" s="19"/>
      <c r="H265" s="23"/>
      <c r="I265" s="19"/>
      <c r="J265" s="23"/>
      <c r="K265" s="61" t="str">
        <f>IF(SUM(L265,N265,P265)&gt;0,SUM(L265,N265,P265),"")</f>
        <v/>
      </c>
      <c r="L265" s="19"/>
      <c r="M265" s="23"/>
      <c r="N265" s="19"/>
      <c r="O265" s="31"/>
      <c r="P265" s="19"/>
      <c r="Q265" s="23"/>
      <c r="R265" s="61" t="str">
        <f>IF(SUM(S265,U265,W265)&gt;0,SUM(S265,U265,W265),"")</f>
        <v/>
      </c>
      <c r="S265" s="19"/>
      <c r="T265" s="23"/>
      <c r="U265" s="19"/>
      <c r="V265" s="29"/>
      <c r="W265" s="19"/>
      <c r="X265" s="29"/>
      <c r="Y265" s="61">
        <f>IF(SUM(Z265,AB265,AD265)&gt;0,SUM(Z265,AB265,AD265),"")</f>
        <v>11</v>
      </c>
      <c r="Z265" s="19">
        <v>2</v>
      </c>
      <c r="AA265" s="29" t="s">
        <v>322</v>
      </c>
      <c r="AB265" s="19">
        <v>4</v>
      </c>
      <c r="AC265" s="18" t="s">
        <v>354</v>
      </c>
      <c r="AD265" s="19">
        <v>5</v>
      </c>
      <c r="AE265" s="18" t="s">
        <v>355</v>
      </c>
      <c r="AF265" s="54">
        <f t="shared" si="76"/>
        <v>11</v>
      </c>
    </row>
    <row r="266" spans="1:32" s="6" customFormat="1" ht="11.65" collapsed="1" x14ac:dyDescent="0.35">
      <c r="A266" s="44">
        <v>18</v>
      </c>
      <c r="B266" s="39" t="s">
        <v>67</v>
      </c>
      <c r="C266" s="122" t="s">
        <v>134</v>
      </c>
      <c r="D266" s="60" t="str">
        <f>IF(SUM(D267:D270)&gt;0,SUM(D267:D270),"")</f>
        <v/>
      </c>
      <c r="E266" s="4" t="str">
        <f>IF(SUM(E267:E270)&gt;0,SUM(E267:E270),"")</f>
        <v/>
      </c>
      <c r="F266" s="72"/>
      <c r="G266" s="5" t="str">
        <f>IF(SUM(G267:G270)&gt;0,SUM(G267:G270),"")</f>
        <v/>
      </c>
      <c r="H266" s="72"/>
      <c r="I266" s="5" t="str">
        <f>IF(SUM(I267:I270)&gt;0,SUM(I267:I270),"")</f>
        <v/>
      </c>
      <c r="J266" s="67"/>
      <c r="K266" s="60">
        <f>IF(SUM(K267:K270)&gt;0,SUM(K267:K270),"")</f>
        <v>1</v>
      </c>
      <c r="L266" s="5" t="str">
        <f>IF(SUM(L267:L270)&gt;0,SUM(L267:L270),"")</f>
        <v/>
      </c>
      <c r="M266" s="67"/>
      <c r="N266" s="5" t="str">
        <f>IF(SUM(N267:N270)&gt;0,SUM(N267:N270),"")</f>
        <v/>
      </c>
      <c r="O266" s="67"/>
      <c r="P266" s="5">
        <f>IF(SUM(P267:P270)&gt;0,SUM(P267:P270),"")</f>
        <v>1</v>
      </c>
      <c r="Q266" s="67"/>
      <c r="R266" s="60" t="str">
        <f>IF(SUM(R267:R270)&gt;0,SUM(R267:R270),"")</f>
        <v/>
      </c>
      <c r="S266" s="5" t="str">
        <f>IF(SUM(S267:S270)&gt;0,SUM(S267:S270),"")</f>
        <v/>
      </c>
      <c r="T266" s="67"/>
      <c r="U266" s="5" t="str">
        <f>IF(SUM(U267:U270)&gt;0,SUM(U267:U270),"")</f>
        <v/>
      </c>
      <c r="V266" s="84"/>
      <c r="W266" s="5" t="str">
        <f>IF(SUM(W267:W270)&gt;0,SUM(W267:W270),"")</f>
        <v/>
      </c>
      <c r="X266" s="84"/>
      <c r="Y266" s="60">
        <f>IF(SUM(Y267:Y270)&gt;0,SUM(Y267:Y270),"")</f>
        <v>1</v>
      </c>
      <c r="Z266" s="5">
        <f>IF(SUM(Z267:Z270)&gt;0,SUM(Z267:Z270),"")</f>
        <v>1</v>
      </c>
      <c r="AA266" s="84"/>
      <c r="AB266" s="5" t="str">
        <f>IF(SUM(AB267:AB270)&gt;0,SUM(AB267:AB270),"")</f>
        <v/>
      </c>
      <c r="AC266" s="84"/>
      <c r="AD266" s="5" t="str">
        <f>IF(SUM(AD267:AD270)&gt;0,SUM(AD267:AD270),"")</f>
        <v/>
      </c>
      <c r="AE266" s="84"/>
      <c r="AF266" s="49">
        <f t="shared" si="54"/>
        <v>2</v>
      </c>
    </row>
    <row r="267" spans="1:32" s="6" customFormat="1" ht="11.65" hidden="1" outlineLevel="1" x14ac:dyDescent="0.35">
      <c r="A267" s="7"/>
      <c r="B267" s="40"/>
      <c r="C267" s="123"/>
      <c r="D267" s="36" t="str">
        <f>IF(SUM(E267,G267,I267)&gt;0,SUM(E267,G267,I267),"")</f>
        <v/>
      </c>
      <c r="E267" s="8"/>
      <c r="F267" s="74"/>
      <c r="G267" s="9"/>
      <c r="H267" s="56"/>
      <c r="I267" s="9"/>
      <c r="J267" s="55"/>
      <c r="K267" s="36">
        <f>IF(SUM(L267,N267,P267)&gt;0,SUM(L267,N267,P267),"")</f>
        <v>1</v>
      </c>
      <c r="L267" s="9"/>
      <c r="M267" s="55"/>
      <c r="N267" s="9"/>
      <c r="O267" s="55"/>
      <c r="P267" s="9">
        <v>1</v>
      </c>
      <c r="Q267" s="55" t="s">
        <v>339</v>
      </c>
      <c r="R267" s="36" t="str">
        <f>IF(SUM(S267,U267,W267)&gt;0,SUM(S267,U267,W267),"")</f>
        <v/>
      </c>
      <c r="S267" s="9"/>
      <c r="T267" s="55"/>
      <c r="U267" s="9"/>
      <c r="V267" s="55"/>
      <c r="W267" s="9"/>
      <c r="X267" s="82"/>
      <c r="Y267" s="36" t="str">
        <f>IF(SUM(Z267,AB267,AD267)&gt;0,SUM(Z267,AB267,AD267),"")</f>
        <v/>
      </c>
      <c r="Z267" s="9"/>
      <c r="AA267" s="82"/>
      <c r="AB267" s="9"/>
      <c r="AC267" s="82"/>
      <c r="AD267" s="9"/>
      <c r="AE267" s="82"/>
      <c r="AF267" s="36">
        <f t="shared" ref="AF267:AF270" si="77">IF(SUM(D267,K267,R267,Y267)&gt;0,SUM(D267,K267,R267,Y267),"")</f>
        <v>1</v>
      </c>
    </row>
    <row r="268" spans="1:32" s="6" customFormat="1" ht="11.65" hidden="1" outlineLevel="1" x14ac:dyDescent="0.35">
      <c r="A268" s="7"/>
      <c r="B268" s="40"/>
      <c r="C268" s="123"/>
      <c r="D268" s="37" t="str">
        <f>IF(SUM(E268,G268,I268)&gt;0,SUM(E268,G268,I268),"")</f>
        <v/>
      </c>
      <c r="E268" s="10"/>
      <c r="F268" s="63"/>
      <c r="G268" s="12"/>
      <c r="H268" s="63"/>
      <c r="I268" s="12"/>
      <c r="J268" s="33"/>
      <c r="K268" s="37" t="str">
        <f>IF(SUM(L268,N268,P268)&gt;0,SUM(L268,N268,P268),"")</f>
        <v/>
      </c>
      <c r="L268" s="12"/>
      <c r="M268" s="13"/>
      <c r="N268" s="12"/>
      <c r="O268" s="33"/>
      <c r="P268" s="12"/>
      <c r="Q268" s="33"/>
      <c r="R268" s="37" t="str">
        <f>IF(SUM(S268,U268,W268)&gt;0,SUM(S268,U268,W268),"")</f>
        <v/>
      </c>
      <c r="S268" s="12"/>
      <c r="T268" s="33"/>
      <c r="U268" s="12"/>
      <c r="V268" s="33"/>
      <c r="W268" s="12"/>
      <c r="X268" s="33"/>
      <c r="Y268" s="37" t="str">
        <f>IF(SUM(Z268,AB268,AD268)&gt;0,SUM(Z268,AB268,AD268),"")</f>
        <v/>
      </c>
      <c r="Z268" s="12"/>
      <c r="AA268" s="83"/>
      <c r="AB268" s="12"/>
      <c r="AC268" s="33"/>
      <c r="AD268" s="12"/>
      <c r="AE268" s="83"/>
      <c r="AF268" s="37" t="str">
        <f t="shared" si="77"/>
        <v/>
      </c>
    </row>
    <row r="269" spans="1:32" s="6" customFormat="1" ht="11.65" hidden="1" outlineLevel="1" x14ac:dyDescent="0.35">
      <c r="A269" s="7"/>
      <c r="B269" s="40"/>
      <c r="C269" s="123"/>
      <c r="D269" s="38" t="str">
        <f>IF(SUM(E269,G269,I269)&gt;0,SUM(E269,G269,I269),"")</f>
        <v/>
      </c>
      <c r="E269" s="16"/>
      <c r="F269" s="21"/>
      <c r="G269" s="16"/>
      <c r="H269" s="21"/>
      <c r="I269" s="16"/>
      <c r="J269" s="21"/>
      <c r="K269" s="38" t="str">
        <f>IF(SUM(L269,N269,P269)&gt;0,SUM(L269,N269,P269),"")</f>
        <v/>
      </c>
      <c r="L269" s="16"/>
      <c r="M269" s="21"/>
      <c r="N269" s="16"/>
      <c r="O269" s="21"/>
      <c r="P269" s="16"/>
      <c r="Q269" s="21"/>
      <c r="R269" s="38" t="str">
        <f>IF(SUM(S269,U269,W269)&gt;0,SUM(S269,U269,W269),"")</f>
        <v/>
      </c>
      <c r="S269" s="16"/>
      <c r="T269" s="21"/>
      <c r="U269" s="16"/>
      <c r="V269" s="21"/>
      <c r="W269" s="16"/>
      <c r="X269" s="21"/>
      <c r="Y269" s="38" t="str">
        <f>IF(SUM(Z269,AB269,AD269)&gt;0,SUM(Z269,AB269,AD269),"")</f>
        <v/>
      </c>
      <c r="Z269" s="16"/>
      <c r="AA269" s="21"/>
      <c r="AB269" s="16"/>
      <c r="AC269" s="21"/>
      <c r="AD269" s="16"/>
      <c r="AE269" s="21"/>
      <c r="AF269" s="38" t="str">
        <f t="shared" si="77"/>
        <v/>
      </c>
    </row>
    <row r="270" spans="1:32" s="6" customFormat="1" ht="11.65" hidden="1" outlineLevel="1" x14ac:dyDescent="0.35">
      <c r="A270" s="45"/>
      <c r="B270" s="40"/>
      <c r="C270" s="123"/>
      <c r="D270" s="61" t="str">
        <f>IF(SUM(E270,G270,I270)&gt;0,SUM(E270,G270,I270),"")</f>
        <v/>
      </c>
      <c r="E270" s="17"/>
      <c r="F270" s="73"/>
      <c r="G270" s="19"/>
      <c r="H270" s="23"/>
      <c r="I270" s="19"/>
      <c r="J270" s="31"/>
      <c r="K270" s="61" t="str">
        <f>IF(SUM(L270,N270,P270)&gt;0,SUM(L270,N270,P270),"")</f>
        <v/>
      </c>
      <c r="L270" s="19"/>
      <c r="M270" s="31"/>
      <c r="N270" s="19"/>
      <c r="O270" s="31"/>
      <c r="P270" s="19"/>
      <c r="Q270" s="31"/>
      <c r="R270" s="61" t="str">
        <f>IF(SUM(S270,U270,W270)&gt;0,SUM(S270,U270,W270),"")</f>
        <v/>
      </c>
      <c r="S270" s="19"/>
      <c r="T270" s="31"/>
      <c r="U270" s="19"/>
      <c r="V270" s="31"/>
      <c r="W270" s="19"/>
      <c r="X270" s="85"/>
      <c r="Y270" s="61">
        <f>IF(SUM(Z270,AB270,AD270)&gt;0,SUM(Z270,AB270,AD270),"")</f>
        <v>1</v>
      </c>
      <c r="Z270" s="19">
        <v>1</v>
      </c>
      <c r="AA270" s="31" t="s">
        <v>127</v>
      </c>
      <c r="AB270" s="19"/>
      <c r="AC270" s="31"/>
      <c r="AD270" s="19"/>
      <c r="AE270" s="85"/>
      <c r="AF270" s="54">
        <f t="shared" si="77"/>
        <v>1</v>
      </c>
    </row>
    <row r="271" spans="1:32" s="6" customFormat="1" ht="11.65" collapsed="1" x14ac:dyDescent="0.35">
      <c r="A271" s="44">
        <v>19</v>
      </c>
      <c r="B271" s="39" t="s">
        <v>68</v>
      </c>
      <c r="C271" s="122" t="s">
        <v>134</v>
      </c>
      <c r="D271" s="60">
        <f>IF(SUM(D272:D275)&gt;0,SUM(D272:D275),"")</f>
        <v>1</v>
      </c>
      <c r="E271" s="4" t="str">
        <f>IF(SUM(E272:E275)&gt;0,SUM(E272:E275),"")</f>
        <v/>
      </c>
      <c r="F271" s="72"/>
      <c r="G271" s="5" t="str">
        <f>IF(SUM(G272:G275)&gt;0,SUM(G272:G275),"")</f>
        <v/>
      </c>
      <c r="H271" s="72"/>
      <c r="I271" s="5">
        <f>IF(SUM(I272:I275)&gt;0,SUM(I272:I275),"")</f>
        <v>1</v>
      </c>
      <c r="J271" s="67"/>
      <c r="K271" s="60">
        <f>IF(SUM(K272:K275)&gt;0,SUM(K272:K275),"")</f>
        <v>1</v>
      </c>
      <c r="L271" s="5" t="str">
        <f>IF(SUM(L272:L275)&gt;0,SUM(L272:L275),"")</f>
        <v/>
      </c>
      <c r="M271" s="67"/>
      <c r="N271" s="5" t="str">
        <f>IF(SUM(N272:N275)&gt;0,SUM(N272:N275),"")</f>
        <v/>
      </c>
      <c r="O271" s="67"/>
      <c r="P271" s="5">
        <f>IF(SUM(P272:P275)&gt;0,SUM(P272:P275),"")</f>
        <v>1</v>
      </c>
      <c r="Q271" s="67"/>
      <c r="R271" s="60" t="str">
        <f>IF(SUM(R272:R275)&gt;0,SUM(R272:R275),"")</f>
        <v/>
      </c>
      <c r="S271" s="5" t="str">
        <f>IF(SUM(S272:S275)&gt;0,SUM(S272:S275),"")</f>
        <v/>
      </c>
      <c r="T271" s="67"/>
      <c r="U271" s="5" t="str">
        <f>IF(SUM(U272:U275)&gt;0,SUM(U272:U275),"")</f>
        <v/>
      </c>
      <c r="V271" s="84"/>
      <c r="W271" s="5" t="str">
        <f>IF(SUM(W272:W275)&gt;0,SUM(W272:W275),"")</f>
        <v/>
      </c>
      <c r="X271" s="84"/>
      <c r="Y271" s="60">
        <f>IF(SUM(Y272:Y275)&gt;0,SUM(Y272:Y275),"")</f>
        <v>1</v>
      </c>
      <c r="Z271" s="5">
        <f>IF(SUM(Z272:Z275)&gt;0,SUM(Z272:Z275),"")</f>
        <v>1</v>
      </c>
      <c r="AA271" s="84"/>
      <c r="AB271" s="5" t="str">
        <f>IF(SUM(AB272:AB275)&gt;0,SUM(AB272:AB275),"")</f>
        <v/>
      </c>
      <c r="AC271" s="84"/>
      <c r="AD271" s="5" t="str">
        <f>IF(SUM(AD272:AD275)&gt;0,SUM(AD272:AD275),"")</f>
        <v/>
      </c>
      <c r="AE271" s="84"/>
      <c r="AF271" s="49">
        <f t="shared" si="54"/>
        <v>3</v>
      </c>
    </row>
    <row r="272" spans="1:32" s="6" customFormat="1" ht="11.65" hidden="1" outlineLevel="1" x14ac:dyDescent="0.35">
      <c r="A272" s="7"/>
      <c r="B272" s="40"/>
      <c r="C272" s="123"/>
      <c r="D272" s="36">
        <f>IF(SUM(E272,G272,I272)&gt;0,SUM(E272,G272,I272),"")</f>
        <v>1</v>
      </c>
      <c r="E272" s="8"/>
      <c r="F272" s="56"/>
      <c r="G272" s="9"/>
      <c r="H272" s="56"/>
      <c r="I272" s="9">
        <v>1</v>
      </c>
      <c r="J272" s="55" t="s">
        <v>216</v>
      </c>
      <c r="K272" s="36">
        <f>IF(SUM(L272,N272,P272)&gt;0,SUM(L272,N272,P272),"")</f>
        <v>1</v>
      </c>
      <c r="L272" s="9"/>
      <c r="M272" s="55"/>
      <c r="N272" s="9"/>
      <c r="O272" s="55"/>
      <c r="P272" s="9">
        <v>1</v>
      </c>
      <c r="Q272" s="55" t="s">
        <v>339</v>
      </c>
      <c r="R272" s="36" t="str">
        <f>IF(SUM(S272,U272,W272)&gt;0,SUM(S272,U272,W272),"")</f>
        <v/>
      </c>
      <c r="S272" s="9"/>
      <c r="T272" s="55"/>
      <c r="U272" s="9"/>
      <c r="V272" s="82"/>
      <c r="W272" s="9"/>
      <c r="X272" s="82"/>
      <c r="Y272" s="36" t="str">
        <f>IF(SUM(Z272,AB272,AD272)&gt;0,SUM(Z272,AB272,AD272),"")</f>
        <v/>
      </c>
      <c r="Z272" s="9"/>
      <c r="AA272" s="82"/>
      <c r="AB272" s="9"/>
      <c r="AC272" s="82"/>
      <c r="AD272" s="9"/>
      <c r="AE272" s="82"/>
      <c r="AF272" s="36">
        <f t="shared" ref="AF272:AF275" si="78">IF(SUM(D272,K272,R272,Y272)&gt;0,SUM(D272,K272,R272,Y272),"")</f>
        <v>2</v>
      </c>
    </row>
    <row r="273" spans="1:32" s="6" customFormat="1" ht="11.65" hidden="1" outlineLevel="1" x14ac:dyDescent="0.35">
      <c r="A273" s="7"/>
      <c r="B273" s="40"/>
      <c r="C273" s="123"/>
      <c r="D273" s="37" t="str">
        <f>IF(SUM(E273,G273,I273)&gt;0,SUM(E273,G273,I273),"")</f>
        <v/>
      </c>
      <c r="E273" s="10"/>
      <c r="F273" s="63"/>
      <c r="G273" s="12"/>
      <c r="H273" s="63"/>
      <c r="I273" s="12"/>
      <c r="J273" s="33"/>
      <c r="K273" s="37" t="str">
        <f>IF(SUM(L273,N273,P273)&gt;0,SUM(L273,N273,P273),"")</f>
        <v/>
      </c>
      <c r="L273" s="12"/>
      <c r="M273" s="13"/>
      <c r="N273" s="12"/>
      <c r="O273" s="33"/>
      <c r="P273" s="12"/>
      <c r="Q273" s="33"/>
      <c r="R273" s="37" t="str">
        <f>IF(SUM(S273,U273,W273)&gt;0,SUM(S273,U273,W273),"")</f>
        <v/>
      </c>
      <c r="S273" s="12"/>
      <c r="T273" s="33"/>
      <c r="U273" s="12"/>
      <c r="V273" s="83"/>
      <c r="W273" s="12"/>
      <c r="X273" s="33"/>
      <c r="Y273" s="37" t="str">
        <f>IF(SUM(Z273,AB273,AD273)&gt;0,SUM(Z273,AB273,AD273),"")</f>
        <v/>
      </c>
      <c r="Z273" s="12"/>
      <c r="AA273" s="83"/>
      <c r="AB273" s="12"/>
      <c r="AC273" s="33"/>
      <c r="AD273" s="12"/>
      <c r="AE273" s="83"/>
      <c r="AF273" s="37" t="str">
        <f t="shared" si="78"/>
        <v/>
      </c>
    </row>
    <row r="274" spans="1:32" s="6" customFormat="1" ht="11.65" hidden="1" outlineLevel="1" x14ac:dyDescent="0.35">
      <c r="A274" s="7"/>
      <c r="B274" s="40"/>
      <c r="C274" s="123"/>
      <c r="D274" s="38" t="str">
        <f>IF(SUM(E274,G274,I274)&gt;0,SUM(E274,G274,I274),"")</f>
        <v/>
      </c>
      <c r="E274" s="16"/>
      <c r="F274" s="21"/>
      <c r="G274" s="16"/>
      <c r="H274" s="21"/>
      <c r="I274" s="16"/>
      <c r="J274" s="21"/>
      <c r="K274" s="38" t="str">
        <f>IF(SUM(L274,N274,P274)&gt;0,SUM(L274,N274,P274),"")</f>
        <v/>
      </c>
      <c r="L274" s="16"/>
      <c r="M274" s="21"/>
      <c r="N274" s="16"/>
      <c r="O274" s="21"/>
      <c r="P274" s="16"/>
      <c r="Q274" s="21"/>
      <c r="R274" s="38" t="str">
        <f>IF(SUM(S274,U274,W274)&gt;0,SUM(S274,U274,W274),"")</f>
        <v/>
      </c>
      <c r="S274" s="16"/>
      <c r="T274" s="21"/>
      <c r="U274" s="16"/>
      <c r="V274" s="21"/>
      <c r="W274" s="16"/>
      <c r="X274" s="21"/>
      <c r="Y274" s="38" t="str">
        <f>IF(SUM(Z274,AB274,AD274)&gt;0,SUM(Z274,AB274,AD274),"")</f>
        <v/>
      </c>
      <c r="Z274" s="16"/>
      <c r="AA274" s="21"/>
      <c r="AB274" s="16"/>
      <c r="AC274" s="21"/>
      <c r="AD274" s="16"/>
      <c r="AE274" s="21"/>
      <c r="AF274" s="38" t="str">
        <f t="shared" si="78"/>
        <v/>
      </c>
    </row>
    <row r="275" spans="1:32" s="6" customFormat="1" ht="11.65" hidden="1" outlineLevel="1" x14ac:dyDescent="0.35">
      <c r="A275" s="45"/>
      <c r="B275" s="40"/>
      <c r="C275" s="123"/>
      <c r="D275" s="61" t="str">
        <f>IF(SUM(E275,G275,I275)&gt;0,SUM(E275,G275,I275),"")</f>
        <v/>
      </c>
      <c r="E275" s="17"/>
      <c r="F275" s="73"/>
      <c r="G275" s="19"/>
      <c r="H275" s="23"/>
      <c r="I275" s="19"/>
      <c r="J275" s="31"/>
      <c r="K275" s="61" t="str">
        <f>IF(SUM(L275,N275,P275)&gt;0,SUM(L275,N275,P275),"")</f>
        <v/>
      </c>
      <c r="L275" s="19"/>
      <c r="M275" s="31"/>
      <c r="N275" s="19"/>
      <c r="O275" s="31"/>
      <c r="P275" s="19"/>
      <c r="Q275" s="31"/>
      <c r="R275" s="61" t="str">
        <f>IF(SUM(S275,U275,W275)&gt;0,SUM(S275,U275,W275),"")</f>
        <v/>
      </c>
      <c r="S275" s="19"/>
      <c r="T275" s="31"/>
      <c r="U275" s="19"/>
      <c r="V275" s="31"/>
      <c r="W275" s="19"/>
      <c r="X275" s="85"/>
      <c r="Y275" s="61">
        <f>IF(SUM(Z275,AB275,AD275)&gt;0,SUM(Z275,AB275,AD275),"")</f>
        <v>1</v>
      </c>
      <c r="Z275" s="19">
        <v>1</v>
      </c>
      <c r="AA275" s="31" t="s">
        <v>127</v>
      </c>
      <c r="AB275" s="19"/>
      <c r="AC275" s="31"/>
      <c r="AD275" s="19"/>
      <c r="AE275" s="85"/>
      <c r="AF275" s="54">
        <f t="shared" si="78"/>
        <v>1</v>
      </c>
    </row>
    <row r="276" spans="1:32" s="6" customFormat="1" ht="11.65" collapsed="1" x14ac:dyDescent="0.35">
      <c r="A276" s="44">
        <v>20</v>
      </c>
      <c r="B276" s="39" t="s">
        <v>62</v>
      </c>
      <c r="C276" s="122" t="s">
        <v>134</v>
      </c>
      <c r="D276" s="60" t="str">
        <f>IF(SUM(D277:D280)&gt;0,SUM(D277:D280),"")</f>
        <v/>
      </c>
      <c r="E276" s="4" t="str">
        <f>IF(SUM(E277:E280)&gt;0,SUM(E277:E280),"")</f>
        <v/>
      </c>
      <c r="F276" s="72"/>
      <c r="G276" s="5" t="str">
        <f>IF(SUM(G277:G280)&gt;0,SUM(G277:G280),"")</f>
        <v/>
      </c>
      <c r="H276" s="72"/>
      <c r="I276" s="5" t="str">
        <f>IF(SUM(I277:I280)&gt;0,SUM(I277:I280),"")</f>
        <v/>
      </c>
      <c r="J276" s="67"/>
      <c r="K276" s="60" t="str">
        <f>IF(SUM(K277:K280)&gt;0,SUM(K277:K280),"")</f>
        <v/>
      </c>
      <c r="L276" s="5" t="str">
        <f>IF(SUM(L277:L280)&gt;0,SUM(L277:L280),"")</f>
        <v/>
      </c>
      <c r="M276" s="67"/>
      <c r="N276" s="5" t="str">
        <f>IF(SUM(N277:N280)&gt;0,SUM(N277:N280),"")</f>
        <v/>
      </c>
      <c r="O276" s="67"/>
      <c r="P276" s="5" t="str">
        <f>IF(SUM(P277:P280)&gt;0,SUM(P277:P280),"")</f>
        <v/>
      </c>
      <c r="Q276" s="67"/>
      <c r="R276" s="60" t="str">
        <f>IF(SUM(R277:R280)&gt;0,SUM(R277:R280),"")</f>
        <v/>
      </c>
      <c r="S276" s="5" t="str">
        <f>IF(SUM(S277:S280)&gt;0,SUM(S277:S280),"")</f>
        <v/>
      </c>
      <c r="T276" s="67"/>
      <c r="U276" s="5" t="str">
        <f>IF(SUM(U277:U280)&gt;0,SUM(U277:U280),"")</f>
        <v/>
      </c>
      <c r="V276" s="84"/>
      <c r="W276" s="5" t="str">
        <f>IF(SUM(W277:W280)&gt;0,SUM(W277:W280),"")</f>
        <v/>
      </c>
      <c r="X276" s="84"/>
      <c r="Y276" s="60" t="str">
        <f>IF(SUM(Y277:Y280)&gt;0,SUM(Y277:Y280),"")</f>
        <v/>
      </c>
      <c r="Z276" s="5" t="str">
        <f>IF(SUM(Z277:Z280)&gt;0,SUM(Z277:Z280),"")</f>
        <v/>
      </c>
      <c r="AA276" s="84"/>
      <c r="AB276" s="5" t="str">
        <f>IF(SUM(AB277:AB280)&gt;0,SUM(AB277:AB280),"")</f>
        <v/>
      </c>
      <c r="AC276" s="84"/>
      <c r="AD276" s="5" t="str">
        <f>IF(SUM(AD277:AD280)&gt;0,SUM(AD277:AD280),"")</f>
        <v/>
      </c>
      <c r="AE276" s="84"/>
      <c r="AF276" s="49" t="str">
        <f t="shared" si="54"/>
        <v/>
      </c>
    </row>
    <row r="277" spans="1:32" s="6" customFormat="1" ht="11.65" hidden="1" outlineLevel="1" x14ac:dyDescent="0.35">
      <c r="A277" s="7"/>
      <c r="B277" s="40"/>
      <c r="C277" s="123"/>
      <c r="D277" s="36" t="str">
        <f>IF(SUM(E277,G277,I277)&gt;0,SUM(E277,G277,I277),"")</f>
        <v/>
      </c>
      <c r="E277" s="8"/>
      <c r="F277" s="74"/>
      <c r="G277" s="9"/>
      <c r="H277" s="74"/>
      <c r="I277" s="9"/>
      <c r="J277" s="55"/>
      <c r="K277" s="36" t="str">
        <f>IF(SUM(L277,N277,P277)&gt;0,SUM(L277,N277,P277),"")</f>
        <v/>
      </c>
      <c r="L277" s="9"/>
      <c r="M277" s="55"/>
      <c r="N277" s="9"/>
      <c r="O277" s="55"/>
      <c r="P277" s="9"/>
      <c r="Q277" s="55"/>
      <c r="R277" s="36" t="str">
        <f>IF(SUM(S277,U277,W277)&gt;0,SUM(S277,U277,W277),"")</f>
        <v/>
      </c>
      <c r="S277" s="9"/>
      <c r="T277" s="55"/>
      <c r="U277" s="9"/>
      <c r="V277" s="82"/>
      <c r="W277" s="9"/>
      <c r="X277" s="82"/>
      <c r="Y277" s="36" t="str">
        <f>IF(SUM(Z277,AB277,AD277)&gt;0,SUM(Z277,AB277,AD277),"")</f>
        <v/>
      </c>
      <c r="Z277" s="9"/>
      <c r="AA277" s="82"/>
      <c r="AB277" s="9"/>
      <c r="AC277" s="82"/>
      <c r="AD277" s="9"/>
      <c r="AE277" s="82"/>
      <c r="AF277" s="36" t="str">
        <f t="shared" ref="AF277:AF280" si="79">IF(SUM(D277,K277,R277,Y277)&gt;0,SUM(D277,K277,R277,Y277),"")</f>
        <v/>
      </c>
    </row>
    <row r="278" spans="1:32" s="6" customFormat="1" ht="11.65" hidden="1" outlineLevel="1" x14ac:dyDescent="0.35">
      <c r="A278" s="7"/>
      <c r="B278" s="40"/>
      <c r="C278" s="123"/>
      <c r="D278" s="37" t="str">
        <f>IF(SUM(E278,G278,I278)&gt;0,SUM(E278,G278,I278),"")</f>
        <v/>
      </c>
      <c r="E278" s="10"/>
      <c r="F278" s="63"/>
      <c r="G278" s="12"/>
      <c r="H278" s="13"/>
      <c r="I278" s="12"/>
      <c r="J278" s="13"/>
      <c r="K278" s="37" t="str">
        <f>IF(SUM(L278,N278,P278)&gt;0,SUM(L278,N278,P278),"")</f>
        <v/>
      </c>
      <c r="L278" s="12"/>
      <c r="M278" s="13"/>
      <c r="N278" s="12"/>
      <c r="O278" s="13"/>
      <c r="P278" s="12"/>
      <c r="Q278" s="33"/>
      <c r="R278" s="37" t="str">
        <f>IF(SUM(S278,U278,W278)&gt;0,SUM(S278,U278,W278),"")</f>
        <v/>
      </c>
      <c r="S278" s="12"/>
      <c r="T278" s="33"/>
      <c r="U278" s="12"/>
      <c r="V278" s="33"/>
      <c r="W278" s="12"/>
      <c r="X278" s="83"/>
      <c r="Y278" s="37" t="str">
        <f>IF(SUM(Z278,AB278,AD278)&gt;0,SUM(Z278,AB278,AD278),"")</f>
        <v/>
      </c>
      <c r="Z278" s="12"/>
      <c r="AA278" s="32"/>
      <c r="AB278" s="12"/>
      <c r="AC278" s="33"/>
      <c r="AD278" s="12"/>
      <c r="AE278" s="83"/>
      <c r="AF278" s="37" t="str">
        <f t="shared" si="79"/>
        <v/>
      </c>
    </row>
    <row r="279" spans="1:32" s="6" customFormat="1" ht="11.65" hidden="1" outlineLevel="1" x14ac:dyDescent="0.35">
      <c r="A279" s="7"/>
      <c r="B279" s="40"/>
      <c r="C279" s="123"/>
      <c r="D279" s="38" t="str">
        <f>IF(SUM(E279,G279,I279)&gt;0,SUM(E279,G279,I279),"")</f>
        <v/>
      </c>
      <c r="E279" s="16"/>
      <c r="F279" s="21"/>
      <c r="G279" s="16"/>
      <c r="H279" s="21"/>
      <c r="I279" s="16"/>
      <c r="J279" s="15"/>
      <c r="K279" s="38" t="str">
        <f>IF(SUM(L279,N279,P279)&gt;0,SUM(L279,N279,P279),"")</f>
        <v/>
      </c>
      <c r="L279" s="16"/>
      <c r="M279" s="21"/>
      <c r="N279" s="16"/>
      <c r="O279" s="21"/>
      <c r="P279" s="16"/>
      <c r="Q279" s="21"/>
      <c r="R279" s="38" t="str">
        <f>IF(SUM(S279,U279,W279)&gt;0,SUM(S279,U279,W279),"")</f>
        <v/>
      </c>
      <c r="S279" s="16"/>
      <c r="T279" s="21"/>
      <c r="U279" s="16"/>
      <c r="V279" s="21"/>
      <c r="W279" s="16"/>
      <c r="X279" s="21"/>
      <c r="Y279" s="38" t="str">
        <f>IF(SUM(Z279,AB279,AD279)&gt;0,SUM(Z279,AB279,AD279),"")</f>
        <v/>
      </c>
      <c r="Z279" s="16"/>
      <c r="AA279" s="21"/>
      <c r="AB279" s="16"/>
      <c r="AC279" s="21"/>
      <c r="AD279" s="16"/>
      <c r="AE279" s="21"/>
      <c r="AF279" s="38" t="str">
        <f t="shared" si="79"/>
        <v/>
      </c>
    </row>
    <row r="280" spans="1:32" s="6" customFormat="1" ht="11.65" hidden="1" outlineLevel="1" x14ac:dyDescent="0.35">
      <c r="A280" s="45"/>
      <c r="B280" s="40"/>
      <c r="C280" s="123"/>
      <c r="D280" s="61" t="str">
        <f>IF(SUM(E280,G280,I280)&gt;0,SUM(E280,G280,I280),"")</f>
        <v/>
      </c>
      <c r="E280" s="17"/>
      <c r="F280" s="73"/>
      <c r="G280" s="19"/>
      <c r="H280" s="23"/>
      <c r="I280" s="19"/>
      <c r="J280" s="31"/>
      <c r="K280" s="61" t="str">
        <f>IF(SUM(L280,N280,P280)&gt;0,SUM(L280,N280,P280),"")</f>
        <v/>
      </c>
      <c r="L280" s="19"/>
      <c r="M280" s="31"/>
      <c r="N280" s="19"/>
      <c r="O280" s="31"/>
      <c r="P280" s="19"/>
      <c r="Q280" s="31"/>
      <c r="R280" s="61" t="str">
        <f>IF(SUM(S280,U280,W280)&gt;0,SUM(S280,U280,W280),"")</f>
        <v/>
      </c>
      <c r="S280" s="19"/>
      <c r="T280" s="31"/>
      <c r="U280" s="19"/>
      <c r="V280" s="31"/>
      <c r="W280" s="19"/>
      <c r="X280" s="85"/>
      <c r="Y280" s="61" t="str">
        <f>IF(SUM(Z280,AB280,AD280)&gt;0,SUM(Z280,AB280,AD280),"")</f>
        <v/>
      </c>
      <c r="Z280" s="19"/>
      <c r="AA280" s="31"/>
      <c r="AB280" s="19"/>
      <c r="AC280" s="85"/>
      <c r="AD280" s="19"/>
      <c r="AE280" s="85"/>
      <c r="AF280" s="54" t="str">
        <f t="shared" si="79"/>
        <v/>
      </c>
    </row>
    <row r="281" spans="1:32" s="6" customFormat="1" ht="12" collapsed="1" thickBot="1" x14ac:dyDescent="0.4">
      <c r="A281" s="44">
        <v>21</v>
      </c>
      <c r="B281" s="39" t="s">
        <v>63</v>
      </c>
      <c r="C281" s="122" t="s">
        <v>134</v>
      </c>
      <c r="D281" s="60" t="str">
        <f>IF(SUM(D282:D285)&gt;0,SUM(D282:D285),"")</f>
        <v/>
      </c>
      <c r="E281" s="4" t="str">
        <f>IF(SUM(E282:E285)&gt;0,SUM(E282:E285),"")</f>
        <v/>
      </c>
      <c r="F281" s="72"/>
      <c r="G281" s="5" t="str">
        <f>IF(SUM(G282:G285)&gt;0,SUM(G282:G285),"")</f>
        <v/>
      </c>
      <c r="H281" s="72"/>
      <c r="I281" s="5" t="str">
        <f>IF(SUM(I282:I285)&gt;0,SUM(I282:I285),"")</f>
        <v/>
      </c>
      <c r="J281" s="67"/>
      <c r="K281" s="60" t="str">
        <f>IF(SUM(K282:K285)&gt;0,SUM(K282:K285),"")</f>
        <v/>
      </c>
      <c r="L281" s="5" t="str">
        <f>IF(SUM(L282:L285)&gt;0,SUM(L282:L285),"")</f>
        <v/>
      </c>
      <c r="M281" s="67"/>
      <c r="N281" s="5" t="str">
        <f>IF(SUM(N282:N285)&gt;0,SUM(N282:N285),"")</f>
        <v/>
      </c>
      <c r="O281" s="67"/>
      <c r="P281" s="5" t="str">
        <f>IF(SUM(P282:P285)&gt;0,SUM(P282:P285),"")</f>
        <v/>
      </c>
      <c r="Q281" s="67"/>
      <c r="R281" s="60" t="str">
        <f>IF(SUM(R282:R285)&gt;0,SUM(R282:R285),"")</f>
        <v/>
      </c>
      <c r="S281" s="5" t="str">
        <f>IF(SUM(S282:S285)&gt;0,SUM(S282:S285),"")</f>
        <v/>
      </c>
      <c r="T281" s="67"/>
      <c r="U281" s="5" t="str">
        <f>IF(SUM(U282:U285)&gt;0,SUM(U282:U285),"")</f>
        <v/>
      </c>
      <c r="V281" s="84"/>
      <c r="W281" s="5" t="str">
        <f>IF(SUM(W282:W285)&gt;0,SUM(W282:W285),"")</f>
        <v/>
      </c>
      <c r="X281" s="84"/>
      <c r="Y281" s="60">
        <f>IF(SUM(Y282:Y285)&gt;0,SUM(Y282:Y285),"")</f>
        <v>2</v>
      </c>
      <c r="Z281" s="5">
        <f>IF(SUM(Z282:Z285)&gt;0,SUM(Z282:Z285),"")</f>
        <v>2</v>
      </c>
      <c r="AA281" s="84"/>
      <c r="AB281" s="5" t="str">
        <f>IF(SUM(AB282:AB285)&gt;0,SUM(AB282:AB285),"")</f>
        <v/>
      </c>
      <c r="AC281" s="84"/>
      <c r="AD281" s="5" t="str">
        <f>IF(SUM(AD282:AD285)&gt;0,SUM(AD282:AD285),"")</f>
        <v/>
      </c>
      <c r="AE281" s="84"/>
      <c r="AF281" s="49">
        <f t="shared" si="54"/>
        <v>2</v>
      </c>
    </row>
    <row r="282" spans="1:32" s="6" customFormat="1" ht="11.65" hidden="1" outlineLevel="1" x14ac:dyDescent="0.35">
      <c r="A282" s="7"/>
      <c r="B282" s="40"/>
      <c r="C282" s="123"/>
      <c r="D282" s="36" t="str">
        <f>IF(SUM(E282,G282,I282)&gt;0,SUM(E282,G282,I282),"")</f>
        <v/>
      </c>
      <c r="E282" s="8"/>
      <c r="F282" s="74"/>
      <c r="G282" s="9"/>
      <c r="H282" s="74"/>
      <c r="I282" s="9"/>
      <c r="J282" s="55"/>
      <c r="K282" s="36" t="str">
        <f>IF(SUM(L282,N282,P282)&gt;0,SUM(L282,N282,P282),"")</f>
        <v/>
      </c>
      <c r="L282" s="9"/>
      <c r="M282" s="55"/>
      <c r="N282" s="9"/>
      <c r="O282" s="55"/>
      <c r="P282" s="9"/>
      <c r="Q282" s="55"/>
      <c r="R282" s="36" t="str">
        <f>IF(SUM(S282,U282,W282)&gt;0,SUM(S282,U282,W282),"")</f>
        <v/>
      </c>
      <c r="S282" s="9"/>
      <c r="T282" s="55"/>
      <c r="U282" s="9"/>
      <c r="V282" s="82"/>
      <c r="W282" s="9"/>
      <c r="X282" s="82"/>
      <c r="Y282" s="36" t="str">
        <f>IF(SUM(Z282,AB282,AD282)&gt;0,SUM(Z282,AB282,AD282),"")</f>
        <v/>
      </c>
      <c r="Z282" s="9"/>
      <c r="AA282" s="82"/>
      <c r="AB282" s="9"/>
      <c r="AC282" s="82"/>
      <c r="AD282" s="9"/>
      <c r="AE282" s="82"/>
      <c r="AF282" s="36" t="str">
        <f t="shared" ref="AF282:AF285" si="80">IF(SUM(D282,K282,R282,Y282)&gt;0,SUM(D282,K282,R282,Y282),"")</f>
        <v/>
      </c>
    </row>
    <row r="283" spans="1:32" s="6" customFormat="1" ht="19.5" hidden="1" outlineLevel="1" x14ac:dyDescent="0.35">
      <c r="A283" s="7"/>
      <c r="B283" s="40"/>
      <c r="C283" s="123"/>
      <c r="D283" s="37" t="str">
        <f>IF(SUM(E283,G283,I283)&gt;0,SUM(E283,G283,I283),"")</f>
        <v/>
      </c>
      <c r="E283" s="10"/>
      <c r="F283" s="63"/>
      <c r="G283" s="12"/>
      <c r="H283" s="63"/>
      <c r="I283" s="12"/>
      <c r="J283" s="33"/>
      <c r="K283" s="37" t="str">
        <f>IF(SUM(L283,N283,P283)&gt;0,SUM(L283,N283,P283),"")</f>
        <v/>
      </c>
      <c r="L283" s="12"/>
      <c r="M283" s="33"/>
      <c r="N283" s="12"/>
      <c r="O283" s="32"/>
      <c r="P283" s="12"/>
      <c r="Q283" s="33"/>
      <c r="R283" s="37" t="str">
        <f>IF(SUM(S283,U283,W283)&gt;0,SUM(S283,U283,W283),"")</f>
        <v/>
      </c>
      <c r="S283" s="12"/>
      <c r="T283" s="33"/>
      <c r="U283" s="12"/>
      <c r="V283" s="33"/>
      <c r="W283" s="12"/>
      <c r="X283" s="83"/>
      <c r="Y283" s="37">
        <f>IF(SUM(Z283,AB283,AD283)&gt;0,SUM(Z283,AB283,AD283),"")</f>
        <v>2</v>
      </c>
      <c r="Z283" s="12">
        <v>2</v>
      </c>
      <c r="AA283" s="32" t="s">
        <v>338</v>
      </c>
      <c r="AB283" s="12"/>
      <c r="AC283" s="83"/>
      <c r="AD283" s="12"/>
      <c r="AE283" s="33"/>
      <c r="AF283" s="37">
        <f t="shared" si="80"/>
        <v>2</v>
      </c>
    </row>
    <row r="284" spans="1:32" s="6" customFormat="1" ht="11.65" hidden="1" outlineLevel="1" x14ac:dyDescent="0.35">
      <c r="A284" s="7"/>
      <c r="B284" s="40"/>
      <c r="C284" s="123"/>
      <c r="D284" s="38" t="str">
        <f>IF(SUM(E284,G284,I284)&gt;0,SUM(E284,G284,I284),"")</f>
        <v/>
      </c>
      <c r="E284" s="16"/>
      <c r="F284" s="21"/>
      <c r="G284" s="16"/>
      <c r="H284" s="21"/>
      <c r="I284" s="16"/>
      <c r="J284" s="15"/>
      <c r="K284" s="38" t="str">
        <f>IF(SUM(L284,N284,P284)&gt;0,SUM(L284,N284,P284),"")</f>
        <v/>
      </c>
      <c r="L284" s="16"/>
      <c r="M284" s="21"/>
      <c r="N284" s="16"/>
      <c r="O284" s="21"/>
      <c r="P284" s="16"/>
      <c r="Q284" s="21"/>
      <c r="R284" s="38" t="str">
        <f>IF(SUM(S284,U284,W284)&gt;0,SUM(S284,U284,W284),"")</f>
        <v/>
      </c>
      <c r="S284" s="16"/>
      <c r="T284" s="21"/>
      <c r="U284" s="16"/>
      <c r="V284" s="21"/>
      <c r="W284" s="16"/>
      <c r="X284" s="21"/>
      <c r="Y284" s="38" t="str">
        <f>IF(SUM(Z284,AB284,AD284)&gt;0,SUM(Z284,AB284,AD284),"")</f>
        <v/>
      </c>
      <c r="Z284" s="16"/>
      <c r="AA284" s="15"/>
      <c r="AB284" s="16"/>
      <c r="AC284" s="21"/>
      <c r="AD284" s="16"/>
      <c r="AE284" s="21"/>
      <c r="AF284" s="38" t="str">
        <f t="shared" si="80"/>
        <v/>
      </c>
    </row>
    <row r="285" spans="1:32" s="6" customFormat="1" ht="12" hidden="1" outlineLevel="1" thickBot="1" x14ac:dyDescent="0.4">
      <c r="A285" s="45"/>
      <c r="B285" s="40"/>
      <c r="C285" s="123"/>
      <c r="D285" s="61" t="str">
        <f>IF(SUM(E285,G285,I285)&gt;0,SUM(E285,G285,I285),"")</f>
        <v/>
      </c>
      <c r="E285" s="17"/>
      <c r="F285" s="73"/>
      <c r="G285" s="19"/>
      <c r="H285" s="23"/>
      <c r="I285" s="19"/>
      <c r="J285" s="31"/>
      <c r="K285" s="61" t="str">
        <f>IF(SUM(L285,N285,P285)&gt;0,SUM(L285,N285,P285),"")</f>
        <v/>
      </c>
      <c r="L285" s="19"/>
      <c r="M285" s="31"/>
      <c r="N285" s="19"/>
      <c r="O285" s="31"/>
      <c r="P285" s="19"/>
      <c r="Q285" s="31"/>
      <c r="R285" s="61" t="str">
        <f>IF(SUM(S285,U285,W285)&gt;0,SUM(S285,U285,W285),"")</f>
        <v/>
      </c>
      <c r="S285" s="19"/>
      <c r="T285" s="31"/>
      <c r="U285" s="19"/>
      <c r="V285" s="31"/>
      <c r="W285" s="19"/>
      <c r="X285" s="85"/>
      <c r="Y285" s="61" t="str">
        <f>IF(SUM(Z285,AB285,AD285)&gt;0,SUM(Z285,AB285,AD285),"")</f>
        <v/>
      </c>
      <c r="Z285" s="19"/>
      <c r="AA285" s="31"/>
      <c r="AB285" s="19"/>
      <c r="AC285" s="85"/>
      <c r="AD285" s="19"/>
      <c r="AE285" s="85"/>
      <c r="AF285" s="54" t="str">
        <f t="shared" si="80"/>
        <v/>
      </c>
    </row>
    <row r="286" spans="1:32" x14ac:dyDescent="0.3">
      <c r="A286" s="41"/>
      <c r="B286" s="42"/>
      <c r="C286" s="42"/>
      <c r="D286" s="43"/>
      <c r="E286" s="43"/>
      <c r="F286" s="77"/>
      <c r="G286" s="43"/>
      <c r="H286" s="77"/>
      <c r="I286" s="43"/>
      <c r="J286" s="68"/>
      <c r="K286" s="43"/>
      <c r="L286" s="43"/>
      <c r="M286" s="68"/>
      <c r="N286" s="43"/>
      <c r="O286" s="68"/>
      <c r="P286" s="43"/>
      <c r="Q286" s="68"/>
      <c r="R286" s="43"/>
      <c r="S286" s="43"/>
      <c r="T286" s="68"/>
      <c r="U286" s="43"/>
      <c r="V286" s="77"/>
      <c r="W286" s="43"/>
      <c r="X286" s="77"/>
      <c r="Y286" s="43"/>
      <c r="Z286" s="43"/>
      <c r="AA286" s="77"/>
      <c r="AB286" s="43"/>
      <c r="AC286" s="77"/>
      <c r="AD286" s="43"/>
      <c r="AE286" s="77"/>
      <c r="AF286" s="43"/>
    </row>
  </sheetData>
  <pageMargins left="0" right="0" top="0" bottom="0" header="0.31496062992125984" footer="0.31496062992125984"/>
  <pageSetup paperSize="9" scale="81" fitToHeight="4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5" sqref="H5"/>
    </sheetView>
  </sheetViews>
  <sheetFormatPr defaultRowHeight="12.7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5"/>
  <sheetViews>
    <sheetView workbookViewId="0">
      <selection activeCell="N17" sqref="N17"/>
    </sheetView>
  </sheetViews>
  <sheetFormatPr defaultRowHeight="12.75" x14ac:dyDescent="0.35"/>
  <cols>
    <col min="6" max="6" width="13.73046875" customWidth="1"/>
    <col min="7" max="7" width="17.59765625" customWidth="1"/>
  </cols>
  <sheetData>
    <row r="15" spans="6:6" x14ac:dyDescent="0.35">
      <c r="F15" s="113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2025 г.</vt:lpstr>
      <vt:lpstr>Лист2</vt:lpstr>
      <vt:lpstr>Лист3</vt:lpstr>
    </vt:vector>
  </TitlesOfParts>
  <Company>МАСКОМ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Букреев</dc:creator>
  <cp:lastModifiedBy>Хохлов Александр Викторович</cp:lastModifiedBy>
  <cp:lastPrinted>2015-11-07T17:08:55Z</cp:lastPrinted>
  <dcterms:created xsi:type="dcterms:W3CDTF">2009-12-08T06:42:43Z</dcterms:created>
  <dcterms:modified xsi:type="dcterms:W3CDTF">2025-07-23T23:30:00Z</dcterms:modified>
</cp:coreProperties>
</file>