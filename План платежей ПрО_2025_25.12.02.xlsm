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olokov.as\Desktop\Макрос БДДС\"/>
    </mc:Choice>
  </mc:AlternateContent>
  <xr:revisionPtr revIDLastSave="0" documentId="13_ncr:1_{9D54CA41-8EEC-4B49-9553-CEF5BFC4A9C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Детализация" sheetId="1" r:id="rId1"/>
    <sheet name="Итого" sheetId="2" r:id="rId2"/>
    <sheet name="Лист3" sheetId="3" r:id="rId3"/>
  </sheets>
  <calcPr calcId="191029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CS578" i="1"/>
  <c r="BY582" i="1"/>
  <c r="BV582" i="1"/>
  <c r="BV576" i="1"/>
  <c r="BY576" i="1"/>
  <c r="BY577" i="1"/>
  <c r="BV577" i="1"/>
  <c r="BV584" i="1"/>
  <c r="BY584" i="1"/>
  <c r="BY583" i="1"/>
  <c r="CS575" i="1" l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/>
  <c r="CS570" i="1" l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DG565" i="1" s="1"/>
  <c r="M571" i="1"/>
  <c r="M574" i="1"/>
  <c r="M563" i="1"/>
  <c r="M582" i="1"/>
  <c r="DG582" i="1" s="1"/>
  <c r="M580" i="1"/>
  <c r="M559" i="1"/>
  <c r="M579" i="1"/>
  <c r="M570" i="1"/>
  <c r="DG570" i="1" s="1"/>
  <c r="M569" i="1"/>
  <c r="DG569" i="1" s="1"/>
  <c r="J558" i="1"/>
  <c r="DG577" i="1" l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CP481" i="1"/>
  <c r="BE482" i="1"/>
  <c r="BT482" i="1" s="1"/>
  <c r="BB482" i="1"/>
  <c r="DM481" i="1" l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DG356" i="1" s="1"/>
  <c r="M357" i="1"/>
  <c r="AG356" i="1"/>
  <c r="AG357" i="1"/>
  <c r="CM187" i="1"/>
  <c r="M606" i="1"/>
  <c r="M554" i="1"/>
  <c r="CM125" i="1"/>
  <c r="CM49" i="1"/>
  <c r="N49" i="1"/>
  <c r="CM48" i="1"/>
  <c r="N48" i="1"/>
  <c r="DG357" i="1" l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DG536" i="1" s="1"/>
  <c r="M535" i="1"/>
  <c r="M553" i="1"/>
  <c r="Q461" i="1"/>
  <c r="AF461" i="1" s="1"/>
  <c r="N461" i="1"/>
  <c r="Q460" i="1"/>
  <c r="AF460" i="1" s="1"/>
  <c r="N460" i="1"/>
  <c r="N99" i="1"/>
  <c r="DG542" i="1" l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DH356" i="1"/>
  <c r="CN357" i="1"/>
  <c r="CS357" i="1" s="1"/>
  <c r="DH357" i="1"/>
  <c r="CP357" i="1"/>
  <c r="CS356" i="1"/>
  <c r="CP356" i="1"/>
  <c r="AK455" i="1"/>
  <c r="AZ455" i="1" s="1"/>
  <c r="BE455" i="1" s="1"/>
  <c r="BT455" i="1" s="1"/>
  <c r="AH455" i="1"/>
  <c r="AH456" i="1"/>
  <c r="BE456" i="1"/>
  <c r="BT456" i="1" s="1"/>
  <c r="BB456" i="1"/>
  <c r="DM357" i="1" l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/>
  <c r="CS455" i="1" l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CS209" i="1"/>
  <c r="BE458" i="1"/>
  <c r="BT458" i="1" s="1"/>
  <c r="BB458" i="1"/>
  <c r="AJ376" i="1"/>
  <c r="DM208" i="1" l="1"/>
  <c r="DJ208" i="1"/>
  <c r="CN204" i="1"/>
  <c r="CP204" i="1" s="1"/>
  <c r="DH204" i="1"/>
  <c r="DM209" i="1"/>
  <c r="DJ209" i="1"/>
  <c r="CS208" i="1"/>
  <c r="CS204" i="1"/>
  <c r="BY458" i="1"/>
  <c r="BV458" i="1"/>
  <c r="DM204" i="1" l="1"/>
  <c r="DJ204" i="1"/>
  <c r="CN458" i="1"/>
  <c r="CS458" i="1" s="1"/>
  <c r="DH458" i="1"/>
  <c r="CP458" i="1"/>
  <c r="DM458" i="1" l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CS221" i="1"/>
  <c r="BY235" i="1"/>
  <c r="P169" i="1"/>
  <c r="CN216" i="1" l="1"/>
  <c r="CS216" i="1" s="1"/>
  <c r="DH216" i="1"/>
  <c r="CN219" i="1"/>
  <c r="CS219" i="1" s="1"/>
  <c r="DH219" i="1"/>
  <c r="CN224" i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DH222" i="1"/>
  <c r="AK16" i="1"/>
  <c r="AH16" i="1"/>
  <c r="CS222" i="1"/>
  <c r="BY217" i="1"/>
  <c r="CS224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DH229" i="1"/>
  <c r="BE317" i="1"/>
  <c r="BT317" i="1" s="1"/>
  <c r="BY317" i="1" s="1"/>
  <c r="CS229" i="1"/>
  <c r="CP229" i="1"/>
  <c r="CN317" i="1" l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/>
  <c r="CS314" i="1" l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CP329" i="1"/>
  <c r="CS329" i="1"/>
  <c r="M288" i="1"/>
  <c r="CP330" i="1" l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CP234" i="1"/>
  <c r="CP233" i="1"/>
  <c r="N354" i="1"/>
  <c r="CP228" i="1" l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CM223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4" i="1" l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CS29" i="1"/>
  <c r="CP29" i="1"/>
  <c r="AH336" i="1"/>
  <c r="CN36" i="1" l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CS160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P155" i="1" l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CP393" i="1"/>
  <c r="CS393" i="1"/>
  <c r="BV416" i="1"/>
  <c r="BY416" i="1"/>
  <c r="BV420" i="1"/>
  <c r="BY420" i="1"/>
  <c r="CS403" i="1" l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DH189" i="1"/>
  <c r="BE478" i="1"/>
  <c r="BT478" i="1" s="1"/>
  <c r="BB478" i="1"/>
  <c r="CS189" i="1"/>
  <c r="CP189" i="1"/>
  <c r="AF237" i="1"/>
  <c r="DM189" i="1" l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CP214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S151" i="1" l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CS438" i="1"/>
  <c r="CP438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S242" i="1" l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CS516" i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7" i="1" l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CS71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3" i="1" l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DH358" i="1"/>
  <c r="AK264" i="1"/>
  <c r="AZ264" i="1" s="1"/>
  <c r="AH264" i="1"/>
  <c r="AH66" i="1"/>
  <c r="AK66" i="1"/>
  <c r="AZ66" i="1" s="1"/>
  <c r="BY487" i="1"/>
  <c r="BV487" i="1"/>
  <c r="BY496" i="1"/>
  <c r="BV496" i="1"/>
  <c r="CS358" i="1"/>
  <c r="CP358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N492" i="1" l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192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592" i="1" l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DH495" i="1"/>
  <c r="AK12" i="1"/>
  <c r="AZ12" i="1" s="1"/>
  <c r="AH12" i="1"/>
  <c r="BY479" i="1"/>
  <c r="BV479" i="1"/>
  <c r="BY494" i="1"/>
  <c r="BV494" i="1"/>
  <c r="BY480" i="1"/>
  <c r="BV480" i="1"/>
  <c r="CP495" i="1"/>
  <c r="CS495" i="1"/>
  <c r="Q13" i="1"/>
  <c r="AF13" i="1" s="1"/>
  <c r="N13" i="1"/>
  <c r="CN494" i="1" l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Молоков Александр Сергеевич</author>
    <author>Бизюлев Александр Николаевич</author>
    <author>alatortsev</author>
  </authors>
  <commentList>
    <comment ref="BT7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<sst xmlns="http://schemas.openxmlformats.org/spreadsheetml/2006/main" count="2155" uniqueCount="995">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</sst>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5" borderId="0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6" borderId="0" xfId="0" applyFill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00000000-0005-0000-0000-000001000000}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DM643"/>
  <sheetViews>
    <sheetView tabSelected="1" zoomScale="70" zoomScaleNormal="70" workbookViewId="0">
      <pane xSplit="10" ySplit="3" topLeftCell="BD4" activePane="bottomRight" state="frozen"/>
      <selection pane="topRight" activeCell="I1" sqref="I1"/>
      <selection pane="bottomLeft" activeCell="A4" sqref="A4"/>
      <selection pane="bottomRight" activeCell="CR19" sqref="CR19"/>
    </sheetView>
  </sheetViews>
  <sheetFormatPr defaultRowHeight="14.4" outlineLevelRow="1" outlineLevelCol="2" x14ac:dyDescent="0.3"/>
  <cols>
    <col min="1" max="1" width="6.5546875" style="1" customWidth="1"/>
    <col min="2" max="2" width="40.6640625" bestFit="1" customWidth="1"/>
    <col min="3" max="3" width="8.88671875" style="1" hidden="1" customWidth="1" outlineLevel="1"/>
    <col min="4" max="4" width="20.5546875" hidden="1" customWidth="1" outlineLevel="1"/>
    <col min="5" max="5" width="2.77734375" customWidth="1" collapsed="1"/>
    <col min="6" max="6" width="10.88671875" style="341" hidden="1" customWidth="1" outlineLevel="1"/>
    <col min="7" max="7" width="30.6640625" hidden="1" customWidth="1" outlineLevel="1"/>
    <col min="8" max="8" width="10.88671875" style="1" hidden="1" customWidth="1" outlineLevel="1"/>
    <col min="9" max="9" width="2.77734375" style="1" customWidth="1" collapsed="1"/>
    <col min="10" max="11" width="10.88671875" style="1" customWidth="1"/>
    <col min="12" max="17" width="9.6640625" style="1" customWidth="1"/>
    <col min="18" max="19" width="13.44140625" style="4" hidden="1" customWidth="1" outlineLevel="2"/>
    <col min="20" max="20" width="27" style="1" hidden="1" customWidth="1" outlineLevel="2"/>
    <col min="21" max="21" width="2.77734375" style="1" hidden="1" customWidth="1" outlineLevel="1"/>
    <col min="22" max="23" width="13.44140625" style="4" hidden="1" customWidth="1" outlineLevel="2"/>
    <col min="24" max="24" width="25.6640625" style="1" hidden="1" customWidth="1" outlineLevel="2"/>
    <col min="25" max="25" width="2.77734375" style="1" hidden="1" customWidth="1" outlineLevel="1"/>
    <col min="26" max="27" width="13.44140625" style="4" hidden="1" customWidth="1" outlineLevel="2"/>
    <col min="28" max="28" width="25.6640625" style="1" hidden="1" customWidth="1" outlineLevel="2"/>
    <col min="29" max="29" width="2.77734375" style="1" hidden="1" customWidth="1" outlineLevel="1"/>
    <col min="30" max="30" width="2.77734375" style="1" customWidth="1" collapsed="1"/>
    <col min="31" max="31" width="10.88671875" style="1" customWidth="1"/>
    <col min="32" max="37" width="9.6640625" style="1" customWidth="1"/>
    <col min="38" max="39" width="13.44140625" style="4" hidden="1" customWidth="1" outlineLevel="2"/>
    <col min="40" max="40" width="27" style="1" hidden="1" customWidth="1" outlineLevel="2"/>
    <col min="41" max="41" width="2.77734375" style="1" hidden="1" customWidth="1" outlineLevel="1"/>
    <col min="42" max="43" width="13.44140625" style="4" hidden="1" customWidth="1" outlineLevel="2"/>
    <col min="44" max="44" width="25.6640625" style="1" hidden="1" customWidth="1" outlineLevel="2"/>
    <col min="45" max="45" width="2.77734375" style="1" hidden="1" customWidth="1" outlineLevel="1"/>
    <col min="46" max="47" width="13.44140625" style="4" hidden="1" customWidth="1" outlineLevel="2"/>
    <col min="48" max="48" width="25.6640625" style="1" hidden="1" customWidth="1" outlineLevel="2"/>
    <col min="49" max="49" width="2.77734375" style="1" hidden="1" customWidth="1" outlineLevel="1"/>
    <col min="50" max="50" width="2.77734375" style="1" customWidth="1" collapsed="1"/>
    <col min="51" max="51" width="10.88671875" style="1" customWidth="1"/>
    <col min="52" max="57" width="9.6640625" style="1" customWidth="1"/>
    <col min="58" max="59" width="13.44140625" style="4" hidden="1" customWidth="1" outlineLevel="2"/>
    <col min="60" max="60" width="27" style="1" hidden="1" customWidth="1" outlineLevel="2"/>
    <col min="61" max="61" width="2.77734375" style="1" hidden="1" customWidth="1" outlineLevel="1"/>
    <col min="62" max="63" width="13.44140625" style="4" hidden="1" customWidth="1" outlineLevel="2"/>
    <col min="64" max="64" width="25.6640625" style="1" hidden="1" customWidth="1" outlineLevel="2"/>
    <col min="65" max="65" width="2.77734375" style="1" hidden="1" customWidth="1" outlineLevel="1"/>
    <col min="66" max="67" width="13.44140625" style="4" hidden="1" customWidth="1" outlineLevel="2"/>
    <col min="68" max="68" width="25.6640625" style="1" hidden="1" customWidth="1" outlineLevel="2"/>
    <col min="69" max="69" width="2.77734375" style="1" hidden="1" customWidth="1" outlineLevel="1"/>
    <col min="70" max="70" width="2.77734375" style="1" customWidth="1" collapsed="1"/>
    <col min="71" max="71" width="10.88671875" style="1" customWidth="1"/>
    <col min="72" max="77" width="9.6640625" style="1" customWidth="1"/>
    <col min="78" max="79" width="13.44140625" style="4" hidden="1" customWidth="1" outlineLevel="2"/>
    <col min="80" max="80" width="27" style="1" hidden="1" customWidth="1" outlineLevel="2"/>
    <col min="81" max="81" width="2.77734375" style="1" hidden="1" customWidth="1" outlineLevel="1"/>
    <col min="82" max="83" width="13.44140625" style="4" hidden="1" customWidth="1" outlineLevel="2"/>
    <col min="84" max="84" width="25.6640625" style="1" hidden="1" customWidth="1" outlineLevel="2"/>
    <col min="85" max="85" width="2.77734375" style="1" hidden="1" customWidth="1" outlineLevel="1"/>
    <col min="86" max="87" width="13.44140625" style="4" hidden="1" customWidth="1" outlineLevel="2"/>
    <col min="88" max="88" width="25.6640625" style="1" hidden="1" customWidth="1" outlineLevel="2"/>
    <col min="89" max="89" width="2.77734375" style="1" hidden="1" customWidth="1" outlineLevel="1"/>
    <col min="90" max="90" width="2.77734375" style="1" customWidth="1" collapsed="1"/>
    <col min="91" max="91" width="10.88671875" style="1" customWidth="1"/>
    <col min="92" max="97" width="9.6640625" style="1" customWidth="1"/>
    <col min="98" max="99" width="13.44140625" style="4" hidden="1" customWidth="1" outlineLevel="2"/>
    <col min="100" max="100" width="27" style="1" hidden="1" customWidth="1" outlineLevel="2"/>
    <col min="101" max="101" width="2.77734375" style="1" hidden="1" customWidth="1" outlineLevel="1"/>
    <col min="102" max="103" width="13.44140625" style="4" hidden="1" customWidth="1" outlineLevel="2"/>
    <col min="104" max="104" width="25.6640625" style="1" hidden="1" customWidth="1" outlineLevel="2"/>
    <col min="105" max="105" width="2.77734375" style="1" hidden="1" customWidth="1" outlineLevel="1"/>
    <col min="106" max="107" width="13.44140625" style="4" hidden="1" customWidth="1" outlineLevel="2"/>
    <col min="108" max="108" width="25.6640625" style="1" hidden="1" customWidth="1" outlineLevel="2"/>
    <col min="109" max="109" width="2.77734375" style="1" hidden="1" customWidth="1" outlineLevel="1"/>
    <col min="110" max="110" width="2.77734375" style="1" customWidth="1" collapsed="1"/>
    <col min="111" max="111" width="10.88671875" style="1" customWidth="1"/>
    <col min="112" max="117" width="9.6640625" style="1" customWidth="1"/>
  </cols>
  <sheetData>
    <row r="1" spans="1:117" ht="15" thickBot="1" x14ac:dyDescent="0.35">
      <c r="K1" s="529"/>
      <c r="L1" s="389"/>
      <c r="M1" s="389"/>
      <c r="N1" s="389"/>
      <c r="O1" s="389"/>
      <c r="P1" s="389"/>
      <c r="Q1" s="389"/>
      <c r="R1" s="713" t="s">
        <v>644</v>
      </c>
      <c r="S1" s="713"/>
      <c r="T1" s="713"/>
      <c r="U1" s="713"/>
      <c r="V1" s="713"/>
      <c r="W1" s="713"/>
      <c r="X1" s="713"/>
      <c r="Y1" s="713"/>
      <c r="Z1" s="713"/>
      <c r="AA1" s="713"/>
      <c r="AB1" s="714"/>
      <c r="AC1" s="757"/>
      <c r="AD1" s="757"/>
      <c r="AF1" s="389"/>
      <c r="AG1" s="389"/>
      <c r="AH1" s="389"/>
      <c r="AI1" s="389"/>
      <c r="AJ1" s="389"/>
      <c r="AK1" s="389"/>
      <c r="AL1" s="713" t="s">
        <v>690</v>
      </c>
      <c r="AM1" s="713"/>
      <c r="AN1" s="713"/>
      <c r="AO1" s="713"/>
      <c r="AP1" s="713"/>
      <c r="AQ1" s="713"/>
      <c r="AR1" s="713"/>
      <c r="AS1" s="713"/>
      <c r="AT1" s="713"/>
      <c r="AU1" s="713"/>
      <c r="AV1" s="714"/>
      <c r="AW1" s="757"/>
      <c r="AX1" s="757"/>
      <c r="AZ1" s="389"/>
      <c r="BA1" s="389"/>
      <c r="BB1" s="389"/>
      <c r="BC1" s="389"/>
      <c r="BD1" s="389"/>
      <c r="BE1" s="389"/>
      <c r="BF1" s="713" t="s">
        <v>691</v>
      </c>
      <c r="BG1" s="713"/>
      <c r="BH1" s="713"/>
      <c r="BI1" s="713"/>
      <c r="BJ1" s="713"/>
      <c r="BK1" s="713"/>
      <c r="BL1" s="713"/>
      <c r="BM1" s="713"/>
      <c r="BN1" s="713"/>
      <c r="BO1" s="713"/>
      <c r="BP1" s="714"/>
      <c r="BQ1" s="757"/>
      <c r="BR1" s="757"/>
      <c r="BT1" s="389"/>
      <c r="BU1" s="389"/>
      <c r="BV1" s="389"/>
      <c r="BW1" s="389"/>
      <c r="BX1" s="389"/>
      <c r="BY1" s="389"/>
      <c r="BZ1" s="713" t="s">
        <v>692</v>
      </c>
      <c r="CA1" s="713"/>
      <c r="CB1" s="713"/>
      <c r="CC1" s="713"/>
      <c r="CD1" s="713"/>
      <c r="CE1" s="713"/>
      <c r="CF1" s="713"/>
      <c r="CG1" s="713"/>
      <c r="CH1" s="713"/>
      <c r="CI1" s="713"/>
      <c r="CJ1" s="714"/>
      <c r="CK1" s="757"/>
      <c r="CL1" s="757"/>
      <c r="CN1" s="389"/>
      <c r="CO1" s="389"/>
      <c r="CP1" s="389"/>
      <c r="CQ1" s="389"/>
      <c r="CR1" s="389"/>
      <c r="CS1" s="389"/>
      <c r="CT1" s="713" t="s">
        <v>693</v>
      </c>
      <c r="CU1" s="713"/>
      <c r="CV1" s="713"/>
      <c r="CW1" s="713"/>
      <c r="CX1" s="713"/>
      <c r="CY1" s="713"/>
      <c r="CZ1" s="713"/>
      <c r="DA1" s="713"/>
      <c r="DB1" s="713"/>
      <c r="DC1" s="713"/>
      <c r="DD1" s="714"/>
      <c r="DE1" s="757"/>
      <c r="DF1" s="757"/>
      <c r="DH1" s="389"/>
      <c r="DI1" s="389"/>
      <c r="DJ1" s="389"/>
      <c r="DK1" s="389"/>
      <c r="DL1" s="389"/>
      <c r="DM1" s="389"/>
    </row>
    <row r="2" spans="1:117" ht="15.75" customHeight="1" thickBot="1" x14ac:dyDescent="0.35">
      <c r="C2" s="789" t="s">
        <v>989</v>
      </c>
      <c r="D2" s="790"/>
      <c r="E2" s="791" t="s">
        <v>987</v>
      </c>
      <c r="F2" s="782" t="s">
        <v>990</v>
      </c>
      <c r="G2" s="783"/>
      <c r="H2" s="784"/>
      <c r="I2" s="793" t="s">
        <v>988</v>
      </c>
      <c r="J2" s="778" t="s">
        <v>158</v>
      </c>
      <c r="K2" s="400" t="s">
        <v>158</v>
      </c>
      <c r="L2" s="715" t="s">
        <v>644</v>
      </c>
      <c r="M2" s="716"/>
      <c r="N2" s="716"/>
      <c r="O2" s="716"/>
      <c r="P2" s="716"/>
      <c r="Q2" s="717"/>
      <c r="R2" s="718" t="s">
        <v>143</v>
      </c>
      <c r="S2" s="719"/>
      <c r="T2" s="720"/>
      <c r="U2" s="791" t="s">
        <v>143</v>
      </c>
      <c r="V2" s="718" t="s">
        <v>144</v>
      </c>
      <c r="W2" s="719"/>
      <c r="X2" s="720"/>
      <c r="Y2" s="791" t="s">
        <v>144</v>
      </c>
      <c r="Z2" s="718" t="s">
        <v>145</v>
      </c>
      <c r="AA2" s="719"/>
      <c r="AB2" s="720"/>
      <c r="AC2" s="791" t="s">
        <v>145</v>
      </c>
      <c r="AD2" s="791" t="s">
        <v>991</v>
      </c>
      <c r="AE2" s="400" t="s">
        <v>158</v>
      </c>
      <c r="AF2" s="715" t="s">
        <v>690</v>
      </c>
      <c r="AG2" s="716"/>
      <c r="AH2" s="716"/>
      <c r="AI2" s="716"/>
      <c r="AJ2" s="716"/>
      <c r="AK2" s="717"/>
      <c r="AL2" s="718" t="s">
        <v>12</v>
      </c>
      <c r="AM2" s="719"/>
      <c r="AN2" s="720"/>
      <c r="AO2" s="791" t="s">
        <v>12</v>
      </c>
      <c r="AP2" s="718" t="s">
        <v>13</v>
      </c>
      <c r="AQ2" s="719"/>
      <c r="AR2" s="720"/>
      <c r="AS2" s="791" t="s">
        <v>13</v>
      </c>
      <c r="AT2" s="718" t="s">
        <v>14</v>
      </c>
      <c r="AU2" s="719"/>
      <c r="AV2" s="720"/>
      <c r="AW2" s="791" t="s">
        <v>14</v>
      </c>
      <c r="AX2" s="791" t="s">
        <v>994</v>
      </c>
      <c r="AY2" s="400" t="s">
        <v>158</v>
      </c>
      <c r="AZ2" s="715" t="s">
        <v>691</v>
      </c>
      <c r="BA2" s="716"/>
      <c r="BB2" s="716"/>
      <c r="BC2" s="716"/>
      <c r="BD2" s="716"/>
      <c r="BE2" s="717"/>
      <c r="BF2" s="718" t="s">
        <v>159</v>
      </c>
      <c r="BG2" s="719"/>
      <c r="BH2" s="720"/>
      <c r="BI2" s="791" t="s">
        <v>159</v>
      </c>
      <c r="BJ2" s="718" t="s">
        <v>162</v>
      </c>
      <c r="BK2" s="719"/>
      <c r="BL2" s="720"/>
      <c r="BM2" s="791" t="s">
        <v>162</v>
      </c>
      <c r="BN2" s="718" t="s">
        <v>163</v>
      </c>
      <c r="BO2" s="719"/>
      <c r="BP2" s="720"/>
      <c r="BQ2" s="791" t="s">
        <v>163</v>
      </c>
      <c r="BR2" s="791" t="s">
        <v>993</v>
      </c>
      <c r="BS2" s="400" t="s">
        <v>158</v>
      </c>
      <c r="BT2" s="715" t="s">
        <v>692</v>
      </c>
      <c r="BU2" s="716"/>
      <c r="BV2" s="716"/>
      <c r="BW2" s="716"/>
      <c r="BX2" s="716"/>
      <c r="BY2" s="717"/>
      <c r="BZ2" s="718" t="s">
        <v>164</v>
      </c>
      <c r="CA2" s="719"/>
      <c r="CB2" s="720"/>
      <c r="CC2" s="791" t="s">
        <v>164</v>
      </c>
      <c r="CD2" s="718" t="s">
        <v>166</v>
      </c>
      <c r="CE2" s="719"/>
      <c r="CF2" s="720"/>
      <c r="CG2" s="791" t="s">
        <v>166</v>
      </c>
      <c r="CH2" s="718" t="s">
        <v>167</v>
      </c>
      <c r="CI2" s="719"/>
      <c r="CJ2" s="720"/>
      <c r="CK2" s="791" t="s">
        <v>167</v>
      </c>
      <c r="CL2" s="791" t="s">
        <v>992</v>
      </c>
      <c r="CM2" s="400" t="s">
        <v>158</v>
      </c>
      <c r="CN2" s="715" t="s">
        <v>693</v>
      </c>
      <c r="CO2" s="716"/>
      <c r="CP2" s="716"/>
      <c r="CQ2" s="716"/>
      <c r="CR2" s="716"/>
      <c r="CS2" s="717"/>
      <c r="CT2" s="718" t="s">
        <v>143</v>
      </c>
      <c r="CU2" s="719"/>
      <c r="CV2" s="720"/>
      <c r="CW2" s="791" t="s">
        <v>143</v>
      </c>
      <c r="CX2" s="718" t="s">
        <v>144</v>
      </c>
      <c r="CY2" s="719"/>
      <c r="CZ2" s="720"/>
      <c r="DA2" s="791" t="s">
        <v>144</v>
      </c>
      <c r="DB2" s="718" t="s">
        <v>145</v>
      </c>
      <c r="DC2" s="719"/>
      <c r="DD2" s="720"/>
      <c r="DE2" s="791" t="s">
        <v>145</v>
      </c>
      <c r="DF2" s="791" t="s">
        <v>991</v>
      </c>
      <c r="DG2" s="400" t="s">
        <v>158</v>
      </c>
      <c r="DH2" s="708">
        <v>2026</v>
      </c>
      <c r="DI2" s="709"/>
      <c r="DJ2" s="709"/>
      <c r="DK2" s="709"/>
      <c r="DL2" s="709"/>
      <c r="DM2" s="710"/>
    </row>
    <row r="3" spans="1:117" s="2" customFormat="1" ht="29.4" thickBot="1" x14ac:dyDescent="0.35">
      <c r="A3" s="9" t="s">
        <v>0</v>
      </c>
      <c r="B3" s="9" t="s">
        <v>1</v>
      </c>
      <c r="C3" s="788" t="s">
        <v>2</v>
      </c>
      <c r="D3" s="780" t="s">
        <v>3</v>
      </c>
      <c r="E3" s="792"/>
      <c r="F3" s="779" t="s">
        <v>4</v>
      </c>
      <c r="G3" s="780" t="s">
        <v>1</v>
      </c>
      <c r="H3" s="781" t="s">
        <v>9</v>
      </c>
      <c r="I3" s="794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792"/>
      <c r="V3" s="114" t="s">
        <v>340</v>
      </c>
      <c r="W3" s="115" t="s">
        <v>366</v>
      </c>
      <c r="X3" s="33" t="s">
        <v>7</v>
      </c>
      <c r="Y3" s="792"/>
      <c r="Z3" s="116" t="s">
        <v>340</v>
      </c>
      <c r="AA3" s="115" t="s">
        <v>366</v>
      </c>
      <c r="AB3" s="33" t="s">
        <v>7</v>
      </c>
      <c r="AC3" s="792"/>
      <c r="AD3" s="792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792"/>
      <c r="AP3" s="114" t="s">
        <v>340</v>
      </c>
      <c r="AQ3" s="115" t="s">
        <v>366</v>
      </c>
      <c r="AR3" s="33" t="s">
        <v>7</v>
      </c>
      <c r="AS3" s="792"/>
      <c r="AT3" s="116" t="s">
        <v>340</v>
      </c>
      <c r="AU3" s="115" t="s">
        <v>366</v>
      </c>
      <c r="AV3" s="33" t="s">
        <v>7</v>
      </c>
      <c r="AW3" s="792"/>
      <c r="AX3" s="792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792"/>
      <c r="BJ3" s="114" t="s">
        <v>340</v>
      </c>
      <c r="BK3" s="115" t="s">
        <v>366</v>
      </c>
      <c r="BL3" s="33" t="s">
        <v>7</v>
      </c>
      <c r="BM3" s="792"/>
      <c r="BN3" s="116" t="s">
        <v>340</v>
      </c>
      <c r="BO3" s="115" t="s">
        <v>366</v>
      </c>
      <c r="BP3" s="33" t="s">
        <v>7</v>
      </c>
      <c r="BQ3" s="792"/>
      <c r="BR3" s="792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792"/>
      <c r="CD3" s="114" t="s">
        <v>340</v>
      </c>
      <c r="CE3" s="115" t="s">
        <v>366</v>
      </c>
      <c r="CF3" s="33" t="s">
        <v>7</v>
      </c>
      <c r="CG3" s="792"/>
      <c r="CH3" s="116" t="s">
        <v>340</v>
      </c>
      <c r="CI3" s="115" t="s">
        <v>366</v>
      </c>
      <c r="CJ3" s="33" t="s">
        <v>7</v>
      </c>
      <c r="CK3" s="792"/>
      <c r="CL3" s="792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792"/>
      <c r="CX3" s="114" t="s">
        <v>340</v>
      </c>
      <c r="CY3" s="115" t="s">
        <v>366</v>
      </c>
      <c r="CZ3" s="33" t="s">
        <v>7</v>
      </c>
      <c r="DA3" s="792"/>
      <c r="DB3" s="116" t="s">
        <v>340</v>
      </c>
      <c r="DC3" s="115" t="s">
        <v>366</v>
      </c>
      <c r="DD3" s="33" t="s">
        <v>7</v>
      </c>
      <c r="DE3" s="792"/>
      <c r="DF3" s="792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" thickBot="1" x14ac:dyDescent="0.35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729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729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729"/>
      <c r="AD4" s="729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729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729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729"/>
      <c r="AX4" s="729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729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729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729"/>
      <c r="BR4" s="729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729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729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729"/>
      <c r="CL4" s="729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729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729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729"/>
      <c r="DF4" s="729"/>
      <c r="DG4" s="40"/>
      <c r="DH4" s="97"/>
      <c r="DI4" s="98"/>
      <c r="DJ4" s="98"/>
      <c r="DK4" s="98"/>
      <c r="DL4" s="98"/>
      <c r="DM4" s="237"/>
    </row>
    <row r="5" spans="1:117" x14ac:dyDescent="0.3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collapsed="1" x14ac:dyDescent="0.3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30"/>
      <c r="V6" s="310"/>
      <c r="W6" s="210"/>
      <c r="X6" s="216"/>
      <c r="Y6" s="730"/>
      <c r="Z6" s="236"/>
      <c r="AA6" s="210"/>
      <c r="AB6" s="216"/>
      <c r="AC6" s="739"/>
      <c r="AD6" s="739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34"/>
      <c r="AP6" s="215"/>
      <c r="AQ6" s="199"/>
      <c r="AR6" s="148"/>
      <c r="AS6" s="734"/>
      <c r="AT6" s="21"/>
      <c r="AU6" s="6"/>
      <c r="AV6" s="35"/>
      <c r="AW6" s="736"/>
      <c r="AX6" s="736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34"/>
      <c r="BJ6" s="215"/>
      <c r="BK6" s="199"/>
      <c r="BL6" s="148"/>
      <c r="BM6" s="734"/>
      <c r="BN6" s="21"/>
      <c r="BO6" s="6"/>
      <c r="BP6" s="35"/>
      <c r="BQ6" s="736"/>
      <c r="BR6" s="736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34"/>
      <c r="CD6" s="215"/>
      <c r="CE6" s="199"/>
      <c r="CF6" s="148"/>
      <c r="CG6" s="734"/>
      <c r="CH6" s="21"/>
      <c r="CI6" s="6"/>
      <c r="CJ6" s="35"/>
      <c r="CK6" s="736"/>
      <c r="CL6" s="736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34"/>
      <c r="CX6" s="215"/>
      <c r="CY6" s="199"/>
      <c r="CZ6" s="148"/>
      <c r="DA6" s="734"/>
      <c r="DB6" s="21"/>
      <c r="DC6" s="6"/>
      <c r="DD6" s="35"/>
      <c r="DE6" s="736"/>
      <c r="DF6" s="736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" hidden="1" customHeight="1" outlineLevel="1" x14ac:dyDescent="0.3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30"/>
      <c r="V7" s="236"/>
      <c r="W7" s="210"/>
      <c r="X7" s="216"/>
      <c r="Y7" s="730"/>
      <c r="Z7" s="236"/>
      <c r="AA7" s="210"/>
      <c r="AB7" s="216"/>
      <c r="AC7" s="739"/>
      <c r="AD7" s="739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34"/>
      <c r="AP7" s="235"/>
      <c r="AQ7" s="199"/>
      <c r="AR7" s="148"/>
      <c r="AS7" s="734"/>
      <c r="AT7" s="21"/>
      <c r="AU7" s="6"/>
      <c r="AV7" s="35"/>
      <c r="AW7" s="736"/>
      <c r="AX7" s="736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34"/>
      <c r="BJ7" s="235"/>
      <c r="BK7" s="199"/>
      <c r="BL7" s="148"/>
      <c r="BM7" s="734"/>
      <c r="BN7" s="21"/>
      <c r="BO7" s="6"/>
      <c r="BP7" s="35"/>
      <c r="BQ7" s="736"/>
      <c r="BR7" s="736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34"/>
      <c r="CD7" s="235"/>
      <c r="CE7" s="199"/>
      <c r="CF7" s="148"/>
      <c r="CG7" s="734"/>
      <c r="CH7" s="21"/>
      <c r="CI7" s="6"/>
      <c r="CJ7" s="35"/>
      <c r="CK7" s="736"/>
      <c r="CL7" s="736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34"/>
      <c r="CX7" s="235"/>
      <c r="CY7" s="199"/>
      <c r="CZ7" s="148"/>
      <c r="DA7" s="734"/>
      <c r="DB7" s="21"/>
      <c r="DC7" s="6"/>
      <c r="DD7" s="35"/>
      <c r="DE7" s="736"/>
      <c r="DF7" s="736"/>
      <c r="DG7" s="394"/>
      <c r="DH7" s="29"/>
      <c r="DI7" s="298"/>
      <c r="DJ7" s="5"/>
      <c r="DK7" s="240"/>
      <c r="DL7" s="303"/>
      <c r="DM7" s="231"/>
    </row>
    <row r="8" spans="1:117" ht="14.4" hidden="1" customHeight="1" outlineLevel="1" x14ac:dyDescent="0.3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30"/>
      <c r="V8" s="236"/>
      <c r="W8" s="210"/>
      <c r="X8" s="216"/>
      <c r="Y8" s="730"/>
      <c r="Z8" s="236"/>
      <c r="AA8" s="210"/>
      <c r="AB8" s="216"/>
      <c r="AC8" s="739"/>
      <c r="AD8" s="739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34"/>
      <c r="AP8" s="235"/>
      <c r="AQ8" s="199"/>
      <c r="AR8" s="148"/>
      <c r="AS8" s="734"/>
      <c r="AT8" s="21"/>
      <c r="AU8" s="6"/>
      <c r="AV8" s="35"/>
      <c r="AW8" s="736"/>
      <c r="AX8" s="736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34"/>
      <c r="BJ8" s="235"/>
      <c r="BK8" s="199"/>
      <c r="BL8" s="148"/>
      <c r="BM8" s="734"/>
      <c r="BN8" s="21"/>
      <c r="BO8" s="6"/>
      <c r="BP8" s="35"/>
      <c r="BQ8" s="736"/>
      <c r="BR8" s="736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34"/>
      <c r="CD8" s="235"/>
      <c r="CE8" s="199"/>
      <c r="CF8" s="148"/>
      <c r="CG8" s="734"/>
      <c r="CH8" s="21"/>
      <c r="CI8" s="6"/>
      <c r="CJ8" s="35"/>
      <c r="CK8" s="736"/>
      <c r="CL8" s="736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34"/>
      <c r="CX8" s="235"/>
      <c r="CY8" s="199"/>
      <c r="CZ8" s="148"/>
      <c r="DA8" s="734"/>
      <c r="DB8" s="21"/>
      <c r="DC8" s="6"/>
      <c r="DD8" s="35"/>
      <c r="DE8" s="736"/>
      <c r="DF8" s="736"/>
      <c r="DG8" s="394"/>
      <c r="DH8" s="29"/>
      <c r="DI8" s="298"/>
      <c r="DJ8" s="5"/>
      <c r="DK8" s="240"/>
      <c r="DL8" s="303"/>
      <c r="DM8" s="231"/>
    </row>
    <row r="9" spans="1:117" ht="14.4" hidden="1" customHeight="1" outlineLevel="1" x14ac:dyDescent="0.3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30"/>
      <c r="V9" s="236"/>
      <c r="W9" s="210"/>
      <c r="X9" s="216"/>
      <c r="Y9" s="730"/>
      <c r="Z9" s="236"/>
      <c r="AA9" s="210"/>
      <c r="AB9" s="216"/>
      <c r="AC9" s="739"/>
      <c r="AD9" s="739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34"/>
      <c r="AP9" s="235"/>
      <c r="AQ9" s="199"/>
      <c r="AR9" s="148"/>
      <c r="AS9" s="734"/>
      <c r="AT9" s="21"/>
      <c r="AU9" s="6"/>
      <c r="AV9" s="35"/>
      <c r="AW9" s="736"/>
      <c r="AX9" s="736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34"/>
      <c r="BJ9" s="235"/>
      <c r="BK9" s="199"/>
      <c r="BL9" s="148"/>
      <c r="BM9" s="734"/>
      <c r="BN9" s="21"/>
      <c r="BO9" s="6"/>
      <c r="BP9" s="35"/>
      <c r="BQ9" s="736"/>
      <c r="BR9" s="736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34"/>
      <c r="CD9" s="235"/>
      <c r="CE9" s="199"/>
      <c r="CF9" s="148"/>
      <c r="CG9" s="734"/>
      <c r="CH9" s="21"/>
      <c r="CI9" s="6"/>
      <c r="CJ9" s="35"/>
      <c r="CK9" s="736"/>
      <c r="CL9" s="736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34"/>
      <c r="CX9" s="235"/>
      <c r="CY9" s="199"/>
      <c r="CZ9" s="148"/>
      <c r="DA9" s="734"/>
      <c r="DB9" s="21"/>
      <c r="DC9" s="6"/>
      <c r="DD9" s="35"/>
      <c r="DE9" s="736"/>
      <c r="DF9" s="736"/>
      <c r="DG9" s="394"/>
      <c r="DH9" s="29"/>
      <c r="DI9" s="298"/>
      <c r="DJ9" s="5"/>
      <c r="DK9" s="240"/>
      <c r="DL9" s="303"/>
      <c r="DM9" s="231"/>
    </row>
    <row r="10" spans="1:117" x14ac:dyDescent="0.3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30"/>
      <c r="V10" s="236"/>
      <c r="W10" s="210"/>
      <c r="X10" s="216"/>
      <c r="Y10" s="730"/>
      <c r="Z10" s="236"/>
      <c r="AA10" s="210"/>
      <c r="AB10" s="216"/>
      <c r="AC10" s="739"/>
      <c r="AD10" s="739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34"/>
      <c r="AP10" s="235"/>
      <c r="AQ10" s="199"/>
      <c r="AR10" s="148"/>
      <c r="AS10" s="734"/>
      <c r="AT10" s="21"/>
      <c r="AU10" s="6"/>
      <c r="AV10" s="35"/>
      <c r="AW10" s="736"/>
      <c r="AX10" s="736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34"/>
      <c r="BJ10" s="235"/>
      <c r="BK10" s="199"/>
      <c r="BL10" s="148"/>
      <c r="BM10" s="734"/>
      <c r="BN10" s="21"/>
      <c r="BO10" s="6"/>
      <c r="BP10" s="35"/>
      <c r="BQ10" s="736"/>
      <c r="BR10" s="736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34"/>
      <c r="CD10" s="235"/>
      <c r="CE10" s="199"/>
      <c r="CF10" s="148"/>
      <c r="CG10" s="734"/>
      <c r="CH10" s="21"/>
      <c r="CI10" s="6"/>
      <c r="CJ10" s="35"/>
      <c r="CK10" s="736"/>
      <c r="CL10" s="736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34"/>
      <c r="CX10" s="235"/>
      <c r="CY10" s="199"/>
      <c r="CZ10" s="148"/>
      <c r="DA10" s="734"/>
      <c r="DB10" s="21"/>
      <c r="DC10" s="6"/>
      <c r="DD10" s="35"/>
      <c r="DE10" s="736"/>
      <c r="DF10" s="736"/>
      <c r="DG10" s="394"/>
      <c r="DH10" s="29"/>
      <c r="DI10" s="298"/>
      <c r="DJ10" s="5"/>
      <c r="DK10" s="240"/>
      <c r="DL10" s="303"/>
      <c r="DM10" s="231"/>
    </row>
    <row r="11" spans="1:117" x14ac:dyDescent="0.3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>SUM(M11,AG11,BA11,BU11)-L11</f>
        <v>-661</v>
      </c>
      <c r="K11" s="394">
        <f t="shared" ref="K11:K79" si="7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8">L11+O11-P11</f>
        <v>1956</v>
      </c>
      <c r="R11" s="573">
        <f>$F$11*50%*280</f>
        <v>149240</v>
      </c>
      <c r="S11" s="210"/>
      <c r="T11" s="211" t="s">
        <v>703</v>
      </c>
      <c r="U11" s="731"/>
      <c r="V11" s="236"/>
      <c r="W11" s="569">
        <f>$F$11*50%*1486</f>
        <v>792038</v>
      </c>
      <c r="X11" s="216" t="s">
        <v>704</v>
      </c>
      <c r="Y11" s="730"/>
      <c r="Z11" s="236"/>
      <c r="AA11" s="569">
        <f>$F$11*50%*280</f>
        <v>149240</v>
      </c>
      <c r="AB11" s="216" t="s">
        <v>701</v>
      </c>
      <c r="AC11" s="739"/>
      <c r="AD11" s="739"/>
      <c r="AE11" s="394">
        <f>SUM(M11,AG11)-SUM(O11,AI11)-L11</f>
        <v>-1766</v>
      </c>
      <c r="AF11" s="29">
        <f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9">AF11+AI11-AJ11</f>
        <v>1766</v>
      </c>
      <c r="AL11" s="21"/>
      <c r="AM11" s="210"/>
      <c r="AN11" s="216"/>
      <c r="AO11" s="730"/>
      <c r="AP11" s="21"/>
      <c r="AQ11" s="210"/>
      <c r="AR11" s="216"/>
      <c r="AS11" s="730"/>
      <c r="AT11" s="21"/>
      <c r="AU11" s="210"/>
      <c r="AV11" s="216"/>
      <c r="AW11" s="739"/>
      <c r="AX11" s="739"/>
      <c r="AY11" s="394">
        <f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0">AZ11+BC11-BD11</f>
        <v>1621</v>
      </c>
      <c r="BF11" s="236"/>
      <c r="BG11" s="6"/>
      <c r="BH11" s="216"/>
      <c r="BI11" s="730"/>
      <c r="BJ11" s="21"/>
      <c r="BK11" s="6"/>
      <c r="BL11" s="216"/>
      <c r="BM11" s="730"/>
      <c r="BN11" s="21"/>
      <c r="BO11" s="210"/>
      <c r="BP11" s="216"/>
      <c r="BQ11" s="739"/>
      <c r="BR11" s="739"/>
      <c r="BS11" s="394">
        <f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1">BT11+BW11-BX11</f>
        <v>1127</v>
      </c>
      <c r="BZ11" s="21"/>
      <c r="CA11" s="210"/>
      <c r="CB11" s="216"/>
      <c r="CC11" s="730"/>
      <c r="CD11" s="21"/>
      <c r="CE11" s="210"/>
      <c r="CF11" s="216"/>
      <c r="CG11" s="730"/>
      <c r="CH11" s="21"/>
      <c r="CI11" s="210"/>
      <c r="CJ11" s="211"/>
      <c r="CK11" s="758"/>
      <c r="CL11" s="758"/>
      <c r="CM11" s="394">
        <f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2">CN11+CQ11-CR11</f>
        <v>1127</v>
      </c>
      <c r="CT11" s="21"/>
      <c r="CU11" s="210"/>
      <c r="CV11" s="211"/>
      <c r="CW11" s="731"/>
      <c r="CX11" s="21"/>
      <c r="CY11" s="6"/>
      <c r="CZ11" s="35"/>
      <c r="DA11" s="612"/>
      <c r="DB11" s="21"/>
      <c r="DC11" s="6"/>
      <c r="DD11" s="35"/>
      <c r="DE11" s="736"/>
      <c r="DF11" s="736"/>
      <c r="DG11" s="394">
        <f>SUM(M11,AG11,BA11,BU11,DI11)-SUM(O11,AI11,BC11,BW11,CQ11)-L11</f>
        <v>-941</v>
      </c>
      <c r="DH11" s="29">
        <f t="shared" ref="DH11:DH23" si="13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28.8" x14ac:dyDescent="0.3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>SUM(M12,AG12,BA12,BU12)-L12</f>
        <v>-1861</v>
      </c>
      <c r="K12" s="394">
        <f t="shared" si="7"/>
        <v>-3891</v>
      </c>
      <c r="L12" s="544">
        <v>3957</v>
      </c>
      <c r="M12" s="298">
        <f>M11*2</f>
        <v>66</v>
      </c>
      <c r="N12" s="5">
        <f t="shared" ref="N12:N22" si="14">M12-L12</f>
        <v>-3891</v>
      </c>
      <c r="O12" s="256"/>
      <c r="P12" s="303">
        <f>P5*2</f>
        <v>66</v>
      </c>
      <c r="Q12" s="231">
        <f t="shared" si="8"/>
        <v>3891</v>
      </c>
      <c r="R12" s="310"/>
      <c r="S12" s="210"/>
      <c r="T12" s="211"/>
      <c r="U12" s="731"/>
      <c r="V12" s="310"/>
      <c r="W12" s="210"/>
      <c r="X12" s="211"/>
      <c r="Y12" s="731"/>
      <c r="Z12" s="236"/>
      <c r="AA12" s="210"/>
      <c r="AB12" s="211"/>
      <c r="AC12" s="758"/>
      <c r="AD12" s="758"/>
      <c r="AE12" s="394">
        <f>SUM(M12,AG12)-SUM(O12,AI12)-L12</f>
        <v>-3511</v>
      </c>
      <c r="AF12" s="29">
        <f>Q12</f>
        <v>3891</v>
      </c>
      <c r="AG12" s="298">
        <f>AG11*2</f>
        <v>380</v>
      </c>
      <c r="AH12" s="5">
        <f t="shared" ref="AH12:AH22" si="15">AG12-AF12</f>
        <v>-3511</v>
      </c>
      <c r="AI12" s="256"/>
      <c r="AJ12" s="303">
        <f>AJ5*2</f>
        <v>380</v>
      </c>
      <c r="AK12" s="231">
        <f t="shared" si="9"/>
        <v>3511</v>
      </c>
      <c r="AL12" s="215"/>
      <c r="AM12" s="210"/>
      <c r="AN12" s="211"/>
      <c r="AO12" s="731"/>
      <c r="AP12" s="310"/>
      <c r="AQ12" s="199"/>
      <c r="AR12" s="211"/>
      <c r="AS12" s="731"/>
      <c r="AT12" s="21"/>
      <c r="AU12" s="6"/>
      <c r="AV12" s="35"/>
      <c r="AW12" s="736"/>
      <c r="AX12" s="736"/>
      <c r="AY12" s="394">
        <f>SUM(M12,AG12,BA12)-SUM(O12,AI12,BC12)-L12</f>
        <v>-3221</v>
      </c>
      <c r="AZ12" s="29">
        <f t="shared" ref="AZ12:AZ23" si="16">AK12</f>
        <v>3511</v>
      </c>
      <c r="BA12" s="298">
        <f>BA11*2</f>
        <v>290</v>
      </c>
      <c r="BB12" s="5">
        <f t="shared" ref="BB12:BB22" si="17">BA12-AZ12</f>
        <v>-3221</v>
      </c>
      <c r="BC12" s="256"/>
      <c r="BD12" s="303">
        <f>BD5*2</f>
        <v>290</v>
      </c>
      <c r="BE12" s="231">
        <f t="shared" si="10"/>
        <v>3221</v>
      </c>
      <c r="BF12" s="215"/>
      <c r="BG12" s="210"/>
      <c r="BH12" s="211"/>
      <c r="BI12" s="731"/>
      <c r="BJ12" s="310"/>
      <c r="BK12" s="210"/>
      <c r="BL12" s="211"/>
      <c r="BM12" s="731"/>
      <c r="BN12" s="21"/>
      <c r="BO12" s="210"/>
      <c r="BP12" s="211"/>
      <c r="BQ12" s="758"/>
      <c r="BR12" s="758"/>
      <c r="BS12" s="394">
        <f>SUM(M12,AG12,BA12,BU12)-SUM(O12,AI12,BC12,BW12)-L12</f>
        <v>-1861</v>
      </c>
      <c r="BT12" s="29">
        <f t="shared" ref="BT12:BT23" si="18">BE12</f>
        <v>3221</v>
      </c>
      <c r="BU12" s="298">
        <f>BU11*2</f>
        <v>1360</v>
      </c>
      <c r="BV12" s="5">
        <f t="shared" ref="BV12:BV22" si="19">BU12-BT12</f>
        <v>-1861</v>
      </c>
      <c r="BW12" s="258"/>
      <c r="BX12" s="303">
        <f>BX5*2</f>
        <v>988</v>
      </c>
      <c r="BY12" s="231">
        <f t="shared" si="11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36"/>
      <c r="CL12" s="736"/>
      <c r="CM12" s="394">
        <f>SUM(M12,AG12,BA12,BU12,CO12)-SUM(O12,AI12,BC12,BW12,CQ12)-L12</f>
        <v>-1861</v>
      </c>
      <c r="CN12" s="29">
        <f t="shared" ref="CN12:CN23" si="20">BY12</f>
        <v>2233</v>
      </c>
      <c r="CO12" s="298">
        <f>CO11*2</f>
        <v>0</v>
      </c>
      <c r="CP12" s="5">
        <f t="shared" ref="CP12:CP22" si="21">CO12-CN12</f>
        <v>-2233</v>
      </c>
      <c r="CQ12" s="240"/>
      <c r="CR12" s="303">
        <f>CR5*2</f>
        <v>0</v>
      </c>
      <c r="CS12" s="231">
        <f t="shared" si="12"/>
        <v>2233</v>
      </c>
      <c r="CT12" s="215"/>
      <c r="CU12" s="199"/>
      <c r="CV12" s="211"/>
      <c r="CW12" s="731"/>
      <c r="CX12" s="215"/>
      <c r="CY12" s="199"/>
      <c r="CZ12" s="211"/>
      <c r="DA12" s="731"/>
      <c r="DB12" s="21"/>
      <c r="DC12" s="6"/>
      <c r="DD12" s="35"/>
      <c r="DE12" s="736"/>
      <c r="DF12" s="736"/>
      <c r="DG12" s="394">
        <f>SUM(M12,AG12,BA12,BU12,DI12)-SUM(O12,AI12,BC12,BW12,CQ12)-L12</f>
        <v>-1861</v>
      </c>
      <c r="DH12" s="29">
        <f t="shared" si="13"/>
        <v>2233</v>
      </c>
      <c r="DI12" s="298">
        <f>DI11*2</f>
        <v>0</v>
      </c>
      <c r="DJ12" s="5">
        <f t="shared" ref="DJ12:DJ22" si="22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x14ac:dyDescent="0.3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>SUM(M13,AG13,BA13,BU13)-L13</f>
        <v>-1020</v>
      </c>
      <c r="K13" s="394">
        <f t="shared" si="7"/>
        <v>-2035</v>
      </c>
      <c r="L13" s="544">
        <v>2068</v>
      </c>
      <c r="M13" s="298">
        <f>M5</f>
        <v>33</v>
      </c>
      <c r="N13" s="5">
        <f t="shared" si="14"/>
        <v>-2035</v>
      </c>
      <c r="O13" s="258"/>
      <c r="P13" s="303">
        <f>P5</f>
        <v>33</v>
      </c>
      <c r="Q13" s="231">
        <f t="shared" si="8"/>
        <v>2035</v>
      </c>
      <c r="R13" s="236"/>
      <c r="S13" s="210"/>
      <c r="T13" s="216"/>
      <c r="U13" s="730"/>
      <c r="V13" s="236"/>
      <c r="W13" s="210"/>
      <c r="X13" s="216"/>
      <c r="Y13" s="730"/>
      <c r="Z13" s="236"/>
      <c r="AA13" s="210"/>
      <c r="AB13" s="216"/>
      <c r="AC13" s="739"/>
      <c r="AD13" s="739"/>
      <c r="AE13" s="394">
        <f>SUM(M13,AG13)-SUM(O13,AI13)-L13</f>
        <v>-1845</v>
      </c>
      <c r="AF13" s="29">
        <f>Q13</f>
        <v>2035</v>
      </c>
      <c r="AG13" s="298">
        <f>AG5</f>
        <v>190</v>
      </c>
      <c r="AH13" s="5">
        <f t="shared" si="15"/>
        <v>-1845</v>
      </c>
      <c r="AI13" s="256"/>
      <c r="AJ13" s="303">
        <f>AJ5</f>
        <v>190</v>
      </c>
      <c r="AK13" s="231">
        <f t="shared" si="9"/>
        <v>1845</v>
      </c>
      <c r="AL13" s="21"/>
      <c r="AM13" s="199"/>
      <c r="AN13" s="148"/>
      <c r="AO13" s="734"/>
      <c r="AP13" s="235"/>
      <c r="AQ13" s="199"/>
      <c r="AR13" s="148"/>
      <c r="AS13" s="734"/>
      <c r="AT13" s="236"/>
      <c r="AU13" s="6"/>
      <c r="AV13" s="35"/>
      <c r="AW13" s="736"/>
      <c r="AX13" s="736"/>
      <c r="AY13" s="394">
        <f>SUM(M13,AG13,BA13)-SUM(O13,AI13,BC13)-L13</f>
        <v>-1700</v>
      </c>
      <c r="AZ13" s="29">
        <f t="shared" si="16"/>
        <v>1845</v>
      </c>
      <c r="BA13" s="298">
        <f>BA5</f>
        <v>145</v>
      </c>
      <c r="BB13" s="5">
        <f t="shared" si="17"/>
        <v>-1700</v>
      </c>
      <c r="BC13" s="256"/>
      <c r="BD13" s="303">
        <f>BD5</f>
        <v>145</v>
      </c>
      <c r="BE13" s="231">
        <f t="shared" si="10"/>
        <v>1700</v>
      </c>
      <c r="BF13" s="21"/>
      <c r="BG13" s="199"/>
      <c r="BH13" s="216"/>
      <c r="BI13" s="730"/>
      <c r="BJ13" s="21"/>
      <c r="BK13" s="199"/>
      <c r="BL13" s="216"/>
      <c r="BM13" s="730"/>
      <c r="BN13" s="21"/>
      <c r="BO13" s="6"/>
      <c r="BP13" s="35"/>
      <c r="BQ13" s="736"/>
      <c r="BR13" s="736"/>
      <c r="BS13" s="394">
        <f>SUM(M13,AG13,BA13,BU13)-SUM(O13,AI13,BC13,BW13)-L13</f>
        <v>-1020</v>
      </c>
      <c r="BT13" s="29">
        <f t="shared" si="18"/>
        <v>1700</v>
      </c>
      <c r="BU13" s="298">
        <f>BU5</f>
        <v>680</v>
      </c>
      <c r="BV13" s="5">
        <f t="shared" si="19"/>
        <v>-1020</v>
      </c>
      <c r="BW13" s="256"/>
      <c r="BX13" s="303">
        <f>BX5</f>
        <v>494</v>
      </c>
      <c r="BY13" s="231">
        <f t="shared" si="11"/>
        <v>1206</v>
      </c>
      <c r="BZ13" s="21"/>
      <c r="CA13" s="199"/>
      <c r="CB13" s="148"/>
      <c r="CC13" s="734"/>
      <c r="CD13" s="21"/>
      <c r="CE13" s="199"/>
      <c r="CF13" s="148"/>
      <c r="CG13" s="734"/>
      <c r="CH13" s="21"/>
      <c r="CI13" s="6"/>
      <c r="CJ13" s="35"/>
      <c r="CK13" s="736"/>
      <c r="CL13" s="736"/>
      <c r="CM13" s="394">
        <f>SUM(M13,AG13,BA13,BU13,CO13)-SUM(O13,AI13,BC13,BW13,CQ13)-L13</f>
        <v>-1020</v>
      </c>
      <c r="CN13" s="29">
        <f t="shared" si="20"/>
        <v>1206</v>
      </c>
      <c r="CO13" s="298">
        <f>CO5</f>
        <v>0</v>
      </c>
      <c r="CP13" s="5">
        <f t="shared" si="21"/>
        <v>-1206</v>
      </c>
      <c r="CQ13" s="258"/>
      <c r="CR13" s="303">
        <f>CR5</f>
        <v>0</v>
      </c>
      <c r="CS13" s="231">
        <f t="shared" si="12"/>
        <v>1206</v>
      </c>
      <c r="CT13" s="21"/>
      <c r="CU13" s="199"/>
      <c r="CV13" s="148"/>
      <c r="CW13" s="734"/>
      <c r="CX13" s="21"/>
      <c r="CY13" s="199"/>
      <c r="CZ13" s="148"/>
      <c r="DA13" s="734"/>
      <c r="DB13" s="21"/>
      <c r="DC13" s="6"/>
      <c r="DD13" s="35"/>
      <c r="DE13" s="736"/>
      <c r="DF13" s="736"/>
      <c r="DG13" s="394">
        <f>SUM(M13,AG13,BA13,BU13,DI13)-SUM(O13,AI13,BC13,BW13,CQ13)-L13</f>
        <v>-1020</v>
      </c>
      <c r="DH13" s="29">
        <f t="shared" si="13"/>
        <v>1206</v>
      </c>
      <c r="DI13" s="298">
        <f>DI5</f>
        <v>0</v>
      </c>
      <c r="DJ13" s="5">
        <f t="shared" si="22"/>
        <v>-1206</v>
      </c>
      <c r="DK13" s="240"/>
      <c r="DL13" s="303">
        <f>DL5</f>
        <v>0</v>
      </c>
      <c r="DM13" s="231">
        <f t="shared" si="5"/>
        <v>1206</v>
      </c>
    </row>
    <row r="14" spans="1:117" x14ac:dyDescent="0.3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>SUM(M14,AG14,BA14,BU14)-L14</f>
        <v>-972</v>
      </c>
      <c r="K14" s="394">
        <f t="shared" si="7"/>
        <v>-1987</v>
      </c>
      <c r="L14" s="544">
        <v>2020</v>
      </c>
      <c r="M14" s="298">
        <f>M5</f>
        <v>33</v>
      </c>
      <c r="N14" s="5">
        <f t="shared" si="14"/>
        <v>-1987</v>
      </c>
      <c r="O14" s="258"/>
      <c r="P14" s="303">
        <f>P5</f>
        <v>33</v>
      </c>
      <c r="Q14" s="231">
        <f t="shared" si="8"/>
        <v>1987</v>
      </c>
      <c r="R14" s="310"/>
      <c r="S14" s="210"/>
      <c r="T14" s="211"/>
      <c r="U14" s="731"/>
      <c r="V14" s="310"/>
      <c r="W14" s="210"/>
      <c r="X14" s="211"/>
      <c r="Y14" s="731"/>
      <c r="Z14" s="236"/>
      <c r="AA14" s="210"/>
      <c r="AB14" s="216"/>
      <c r="AC14" s="739"/>
      <c r="AD14" s="739"/>
      <c r="AE14" s="394">
        <f>SUM(M14,AG14)-SUM(O14,AI14)-L14</f>
        <v>-1797</v>
      </c>
      <c r="AF14" s="29">
        <f>Q14</f>
        <v>1987</v>
      </c>
      <c r="AG14" s="298">
        <f>AG5</f>
        <v>190</v>
      </c>
      <c r="AH14" s="5">
        <f t="shared" si="15"/>
        <v>-1797</v>
      </c>
      <c r="AI14" s="256"/>
      <c r="AJ14" s="303">
        <f>AJ5</f>
        <v>190</v>
      </c>
      <c r="AK14" s="231">
        <f t="shared" si="9"/>
        <v>1797</v>
      </c>
      <c r="AL14" s="121"/>
      <c r="AM14" s="199"/>
      <c r="AN14" s="148"/>
      <c r="AO14" s="734"/>
      <c r="AP14" s="215"/>
      <c r="AQ14" s="199"/>
      <c r="AR14" s="148"/>
      <c r="AS14" s="734"/>
      <c r="AT14" s="310"/>
      <c r="AU14" s="6"/>
      <c r="AV14" s="35"/>
      <c r="AW14" s="736"/>
      <c r="AX14" s="736"/>
      <c r="AY14" s="394">
        <f>SUM(M14,AG14,BA14)-SUM(O14,AI14,BC14)-L14</f>
        <v>-1652</v>
      </c>
      <c r="AZ14" s="607">
        <v>1607</v>
      </c>
      <c r="BA14" s="298">
        <f>BA5</f>
        <v>145</v>
      </c>
      <c r="BB14" s="5">
        <f t="shared" si="17"/>
        <v>-1462</v>
      </c>
      <c r="BC14" s="256"/>
      <c r="BD14" s="303">
        <f>BD5</f>
        <v>145</v>
      </c>
      <c r="BE14" s="231">
        <f t="shared" si="10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39"/>
      <c r="BR14" s="739"/>
      <c r="BS14" s="394">
        <f>SUM(M14,AG14,BA14,BU14)-SUM(O14,AI14,BC14,BW14)-L14</f>
        <v>-972</v>
      </c>
      <c r="BT14" s="29">
        <f t="shared" si="18"/>
        <v>1462</v>
      </c>
      <c r="BU14" s="298">
        <f>BU5</f>
        <v>680</v>
      </c>
      <c r="BV14" s="5">
        <f t="shared" si="19"/>
        <v>-782</v>
      </c>
      <c r="BW14" s="258"/>
      <c r="BX14" s="303">
        <f>BX5</f>
        <v>494</v>
      </c>
      <c r="BY14" s="231">
        <f t="shared" si="11"/>
        <v>968</v>
      </c>
      <c r="BZ14" s="121"/>
      <c r="CA14" s="199"/>
      <c r="CB14" s="148"/>
      <c r="CC14" s="734"/>
      <c r="CD14" s="121"/>
      <c r="CE14" s="199"/>
      <c r="CF14" s="148"/>
      <c r="CG14" s="734"/>
      <c r="CH14" s="21"/>
      <c r="CI14" s="6"/>
      <c r="CJ14" s="414"/>
      <c r="CK14" s="839"/>
      <c r="CL14" s="839"/>
      <c r="CM14" s="394">
        <f>SUM(M14,AG14,BA14,BU14,CO14)-SUM(O14,AI14,BC14,BW14,CQ14)-L14</f>
        <v>-972</v>
      </c>
      <c r="CN14" s="29">
        <f t="shared" si="20"/>
        <v>968</v>
      </c>
      <c r="CO14" s="298">
        <f>CO5</f>
        <v>0</v>
      </c>
      <c r="CP14" s="5">
        <f t="shared" si="21"/>
        <v>-968</v>
      </c>
      <c r="CQ14" s="258"/>
      <c r="CR14" s="303">
        <f>CR5</f>
        <v>0</v>
      </c>
      <c r="CS14" s="231">
        <f t="shared" si="12"/>
        <v>968</v>
      </c>
      <c r="CT14" s="121"/>
      <c r="CU14" s="199"/>
      <c r="CV14" s="148"/>
      <c r="CW14" s="734"/>
      <c r="CX14" s="121"/>
      <c r="CY14" s="199"/>
      <c r="CZ14" s="148"/>
      <c r="DA14" s="734"/>
      <c r="DB14" s="21"/>
      <c r="DC14" s="6"/>
      <c r="DD14" s="35"/>
      <c r="DE14" s="736"/>
      <c r="DF14" s="736"/>
      <c r="DG14" s="394">
        <f>SUM(M14,AG14,BA14,BU14,DI14)-SUM(O14,AI14,BC14,BW14,CQ14)-L14</f>
        <v>-972</v>
      </c>
      <c r="DH14" s="29">
        <f t="shared" si="13"/>
        <v>968</v>
      </c>
      <c r="DI14" s="298">
        <f>DI5</f>
        <v>0</v>
      </c>
      <c r="DJ14" s="5">
        <f t="shared" si="22"/>
        <v>-968</v>
      </c>
      <c r="DK14" s="240"/>
      <c r="DL14" s="303">
        <f>DL5</f>
        <v>0</v>
      </c>
      <c r="DM14" s="231">
        <f t="shared" si="5"/>
        <v>968</v>
      </c>
    </row>
    <row r="15" spans="1:117" ht="28.8" x14ac:dyDescent="0.3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>SUM(M15,AG15,BA15,BU15)-L15</f>
        <v>-926</v>
      </c>
      <c r="K15" s="394"/>
      <c r="L15" s="544">
        <v>1974</v>
      </c>
      <c r="M15" s="298">
        <f>M5</f>
        <v>33</v>
      </c>
      <c r="N15" s="5">
        <f t="shared" si="14"/>
        <v>-1941</v>
      </c>
      <c r="O15" s="240"/>
      <c r="P15" s="303">
        <f>P5</f>
        <v>33</v>
      </c>
      <c r="Q15" s="231">
        <f t="shared" si="8"/>
        <v>1941</v>
      </c>
      <c r="R15" s="236"/>
      <c r="S15" s="210"/>
      <c r="T15" s="216"/>
      <c r="U15" s="730"/>
      <c r="V15" s="236"/>
      <c r="W15" s="210"/>
      <c r="X15" s="216"/>
      <c r="Y15" s="730"/>
      <c r="Z15" s="236"/>
      <c r="AA15" s="210"/>
      <c r="AB15" s="216"/>
      <c r="AC15" s="739"/>
      <c r="AD15" s="739"/>
      <c r="AE15" s="394">
        <f>SUM(M15,AG15)-SUM(O15,AI15)-L15</f>
        <v>-1751</v>
      </c>
      <c r="AF15" s="29">
        <f>Q15</f>
        <v>1941</v>
      </c>
      <c r="AG15" s="298">
        <f>AG5</f>
        <v>190</v>
      </c>
      <c r="AH15" s="5">
        <f t="shared" si="15"/>
        <v>-1751</v>
      </c>
      <c r="AI15" s="256"/>
      <c r="AJ15" s="303">
        <f>AJ5</f>
        <v>190</v>
      </c>
      <c r="AK15" s="231">
        <f t="shared" si="9"/>
        <v>1751</v>
      </c>
      <c r="AL15" s="21"/>
      <c r="AM15" s="6"/>
      <c r="AN15" s="35"/>
      <c r="AO15" s="612"/>
      <c r="AP15" s="121"/>
      <c r="AQ15" s="199"/>
      <c r="AR15" s="148"/>
      <c r="AS15" s="734"/>
      <c r="AT15" s="236"/>
      <c r="AU15" s="6"/>
      <c r="AV15" s="35"/>
      <c r="AW15" s="736"/>
      <c r="AX15" s="736"/>
      <c r="AY15" s="394">
        <f>SUM(M15,AG15,BA15)-SUM(O15,AI15,BC15)-L15</f>
        <v>-1606</v>
      </c>
      <c r="AZ15" s="607">
        <f>AK15-20</f>
        <v>1731</v>
      </c>
      <c r="BA15" s="298">
        <f>BA5</f>
        <v>145</v>
      </c>
      <c r="BB15" s="5">
        <f t="shared" si="17"/>
        <v>-1586</v>
      </c>
      <c r="BC15" s="256"/>
      <c r="BD15" s="303">
        <f>BD5</f>
        <v>145</v>
      </c>
      <c r="BE15" s="231">
        <f t="shared" si="10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36"/>
      <c r="BR15" s="736"/>
      <c r="BS15" s="394">
        <f>SUM(M15,AG15,BA15,BU15)-SUM(O15,AI15,BC15,BW15)-L15</f>
        <v>-926</v>
      </c>
      <c r="BT15" s="29">
        <f t="shared" si="18"/>
        <v>1586</v>
      </c>
      <c r="BU15" s="298">
        <f>BU5</f>
        <v>680</v>
      </c>
      <c r="BV15" s="5">
        <f t="shared" si="19"/>
        <v>-906</v>
      </c>
      <c r="BW15" s="256"/>
      <c r="BX15" s="303">
        <f>BX5</f>
        <v>494</v>
      </c>
      <c r="BY15" s="231">
        <f t="shared" si="11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36"/>
      <c r="CL15" s="736"/>
      <c r="CM15" s="394">
        <f>SUM(M15,AG15,BA15,BU15,CO15)-SUM(O15,AI15,BC15,BW15,CQ15)-L15</f>
        <v>-926</v>
      </c>
      <c r="CN15" s="29">
        <f t="shared" si="20"/>
        <v>1092</v>
      </c>
      <c r="CO15" s="298">
        <f>CO5</f>
        <v>0</v>
      </c>
      <c r="CP15" s="5">
        <f t="shared" si="21"/>
        <v>-1092</v>
      </c>
      <c r="CQ15" s="240"/>
      <c r="CR15" s="303">
        <f>CR5</f>
        <v>0</v>
      </c>
      <c r="CS15" s="231">
        <f t="shared" si="12"/>
        <v>1092</v>
      </c>
      <c r="CT15" s="21"/>
      <c r="CU15" s="6"/>
      <c r="CV15" s="35"/>
      <c r="CW15" s="612"/>
      <c r="CX15" s="121"/>
      <c r="CY15" s="199"/>
      <c r="CZ15" s="148"/>
      <c r="DA15" s="734"/>
      <c r="DB15" s="21"/>
      <c r="DC15" s="6"/>
      <c r="DD15" s="35"/>
      <c r="DE15" s="736"/>
      <c r="DF15" s="736"/>
      <c r="DG15" s="394">
        <f>SUM(M15,AG15,BA15,BU15,DI15)-SUM(O15,AI15,BC15,BW15,CQ15)-L15</f>
        <v>-926</v>
      </c>
      <c r="DH15" s="29">
        <f t="shared" si="13"/>
        <v>1092</v>
      </c>
      <c r="DI15" s="298">
        <f>DI5</f>
        <v>0</v>
      </c>
      <c r="DJ15" s="5">
        <f t="shared" si="22"/>
        <v>-1092</v>
      </c>
      <c r="DK15" s="240"/>
      <c r="DL15" s="303">
        <f>DL5</f>
        <v>0</v>
      </c>
      <c r="DM15" s="231">
        <f t="shared" si="5"/>
        <v>1092</v>
      </c>
    </row>
    <row r="16" spans="1:117" x14ac:dyDescent="0.3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>SUM(M16,AG16,BA16,BU16)-L16</f>
        <v>-1029</v>
      </c>
      <c r="K16" s="394">
        <f t="shared" si="7"/>
        <v>-2044</v>
      </c>
      <c r="L16" s="544">
        <v>2077</v>
      </c>
      <c r="M16" s="298">
        <f>M5</f>
        <v>33</v>
      </c>
      <c r="N16" s="5">
        <f t="shared" si="14"/>
        <v>-2044</v>
      </c>
      <c r="O16" s="256"/>
      <c r="P16" s="303">
        <f>P6</f>
        <v>33</v>
      </c>
      <c r="Q16" s="231">
        <f t="shared" si="8"/>
        <v>2044</v>
      </c>
      <c r="R16" s="236"/>
      <c r="S16" s="210"/>
      <c r="T16" s="216"/>
      <c r="U16" s="730"/>
      <c r="V16" s="236"/>
      <c r="W16" s="210"/>
      <c r="X16" s="216"/>
      <c r="Y16" s="730"/>
      <c r="Z16" s="236"/>
      <c r="AA16" s="210"/>
      <c r="AB16" s="216"/>
      <c r="AC16" s="739"/>
      <c r="AD16" s="739"/>
      <c r="AE16" s="394">
        <f>SUM(M16,AG16)-SUM(O16,AI16)-L16</f>
        <v>-1854</v>
      </c>
      <c r="AF16" s="29">
        <f>Q16</f>
        <v>2044</v>
      </c>
      <c r="AG16" s="298">
        <f>AG5</f>
        <v>190</v>
      </c>
      <c r="AH16" s="5">
        <f t="shared" si="15"/>
        <v>-1854</v>
      </c>
      <c r="AI16" s="256"/>
      <c r="AJ16" s="303">
        <f>AJ6</f>
        <v>190</v>
      </c>
      <c r="AK16" s="231">
        <f t="shared" si="9"/>
        <v>1854</v>
      </c>
      <c r="AL16" s="21"/>
      <c r="AM16" s="6"/>
      <c r="AN16" s="35"/>
      <c r="AO16" s="612"/>
      <c r="AP16" s="21"/>
      <c r="AQ16" s="199"/>
      <c r="AR16" s="148"/>
      <c r="AS16" s="734"/>
      <c r="AT16" s="236"/>
      <c r="AU16" s="6"/>
      <c r="AV16" s="35"/>
      <c r="AW16" s="736"/>
      <c r="AX16" s="736"/>
      <c r="AY16" s="394">
        <f>SUM(M16,AG16,BA16)-SUM(O16,AI16,BC16)-L16</f>
        <v>-1709</v>
      </c>
      <c r="AZ16" s="607">
        <v>1693</v>
      </c>
      <c r="BA16" s="298">
        <f>BA5</f>
        <v>145</v>
      </c>
      <c r="BB16" s="5">
        <f t="shared" si="17"/>
        <v>-1548</v>
      </c>
      <c r="BC16" s="256"/>
      <c r="BD16" s="303">
        <f>BD6</f>
        <v>145</v>
      </c>
      <c r="BE16" s="231">
        <f t="shared" si="10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36"/>
      <c r="BR16" s="736"/>
      <c r="BS16" s="394">
        <f>SUM(M16,AG16,BA16,BU16)-SUM(O16,AI16,BC16,BW16)-L16</f>
        <v>-1029</v>
      </c>
      <c r="BT16" s="29">
        <f t="shared" si="18"/>
        <v>1548</v>
      </c>
      <c r="BU16" s="298">
        <f>BU5</f>
        <v>680</v>
      </c>
      <c r="BV16" s="5">
        <f t="shared" si="19"/>
        <v>-868</v>
      </c>
      <c r="BW16" s="256"/>
      <c r="BX16" s="303">
        <f>BX6</f>
        <v>0</v>
      </c>
      <c r="BY16" s="231">
        <f t="shared" si="11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36"/>
      <c r="CL16" s="736"/>
      <c r="CM16" s="394">
        <f>SUM(M16,AG16,BA16,BU16,CO16)-SUM(O16,AI16,BC16,BW16,CQ16)-L16</f>
        <v>-1029</v>
      </c>
      <c r="CN16" s="29">
        <f t="shared" si="20"/>
        <v>1548</v>
      </c>
      <c r="CO16" s="298">
        <f>CO5</f>
        <v>0</v>
      </c>
      <c r="CP16" s="5">
        <f t="shared" si="21"/>
        <v>-1548</v>
      </c>
      <c r="CQ16" s="256"/>
      <c r="CR16" s="303">
        <f>CR6</f>
        <v>0</v>
      </c>
      <c r="CS16" s="231">
        <f t="shared" si="12"/>
        <v>1548</v>
      </c>
      <c r="CT16" s="21"/>
      <c r="CU16" s="6"/>
      <c r="CV16" s="35"/>
      <c r="CW16" s="612"/>
      <c r="CX16" s="121"/>
      <c r="CY16" s="199"/>
      <c r="CZ16" s="148"/>
      <c r="DA16" s="734"/>
      <c r="DB16" s="21"/>
      <c r="DC16" s="6"/>
      <c r="DD16" s="35"/>
      <c r="DE16" s="736"/>
      <c r="DF16" s="736"/>
      <c r="DG16" s="394">
        <f>SUM(M16,AG16,BA16,BU16,DI16)-SUM(O16,AI16,BC16,BW16,CQ16)-L16</f>
        <v>-1029</v>
      </c>
      <c r="DH16" s="29">
        <f t="shared" si="13"/>
        <v>1548</v>
      </c>
      <c r="DI16" s="298">
        <f>DI5</f>
        <v>0</v>
      </c>
      <c r="DJ16" s="5">
        <f t="shared" si="22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3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>SUM(M17,AG17,BA17,BU17)-L17</f>
        <v>-930</v>
      </c>
      <c r="K17" s="394">
        <f t="shared" si="7"/>
        <v>-1945</v>
      </c>
      <c r="L17" s="544">
        <v>1978</v>
      </c>
      <c r="M17" s="298">
        <f>M5</f>
        <v>33</v>
      </c>
      <c r="N17" s="5">
        <f t="shared" si="14"/>
        <v>-1945</v>
      </c>
      <c r="O17" s="258"/>
      <c r="P17" s="303">
        <f>P5</f>
        <v>33</v>
      </c>
      <c r="Q17" s="231">
        <f t="shared" si="8"/>
        <v>1945</v>
      </c>
      <c r="R17" s="236"/>
      <c r="S17" s="210"/>
      <c r="T17" s="211"/>
      <c r="U17" s="731"/>
      <c r="V17" s="310"/>
      <c r="W17" s="210"/>
      <c r="X17" s="211"/>
      <c r="Y17" s="731"/>
      <c r="Z17" s="236"/>
      <c r="AA17" s="210"/>
      <c r="AB17" s="216"/>
      <c r="AC17" s="739"/>
      <c r="AD17" s="739"/>
      <c r="AE17" s="394">
        <f>SUM(M17,AG17)-SUM(O17,AI17)-L17</f>
        <v>-1755</v>
      </c>
      <c r="AF17" s="29">
        <f>Q17</f>
        <v>1945</v>
      </c>
      <c r="AG17" s="298">
        <f>AG5</f>
        <v>190</v>
      </c>
      <c r="AH17" s="5">
        <f t="shared" si="15"/>
        <v>-1755</v>
      </c>
      <c r="AI17" s="256"/>
      <c r="AJ17" s="303">
        <f>AJ5</f>
        <v>190</v>
      </c>
      <c r="AK17" s="231">
        <f t="shared" si="9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36"/>
      <c r="AX17" s="736"/>
      <c r="AY17" s="394">
        <f>SUM(M17,AG17,BA17)-SUM(O17,AI17,BC17)-L17</f>
        <v>-1610</v>
      </c>
      <c r="AZ17" s="29">
        <f t="shared" si="16"/>
        <v>1755</v>
      </c>
      <c r="BA17" s="298">
        <f>BA5</f>
        <v>145</v>
      </c>
      <c r="BB17" s="5">
        <f t="shared" si="17"/>
        <v>-1610</v>
      </c>
      <c r="BC17" s="256"/>
      <c r="BD17" s="303">
        <f>BD5</f>
        <v>145</v>
      </c>
      <c r="BE17" s="231">
        <f t="shared" si="10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53"/>
      <c r="BR17" s="753"/>
      <c r="BS17" s="394">
        <f>SUM(M17,AG17,BA17,BU17)-SUM(O17,AI17,BC17,BW17)-L17</f>
        <v>-930</v>
      </c>
      <c r="BT17" s="29">
        <f t="shared" si="18"/>
        <v>1610</v>
      </c>
      <c r="BU17" s="298">
        <f>BU5</f>
        <v>680</v>
      </c>
      <c r="BV17" s="5">
        <f t="shared" si="19"/>
        <v>-930</v>
      </c>
      <c r="BW17" s="258"/>
      <c r="BX17" s="303">
        <f>BX5</f>
        <v>494</v>
      </c>
      <c r="BY17" s="231">
        <f t="shared" si="11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39"/>
      <c r="CL17" s="839"/>
      <c r="CM17" s="394">
        <f>SUM(M17,AG17,BA17,BU17,CO17)-SUM(O17,AI17,BC17,BW17,CQ17)-L17</f>
        <v>-930</v>
      </c>
      <c r="CN17" s="29">
        <f t="shared" si="20"/>
        <v>1116</v>
      </c>
      <c r="CO17" s="298">
        <f>CO5</f>
        <v>0</v>
      </c>
      <c r="CP17" s="5">
        <f t="shared" si="21"/>
        <v>-1116</v>
      </c>
      <c r="CQ17" s="258"/>
      <c r="CR17" s="303">
        <f>CR5</f>
        <v>0</v>
      </c>
      <c r="CS17" s="231">
        <f t="shared" si="12"/>
        <v>1116</v>
      </c>
      <c r="CT17" s="21"/>
      <c r="CU17" s="6"/>
      <c r="CV17" s="35"/>
      <c r="CW17" s="612"/>
      <c r="CX17" s="121"/>
      <c r="CY17" s="199"/>
      <c r="CZ17" s="148"/>
      <c r="DA17" s="734"/>
      <c r="DB17" s="21"/>
      <c r="DC17" s="6"/>
      <c r="DD17" s="35"/>
      <c r="DE17" s="736"/>
      <c r="DF17" s="736"/>
      <c r="DG17" s="394">
        <f>SUM(M17,AG17,BA17,BU17,DI17)-SUM(O17,AI17,BC17,BW17,CQ17)-L17</f>
        <v>-930</v>
      </c>
      <c r="DH17" s="29">
        <f t="shared" si="13"/>
        <v>1116</v>
      </c>
      <c r="DI17" s="298">
        <f>DI5</f>
        <v>0</v>
      </c>
      <c r="DJ17" s="5">
        <f t="shared" si="22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3">
      <c r="A18" s="18"/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>SUM(M18,AG18,BA18,BU18)-L18</f>
        <v>-902</v>
      </c>
      <c r="K18" s="394">
        <f t="shared" si="7"/>
        <v>-1917</v>
      </c>
      <c r="L18" s="544">
        <v>1950</v>
      </c>
      <c r="M18" s="298">
        <f>M5</f>
        <v>33</v>
      </c>
      <c r="N18" s="5">
        <f t="shared" si="14"/>
        <v>-1917</v>
      </c>
      <c r="O18" s="258"/>
      <c r="P18" s="303">
        <f>P5</f>
        <v>33</v>
      </c>
      <c r="Q18" s="231">
        <f t="shared" si="8"/>
        <v>1917</v>
      </c>
      <c r="R18" s="310"/>
      <c r="S18" s="210"/>
      <c r="T18" s="211"/>
      <c r="U18" s="731"/>
      <c r="V18" s="310"/>
      <c r="W18" s="210"/>
      <c r="X18" s="216"/>
      <c r="Y18" s="730"/>
      <c r="Z18" s="236"/>
      <c r="AA18" s="210"/>
      <c r="AB18" s="216"/>
      <c r="AC18" s="739"/>
      <c r="AD18" s="739"/>
      <c r="AE18" s="394">
        <f>SUM(M18,AG18)-SUM(O18,AI18)-L18</f>
        <v>-1727</v>
      </c>
      <c r="AF18" s="29">
        <f>Q18</f>
        <v>1917</v>
      </c>
      <c r="AG18" s="298">
        <f>AG5</f>
        <v>190</v>
      </c>
      <c r="AH18" s="5">
        <f t="shared" si="15"/>
        <v>-1727</v>
      </c>
      <c r="AI18" s="258"/>
      <c r="AJ18" s="303">
        <f>AJ5</f>
        <v>190</v>
      </c>
      <c r="AK18" s="231">
        <f t="shared" si="9"/>
        <v>1727</v>
      </c>
      <c r="AL18" s="21"/>
      <c r="AM18" s="6"/>
      <c r="AN18" s="35"/>
      <c r="AO18" s="612"/>
      <c r="AP18" s="215"/>
      <c r="AQ18" s="210"/>
      <c r="AR18" s="216"/>
      <c r="AS18" s="730"/>
      <c r="AT18" s="310"/>
      <c r="AU18" s="210"/>
      <c r="AV18" s="500"/>
      <c r="AW18" s="759"/>
      <c r="AX18" s="759"/>
      <c r="AY18" s="394">
        <f>SUM(M18,AG18,BA18)-SUM(O18,AI18,BC18)-L18</f>
        <v>-1582</v>
      </c>
      <c r="AZ18" s="29">
        <f t="shared" si="16"/>
        <v>1727</v>
      </c>
      <c r="BA18" s="298">
        <f>BA5</f>
        <v>145</v>
      </c>
      <c r="BB18" s="5">
        <f t="shared" si="17"/>
        <v>-1582</v>
      </c>
      <c r="BC18" s="256"/>
      <c r="BD18" s="303">
        <f>BD5</f>
        <v>145</v>
      </c>
      <c r="BE18" s="231">
        <f t="shared" si="10"/>
        <v>1582</v>
      </c>
      <c r="BF18" s="21"/>
      <c r="BG18" s="6"/>
      <c r="BH18" s="216"/>
      <c r="BI18" s="730"/>
      <c r="BJ18" s="310"/>
      <c r="BK18" s="6"/>
      <c r="BL18" s="216"/>
      <c r="BM18" s="730"/>
      <c r="BN18" s="21"/>
      <c r="BO18" s="6"/>
      <c r="BP18" s="35"/>
      <c r="BQ18" s="736"/>
      <c r="BR18" s="736"/>
      <c r="BS18" s="394">
        <f>SUM(M18,AG18,BA18,BU18)-SUM(O18,AI18,BC18,BW18)-L18</f>
        <v>-902</v>
      </c>
      <c r="BT18" s="29">
        <f t="shared" si="18"/>
        <v>1582</v>
      </c>
      <c r="BU18" s="298">
        <f>BU5</f>
        <v>680</v>
      </c>
      <c r="BV18" s="5">
        <f t="shared" si="19"/>
        <v>-902</v>
      </c>
      <c r="BW18" s="256"/>
      <c r="BX18" s="303">
        <f>BX5</f>
        <v>494</v>
      </c>
      <c r="BY18" s="231">
        <f t="shared" si="11"/>
        <v>1088</v>
      </c>
      <c r="BZ18" s="215"/>
      <c r="CA18" s="6"/>
      <c r="CB18" s="271"/>
      <c r="CC18" s="814"/>
      <c r="CD18" s="215"/>
      <c r="CE18" s="6"/>
      <c r="CF18" s="271"/>
      <c r="CG18" s="814"/>
      <c r="CH18" s="310"/>
      <c r="CI18" s="210"/>
      <c r="CJ18" s="414"/>
      <c r="CK18" s="839"/>
      <c r="CL18" s="839"/>
      <c r="CM18" s="394">
        <f>SUM(M18,AG18,BA18,BU18,CO18)-SUM(O18,AI18,BC18,BW18,CQ18)-L18</f>
        <v>-902</v>
      </c>
      <c r="CN18" s="29">
        <f t="shared" si="20"/>
        <v>1088</v>
      </c>
      <c r="CO18" s="298">
        <f>CO5</f>
        <v>0</v>
      </c>
      <c r="CP18" s="5">
        <f t="shared" si="21"/>
        <v>-1088</v>
      </c>
      <c r="CQ18" s="258"/>
      <c r="CR18" s="303">
        <f>CR5</f>
        <v>0</v>
      </c>
      <c r="CS18" s="231">
        <f t="shared" si="12"/>
        <v>1088</v>
      </c>
      <c r="CT18" s="215"/>
      <c r="CU18" s="6"/>
      <c r="CV18" s="257"/>
      <c r="CW18" s="755"/>
      <c r="CX18" s="215"/>
      <c r="CY18" s="199"/>
      <c r="CZ18" s="148"/>
      <c r="DA18" s="734"/>
      <c r="DB18" s="21"/>
      <c r="DC18" s="6"/>
      <c r="DD18" s="35"/>
      <c r="DE18" s="736"/>
      <c r="DF18" s="736"/>
      <c r="DG18" s="394">
        <f>SUM(M18,AG18,BA18,BU18,DI18)-SUM(O18,AI18,BC18,BW18,CQ18)-L18</f>
        <v>-902</v>
      </c>
      <c r="DH18" s="29">
        <f t="shared" si="13"/>
        <v>1088</v>
      </c>
      <c r="DI18" s="298">
        <f>DI5</f>
        <v>0</v>
      </c>
      <c r="DJ18" s="5">
        <f t="shared" si="22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3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>SUM(M19,AG19,BA19,BU19)-L19</f>
        <v>-902</v>
      </c>
      <c r="K19" s="394">
        <f t="shared" si="7"/>
        <v>-1917</v>
      </c>
      <c r="L19" s="544">
        <v>1950</v>
      </c>
      <c r="M19" s="298">
        <f>M5</f>
        <v>33</v>
      </c>
      <c r="N19" s="5">
        <f t="shared" si="14"/>
        <v>-1917</v>
      </c>
      <c r="O19" s="258"/>
      <c r="P19" s="376">
        <f>P5</f>
        <v>33</v>
      </c>
      <c r="Q19" s="231">
        <f t="shared" si="8"/>
        <v>1917</v>
      </c>
      <c r="R19" s="448"/>
      <c r="S19" s="413"/>
      <c r="T19" s="414"/>
      <c r="U19" s="732"/>
      <c r="V19" s="499"/>
      <c r="W19" s="413"/>
      <c r="X19" s="500"/>
      <c r="Y19" s="740"/>
      <c r="Z19" s="499"/>
      <c r="AA19" s="413"/>
      <c r="AB19" s="500"/>
      <c r="AC19" s="759"/>
      <c r="AD19" s="759"/>
      <c r="AE19" s="394">
        <f>SUM(M19,AG19)-SUM(O19,AI19)-L19</f>
        <v>-1727</v>
      </c>
      <c r="AF19" s="29">
        <f>Q19</f>
        <v>1917</v>
      </c>
      <c r="AG19" s="298">
        <f>AG5</f>
        <v>190</v>
      </c>
      <c r="AH19" s="5">
        <f t="shared" si="15"/>
        <v>-1727</v>
      </c>
      <c r="AI19" s="258"/>
      <c r="AJ19" s="376">
        <f>AJ5</f>
        <v>190</v>
      </c>
      <c r="AK19" s="231">
        <f t="shared" si="9"/>
        <v>1727</v>
      </c>
      <c r="AL19" s="131"/>
      <c r="AM19" s="413"/>
      <c r="AN19" s="500"/>
      <c r="AO19" s="740"/>
      <c r="AP19" s="501"/>
      <c r="AQ19" s="413"/>
      <c r="AR19" s="500"/>
      <c r="AS19" s="740"/>
      <c r="AT19" s="499"/>
      <c r="AU19" s="413"/>
      <c r="AV19" s="500"/>
      <c r="AW19" s="759"/>
      <c r="AX19" s="759"/>
      <c r="AY19" s="394">
        <f>SUM(M19,AG19,BA19)-SUM(O19,AI19,BC19)-L19</f>
        <v>-1582</v>
      </c>
      <c r="AZ19" s="29">
        <f t="shared" si="16"/>
        <v>1727</v>
      </c>
      <c r="BA19" s="298">
        <f>BA5</f>
        <v>145</v>
      </c>
      <c r="BB19" s="5">
        <f t="shared" si="17"/>
        <v>-1582</v>
      </c>
      <c r="BC19" s="256"/>
      <c r="BD19" s="376">
        <f>BD5</f>
        <v>145</v>
      </c>
      <c r="BE19" s="231">
        <f t="shared" si="10"/>
        <v>1582</v>
      </c>
      <c r="BF19" s="555"/>
      <c r="BG19" s="210"/>
      <c r="BH19" s="35"/>
      <c r="BI19" s="735"/>
      <c r="BJ19" s="499"/>
      <c r="BK19" s="210"/>
      <c r="BL19" s="35"/>
      <c r="BM19" s="735"/>
      <c r="BN19" s="131"/>
      <c r="BO19" s="210"/>
      <c r="BP19" s="35"/>
      <c r="BQ19" s="736"/>
      <c r="BR19" s="736"/>
      <c r="BS19" s="394">
        <f>SUM(M19,AG19,BA19,BU19)-SUM(O19,AI19,BC19,BW19)-L19</f>
        <v>-902</v>
      </c>
      <c r="BT19" s="29">
        <f t="shared" si="18"/>
        <v>1582</v>
      </c>
      <c r="BU19" s="298">
        <f>BU5</f>
        <v>680</v>
      </c>
      <c r="BV19" s="5">
        <f t="shared" si="19"/>
        <v>-902</v>
      </c>
      <c r="BW19" s="256"/>
      <c r="BX19" s="376">
        <f>BX5</f>
        <v>494</v>
      </c>
      <c r="BY19" s="231">
        <f t="shared" si="11"/>
        <v>1088</v>
      </c>
      <c r="BZ19" s="291"/>
      <c r="CA19" s="210"/>
      <c r="CB19" s="35"/>
      <c r="CC19" s="735"/>
      <c r="CD19" s="291"/>
      <c r="CE19" s="210"/>
      <c r="CF19" s="35"/>
      <c r="CG19" s="735"/>
      <c r="CH19" s="499"/>
      <c r="CI19" s="413"/>
      <c r="CJ19" s="414"/>
      <c r="CK19" s="839"/>
      <c r="CL19" s="839"/>
      <c r="CM19" s="394">
        <f>SUM(M19,AG19,BA19,BU19,CO19)-SUM(O19,AI19,BC19,BW19,CQ19)-L19</f>
        <v>-902</v>
      </c>
      <c r="CN19" s="29">
        <f t="shared" si="20"/>
        <v>1088</v>
      </c>
      <c r="CO19" s="298">
        <f>CO5</f>
        <v>0</v>
      </c>
      <c r="CP19" s="5">
        <f t="shared" si="21"/>
        <v>-1088</v>
      </c>
      <c r="CQ19" s="258"/>
      <c r="CR19" s="376">
        <f>CR5</f>
        <v>0</v>
      </c>
      <c r="CS19" s="231">
        <f t="shared" si="12"/>
        <v>1088</v>
      </c>
      <c r="CT19" s="291"/>
      <c r="CU19" s="130"/>
      <c r="CV19" s="467"/>
      <c r="CW19" s="798"/>
      <c r="CX19" s="501"/>
      <c r="CY19" s="292"/>
      <c r="CZ19" s="502"/>
      <c r="DA19" s="822"/>
      <c r="DB19" s="131"/>
      <c r="DC19" s="130"/>
      <c r="DD19" s="79"/>
      <c r="DE19" s="750"/>
      <c r="DF19" s="750"/>
      <c r="DG19" s="394">
        <f>SUM(M19,AG19,BA19,BU19,DI19)-SUM(O19,AI19,BC19,BW19,CQ19)-L19</f>
        <v>-902</v>
      </c>
      <c r="DH19" s="29">
        <f t="shared" si="13"/>
        <v>1088</v>
      </c>
      <c r="DI19" s="298">
        <f>DI5</f>
        <v>0</v>
      </c>
      <c r="DJ19" s="5">
        <f t="shared" si="22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3">
      <c r="A20" s="75"/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>SUM(M20,AG20,BA20,BU20)-L20</f>
        <v>-901</v>
      </c>
      <c r="K20" s="394">
        <f t="shared" si="7"/>
        <v>-1916</v>
      </c>
      <c r="L20" s="544">
        <v>1949</v>
      </c>
      <c r="M20" s="298">
        <f>M5</f>
        <v>33</v>
      </c>
      <c r="N20" s="5">
        <f t="shared" si="14"/>
        <v>-1916</v>
      </c>
      <c r="O20" s="258"/>
      <c r="P20" s="376">
        <f>P5</f>
        <v>33</v>
      </c>
      <c r="Q20" s="231">
        <f t="shared" si="8"/>
        <v>1916</v>
      </c>
      <c r="R20" s="448"/>
      <c r="S20" s="413"/>
      <c r="T20" s="414"/>
      <c r="U20" s="732"/>
      <c r="V20" s="499"/>
      <c r="W20" s="413"/>
      <c r="X20" s="500"/>
      <c r="Y20" s="740"/>
      <c r="Z20" s="499"/>
      <c r="AA20" s="413"/>
      <c r="AB20" s="500"/>
      <c r="AC20" s="759"/>
      <c r="AD20" s="759"/>
      <c r="AE20" s="394">
        <f>SUM(M20,AG20)-SUM(O20,AI20)-L20</f>
        <v>-1726</v>
      </c>
      <c r="AF20" s="29">
        <f>Q20</f>
        <v>1916</v>
      </c>
      <c r="AG20" s="298">
        <f>AG5</f>
        <v>190</v>
      </c>
      <c r="AH20" s="5">
        <f t="shared" si="15"/>
        <v>-1726</v>
      </c>
      <c r="AI20" s="258"/>
      <c r="AJ20" s="376">
        <f>AJ5</f>
        <v>190</v>
      </c>
      <c r="AK20" s="231">
        <f t="shared" si="9"/>
        <v>1726</v>
      </c>
      <c r="AL20" s="131"/>
      <c r="AM20" s="413"/>
      <c r="AN20" s="500"/>
      <c r="AO20" s="740"/>
      <c r="AP20" s="501"/>
      <c r="AQ20" s="413"/>
      <c r="AR20" s="500"/>
      <c r="AS20" s="740"/>
      <c r="AT20" s="499"/>
      <c r="AU20" s="413"/>
      <c r="AV20" s="500"/>
      <c r="AW20" s="759"/>
      <c r="AX20" s="759"/>
      <c r="AY20" s="394">
        <f>SUM(M20,AG20,BA20)-SUM(O20,AI20,BC20)-L20</f>
        <v>-1581</v>
      </c>
      <c r="AZ20" s="29">
        <f t="shared" si="16"/>
        <v>1726</v>
      </c>
      <c r="BA20" s="298">
        <f>BA5</f>
        <v>145</v>
      </c>
      <c r="BB20" s="5">
        <f t="shared" si="17"/>
        <v>-1581</v>
      </c>
      <c r="BC20" s="256"/>
      <c r="BD20" s="376">
        <f>BD5</f>
        <v>145</v>
      </c>
      <c r="BE20" s="231">
        <f t="shared" si="10"/>
        <v>1581</v>
      </c>
      <c r="BF20" s="21"/>
      <c r="BG20" s="6"/>
      <c r="BH20" s="216"/>
      <c r="BI20" s="740"/>
      <c r="BJ20" s="499"/>
      <c r="BK20" s="6"/>
      <c r="BL20" s="216"/>
      <c r="BM20" s="740"/>
      <c r="BN20" s="131"/>
      <c r="BO20" s="6"/>
      <c r="BP20" s="216"/>
      <c r="BQ20" s="739"/>
      <c r="BR20" s="739"/>
      <c r="BS20" s="394">
        <f>SUM(M20,AG20,BA20,BU20)-SUM(O20,AI20,BC20,BW20)-L20</f>
        <v>-901</v>
      </c>
      <c r="BT20" s="29">
        <f t="shared" si="18"/>
        <v>1581</v>
      </c>
      <c r="BU20" s="298">
        <f>BU5</f>
        <v>680</v>
      </c>
      <c r="BV20" s="5">
        <f t="shared" si="19"/>
        <v>-901</v>
      </c>
      <c r="BW20" s="256"/>
      <c r="BX20" s="376">
        <f>BX5</f>
        <v>494</v>
      </c>
      <c r="BY20" s="231">
        <f t="shared" si="11"/>
        <v>1087</v>
      </c>
      <c r="BZ20" s="291"/>
      <c r="CA20" s="6"/>
      <c r="CB20" s="216"/>
      <c r="CC20" s="740"/>
      <c r="CD20" s="291"/>
      <c r="CE20" s="6"/>
      <c r="CF20" s="216"/>
      <c r="CG20" s="740"/>
      <c r="CH20" s="499"/>
      <c r="CI20" s="413"/>
      <c r="CJ20" s="414"/>
      <c r="CK20" s="839"/>
      <c r="CL20" s="839"/>
      <c r="CM20" s="394">
        <f>SUM(M20,AG20,BA20,BU20,CO20)-SUM(O20,AI20,BC20,BW20,CQ20)-L20</f>
        <v>-901</v>
      </c>
      <c r="CN20" s="29">
        <f t="shared" si="20"/>
        <v>1087</v>
      </c>
      <c r="CO20" s="298">
        <f>CO5</f>
        <v>0</v>
      </c>
      <c r="CP20" s="5">
        <f t="shared" si="21"/>
        <v>-1087</v>
      </c>
      <c r="CQ20" s="258"/>
      <c r="CR20" s="376">
        <f>CR5</f>
        <v>0</v>
      </c>
      <c r="CS20" s="231">
        <f t="shared" si="12"/>
        <v>1087</v>
      </c>
      <c r="CT20" s="291"/>
      <c r="CU20" s="130"/>
      <c r="CV20" s="467"/>
      <c r="CW20" s="798"/>
      <c r="CX20" s="501"/>
      <c r="CY20" s="292"/>
      <c r="CZ20" s="502"/>
      <c r="DA20" s="822"/>
      <c r="DB20" s="131"/>
      <c r="DC20" s="130"/>
      <c r="DD20" s="79"/>
      <c r="DE20" s="750"/>
      <c r="DF20" s="750"/>
      <c r="DG20" s="394">
        <f>SUM(M20,AG20,BA20,BU20,DI20)-SUM(O20,AI20,BC20,BW20,CQ20)-L20</f>
        <v>-901</v>
      </c>
      <c r="DH20" s="29">
        <f t="shared" si="13"/>
        <v>1087</v>
      </c>
      <c r="DI20" s="298">
        <f>DI5</f>
        <v>0</v>
      </c>
      <c r="DJ20" s="5">
        <f t="shared" si="22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3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>SUM(M21,AG21,BA21,BU21)-L21</f>
        <v>-901</v>
      </c>
      <c r="K21" s="394">
        <f t="shared" si="7"/>
        <v>-1916</v>
      </c>
      <c r="L21" s="544">
        <v>1949</v>
      </c>
      <c r="M21" s="298">
        <f>M5</f>
        <v>33</v>
      </c>
      <c r="N21" s="5">
        <f t="shared" si="14"/>
        <v>-1916</v>
      </c>
      <c r="O21" s="258"/>
      <c r="P21" s="376">
        <f>P5</f>
        <v>33</v>
      </c>
      <c r="Q21" s="231">
        <f t="shared" si="8"/>
        <v>1916</v>
      </c>
      <c r="R21" s="448"/>
      <c r="S21" s="413"/>
      <c r="T21" s="414"/>
      <c r="U21" s="732"/>
      <c r="V21" s="499"/>
      <c r="W21" s="413"/>
      <c r="X21" s="500"/>
      <c r="Y21" s="740"/>
      <c r="Z21" s="499"/>
      <c r="AA21" s="413"/>
      <c r="AB21" s="500"/>
      <c r="AC21" s="759"/>
      <c r="AD21" s="759"/>
      <c r="AE21" s="394">
        <f>SUM(M21,AG21)-SUM(O21,AI21)-L21</f>
        <v>-1726</v>
      </c>
      <c r="AF21" s="29">
        <f>Q21</f>
        <v>1916</v>
      </c>
      <c r="AG21" s="298">
        <f>AG5</f>
        <v>190</v>
      </c>
      <c r="AH21" s="5">
        <f t="shared" si="15"/>
        <v>-1726</v>
      </c>
      <c r="AI21" s="258"/>
      <c r="AJ21" s="376">
        <f>AJ5</f>
        <v>190</v>
      </c>
      <c r="AK21" s="231">
        <f t="shared" si="9"/>
        <v>1726</v>
      </c>
      <c r="AL21" s="131"/>
      <c r="AM21" s="413"/>
      <c r="AN21" s="500"/>
      <c r="AO21" s="740"/>
      <c r="AP21" s="501"/>
      <c r="AQ21" s="413"/>
      <c r="AR21" s="500"/>
      <c r="AS21" s="740"/>
      <c r="AT21" s="499"/>
      <c r="AU21" s="413"/>
      <c r="AV21" s="500"/>
      <c r="AW21" s="759"/>
      <c r="AX21" s="759"/>
      <c r="AY21" s="394">
        <f>SUM(M21,AG21,BA21)-SUM(O21,AI21,BC21)-L21</f>
        <v>-1581</v>
      </c>
      <c r="AZ21" s="29">
        <f t="shared" si="16"/>
        <v>1726</v>
      </c>
      <c r="BA21" s="298">
        <f>BA5</f>
        <v>145</v>
      </c>
      <c r="BB21" s="5">
        <f t="shared" si="17"/>
        <v>-1581</v>
      </c>
      <c r="BC21" s="256"/>
      <c r="BD21" s="376">
        <f>BD5</f>
        <v>145</v>
      </c>
      <c r="BE21" s="231">
        <f t="shared" si="10"/>
        <v>1581</v>
      </c>
      <c r="BF21" s="499"/>
      <c r="BG21" s="499"/>
      <c r="BH21" s="35"/>
      <c r="BI21" s="735"/>
      <c r="BJ21" s="499"/>
      <c r="BK21" s="499"/>
      <c r="BL21" s="35"/>
      <c r="BM21" s="735"/>
      <c r="BN21" s="131"/>
      <c r="BO21" s="499"/>
      <c r="BP21" s="35"/>
      <c r="BQ21" s="736"/>
      <c r="BR21" s="736"/>
      <c r="BS21" s="394">
        <f>SUM(M21,AG21,BA21,BU21)-SUM(O21,AI21,BC21,BW21)-L21</f>
        <v>-901</v>
      </c>
      <c r="BT21" s="29">
        <f t="shared" si="18"/>
        <v>1581</v>
      </c>
      <c r="BU21" s="298">
        <f>BU5</f>
        <v>680</v>
      </c>
      <c r="BV21" s="5">
        <f t="shared" si="19"/>
        <v>-901</v>
      </c>
      <c r="BW21" s="256"/>
      <c r="BX21" s="376">
        <f>BX5</f>
        <v>494</v>
      </c>
      <c r="BY21" s="231">
        <f t="shared" si="11"/>
        <v>1087</v>
      </c>
      <c r="BZ21" s="291"/>
      <c r="CA21" s="499"/>
      <c r="CB21" s="35"/>
      <c r="CC21" s="735"/>
      <c r="CD21" s="291"/>
      <c r="CE21" s="499"/>
      <c r="CF21" s="35"/>
      <c r="CG21" s="735"/>
      <c r="CH21" s="499"/>
      <c r="CI21" s="413"/>
      <c r="CJ21" s="414"/>
      <c r="CK21" s="839"/>
      <c r="CL21" s="839"/>
      <c r="CM21" s="394">
        <f>SUM(M21,AG21,BA21,BU21,CO21)-SUM(O21,AI21,BC21,BW21,CQ21)-L21</f>
        <v>-901</v>
      </c>
      <c r="CN21" s="29">
        <f t="shared" si="20"/>
        <v>1087</v>
      </c>
      <c r="CO21" s="298">
        <f>CO5</f>
        <v>0</v>
      </c>
      <c r="CP21" s="5">
        <f t="shared" si="21"/>
        <v>-1087</v>
      </c>
      <c r="CQ21" s="258"/>
      <c r="CR21" s="376">
        <f>CR5</f>
        <v>0</v>
      </c>
      <c r="CS21" s="231">
        <f t="shared" si="12"/>
        <v>1087</v>
      </c>
      <c r="CT21" s="291"/>
      <c r="CU21" s="130"/>
      <c r="CV21" s="467"/>
      <c r="CW21" s="798"/>
      <c r="CX21" s="501"/>
      <c r="CY21" s="292"/>
      <c r="CZ21" s="502"/>
      <c r="DA21" s="822"/>
      <c r="DB21" s="131"/>
      <c r="DC21" s="130"/>
      <c r="DD21" s="79"/>
      <c r="DE21" s="750"/>
      <c r="DF21" s="750"/>
      <c r="DG21" s="394">
        <f>SUM(M21,AG21,BA21,BU21,DI21)-SUM(O21,AI21,BC21,BW21,CQ21)-L21</f>
        <v>-901</v>
      </c>
      <c r="DH21" s="29">
        <f t="shared" si="13"/>
        <v>1087</v>
      </c>
      <c r="DI21" s="298">
        <f>DI5</f>
        <v>0</v>
      </c>
      <c r="DJ21" s="5">
        <f t="shared" si="22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3">
      <c r="A22" s="75"/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>SUM(M22,AG22,BA22,BU22)-L22</f>
        <v>-905</v>
      </c>
      <c r="K22" s="394">
        <f t="shared" si="7"/>
        <v>-1920</v>
      </c>
      <c r="L22" s="544">
        <v>1953</v>
      </c>
      <c r="M22" s="298">
        <f>M5</f>
        <v>33</v>
      </c>
      <c r="N22" s="5">
        <f t="shared" si="14"/>
        <v>-1920</v>
      </c>
      <c r="O22" s="258"/>
      <c r="P22" s="376">
        <f>P5</f>
        <v>33</v>
      </c>
      <c r="Q22" s="231">
        <f t="shared" si="8"/>
        <v>1920</v>
      </c>
      <c r="R22" s="448"/>
      <c r="S22" s="413"/>
      <c r="T22" s="414"/>
      <c r="U22" s="732"/>
      <c r="V22" s="499"/>
      <c r="W22" s="413"/>
      <c r="X22" s="500"/>
      <c r="Y22" s="740"/>
      <c r="Z22" s="499"/>
      <c r="AA22" s="413"/>
      <c r="AB22" s="500"/>
      <c r="AC22" s="759"/>
      <c r="AD22" s="759"/>
      <c r="AE22" s="394">
        <f>SUM(M22,AG22)-SUM(O22,AI22)-L22</f>
        <v>-1730</v>
      </c>
      <c r="AF22" s="29">
        <f>Q22</f>
        <v>1920</v>
      </c>
      <c r="AG22" s="298">
        <f>AG5</f>
        <v>190</v>
      </c>
      <c r="AH22" s="5">
        <f t="shared" si="15"/>
        <v>-1730</v>
      </c>
      <c r="AI22" s="258"/>
      <c r="AJ22" s="376">
        <f>AJ5</f>
        <v>190</v>
      </c>
      <c r="AK22" s="231">
        <f t="shared" si="9"/>
        <v>1730</v>
      </c>
      <c r="AL22" s="131"/>
      <c r="AM22" s="413"/>
      <c r="AN22" s="500"/>
      <c r="AO22" s="740"/>
      <c r="AP22" s="501"/>
      <c r="AQ22" s="413"/>
      <c r="AR22" s="500"/>
      <c r="AS22" s="740"/>
      <c r="AT22" s="499"/>
      <c r="AU22" s="413"/>
      <c r="AV22" s="500"/>
      <c r="AW22" s="759"/>
      <c r="AX22" s="759"/>
      <c r="AY22" s="394">
        <f>SUM(M22,AG22,BA22)-SUM(O22,AI22,BC22)-L22</f>
        <v>-1585</v>
      </c>
      <c r="AZ22" s="29">
        <f t="shared" si="16"/>
        <v>1730</v>
      </c>
      <c r="BA22" s="298">
        <f>BA5</f>
        <v>145</v>
      </c>
      <c r="BB22" s="5">
        <f t="shared" si="17"/>
        <v>-1585</v>
      </c>
      <c r="BC22" s="256"/>
      <c r="BD22" s="376">
        <f>BD5</f>
        <v>145</v>
      </c>
      <c r="BE22" s="231">
        <f t="shared" si="10"/>
        <v>1585</v>
      </c>
      <c r="BF22" s="21"/>
      <c r="BG22" s="6"/>
      <c r="BH22" s="216"/>
      <c r="BI22" s="740"/>
      <c r="BJ22" s="499"/>
      <c r="BK22" s="6"/>
      <c r="BL22" s="216"/>
      <c r="BM22" s="740"/>
      <c r="BN22" s="131"/>
      <c r="BO22" s="6"/>
      <c r="BP22" s="216"/>
      <c r="BQ22" s="739"/>
      <c r="BR22" s="739"/>
      <c r="BS22" s="394">
        <f>SUM(M22,AG22,BA22,BU22)-SUM(O22,AI22,BC22,BW22)-L22</f>
        <v>-905</v>
      </c>
      <c r="BT22" s="29">
        <f t="shared" si="18"/>
        <v>1585</v>
      </c>
      <c r="BU22" s="298">
        <f>BU5</f>
        <v>680</v>
      </c>
      <c r="BV22" s="5">
        <f t="shared" si="19"/>
        <v>-905</v>
      </c>
      <c r="BW22" s="256"/>
      <c r="BX22" s="376">
        <f>BX5</f>
        <v>494</v>
      </c>
      <c r="BY22" s="231">
        <f t="shared" si="11"/>
        <v>1091</v>
      </c>
      <c r="BZ22" s="291"/>
      <c r="CA22" s="6"/>
      <c r="CB22" s="216"/>
      <c r="CC22" s="740"/>
      <c r="CD22" s="291"/>
      <c r="CE22" s="6"/>
      <c r="CF22" s="216"/>
      <c r="CG22" s="740"/>
      <c r="CH22" s="499"/>
      <c r="CI22" s="413"/>
      <c r="CJ22" s="414"/>
      <c r="CK22" s="839"/>
      <c r="CL22" s="839"/>
      <c r="CM22" s="394">
        <f>SUM(M22,AG22,BA22,BU22,CO22)-SUM(O22,AI22,BC22,BW22,CQ22)-L22</f>
        <v>-905</v>
      </c>
      <c r="CN22" s="29">
        <f t="shared" si="20"/>
        <v>1091</v>
      </c>
      <c r="CO22" s="298">
        <f>CO5</f>
        <v>0</v>
      </c>
      <c r="CP22" s="5">
        <f t="shared" si="21"/>
        <v>-1091</v>
      </c>
      <c r="CQ22" s="258"/>
      <c r="CR22" s="376">
        <f>CR5</f>
        <v>0</v>
      </c>
      <c r="CS22" s="231">
        <f t="shared" si="12"/>
        <v>1091</v>
      </c>
      <c r="CT22" s="291"/>
      <c r="CU22" s="130"/>
      <c r="CV22" s="467"/>
      <c r="CW22" s="798"/>
      <c r="CX22" s="501"/>
      <c r="CY22" s="292"/>
      <c r="CZ22" s="502"/>
      <c r="DA22" s="822"/>
      <c r="DB22" s="131"/>
      <c r="DC22" s="130"/>
      <c r="DD22" s="79"/>
      <c r="DE22" s="750"/>
      <c r="DF22" s="750"/>
      <c r="DG22" s="394">
        <f>SUM(M22,AG22,BA22,BU22,DI22)-SUM(O22,AI22,BC22,BW22,CQ22)-L22</f>
        <v>-905</v>
      </c>
      <c r="DH22" s="29">
        <f t="shared" si="13"/>
        <v>1091</v>
      </c>
      <c r="DI22" s="298">
        <f>DI5</f>
        <v>0</v>
      </c>
      <c r="DJ22" s="5">
        <f t="shared" si="22"/>
        <v>-1091</v>
      </c>
      <c r="DK22" s="277"/>
      <c r="DL22" s="376">
        <f>DL5</f>
        <v>0</v>
      </c>
      <c r="DM22" s="231">
        <f t="shared" si="5"/>
        <v>1091</v>
      </c>
    </row>
    <row r="23" spans="1:117" ht="15" thickBot="1" x14ac:dyDescent="0.35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>SUM(M23,AG23,BA23,BU23)-L23</f>
        <v>-905</v>
      </c>
      <c r="K23" s="394">
        <f t="shared" si="7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8"/>
        <v>1920</v>
      </c>
      <c r="R23" s="558"/>
      <c r="S23" s="408"/>
      <c r="T23" s="321"/>
      <c r="U23" s="733"/>
      <c r="V23" s="314"/>
      <c r="W23" s="408"/>
      <c r="X23" s="321"/>
      <c r="Y23" s="733"/>
      <c r="Z23" s="314"/>
      <c r="AA23" s="408"/>
      <c r="AB23" s="321"/>
      <c r="AC23" s="759"/>
      <c r="AD23" s="759"/>
      <c r="AE23" s="394">
        <f>SUM(M23,AG23)-SUM(O23,AI23)-L23</f>
        <v>-1730</v>
      </c>
      <c r="AF23" s="29">
        <f>Q23</f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9"/>
        <v>1730</v>
      </c>
      <c r="AL23" s="122"/>
      <c r="AM23" s="408"/>
      <c r="AN23" s="321"/>
      <c r="AO23" s="733"/>
      <c r="AP23" s="314"/>
      <c r="AQ23" s="408"/>
      <c r="AR23" s="321"/>
      <c r="AS23" s="733"/>
      <c r="AT23" s="314"/>
      <c r="AU23" s="408"/>
      <c r="AV23" s="321"/>
      <c r="AW23" s="759"/>
      <c r="AX23" s="759"/>
      <c r="AY23" s="394">
        <f>SUM(M23,AG23,BA23)-SUM(O23,AI23,BC23)-L23</f>
        <v>-1585</v>
      </c>
      <c r="AZ23" s="29">
        <f t="shared" si="16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0"/>
        <v>1585</v>
      </c>
      <c r="BF23" s="314"/>
      <c r="BG23" s="499"/>
      <c r="BH23" s="255"/>
      <c r="BI23" s="806"/>
      <c r="BJ23" s="314"/>
      <c r="BK23" s="499"/>
      <c r="BL23" s="255"/>
      <c r="BM23" s="806"/>
      <c r="BN23" s="122"/>
      <c r="BO23" s="499"/>
      <c r="BP23" s="255"/>
      <c r="BQ23" s="810"/>
      <c r="BR23" s="810"/>
      <c r="BS23" s="394">
        <f>SUM(M23,AG23,BA23,BU23)-SUM(O23,AI23,BC23,BW23)-L23</f>
        <v>-905</v>
      </c>
      <c r="BT23" s="29">
        <f t="shared" si="18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1"/>
        <v>1091</v>
      </c>
      <c r="BZ23" s="200"/>
      <c r="CA23" s="499"/>
      <c r="CB23" s="255"/>
      <c r="CC23" s="806"/>
      <c r="CD23" s="200"/>
      <c r="CE23" s="499"/>
      <c r="CF23" s="255"/>
      <c r="CG23" s="806"/>
      <c r="CH23" s="314"/>
      <c r="CI23" s="408"/>
      <c r="CJ23" s="321"/>
      <c r="CK23" s="759"/>
      <c r="CL23" s="759"/>
      <c r="CM23" s="394">
        <f>SUM(M23,AG23,BA23,BU23,CO23)-SUM(O23,AI23,BC23,BW23,CQ23)-L23</f>
        <v>-905</v>
      </c>
      <c r="CN23" s="29">
        <f t="shared" si="20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2"/>
        <v>1091</v>
      </c>
      <c r="CT23" s="200"/>
      <c r="CU23" s="201"/>
      <c r="CV23" s="36"/>
      <c r="CW23" s="220"/>
      <c r="CX23" s="272"/>
      <c r="CY23" s="201"/>
      <c r="CZ23" s="321"/>
      <c r="DA23" s="733"/>
      <c r="DB23" s="122"/>
      <c r="DC23" s="201"/>
      <c r="DD23" s="36"/>
      <c r="DE23" s="750"/>
      <c r="DF23" s="750"/>
      <c r="DG23" s="394">
        <f>SUM(M23,AG23,BA23,BU23,DI23)-SUM(O23,AI23,BC23,BW23,CQ23)-L23</f>
        <v>-905</v>
      </c>
      <c r="DH23" s="29">
        <f t="shared" si="13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3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x14ac:dyDescent="0.3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7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8"/>
        <v>881</v>
      </c>
      <c r="R25" s="215"/>
      <c r="S25" s="199"/>
      <c r="T25" s="148"/>
      <c r="U25" s="734"/>
      <c r="V25" s="215"/>
      <c r="W25" s="199"/>
      <c r="X25" s="148"/>
      <c r="Y25" s="734"/>
      <c r="Z25" s="21"/>
      <c r="AA25" s="6"/>
      <c r="AB25" s="35"/>
      <c r="AC25" s="736"/>
      <c r="AD25" s="736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23">AF25+AI25-AJ25</f>
        <v>792</v>
      </c>
      <c r="AL25" s="215"/>
      <c r="AM25" s="199"/>
      <c r="AN25" s="148"/>
      <c r="AO25" s="734"/>
      <c r="AP25" s="215"/>
      <c r="AQ25" s="199"/>
      <c r="AR25" s="148"/>
      <c r="AS25" s="734"/>
      <c r="AT25" s="21"/>
      <c r="AU25" s="6"/>
      <c r="AV25" s="35"/>
      <c r="AW25" s="736"/>
      <c r="AX25" s="736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24">AZ25+BC25-BD25</f>
        <v>1163</v>
      </c>
      <c r="BF25" s="215"/>
      <c r="BG25" s="199"/>
      <c r="BH25" s="148"/>
      <c r="BI25" s="734"/>
      <c r="BJ25" s="215"/>
      <c r="BK25" s="199"/>
      <c r="BL25" s="35" t="s">
        <v>796</v>
      </c>
      <c r="BM25" s="612"/>
      <c r="BN25" s="21"/>
      <c r="BO25" s="6"/>
      <c r="BP25" s="35"/>
      <c r="BQ25" s="736"/>
      <c r="BR25" s="736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25">BT25+BW25-BX25</f>
        <v>921</v>
      </c>
      <c r="BZ25" s="549"/>
      <c r="CA25" s="199"/>
      <c r="CB25" s="148" t="s">
        <v>797</v>
      </c>
      <c r="CC25" s="734"/>
      <c r="CD25" s="215"/>
      <c r="CE25" s="199"/>
      <c r="CF25" s="148"/>
      <c r="CG25" s="734"/>
      <c r="CH25" s="21"/>
      <c r="CI25" s="6"/>
      <c r="CJ25" s="35"/>
      <c r="CK25" s="736"/>
      <c r="CL25" s="736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26">CN25+CQ25-CR25</f>
        <v>921</v>
      </c>
      <c r="CT25" s="215"/>
      <c r="CU25" s="199"/>
      <c r="CV25" s="148"/>
      <c r="CW25" s="734"/>
      <c r="CX25" s="215"/>
      <c r="CY25" s="199"/>
      <c r="CZ25" s="148"/>
      <c r="DA25" s="734"/>
      <c r="DB25" s="21"/>
      <c r="DC25" s="6"/>
      <c r="DD25" s="35"/>
      <c r="DE25" s="736"/>
      <c r="DF25" s="736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27">DH25+DK25-DL25</f>
        <v>921</v>
      </c>
    </row>
    <row r="26" spans="1:117" outlineLevel="1" x14ac:dyDescent="0.3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34"/>
      <c r="V26" s="549"/>
      <c r="W26" s="199"/>
      <c r="X26" s="148"/>
      <c r="Y26" s="734"/>
      <c r="Z26" s="21"/>
      <c r="AA26" s="6"/>
      <c r="AB26" s="35"/>
      <c r="AC26" s="736"/>
      <c r="AD26" s="736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34"/>
      <c r="AP26" s="215"/>
      <c r="AQ26" s="199"/>
      <c r="AR26" s="148"/>
      <c r="AS26" s="734"/>
      <c r="AT26" s="21"/>
      <c r="AU26" s="6"/>
      <c r="AV26" s="35"/>
      <c r="AW26" s="736"/>
      <c r="AX26" s="736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34"/>
      <c r="BJ26" s="235"/>
      <c r="BK26" s="199"/>
      <c r="BL26" s="35"/>
      <c r="BM26" s="612"/>
      <c r="BN26" s="527"/>
      <c r="BO26" s="6"/>
      <c r="BP26" s="35"/>
      <c r="BQ26" s="736"/>
      <c r="BR26" s="736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34"/>
      <c r="CD26" s="215"/>
      <c r="CE26" s="199"/>
      <c r="CF26" s="148"/>
      <c r="CG26" s="734"/>
      <c r="CH26" s="21"/>
      <c r="CI26" s="6"/>
      <c r="CJ26" s="35"/>
      <c r="CK26" s="736"/>
      <c r="CL26" s="736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34"/>
      <c r="CX26" s="215"/>
      <c r="CY26" s="199"/>
      <c r="CZ26" s="148"/>
      <c r="DA26" s="734"/>
      <c r="DB26" s="21"/>
      <c r="DC26" s="6"/>
      <c r="DD26" s="35"/>
      <c r="DE26" s="736"/>
      <c r="DF26" s="736"/>
      <c r="DG26" s="394"/>
      <c r="DH26" s="29"/>
      <c r="DI26" s="298"/>
      <c r="DJ26" s="5"/>
      <c r="DK26" s="240"/>
      <c r="DL26" s="303"/>
      <c r="DM26" s="231"/>
    </row>
    <row r="27" spans="1:117" outlineLevel="1" x14ac:dyDescent="0.3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34"/>
      <c r="V27" s="549"/>
      <c r="W27" s="199"/>
      <c r="X27" s="148"/>
      <c r="Y27" s="734"/>
      <c r="Z27" s="21"/>
      <c r="AA27" s="6"/>
      <c r="AB27" s="35"/>
      <c r="AC27" s="736"/>
      <c r="AD27" s="736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34"/>
      <c r="AP27" s="215"/>
      <c r="AQ27" s="199"/>
      <c r="AR27" s="148"/>
      <c r="AS27" s="734"/>
      <c r="AT27" s="21"/>
      <c r="AU27" s="6"/>
      <c r="AV27" s="35"/>
      <c r="AW27" s="736"/>
      <c r="AX27" s="736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28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36"/>
      <c r="BR27" s="736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29">BT27+BW27-BX27</f>
        <v>-11.29999999999999</v>
      </c>
      <c r="BZ27" s="549"/>
      <c r="CA27" s="199"/>
      <c r="CB27" s="148"/>
      <c r="CC27" s="734"/>
      <c r="CD27" s="215"/>
      <c r="CE27" s="199"/>
      <c r="CF27" s="148"/>
      <c r="CG27" s="734"/>
      <c r="CH27" s="21"/>
      <c r="CI27" s="6"/>
      <c r="CJ27" s="35"/>
      <c r="CK27" s="736"/>
      <c r="CL27" s="736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34"/>
      <c r="CX27" s="215"/>
      <c r="CY27" s="199"/>
      <c r="CZ27" s="148"/>
      <c r="DA27" s="734"/>
      <c r="DB27" s="21"/>
      <c r="DC27" s="6"/>
      <c r="DD27" s="35"/>
      <c r="DE27" s="736"/>
      <c r="DF27" s="736"/>
      <c r="DG27" s="394"/>
      <c r="DH27" s="29"/>
      <c r="DI27" s="298"/>
      <c r="DJ27" s="5"/>
      <c r="DK27" s="240"/>
      <c r="DL27" s="303"/>
      <c r="DM27" s="231"/>
    </row>
    <row r="28" spans="1:117" outlineLevel="1" x14ac:dyDescent="0.3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34"/>
      <c r="V28" s="549"/>
      <c r="W28" s="199"/>
      <c r="X28" s="148"/>
      <c r="Y28" s="734"/>
      <c r="Z28" s="21"/>
      <c r="AA28" s="6"/>
      <c r="AB28" s="35"/>
      <c r="AC28" s="736"/>
      <c r="AD28" s="736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34"/>
      <c r="AP28" s="215"/>
      <c r="AQ28" s="199"/>
      <c r="AR28" s="148"/>
      <c r="AS28" s="734"/>
      <c r="AT28" s="21"/>
      <c r="AU28" s="6"/>
      <c r="AV28" s="35"/>
      <c r="AW28" s="736"/>
      <c r="AX28" s="736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34"/>
      <c r="BJ28" s="235"/>
      <c r="BK28" s="199"/>
      <c r="BL28" s="35"/>
      <c r="BM28" s="612"/>
      <c r="BN28" s="527"/>
      <c r="BO28" s="6"/>
      <c r="BP28" s="35"/>
      <c r="BQ28" s="736"/>
      <c r="BR28" s="736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0">BT28+BW28-BX28</f>
        <v>1758</v>
      </c>
      <c r="BZ28" s="549"/>
      <c r="CA28" s="199"/>
      <c r="CB28" s="148"/>
      <c r="CC28" s="734"/>
      <c r="CD28" s="215"/>
      <c r="CE28" s="199"/>
      <c r="CF28" s="148"/>
      <c r="CG28" s="734"/>
      <c r="CH28" s="21"/>
      <c r="CI28" s="6"/>
      <c r="CJ28" s="35"/>
      <c r="CK28" s="736"/>
      <c r="CL28" s="736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34"/>
      <c r="CX28" s="215"/>
      <c r="CY28" s="199"/>
      <c r="CZ28" s="148"/>
      <c r="DA28" s="734"/>
      <c r="DB28" s="21"/>
      <c r="DC28" s="6"/>
      <c r="DD28" s="35"/>
      <c r="DE28" s="736"/>
      <c r="DF28" s="736"/>
      <c r="DG28" s="394"/>
      <c r="DH28" s="29"/>
      <c r="DI28" s="298"/>
      <c r="DJ28" s="5"/>
      <c r="DK28" s="240"/>
      <c r="DL28" s="303"/>
      <c r="DM28" s="231"/>
    </row>
    <row r="29" spans="1:117" ht="28.8" x14ac:dyDescent="0.3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>SUM(M29,AG29,BA29,BU29)-L29</f>
        <v>-57</v>
      </c>
      <c r="K29" s="394">
        <f t="shared" si="7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8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31"/>
      <c r="V29" s="549"/>
      <c r="W29" s="210"/>
      <c r="X29" s="216"/>
      <c r="Y29" s="730"/>
      <c r="Z29" s="21"/>
      <c r="AA29" s="569">
        <f>$F$29*50%*150</f>
        <v>30975</v>
      </c>
      <c r="AB29" s="216" t="s">
        <v>702</v>
      </c>
      <c r="AC29" s="739"/>
      <c r="AD29" s="739"/>
      <c r="AE29" s="394">
        <f>SUM(M29,AG29)-SUM(O29,AI29)-L29</f>
        <v>-786</v>
      </c>
      <c r="AF29" s="29">
        <f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23"/>
        <v>792</v>
      </c>
      <c r="AL29" s="21"/>
      <c r="AM29" s="210"/>
      <c r="AN29" s="216"/>
      <c r="AO29" s="730"/>
      <c r="AP29" s="215"/>
      <c r="AQ29" s="210"/>
      <c r="AR29" s="216"/>
      <c r="AS29" s="730"/>
      <c r="AT29" s="215"/>
      <c r="AU29" s="210"/>
      <c r="AV29" s="216"/>
      <c r="AW29" s="739"/>
      <c r="AX29" s="739"/>
      <c r="AY29" s="394">
        <f>SUM(M29,AG29,BA29)-SUM(O29,AI29,BC29)-L29</f>
        <v>-657</v>
      </c>
      <c r="AZ29" s="29">
        <f t="shared" ref="AZ29:AZ37" si="31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24"/>
        <v>663</v>
      </c>
      <c r="BF29" s="310"/>
      <c r="BG29" s="199"/>
      <c r="BH29" s="216"/>
      <c r="BI29" s="730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36"/>
      <c r="BR29" s="736"/>
      <c r="BS29" s="394">
        <f>SUM(M29,AG29,BA29,BU29)-SUM(O29,AI29,BC29,BW29)-L29</f>
        <v>-712</v>
      </c>
      <c r="BT29" s="29">
        <f t="shared" ref="BT29:BT37" si="32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25"/>
        <v>926</v>
      </c>
      <c r="BZ29" s="310"/>
      <c r="CA29" s="663">
        <v>102474.6</v>
      </c>
      <c r="CB29" s="664" t="s">
        <v>793</v>
      </c>
      <c r="CC29" s="809"/>
      <c r="CD29" s="215"/>
      <c r="CE29" s="210"/>
      <c r="CF29" s="216"/>
      <c r="CG29" s="730"/>
      <c r="CH29" s="21"/>
      <c r="CI29" s="210"/>
      <c r="CJ29" s="211"/>
      <c r="CK29" s="758"/>
      <c r="CL29" s="758"/>
      <c r="CM29" s="394">
        <f>SUM(M29,AG29,BA29,BU29,CO29)-SUM(O29,AI29,BC29,BW29,CQ29)-L29</f>
        <v>-712</v>
      </c>
      <c r="CN29" s="29">
        <f t="shared" ref="CN29:CN37" si="33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26"/>
        <v>926</v>
      </c>
      <c r="CT29" s="21"/>
      <c r="CU29" s="210"/>
      <c r="CV29" s="211"/>
      <c r="CW29" s="731"/>
      <c r="CX29" s="215"/>
      <c r="CY29" s="199"/>
      <c r="CZ29" s="148"/>
      <c r="DA29" s="734"/>
      <c r="DB29" s="21"/>
      <c r="DC29" s="6"/>
      <c r="DD29" s="35"/>
      <c r="DE29" s="736"/>
      <c r="DF29" s="736"/>
      <c r="DG29" s="394">
        <f>SUM(M29,AG29,BA29,BU29,DI29)-SUM(O29,AI29,BC29,BW29,CQ29)-L29</f>
        <v>-712</v>
      </c>
      <c r="DH29" s="29">
        <f t="shared" ref="DH29:DH37" si="34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27"/>
        <v>926</v>
      </c>
    </row>
    <row r="30" spans="1:117" ht="28.8" x14ac:dyDescent="0.3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>SUM(M30,AG30,BA30,BU30)-L30</f>
        <v>-455</v>
      </c>
      <c r="K30" s="394">
        <f t="shared" si="7"/>
        <v>-1803</v>
      </c>
      <c r="L30" s="544">
        <v>1835</v>
      </c>
      <c r="M30" s="298">
        <f>M24*2</f>
        <v>32</v>
      </c>
      <c r="N30" s="5">
        <f t="shared" ref="N30:N32" si="35">M30-L30</f>
        <v>-1803</v>
      </c>
      <c r="O30" s="258"/>
      <c r="P30" s="303">
        <f>P24*2</f>
        <v>32</v>
      </c>
      <c r="Q30" s="231">
        <f t="shared" ref="Q30:Q32" si="36">L30+O30-P30</f>
        <v>1803</v>
      </c>
      <c r="R30" s="121"/>
      <c r="S30" s="210"/>
      <c r="T30" s="211"/>
      <c r="U30" s="731"/>
      <c r="V30" s="121"/>
      <c r="W30" s="210"/>
      <c r="X30" s="211"/>
      <c r="Y30" s="731"/>
      <c r="Z30" s="21"/>
      <c r="AA30" s="6"/>
      <c r="AB30" s="35"/>
      <c r="AC30" s="736"/>
      <c r="AD30" s="736"/>
      <c r="AE30" s="394">
        <f>SUM(M30,AG30)-SUM(O30,AI30)-L30</f>
        <v>-1613</v>
      </c>
      <c r="AF30" s="29">
        <f>Q30</f>
        <v>1803</v>
      </c>
      <c r="AG30" s="298">
        <f>AG24*2</f>
        <v>190</v>
      </c>
      <c r="AH30" s="5">
        <f t="shared" ref="AH30:AH32" si="37">AG30-AF30</f>
        <v>-1613</v>
      </c>
      <c r="AI30" s="256"/>
      <c r="AJ30" s="303">
        <f>AJ24*2</f>
        <v>178</v>
      </c>
      <c r="AK30" s="231">
        <f t="shared" si="23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36"/>
      <c r="AX30" s="736"/>
      <c r="AY30" s="394">
        <f>SUM(M30,AG30,BA30)-SUM(O30,AI30,BC30)-L30</f>
        <v>-1355</v>
      </c>
      <c r="AZ30" s="29">
        <f t="shared" si="31"/>
        <v>1625</v>
      </c>
      <c r="BA30" s="298">
        <f>BA24*2</f>
        <v>258</v>
      </c>
      <c r="BB30" s="5">
        <f t="shared" ref="BB30:BB32" si="38">BA30-AZ30</f>
        <v>-1367</v>
      </c>
      <c r="BC30" s="5"/>
      <c r="BD30" s="303">
        <f>BD24*2</f>
        <v>258</v>
      </c>
      <c r="BE30" s="231">
        <f t="shared" si="24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36"/>
      <c r="BR30" s="736"/>
      <c r="BS30" s="394">
        <f>SUM(M30,AG30,BA30,BU30)-SUM(O30,AI30,BC30,BW30)-L30</f>
        <v>-1521</v>
      </c>
      <c r="BT30" s="29">
        <f t="shared" si="32"/>
        <v>1367</v>
      </c>
      <c r="BU30" s="298">
        <f>BU24*2</f>
        <v>900</v>
      </c>
      <c r="BV30" s="5">
        <f t="shared" ref="BV30:BV32" si="39">BU30-BT30</f>
        <v>-467</v>
      </c>
      <c r="BW30" s="258">
        <v>1066</v>
      </c>
      <c r="BX30" s="303">
        <f>BX24*2</f>
        <v>484</v>
      </c>
      <c r="BY30" s="231">
        <f t="shared" si="25"/>
        <v>1949</v>
      </c>
      <c r="BZ30" s="121"/>
      <c r="CA30" s="663">
        <v>153000</v>
      </c>
      <c r="CB30" s="664" t="s">
        <v>880</v>
      </c>
      <c r="CC30" s="809"/>
      <c r="CD30" s="121"/>
      <c r="CE30" s="6"/>
      <c r="CF30" s="35"/>
      <c r="CG30" s="612"/>
      <c r="CH30" s="21"/>
      <c r="CI30" s="6"/>
      <c r="CJ30" s="414"/>
      <c r="CK30" s="839"/>
      <c r="CL30" s="839"/>
      <c r="CM30" s="394">
        <f>SUM(M30,AG30,BA30,BU30,CO30)-SUM(O30,AI30,BC30,BW30,CQ30)-L30</f>
        <v>-1521</v>
      </c>
      <c r="CN30" s="29">
        <f t="shared" si="33"/>
        <v>1949</v>
      </c>
      <c r="CO30" s="298">
        <f>CO24*2</f>
        <v>0</v>
      </c>
      <c r="CP30" s="5">
        <f t="shared" ref="CP30:CP32" si="40">CO30-CN30</f>
        <v>-1949</v>
      </c>
      <c r="CQ30" s="258"/>
      <c r="CR30" s="303">
        <f>CR24*2</f>
        <v>0</v>
      </c>
      <c r="CS30" s="231">
        <f t="shared" si="26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36"/>
      <c r="DF30" s="736"/>
      <c r="DG30" s="394">
        <f>SUM(M30,AG30,BA30,BU30,DI30)-SUM(O30,AI30,BC30,BW30,CQ30)-L30</f>
        <v>-1521</v>
      </c>
      <c r="DH30" s="29">
        <f t="shared" si="34"/>
        <v>1949</v>
      </c>
      <c r="DI30" s="298">
        <f>DI24*2</f>
        <v>0</v>
      </c>
      <c r="DJ30" s="5">
        <f t="shared" ref="DJ30:DJ32" si="41">DI30-DH30</f>
        <v>-1949</v>
      </c>
      <c r="DK30" s="240"/>
      <c r="DL30" s="303">
        <f>DL24*2</f>
        <v>0</v>
      </c>
      <c r="DM30" s="231">
        <f t="shared" si="27"/>
        <v>1949</v>
      </c>
    </row>
    <row r="31" spans="1:117" x14ac:dyDescent="0.3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>SUM(M31,AG31,BA31,BU31)-L31</f>
        <v>-266</v>
      </c>
      <c r="K31" s="394">
        <f t="shared" si="7"/>
        <v>-940</v>
      </c>
      <c r="L31" s="544">
        <v>956</v>
      </c>
      <c r="M31" s="298">
        <f>M24</f>
        <v>16</v>
      </c>
      <c r="N31" s="5">
        <f t="shared" ref="N31" si="42">M31-L31</f>
        <v>-940</v>
      </c>
      <c r="O31" s="258"/>
      <c r="P31" s="303">
        <f>P24</f>
        <v>16</v>
      </c>
      <c r="Q31" s="231">
        <f t="shared" ref="Q31" si="43">L31+O31-P31</f>
        <v>940</v>
      </c>
      <c r="R31" s="21"/>
      <c r="S31" s="210"/>
      <c r="T31" s="211"/>
      <c r="U31" s="731"/>
      <c r="V31" s="21"/>
      <c r="W31" s="210"/>
      <c r="X31" s="211"/>
      <c r="Y31" s="731"/>
      <c r="Z31" s="21"/>
      <c r="AA31" s="6"/>
      <c r="AB31" s="35"/>
      <c r="AC31" s="736"/>
      <c r="AD31" s="736"/>
      <c r="AE31" s="394">
        <f>SUM(M31,AG31)-SUM(O31,AI31)-L31</f>
        <v>-845</v>
      </c>
      <c r="AF31" s="29">
        <f>Q31</f>
        <v>940</v>
      </c>
      <c r="AG31" s="298">
        <f>AG24</f>
        <v>95</v>
      </c>
      <c r="AH31" s="5">
        <f t="shared" ref="AH31" si="44">AG31-AF31</f>
        <v>-845</v>
      </c>
      <c r="AI31" s="256"/>
      <c r="AJ31" s="303">
        <f>AJ24</f>
        <v>89</v>
      </c>
      <c r="AK31" s="231">
        <f t="shared" ref="AK31" si="45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36"/>
      <c r="AX31" s="736"/>
      <c r="AY31" s="394">
        <f>SUM(M31,AG31,BA31)-SUM(O31,AI31,BC31)-L31</f>
        <v>-1221</v>
      </c>
      <c r="AZ31" s="607">
        <v>513</v>
      </c>
      <c r="BA31" s="298">
        <f>BA24</f>
        <v>129</v>
      </c>
      <c r="BB31" s="5">
        <f t="shared" ref="BB31" si="46">BA31-AZ31</f>
        <v>-384</v>
      </c>
      <c r="BC31" s="5">
        <v>505</v>
      </c>
      <c r="BD31" s="303">
        <f>BD24</f>
        <v>129</v>
      </c>
      <c r="BE31" s="231">
        <f t="shared" ref="BE31" si="47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36"/>
      <c r="BR31" s="736"/>
      <c r="BS31" s="394">
        <f>SUM(M31,AG31,BA31,BU31)-SUM(O31,AI31,BC31,BW31)-L31</f>
        <v>-771</v>
      </c>
      <c r="BT31" s="29">
        <f t="shared" ref="BT31" si="48">BE31</f>
        <v>889</v>
      </c>
      <c r="BU31" s="298">
        <f>BU24</f>
        <v>450</v>
      </c>
      <c r="BV31" s="5">
        <f t="shared" ref="BV31" si="49">BU31-BT31</f>
        <v>-439</v>
      </c>
      <c r="BW31" s="256"/>
      <c r="BX31" s="303">
        <f>BX24</f>
        <v>242</v>
      </c>
      <c r="BY31" s="231">
        <f t="shared" ref="BY31" si="50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39"/>
      <c r="CL31" s="839"/>
      <c r="CM31" s="394">
        <f>SUM(M31,AG31,BA31,BU31,CO31)-SUM(O31,AI31,BC31,BW31,CQ31)-L31</f>
        <v>-771</v>
      </c>
      <c r="CN31" s="29">
        <f t="shared" ref="CN31" si="51">BY31</f>
        <v>647</v>
      </c>
      <c r="CO31" s="298">
        <f>CO24</f>
        <v>0</v>
      </c>
      <c r="CP31" s="5">
        <f t="shared" ref="CP31" si="52">CO31-CN31</f>
        <v>-647</v>
      </c>
      <c r="CQ31" s="258"/>
      <c r="CR31" s="303">
        <f>CR24</f>
        <v>0</v>
      </c>
      <c r="CS31" s="231">
        <f t="shared" ref="CS31" si="53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36"/>
      <c r="DF31" s="736"/>
      <c r="DG31" s="394">
        <f>SUM(M31,AG31,BA31,BU31,DI31)-SUM(O31,AI31,BC31,BW31,CQ31)-L31</f>
        <v>-771</v>
      </c>
      <c r="DH31" s="29">
        <f t="shared" si="34"/>
        <v>647</v>
      </c>
      <c r="DI31" s="298">
        <f>DI24</f>
        <v>0</v>
      </c>
      <c r="DJ31" s="5">
        <f t="shared" si="41"/>
        <v>-647</v>
      </c>
      <c r="DK31" s="240"/>
      <c r="DL31" s="303">
        <f>DL24</f>
        <v>0</v>
      </c>
      <c r="DM31" s="231">
        <f t="shared" si="27"/>
        <v>647</v>
      </c>
    </row>
    <row r="32" spans="1:117" ht="32.4" customHeight="1" x14ac:dyDescent="0.3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>SUM(M32,AG32,BA32,BU32)-L32</f>
        <v>-227</v>
      </c>
      <c r="K32" s="394">
        <f t="shared" si="7"/>
        <v>-901</v>
      </c>
      <c r="L32" s="544">
        <v>917</v>
      </c>
      <c r="M32" s="298">
        <f>M24</f>
        <v>16</v>
      </c>
      <c r="N32" s="5">
        <f t="shared" si="35"/>
        <v>-901</v>
      </c>
      <c r="O32" s="244"/>
      <c r="P32" s="303">
        <f>P24</f>
        <v>16</v>
      </c>
      <c r="Q32" s="231">
        <f t="shared" si="36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36"/>
      <c r="AD32" s="736"/>
      <c r="AE32" s="394">
        <f>SUM(M32,AG32)-SUM(O32,AI32)-L32</f>
        <v>-806</v>
      </c>
      <c r="AF32" s="29">
        <f>Q32</f>
        <v>901</v>
      </c>
      <c r="AG32" s="298">
        <f>AG24</f>
        <v>95</v>
      </c>
      <c r="AH32" s="5">
        <f t="shared" si="37"/>
        <v>-806</v>
      </c>
      <c r="AI32" s="258"/>
      <c r="AJ32" s="303">
        <f>AJ24</f>
        <v>89</v>
      </c>
      <c r="AK32" s="231">
        <f t="shared" si="23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36"/>
      <c r="AX32" s="736"/>
      <c r="AY32" s="394">
        <f>SUM(M32,AG32,BA32)-SUM(O32,AI32,BC32)-L32</f>
        <v>-1177</v>
      </c>
      <c r="AZ32" s="607">
        <f t="shared" si="31"/>
        <v>812</v>
      </c>
      <c r="BA32" s="298">
        <f>BA24</f>
        <v>129</v>
      </c>
      <c r="BB32" s="5">
        <f t="shared" si="38"/>
        <v>-683</v>
      </c>
      <c r="BC32" s="5">
        <v>500</v>
      </c>
      <c r="BD32" s="303">
        <f>BD24</f>
        <v>129</v>
      </c>
      <c r="BE32" s="231">
        <f t="shared" si="24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36"/>
      <c r="BR32" s="736"/>
      <c r="BS32" s="394">
        <f>SUM(M32,AG32,BA32,BU32)-SUM(O32,AI32,BC32,BW32)-L32</f>
        <v>-727</v>
      </c>
      <c r="BT32" s="29">
        <f t="shared" si="32"/>
        <v>1183</v>
      </c>
      <c r="BU32" s="298">
        <f>BU24</f>
        <v>450</v>
      </c>
      <c r="BV32" s="5">
        <f t="shared" si="39"/>
        <v>-733</v>
      </c>
      <c r="BW32" s="258"/>
      <c r="BX32" s="303">
        <f>BX24</f>
        <v>242</v>
      </c>
      <c r="BY32" s="231">
        <f t="shared" si="25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36"/>
      <c r="CL32" s="736"/>
      <c r="CM32" s="394">
        <f>SUM(M32,AG32,BA32,BU32,CO32)-SUM(O32,AI32,BC32,BW32,CQ32)-L32</f>
        <v>-727</v>
      </c>
      <c r="CN32" s="29">
        <f t="shared" si="33"/>
        <v>941</v>
      </c>
      <c r="CO32" s="298">
        <f>CO24</f>
        <v>0</v>
      </c>
      <c r="CP32" s="5">
        <f t="shared" si="40"/>
        <v>-941</v>
      </c>
      <c r="CQ32" s="240"/>
      <c r="CR32" s="303">
        <f>CR24</f>
        <v>0</v>
      </c>
      <c r="CS32" s="231">
        <f t="shared" si="26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36"/>
      <c r="DF32" s="736"/>
      <c r="DG32" s="394">
        <f>SUM(M32,AG32,BA32,BU32,DI32)-SUM(O32,AI32,BC32,BW32,CQ32)-L32</f>
        <v>-727</v>
      </c>
      <c r="DH32" s="29">
        <f t="shared" si="34"/>
        <v>941</v>
      </c>
      <c r="DI32" s="298">
        <f>DI24</f>
        <v>0</v>
      </c>
      <c r="DJ32" s="5">
        <f t="shared" si="41"/>
        <v>-941</v>
      </c>
      <c r="DK32" s="240"/>
      <c r="DL32" s="303">
        <f>DL24</f>
        <v>0</v>
      </c>
      <c r="DM32" s="231">
        <f t="shared" si="27"/>
        <v>941</v>
      </c>
    </row>
    <row r="33" spans="1:117" ht="28.8" x14ac:dyDescent="0.3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85"/>
      <c r="J33" s="536">
        <f>SUM(M33,AG33,BA33,BU33)-L33</f>
        <v>-222</v>
      </c>
      <c r="K33" s="394">
        <f t="shared" si="7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35"/>
      <c r="V33" s="129"/>
      <c r="W33" s="130"/>
      <c r="X33" s="79"/>
      <c r="Y33" s="735"/>
      <c r="Z33" s="131"/>
      <c r="AA33" s="130"/>
      <c r="AB33" s="79"/>
      <c r="AC33" s="750"/>
      <c r="AD33" s="750"/>
      <c r="AE33" s="394">
        <f>SUM(M33,AG33)-SUM(O33,AI33)-L33</f>
        <v>-801</v>
      </c>
      <c r="AF33" s="29">
        <f>Q33</f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35"/>
      <c r="AP33" s="129"/>
      <c r="AQ33" s="130"/>
      <c r="AR33" s="79"/>
      <c r="AS33" s="735"/>
      <c r="AT33" s="131"/>
      <c r="AU33" s="130"/>
      <c r="AV33" s="79"/>
      <c r="AW33" s="750"/>
      <c r="AX33" s="750"/>
      <c r="AY33" s="394">
        <f>SUM(M33,AG33,BA33)-SUM(O33,AI33,BC33)-L33</f>
        <v>-672</v>
      </c>
      <c r="AZ33" s="29">
        <f t="shared" si="31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36"/>
      <c r="BR33" s="736"/>
      <c r="BS33" s="394">
        <f>SUM(M33,AG33,BA33,BU33)-SUM(O33,AI33,BC33,BW33)-L33</f>
        <v>-732</v>
      </c>
      <c r="BT33" s="29">
        <f t="shared" si="32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881</v>
      </c>
      <c r="CC33" s="815"/>
      <c r="CD33" s="129"/>
      <c r="CE33" s="199"/>
      <c r="CF33" s="502"/>
      <c r="CG33" s="822"/>
      <c r="CH33" s="131"/>
      <c r="CI33" s="629">
        <v>153612</v>
      </c>
      <c r="CJ33" s="654" t="s">
        <v>887</v>
      </c>
      <c r="CK33" s="830"/>
      <c r="CL33" s="830"/>
      <c r="CM33" s="394">
        <f>SUM(M33,AG33,BA33,BU33,CO33)-SUM(O33,AI33,BC33,BW33,CQ33)-L33</f>
        <v>-732</v>
      </c>
      <c r="CN33" s="29">
        <f t="shared" si="33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35"/>
      <c r="CX33" s="129"/>
      <c r="CY33" s="130"/>
      <c r="CZ33" s="79"/>
      <c r="DA33" s="735"/>
      <c r="DB33" s="131"/>
      <c r="DC33" s="130"/>
      <c r="DD33" s="79"/>
      <c r="DE33" s="750"/>
      <c r="DF33" s="750"/>
      <c r="DG33" s="394">
        <f>SUM(M33,AG33,BA33,BU33,DI33)-SUM(O33,AI33,BC33,BW33,CQ33)-L33</f>
        <v>-732</v>
      </c>
      <c r="DH33" s="29">
        <f t="shared" si="34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3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85"/>
      <c r="J34" s="536">
        <f>SUM(M34,AG34,BA34,BU34)-L34</f>
        <v>-293</v>
      </c>
      <c r="K34" s="394">
        <f t="shared" si="7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35"/>
      <c r="V34" s="129"/>
      <c r="W34" s="130"/>
      <c r="X34" s="79"/>
      <c r="Y34" s="735"/>
      <c r="Z34" s="131"/>
      <c r="AA34" s="130"/>
      <c r="AB34" s="79"/>
      <c r="AC34" s="750"/>
      <c r="AD34" s="750"/>
      <c r="AE34" s="394">
        <f>SUM(M34,AG34)-SUM(O34,AI34)-L34</f>
        <v>-872</v>
      </c>
      <c r="AF34" s="29">
        <f>Q34</f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35"/>
      <c r="AP34" s="129"/>
      <c r="AQ34" s="130"/>
      <c r="AR34" s="79"/>
      <c r="AS34" s="735"/>
      <c r="AT34" s="131"/>
      <c r="AU34" s="130"/>
      <c r="AV34" s="79"/>
      <c r="AW34" s="750"/>
      <c r="AX34" s="750"/>
      <c r="AY34" s="394">
        <f>SUM(M34,AG34,BA34)-SUM(O34,AI34,BC34)-L34</f>
        <v>-743</v>
      </c>
      <c r="AZ34" s="29">
        <f t="shared" si="31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36"/>
      <c r="BR34" s="736"/>
      <c r="BS34" s="394">
        <f>SUM(M34,AG34,BA34,BU34)-SUM(O34,AI34,BC34,BW34)-L34</f>
        <v>-533</v>
      </c>
      <c r="BT34" s="29">
        <f t="shared" si="32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882</v>
      </c>
      <c r="CC34" s="815"/>
      <c r="CD34" s="129"/>
      <c r="CE34" s="672"/>
      <c r="CF34" s="148"/>
      <c r="CG34" s="822"/>
      <c r="CH34" s="131"/>
      <c r="CI34" s="626">
        <v>19872</v>
      </c>
      <c r="CJ34" s="625" t="s">
        <v>882</v>
      </c>
      <c r="CK34" s="818"/>
      <c r="CL34" s="818"/>
      <c r="CM34" s="394">
        <f>SUM(M34,AG34,BA34,BU34,CO34)-SUM(O34,AI34,BC34,BW34,CQ34)-L34</f>
        <v>-533</v>
      </c>
      <c r="CN34" s="29">
        <f t="shared" si="33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35"/>
      <c r="CX34" s="129"/>
      <c r="CY34" s="130"/>
      <c r="CZ34" s="79"/>
      <c r="DA34" s="735"/>
      <c r="DB34" s="131"/>
      <c r="DC34" s="130"/>
      <c r="DD34" s="79"/>
      <c r="DE34" s="750"/>
      <c r="DF34" s="750"/>
      <c r="DG34" s="394">
        <f>SUM(M34,AG34,BA34,BU34,DI34)-SUM(O34,AI34,BC34,BW34,CQ34)-L34</f>
        <v>-533</v>
      </c>
      <c r="DH34" s="29">
        <f t="shared" si="34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3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>SUM(M35,AG35,BA35,BU35)-L35</f>
        <v>-203</v>
      </c>
      <c r="K35" s="394">
        <f t="shared" si="7"/>
        <v>-877</v>
      </c>
      <c r="L35" s="544">
        <v>893</v>
      </c>
      <c r="M35" s="299">
        <f>M24</f>
        <v>16</v>
      </c>
      <c r="N35" s="5">
        <f t="shared" ref="N35:N36" si="54">M35-L35</f>
        <v>-877</v>
      </c>
      <c r="O35" s="256"/>
      <c r="P35" s="376">
        <f>P24</f>
        <v>16</v>
      </c>
      <c r="Q35" s="231">
        <f t="shared" ref="Q35:Q36" si="55">L35+O35-P35</f>
        <v>877</v>
      </c>
      <c r="R35" s="129"/>
      <c r="S35" s="130"/>
      <c r="T35" s="35"/>
      <c r="U35" s="735"/>
      <c r="V35" s="129"/>
      <c r="W35" s="6"/>
      <c r="X35" s="35"/>
      <c r="Y35" s="735"/>
      <c r="Z35" s="129"/>
      <c r="AA35" s="6"/>
      <c r="AB35" s="35"/>
      <c r="AC35" s="736"/>
      <c r="AD35" s="736"/>
      <c r="AE35" s="394">
        <f>SUM(M35,AG35)-SUM(O35,AI35)-L35</f>
        <v>-782</v>
      </c>
      <c r="AF35" s="29">
        <f>Q35</f>
        <v>877</v>
      </c>
      <c r="AG35" s="299">
        <f>AG24</f>
        <v>95</v>
      </c>
      <c r="AH35" s="5">
        <f t="shared" ref="AH35:AH37" si="56">AG35-AF35</f>
        <v>-782</v>
      </c>
      <c r="AI35" s="256"/>
      <c r="AJ35" s="376">
        <f>AJ24</f>
        <v>89</v>
      </c>
      <c r="AK35" s="231">
        <f t="shared" ref="AK35:AK39" si="57">AF35+AI35-AJ35</f>
        <v>788</v>
      </c>
      <c r="AL35" s="129"/>
      <c r="AM35" s="130"/>
      <c r="AN35" s="35"/>
      <c r="AO35" s="735"/>
      <c r="AP35" s="291"/>
      <c r="AQ35" s="130"/>
      <c r="AR35" s="35"/>
      <c r="AS35" s="735"/>
      <c r="AT35" s="448"/>
      <c r="AU35" s="130"/>
      <c r="AV35" s="500"/>
      <c r="AW35" s="759"/>
      <c r="AX35" s="759"/>
      <c r="AY35" s="394">
        <f>SUM(M35,AG35,BA35)-SUM(O35,AI35,BC35)-L35</f>
        <v>-653</v>
      </c>
      <c r="AZ35" s="29">
        <f t="shared" si="31"/>
        <v>788</v>
      </c>
      <c r="BA35" s="299">
        <f>BA24</f>
        <v>129</v>
      </c>
      <c r="BB35" s="5">
        <f t="shared" ref="BB35:BB37" si="58">BA35-AZ35</f>
        <v>-659</v>
      </c>
      <c r="BC35" s="240"/>
      <c r="BD35" s="376">
        <f>BD24</f>
        <v>129</v>
      </c>
      <c r="BE35" s="231">
        <f t="shared" ref="BE35:BE39" si="59">AZ35+BC35-BD35</f>
        <v>659</v>
      </c>
      <c r="BF35" s="129"/>
      <c r="BG35" s="130"/>
      <c r="BH35" s="35"/>
      <c r="BI35" s="735"/>
      <c r="BJ35" s="129"/>
      <c r="BK35" s="130"/>
      <c r="BL35" s="35"/>
      <c r="BM35" s="735"/>
      <c r="BN35" s="131"/>
      <c r="BO35" s="130"/>
      <c r="BP35" s="79"/>
      <c r="BQ35" s="750"/>
      <c r="BR35" s="750"/>
      <c r="BS35" s="394">
        <f>SUM(M35,AG35,BA35,BU35)-SUM(O35,AI35,BC35,BW35)-L35</f>
        <v>-203</v>
      </c>
      <c r="BT35" s="29">
        <f t="shared" si="32"/>
        <v>659</v>
      </c>
      <c r="BU35" s="299">
        <f>BU24</f>
        <v>450</v>
      </c>
      <c r="BV35" s="5">
        <f t="shared" ref="BV35:BV37" si="60">BU35-BT35</f>
        <v>-209</v>
      </c>
      <c r="BW35" s="256"/>
      <c r="BX35" s="376">
        <f>BX24</f>
        <v>242</v>
      </c>
      <c r="BY35" s="231">
        <f t="shared" ref="BY35:BY39" si="61">BT35+BW35-BX35</f>
        <v>417</v>
      </c>
      <c r="BZ35" s="627"/>
      <c r="CA35" s="6"/>
      <c r="CB35" s="79"/>
      <c r="CC35" s="735"/>
      <c r="CD35" s="129"/>
      <c r="CE35" s="130"/>
      <c r="CF35" s="148"/>
      <c r="CG35" s="734"/>
      <c r="CH35" s="310"/>
      <c r="CI35" s="210"/>
      <c r="CJ35" s="414"/>
      <c r="CK35" s="839"/>
      <c r="CL35" s="839"/>
      <c r="CM35" s="394">
        <f>SUM(M35,AG35,BA35,BU35,CO35)-SUM(O35,AI35,BC35,BW35,CQ35)-L35</f>
        <v>-203</v>
      </c>
      <c r="CN35" s="29">
        <f t="shared" si="33"/>
        <v>417</v>
      </c>
      <c r="CO35" s="299">
        <f>CO24</f>
        <v>0</v>
      </c>
      <c r="CP35" s="5">
        <f t="shared" ref="CP35:CP37" si="62">CO35-CN35</f>
        <v>-417</v>
      </c>
      <c r="CQ35" s="256"/>
      <c r="CR35" s="376">
        <f>CR24</f>
        <v>0</v>
      </c>
      <c r="CS35" s="231">
        <f t="shared" ref="CS35:CS39" si="63">CN35+CQ35-CR35</f>
        <v>417</v>
      </c>
      <c r="CT35" s="129"/>
      <c r="CU35" s="130"/>
      <c r="CV35" s="35"/>
      <c r="CW35" s="735"/>
      <c r="CX35" s="129"/>
      <c r="CY35" s="6"/>
      <c r="CZ35" s="35"/>
      <c r="DA35" s="735"/>
      <c r="DB35" s="131"/>
      <c r="DC35" s="130"/>
      <c r="DD35" s="79"/>
      <c r="DE35" s="750"/>
      <c r="DF35" s="750"/>
      <c r="DG35" s="394">
        <f>SUM(M35,AG35,BA35,BU35,DI35)-SUM(O35,AI35,BC35,BW35,CQ35)-L35</f>
        <v>-203</v>
      </c>
      <c r="DH35" s="29">
        <f t="shared" si="34"/>
        <v>417</v>
      </c>
      <c r="DI35" s="299">
        <f>DI24</f>
        <v>0</v>
      </c>
      <c r="DJ35" s="5">
        <f t="shared" ref="DJ35:DJ37" si="64">DI35-DH35</f>
        <v>-417</v>
      </c>
      <c r="DK35" s="244"/>
      <c r="DL35" s="376">
        <f>DL24</f>
        <v>0</v>
      </c>
      <c r="DM35" s="231">
        <f t="shared" ref="DM35:DM39" si="65">DH35+DK35-DL35</f>
        <v>417</v>
      </c>
    </row>
    <row r="36" spans="1:117" x14ac:dyDescent="0.3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>SUM(M36,AG36,BA36,BU36)-L36</f>
        <v>-203</v>
      </c>
      <c r="K36" s="394">
        <f t="shared" si="7"/>
        <v>-877</v>
      </c>
      <c r="L36" s="544">
        <v>893</v>
      </c>
      <c r="M36" s="298">
        <f>M24</f>
        <v>16</v>
      </c>
      <c r="N36" s="5">
        <f t="shared" si="54"/>
        <v>-877</v>
      </c>
      <c r="O36" s="7"/>
      <c r="P36" s="376">
        <f>P24</f>
        <v>16</v>
      </c>
      <c r="Q36" s="231">
        <f t="shared" si="55"/>
        <v>877</v>
      </c>
      <c r="R36" s="129"/>
      <c r="S36" s="130"/>
      <c r="T36" s="35"/>
      <c r="U36" s="735"/>
      <c r="V36" s="129"/>
      <c r="W36" s="130"/>
      <c r="X36" s="500"/>
      <c r="Y36" s="740"/>
      <c r="Z36" s="131"/>
      <c r="AA36" s="130"/>
      <c r="AB36" s="500"/>
      <c r="AC36" s="759"/>
      <c r="AD36" s="759"/>
      <c r="AE36" s="394">
        <f>SUM(M36,AG36)-SUM(O36,AI36)-L36</f>
        <v>-782</v>
      </c>
      <c r="AF36" s="29">
        <f>Q36</f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57"/>
        <v>788</v>
      </c>
      <c r="AL36" s="129"/>
      <c r="AM36" s="130"/>
      <c r="AN36" s="500"/>
      <c r="AO36" s="740"/>
      <c r="AP36" s="129"/>
      <c r="AQ36" s="130"/>
      <c r="AR36" s="500"/>
      <c r="AS36" s="740"/>
      <c r="AT36" s="131"/>
      <c r="AU36" s="130"/>
      <c r="AV36" s="500"/>
      <c r="AW36" s="759"/>
      <c r="AX36" s="759"/>
      <c r="AY36" s="394">
        <f>SUM(M36,AG36,BA36)-SUM(O36,AI36,BC36)-L36</f>
        <v>-653</v>
      </c>
      <c r="AZ36" s="29">
        <f t="shared" si="31"/>
        <v>788</v>
      </c>
      <c r="BA36" s="298">
        <f>BA24</f>
        <v>129</v>
      </c>
      <c r="BB36" s="5">
        <f t="shared" si="58"/>
        <v>-659</v>
      </c>
      <c r="BC36" s="240"/>
      <c r="BD36" s="376">
        <f>BD24</f>
        <v>129</v>
      </c>
      <c r="BE36" s="231">
        <f t="shared" si="59"/>
        <v>659</v>
      </c>
      <c r="BF36" s="556"/>
      <c r="BG36" s="210"/>
      <c r="BH36" s="500"/>
      <c r="BI36" s="740"/>
      <c r="BJ36" s="156">
        <f>648000/2</f>
        <v>324000</v>
      </c>
      <c r="BK36" s="657"/>
      <c r="BL36" s="664" t="s">
        <v>794</v>
      </c>
      <c r="BM36" s="808"/>
      <c r="BN36" s="131"/>
      <c r="BO36" s="210"/>
      <c r="BP36" s="500"/>
      <c r="BQ36" s="759"/>
      <c r="BR36" s="759"/>
      <c r="BS36" s="394">
        <f>SUM(M36,AG36,BA36,BU36)-SUM(O36,AI36,BC36,BW36)-L36</f>
        <v>-703</v>
      </c>
      <c r="BT36" s="29">
        <f t="shared" si="32"/>
        <v>659</v>
      </c>
      <c r="BU36" s="298">
        <f>BU24</f>
        <v>450</v>
      </c>
      <c r="BV36" s="5">
        <f t="shared" si="60"/>
        <v>-209</v>
      </c>
      <c r="BW36" s="644">
        <v>500</v>
      </c>
      <c r="BX36" s="376">
        <f>BX24</f>
        <v>242</v>
      </c>
      <c r="BY36" s="612">
        <f t="shared" si="61"/>
        <v>917</v>
      </c>
      <c r="BZ36" s="627"/>
      <c r="CA36" s="6"/>
      <c r="CB36" s="148"/>
      <c r="CC36" s="734"/>
      <c r="CD36" s="121"/>
      <c r="CE36" s="199"/>
      <c r="CF36" s="502"/>
      <c r="CG36" s="822"/>
      <c r="CH36" s="131"/>
      <c r="CI36" s="629">
        <v>324000</v>
      </c>
      <c r="CJ36" s="654" t="s">
        <v>792</v>
      </c>
      <c r="CK36" s="830"/>
      <c r="CL36" s="830"/>
      <c r="CM36" s="394">
        <f>SUM(M36,AG36,BA36,BU36,CO36)-SUM(O36,AI36,BC36,BW36,CQ36)-L36</f>
        <v>-703</v>
      </c>
      <c r="CN36" s="29">
        <f t="shared" si="33"/>
        <v>917</v>
      </c>
      <c r="CO36" s="298">
        <f>CO24</f>
        <v>0</v>
      </c>
      <c r="CP36" s="5">
        <f t="shared" si="62"/>
        <v>-917</v>
      </c>
      <c r="CQ36" s="258"/>
      <c r="CR36" s="376">
        <f>CR24</f>
        <v>0</v>
      </c>
      <c r="CS36" s="231">
        <f t="shared" si="63"/>
        <v>917</v>
      </c>
      <c r="CT36" s="129"/>
      <c r="CU36" s="130"/>
      <c r="CV36" s="35"/>
      <c r="CW36" s="735"/>
      <c r="CX36" s="129"/>
      <c r="CY36" s="130"/>
      <c r="CZ36" s="79"/>
      <c r="DA36" s="735"/>
      <c r="DB36" s="131"/>
      <c r="DC36" s="130"/>
      <c r="DD36" s="79"/>
      <c r="DE36" s="750"/>
      <c r="DF36" s="750"/>
      <c r="DG36" s="394">
        <f>SUM(M36,AG36,BA36,BU36,DI36)-SUM(O36,AI36,BC36,BW36,CQ36)-L36</f>
        <v>-703</v>
      </c>
      <c r="DH36" s="29">
        <f t="shared" si="34"/>
        <v>917</v>
      </c>
      <c r="DI36" s="298">
        <f>DI24</f>
        <v>0</v>
      </c>
      <c r="DJ36" s="5">
        <f t="shared" si="64"/>
        <v>-917</v>
      </c>
      <c r="DK36" s="244"/>
      <c r="DL36" s="376">
        <f>DL24</f>
        <v>0</v>
      </c>
      <c r="DM36" s="231">
        <f t="shared" si="65"/>
        <v>917</v>
      </c>
    </row>
    <row r="37" spans="1:117" ht="15" thickBot="1" x14ac:dyDescent="0.35">
      <c r="A37" s="19"/>
      <c r="B37" s="92"/>
      <c r="C37" s="19"/>
      <c r="D37" s="12"/>
      <c r="E37" s="12"/>
      <c r="F37" s="146"/>
      <c r="G37" s="49"/>
      <c r="H37" s="61"/>
      <c r="I37" s="785"/>
      <c r="J37" s="536">
        <f>SUM(M37,AG37,BA37,BU37)-L37</f>
        <v>0</v>
      </c>
      <c r="K37" s="394">
        <f t="shared" si="7"/>
        <v>0</v>
      </c>
      <c r="L37" s="29">
        <v>0</v>
      </c>
      <c r="M37" s="301"/>
      <c r="N37" s="5">
        <f t="shared" ref="N37" si="66">M37-L37</f>
        <v>0</v>
      </c>
      <c r="O37" s="241"/>
      <c r="P37" s="241"/>
      <c r="Q37" s="232">
        <f t="shared" ref="Q37:Q39" si="67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C37" s="750"/>
      <c r="AD37" s="750"/>
      <c r="AE37" s="394">
        <f>SUM(M37,AG37)-SUM(O37,AI37)-L37</f>
        <v>0</v>
      </c>
      <c r="AF37" s="29">
        <f>Q37</f>
        <v>0</v>
      </c>
      <c r="AG37" s="301"/>
      <c r="AH37" s="5">
        <f t="shared" si="56"/>
        <v>0</v>
      </c>
      <c r="AI37" s="241"/>
      <c r="AJ37" s="241"/>
      <c r="AK37" s="232">
        <f t="shared" si="57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W37" s="750"/>
      <c r="AX37" s="750"/>
      <c r="AY37" s="394">
        <f>SUM(M37,AG37,BA37)-SUM(O37,AI37,BC37)-L37</f>
        <v>0</v>
      </c>
      <c r="AZ37" s="29">
        <f t="shared" si="31"/>
        <v>0</v>
      </c>
      <c r="BA37" s="301"/>
      <c r="BB37" s="5">
        <f t="shared" si="58"/>
        <v>0</v>
      </c>
      <c r="BC37" s="241"/>
      <c r="BD37" s="241"/>
      <c r="BE37" s="232">
        <f t="shared" si="59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Q37" s="750"/>
      <c r="BR37" s="750"/>
      <c r="BS37" s="394">
        <f>SUM(M37,AG37,BA37,BU37)-SUM(O37,AI37,BC37,BW37)-L37</f>
        <v>0</v>
      </c>
      <c r="BT37" s="29">
        <f t="shared" si="32"/>
        <v>0</v>
      </c>
      <c r="BU37" s="301"/>
      <c r="BV37" s="5">
        <f t="shared" si="60"/>
        <v>0</v>
      </c>
      <c r="BW37" s="241"/>
      <c r="BX37" s="241"/>
      <c r="BY37" s="232">
        <f t="shared" si="61"/>
        <v>0</v>
      </c>
      <c r="BZ37" s="122"/>
      <c r="CA37" s="201"/>
      <c r="CB37" s="36"/>
      <c r="CC37" s="735"/>
      <c r="CD37" s="129"/>
      <c r="CE37" s="201"/>
      <c r="CF37" s="36"/>
      <c r="CG37" s="220"/>
      <c r="CH37" s="122"/>
      <c r="CI37" s="201"/>
      <c r="CJ37" s="36"/>
      <c r="CK37" s="750"/>
      <c r="CL37" s="750"/>
      <c r="CM37" s="394">
        <f>SUM(M37,AG37,BA37,BU37,CO37)-SUM(O37,AI37,BC37,BW37,CQ37)-L37</f>
        <v>0</v>
      </c>
      <c r="CN37" s="29">
        <f t="shared" si="33"/>
        <v>0</v>
      </c>
      <c r="CO37" s="301"/>
      <c r="CP37" s="5">
        <f t="shared" si="62"/>
        <v>0</v>
      </c>
      <c r="CQ37" s="241"/>
      <c r="CR37" s="241"/>
      <c r="CS37" s="232">
        <f t="shared" si="63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E37" s="750"/>
      <c r="DF37" s="750"/>
      <c r="DG37" s="394">
        <f>SUM(M37,AG37,BA37,BU37,DI37)-SUM(O37,AI37,BC37,BW37,CQ37)-L37</f>
        <v>0</v>
      </c>
      <c r="DH37" s="29">
        <f t="shared" si="34"/>
        <v>0</v>
      </c>
      <c r="DI37" s="301"/>
      <c r="DJ37" s="5">
        <f t="shared" si="64"/>
        <v>0</v>
      </c>
      <c r="DK37" s="241"/>
      <c r="DL37" s="241"/>
      <c r="DM37" s="232">
        <f t="shared" si="65"/>
        <v>0</v>
      </c>
    </row>
    <row r="38" spans="1:117" x14ac:dyDescent="0.3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67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>Q38</f>
        <v>24</v>
      </c>
      <c r="AG38" s="56"/>
      <c r="AH38" s="56"/>
      <c r="AI38" s="56"/>
      <c r="AJ38" s="243"/>
      <c r="AK38" s="230">
        <f t="shared" si="57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59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61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63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65"/>
        <v>24</v>
      </c>
    </row>
    <row r="39" spans="1:117" x14ac:dyDescent="0.3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>SUM(M39,AG39,BA39,BU39)-L39</f>
        <v>0</v>
      </c>
      <c r="K39" s="394">
        <f t="shared" si="7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67"/>
        <v>0</v>
      </c>
      <c r="R39" s="215"/>
      <c r="S39" s="199"/>
      <c r="T39" s="148"/>
      <c r="U39" s="734"/>
      <c r="V39" s="215"/>
      <c r="W39" s="199"/>
      <c r="X39" s="148"/>
      <c r="Y39" s="734"/>
      <c r="Z39" s="21"/>
      <c r="AA39" s="6"/>
      <c r="AB39" s="35"/>
      <c r="AC39" s="736"/>
      <c r="AD39" s="736"/>
      <c r="AE39" s="394">
        <f>SUM(M39,AG39)-SUM(O39,AI39)-L39</f>
        <v>0</v>
      </c>
      <c r="AF39" s="29">
        <f>Q39</f>
        <v>0</v>
      </c>
      <c r="AG39" s="5"/>
      <c r="AH39" s="5">
        <f>AG39-AF39</f>
        <v>0</v>
      </c>
      <c r="AI39" s="240"/>
      <c r="AJ39" s="240"/>
      <c r="AK39" s="231">
        <f t="shared" si="57"/>
        <v>0</v>
      </c>
      <c r="AL39" s="215"/>
      <c r="AM39" s="199"/>
      <c r="AN39" s="148"/>
      <c r="AO39" s="734"/>
      <c r="AP39" s="215"/>
      <c r="AQ39" s="199"/>
      <c r="AR39" s="148"/>
      <c r="AS39" s="734"/>
      <c r="AT39" s="21"/>
      <c r="AU39" s="6"/>
      <c r="AV39" s="35"/>
      <c r="AW39" s="736"/>
      <c r="AX39" s="736"/>
      <c r="AY39" s="394">
        <f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59"/>
        <v>0</v>
      </c>
      <c r="BF39" s="215"/>
      <c r="BG39" s="199"/>
      <c r="BH39" s="148"/>
      <c r="BI39" s="734"/>
      <c r="BJ39" s="215"/>
      <c r="BK39" s="199"/>
      <c r="BL39" s="148"/>
      <c r="BM39" s="734"/>
      <c r="BN39" s="21"/>
      <c r="BO39" s="6"/>
      <c r="BP39" s="35"/>
      <c r="BQ39" s="736"/>
      <c r="BR39" s="736"/>
      <c r="BS39" s="394">
        <f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61"/>
        <v>0</v>
      </c>
      <c r="BZ39" s="215"/>
      <c r="CA39" s="199"/>
      <c r="CB39" s="148"/>
      <c r="CC39" s="734"/>
      <c r="CD39" s="215"/>
      <c r="CE39" s="199"/>
      <c r="CF39" s="148"/>
      <c r="CG39" s="734"/>
      <c r="CH39" s="21"/>
      <c r="CI39" s="6"/>
      <c r="CJ39" s="35"/>
      <c r="CK39" s="736"/>
      <c r="CL39" s="736"/>
      <c r="CM39" s="394">
        <f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63"/>
        <v>0</v>
      </c>
      <c r="CT39" s="215"/>
      <c r="CU39" s="199"/>
      <c r="CV39" s="148"/>
      <c r="CW39" s="734"/>
      <c r="CX39" s="215"/>
      <c r="CY39" s="199"/>
      <c r="CZ39" s="148"/>
      <c r="DA39" s="734"/>
      <c r="DB39" s="21"/>
      <c r="DC39" s="6"/>
      <c r="DD39" s="35"/>
      <c r="DE39" s="736"/>
      <c r="DF39" s="736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65"/>
        <v>0</v>
      </c>
    </row>
    <row r="40" spans="1:117" x14ac:dyDescent="0.3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>SUM(M40,AG40,BA40,BU40)-L40</f>
        <v>0</v>
      </c>
      <c r="K40" s="394">
        <f t="shared" si="7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30"/>
      <c r="V40" s="215"/>
      <c r="W40" s="199"/>
      <c r="X40" s="148"/>
      <c r="Y40" s="734"/>
      <c r="Z40" s="21"/>
      <c r="AA40" s="6"/>
      <c r="AB40" s="35"/>
      <c r="AC40" s="736"/>
      <c r="AD40" s="736"/>
      <c r="AE40" s="394">
        <f>SUM(M40,AG40)-SUM(O40,AI40)-L40</f>
        <v>0</v>
      </c>
      <c r="AF40" s="29">
        <f>Q40</f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30"/>
      <c r="AP40" s="215"/>
      <c r="AQ40" s="199"/>
      <c r="AR40" s="148"/>
      <c r="AS40" s="734"/>
      <c r="AT40" s="21"/>
      <c r="AU40" s="6"/>
      <c r="AV40" s="35"/>
      <c r="AW40" s="736"/>
      <c r="AX40" s="736"/>
      <c r="AY40" s="394">
        <f>SUM(M40,AG40,BA40)-SUM(O40,AI40,BC40)-L40</f>
        <v>0</v>
      </c>
      <c r="AZ40" s="29">
        <f t="shared" ref="AZ40:AZ46" si="68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30"/>
      <c r="BJ40" s="215"/>
      <c r="BK40" s="199"/>
      <c r="BL40" s="148"/>
      <c r="BM40" s="734"/>
      <c r="BN40" s="21"/>
      <c r="BO40" s="6"/>
      <c r="BP40" s="35"/>
      <c r="BQ40" s="736"/>
      <c r="BR40" s="736"/>
      <c r="BS40" s="394">
        <f>SUM(M40,AG40,BA40,BU40)-SUM(O40,AI40,BC40,BW40)-L40</f>
        <v>0</v>
      </c>
      <c r="BT40" s="29">
        <f t="shared" ref="BT40:BT46" si="69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30"/>
      <c r="CD40" s="215"/>
      <c r="CE40" s="199"/>
      <c r="CF40" s="148"/>
      <c r="CG40" s="734"/>
      <c r="CH40" s="21"/>
      <c r="CI40" s="6"/>
      <c r="CJ40" s="35"/>
      <c r="CK40" s="736"/>
      <c r="CL40" s="736"/>
      <c r="CM40" s="394">
        <f>SUM(M40,AG40,BA40,BU40,CO40)-SUM(O40,AI40,BC40,BW40,CQ40)-L40</f>
        <v>0</v>
      </c>
      <c r="CN40" s="29">
        <f t="shared" ref="CN40:CN46" si="70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30"/>
      <c r="CX40" s="215"/>
      <c r="CY40" s="199"/>
      <c r="CZ40" s="148"/>
      <c r="DA40" s="734"/>
      <c r="DB40" s="21"/>
      <c r="DC40" s="6"/>
      <c r="DD40" s="35"/>
      <c r="DE40" s="736"/>
      <c r="DF40" s="736"/>
      <c r="DG40" s="394"/>
      <c r="DH40" s="29">
        <f t="shared" ref="DH40:DH46" si="71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3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>SUM(M41,AG41,BA41,BU41)-L41</f>
        <v>-33</v>
      </c>
      <c r="K41" s="394">
        <f t="shared" si="7"/>
        <v>-33</v>
      </c>
      <c r="L41" s="29">
        <v>33</v>
      </c>
      <c r="M41" s="298">
        <f>M38</f>
        <v>0</v>
      </c>
      <c r="N41" s="5">
        <f t="shared" ref="N41:N46" si="72">M41-L41</f>
        <v>-33</v>
      </c>
      <c r="O41" s="256"/>
      <c r="P41" s="303">
        <f>P38</f>
        <v>0</v>
      </c>
      <c r="Q41" s="231">
        <f t="shared" ref="Q41:Q46" si="73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36"/>
      <c r="AD41" s="736"/>
      <c r="AE41" s="394">
        <f>SUM(M41,AG41)-SUM(O41,AI41)-L41</f>
        <v>-33</v>
      </c>
      <c r="AF41" s="29">
        <f>Q41</f>
        <v>33</v>
      </c>
      <c r="AG41" s="298">
        <f>AG38</f>
        <v>0</v>
      </c>
      <c r="AH41" s="5">
        <f t="shared" ref="AH41:AH46" si="74">AG41-AF41</f>
        <v>-33</v>
      </c>
      <c r="AI41" s="240"/>
      <c r="AJ41" s="303">
        <f>AJ38</f>
        <v>0</v>
      </c>
      <c r="AK41" s="231">
        <f t="shared" ref="AK41:AK46" si="75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36"/>
      <c r="AX41" s="736"/>
      <c r="AY41" s="394">
        <f>SUM(M41,AG41,BA41)-SUM(O41,AI41,BC41)-L41</f>
        <v>-33</v>
      </c>
      <c r="AZ41" s="29">
        <f t="shared" si="68"/>
        <v>33</v>
      </c>
      <c r="BA41" s="298">
        <f>BA38</f>
        <v>0</v>
      </c>
      <c r="BB41" s="5">
        <f t="shared" ref="BB41:BB46" si="76">BA41-AZ41</f>
        <v>-33</v>
      </c>
      <c r="BC41" s="256"/>
      <c r="BD41" s="303">
        <f>BD38</f>
        <v>0</v>
      </c>
      <c r="BE41" s="231">
        <f t="shared" ref="BE41:BE46" si="77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36"/>
      <c r="BR41" s="736"/>
      <c r="BS41" s="394">
        <f>SUM(M41,AG41,BA41,BU41)-SUM(O41,AI41,BC41,BW41)-L41</f>
        <v>-33</v>
      </c>
      <c r="BT41" s="29">
        <f t="shared" si="69"/>
        <v>33</v>
      </c>
      <c r="BU41" s="298">
        <f>BU38</f>
        <v>0</v>
      </c>
      <c r="BV41" s="5">
        <f t="shared" ref="BV41:BV46" si="78">BU41-BT41</f>
        <v>-33</v>
      </c>
      <c r="BW41" s="256"/>
      <c r="BX41" s="303">
        <f>BX38</f>
        <v>0</v>
      </c>
      <c r="BY41" s="231">
        <f t="shared" ref="BY41:BY46" si="79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36"/>
      <c r="CL41" s="736"/>
      <c r="CM41" s="394">
        <f>SUM(M41,AG41,BA41,BU41,CO41)-SUM(O41,AI41,BC41,BW41,CQ41)-L41</f>
        <v>-33</v>
      </c>
      <c r="CN41" s="29">
        <f t="shared" si="70"/>
        <v>33</v>
      </c>
      <c r="CO41" s="298">
        <f>CO38</f>
        <v>0</v>
      </c>
      <c r="CP41" s="5">
        <f t="shared" ref="CP41:CP46" si="80">CO41-CN41</f>
        <v>-33</v>
      </c>
      <c r="CQ41" s="240"/>
      <c r="CR41" s="303">
        <f>CR38</f>
        <v>0</v>
      </c>
      <c r="CS41" s="231">
        <f t="shared" ref="CS41:CS46" si="81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36"/>
      <c r="DF41" s="736"/>
      <c r="DG41" s="394"/>
      <c r="DH41" s="29">
        <f t="shared" si="71"/>
        <v>33</v>
      </c>
      <c r="DI41" s="298">
        <f>DI38</f>
        <v>0</v>
      </c>
      <c r="DJ41" s="5">
        <f t="shared" ref="DJ41:DJ46" si="82">DI41-DH41</f>
        <v>-33</v>
      </c>
      <c r="DK41" s="240"/>
      <c r="DL41" s="303">
        <f>DL38</f>
        <v>0</v>
      </c>
      <c r="DM41" s="231">
        <f t="shared" ref="DM41:DM46" si="83">DH41+DK41-DL41</f>
        <v>33</v>
      </c>
    </row>
    <row r="42" spans="1:117" x14ac:dyDescent="0.3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>SUM(M42,AG42,BA42,BU42)-L42</f>
        <v>-33</v>
      </c>
      <c r="K42" s="394">
        <f t="shared" si="7"/>
        <v>-33</v>
      </c>
      <c r="L42" s="29">
        <v>33</v>
      </c>
      <c r="M42" s="298">
        <f>M38</f>
        <v>0</v>
      </c>
      <c r="N42" s="5">
        <f t="shared" si="72"/>
        <v>-33</v>
      </c>
      <c r="O42" s="256"/>
      <c r="P42" s="303">
        <f>P38</f>
        <v>0</v>
      </c>
      <c r="Q42" s="231">
        <f t="shared" si="73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36"/>
      <c r="AD42" s="736"/>
      <c r="AE42" s="394">
        <f>SUM(M42,AG42)-SUM(O42,AI42)-L42</f>
        <v>-33</v>
      </c>
      <c r="AF42" s="29">
        <f>Q42</f>
        <v>33</v>
      </c>
      <c r="AG42" s="298">
        <f>AG38</f>
        <v>0</v>
      </c>
      <c r="AH42" s="5">
        <f t="shared" si="74"/>
        <v>-33</v>
      </c>
      <c r="AI42" s="240"/>
      <c r="AJ42" s="303">
        <f>AJ38</f>
        <v>0</v>
      </c>
      <c r="AK42" s="231">
        <f t="shared" si="75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36"/>
      <c r="AX42" s="736"/>
      <c r="AY42" s="394">
        <f>SUM(M42,AG42,BA42)-SUM(O42,AI42,BC42)-L42</f>
        <v>-33</v>
      </c>
      <c r="AZ42" s="29">
        <f t="shared" si="68"/>
        <v>33</v>
      </c>
      <c r="BA42" s="298">
        <f>BA38</f>
        <v>0</v>
      </c>
      <c r="BB42" s="5">
        <f t="shared" si="76"/>
        <v>-33</v>
      </c>
      <c r="BC42" s="256"/>
      <c r="BD42" s="303">
        <f>BD38</f>
        <v>0</v>
      </c>
      <c r="BE42" s="231">
        <f t="shared" si="77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36"/>
      <c r="BR42" s="736"/>
      <c r="BS42" s="394">
        <f>SUM(M42,AG42,BA42,BU42)-SUM(O42,AI42,BC42,BW42)-L42</f>
        <v>-33</v>
      </c>
      <c r="BT42" s="29">
        <f t="shared" si="69"/>
        <v>33</v>
      </c>
      <c r="BU42" s="298">
        <f>BU38</f>
        <v>0</v>
      </c>
      <c r="BV42" s="5">
        <f t="shared" si="78"/>
        <v>-33</v>
      </c>
      <c r="BW42" s="256"/>
      <c r="BX42" s="303">
        <f>BX38</f>
        <v>0</v>
      </c>
      <c r="BY42" s="231">
        <f t="shared" si="79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36"/>
      <c r="CL42" s="736"/>
      <c r="CM42" s="394">
        <f>SUM(M42,AG42,BA42,BU42,CO42)-SUM(O42,AI42,BC42,BW42,CQ42)-L42</f>
        <v>-33</v>
      </c>
      <c r="CN42" s="29">
        <f t="shared" si="70"/>
        <v>33</v>
      </c>
      <c r="CO42" s="298">
        <f>CO38</f>
        <v>0</v>
      </c>
      <c r="CP42" s="5">
        <f t="shared" si="80"/>
        <v>-33</v>
      </c>
      <c r="CQ42" s="240"/>
      <c r="CR42" s="303">
        <f>CR38</f>
        <v>0</v>
      </c>
      <c r="CS42" s="231">
        <f t="shared" si="81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36"/>
      <c r="DF42" s="736"/>
      <c r="DG42" s="394"/>
      <c r="DH42" s="29">
        <f t="shared" si="71"/>
        <v>33</v>
      </c>
      <c r="DI42" s="298">
        <f>DI38</f>
        <v>0</v>
      </c>
      <c r="DJ42" s="5">
        <f t="shared" si="82"/>
        <v>-33</v>
      </c>
      <c r="DK42" s="240"/>
      <c r="DL42" s="303">
        <f>DL38</f>
        <v>0</v>
      </c>
      <c r="DM42" s="231">
        <f t="shared" si="83"/>
        <v>33</v>
      </c>
    </row>
    <row r="43" spans="1:117" x14ac:dyDescent="0.3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>SUM(M43,AG43,BA43,BU43)-L43</f>
        <v>-33</v>
      </c>
      <c r="K43" s="394">
        <f t="shared" si="7"/>
        <v>-33</v>
      </c>
      <c r="L43" s="29">
        <v>33</v>
      </c>
      <c r="M43" s="299">
        <f>M38</f>
        <v>0</v>
      </c>
      <c r="N43" s="5">
        <f t="shared" si="72"/>
        <v>-33</v>
      </c>
      <c r="O43" s="277"/>
      <c r="P43" s="376">
        <f>P38</f>
        <v>0</v>
      </c>
      <c r="Q43" s="231">
        <f t="shared" si="73"/>
        <v>33</v>
      </c>
      <c r="R43" s="129"/>
      <c r="S43" s="130"/>
      <c r="T43" s="35"/>
      <c r="U43" s="735"/>
      <c r="V43" s="129"/>
      <c r="W43" s="6"/>
      <c r="X43" s="35"/>
      <c r="Y43" s="735"/>
      <c r="Z43" s="131"/>
      <c r="AA43" s="130"/>
      <c r="AB43" s="79"/>
      <c r="AC43" s="750"/>
      <c r="AD43" s="750"/>
      <c r="AE43" s="394">
        <f>SUM(M43,AG43)-SUM(O43,AI43)-L43</f>
        <v>-33</v>
      </c>
      <c r="AF43" s="29">
        <f>Q43</f>
        <v>33</v>
      </c>
      <c r="AG43" s="299">
        <f>AG38</f>
        <v>0</v>
      </c>
      <c r="AH43" s="5">
        <f t="shared" si="74"/>
        <v>-33</v>
      </c>
      <c r="AI43" s="244"/>
      <c r="AJ43" s="376">
        <f>AJ38</f>
        <v>0</v>
      </c>
      <c r="AK43" s="231">
        <f t="shared" si="75"/>
        <v>33</v>
      </c>
      <c r="AL43" s="129"/>
      <c r="AM43" s="130"/>
      <c r="AN43" s="35"/>
      <c r="AO43" s="735"/>
      <c r="AP43" s="129"/>
      <c r="AQ43" s="6"/>
      <c r="AR43" s="35"/>
      <c r="AS43" s="735"/>
      <c r="AT43" s="131"/>
      <c r="AU43" s="130"/>
      <c r="AV43" s="79"/>
      <c r="AW43" s="750"/>
      <c r="AX43" s="750"/>
      <c r="AY43" s="394">
        <f>SUM(M43,AG43,BA43)-SUM(O43,AI43,BC43)-L43</f>
        <v>-33</v>
      </c>
      <c r="AZ43" s="29">
        <f t="shared" si="68"/>
        <v>33</v>
      </c>
      <c r="BA43" s="299">
        <f>BA38</f>
        <v>0</v>
      </c>
      <c r="BB43" s="5">
        <f t="shared" si="76"/>
        <v>-33</v>
      </c>
      <c r="BC43" s="277"/>
      <c r="BD43" s="376">
        <f>BD38</f>
        <v>0</v>
      </c>
      <c r="BE43" s="231">
        <f t="shared" si="77"/>
        <v>33</v>
      </c>
      <c r="BF43" s="129"/>
      <c r="BG43" s="130"/>
      <c r="BH43" s="35"/>
      <c r="BI43" s="735"/>
      <c r="BJ43" s="129"/>
      <c r="BK43" s="6"/>
      <c r="BL43" s="35"/>
      <c r="BM43" s="735"/>
      <c r="BN43" s="131"/>
      <c r="BO43" s="130"/>
      <c r="BP43" s="79"/>
      <c r="BQ43" s="750"/>
      <c r="BR43" s="750"/>
      <c r="BS43" s="394">
        <f>SUM(M43,AG43,BA43,BU43)-SUM(O43,AI43,BC43,BW43)-L43</f>
        <v>-33</v>
      </c>
      <c r="BT43" s="29">
        <f t="shared" si="69"/>
        <v>33</v>
      </c>
      <c r="BU43" s="299">
        <f>BU38</f>
        <v>0</v>
      </c>
      <c r="BV43" s="5">
        <f t="shared" si="78"/>
        <v>-33</v>
      </c>
      <c r="BW43" s="277"/>
      <c r="BX43" s="376">
        <f>BX38</f>
        <v>0</v>
      </c>
      <c r="BY43" s="231">
        <f t="shared" si="79"/>
        <v>33</v>
      </c>
      <c r="BZ43" s="129"/>
      <c r="CA43" s="130"/>
      <c r="CB43" s="35"/>
      <c r="CC43" s="735"/>
      <c r="CD43" s="129"/>
      <c r="CE43" s="6"/>
      <c r="CF43" s="35"/>
      <c r="CG43" s="735"/>
      <c r="CH43" s="131"/>
      <c r="CI43" s="130"/>
      <c r="CJ43" s="79"/>
      <c r="CK43" s="750"/>
      <c r="CL43" s="750"/>
      <c r="CM43" s="394">
        <f>SUM(M43,AG43,BA43,BU43,CO43)-SUM(O43,AI43,BC43,BW43,CQ43)-L43</f>
        <v>-33</v>
      </c>
      <c r="CN43" s="29">
        <f t="shared" si="70"/>
        <v>33</v>
      </c>
      <c r="CO43" s="299">
        <f>CO38</f>
        <v>0</v>
      </c>
      <c r="CP43" s="5">
        <f t="shared" si="80"/>
        <v>-33</v>
      </c>
      <c r="CQ43" s="244"/>
      <c r="CR43" s="376">
        <f>CR38</f>
        <v>0</v>
      </c>
      <c r="CS43" s="231">
        <f t="shared" si="81"/>
        <v>33</v>
      </c>
      <c r="CT43" s="129"/>
      <c r="CU43" s="130"/>
      <c r="CV43" s="35"/>
      <c r="CW43" s="735"/>
      <c r="CX43" s="129"/>
      <c r="CY43" s="6"/>
      <c r="CZ43" s="35"/>
      <c r="DA43" s="735"/>
      <c r="DB43" s="131"/>
      <c r="DC43" s="130"/>
      <c r="DD43" s="79"/>
      <c r="DE43" s="750"/>
      <c r="DF43" s="750"/>
      <c r="DG43" s="394"/>
      <c r="DH43" s="29">
        <f t="shared" si="71"/>
        <v>33</v>
      </c>
      <c r="DI43" s="299">
        <f>DI38</f>
        <v>0</v>
      </c>
      <c r="DJ43" s="5">
        <f t="shared" si="82"/>
        <v>-33</v>
      </c>
      <c r="DK43" s="244"/>
      <c r="DL43" s="376">
        <f>DL38</f>
        <v>0</v>
      </c>
      <c r="DM43" s="231">
        <f t="shared" si="83"/>
        <v>33</v>
      </c>
    </row>
    <row r="44" spans="1:117" x14ac:dyDescent="0.3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85"/>
      <c r="J44" s="534">
        <f>SUM(M44,AG44,BA44,BU44)-L44</f>
        <v>-33</v>
      </c>
      <c r="K44" s="394">
        <f t="shared" si="7"/>
        <v>-33</v>
      </c>
      <c r="L44" s="29">
        <v>33</v>
      </c>
      <c r="M44" s="299">
        <f>M38</f>
        <v>0</v>
      </c>
      <c r="N44" s="5">
        <f t="shared" si="72"/>
        <v>-33</v>
      </c>
      <c r="O44" s="277"/>
      <c r="P44" s="376">
        <f>P38</f>
        <v>0</v>
      </c>
      <c r="Q44" s="231">
        <f t="shared" si="73"/>
        <v>33</v>
      </c>
      <c r="R44" s="129"/>
      <c r="S44" s="130"/>
      <c r="T44" s="35"/>
      <c r="U44" s="735"/>
      <c r="V44" s="129"/>
      <c r="W44" s="130"/>
      <c r="X44" s="79"/>
      <c r="Y44" s="735"/>
      <c r="Z44" s="131"/>
      <c r="AA44" s="130"/>
      <c r="AB44" s="79"/>
      <c r="AC44" s="750"/>
      <c r="AD44" s="750"/>
      <c r="AE44" s="394">
        <f>SUM(M44,AG44)-SUM(O44,AI44)-L44</f>
        <v>-33</v>
      </c>
      <c r="AF44" s="29">
        <f>Q44</f>
        <v>33</v>
      </c>
      <c r="AG44" s="299">
        <f>AG38</f>
        <v>0</v>
      </c>
      <c r="AH44" s="5">
        <f t="shared" si="74"/>
        <v>-33</v>
      </c>
      <c r="AI44" s="244"/>
      <c r="AJ44" s="376">
        <f>AJ38</f>
        <v>0</v>
      </c>
      <c r="AK44" s="231">
        <f t="shared" si="75"/>
        <v>33</v>
      </c>
      <c r="AL44" s="129"/>
      <c r="AM44" s="130"/>
      <c r="AN44" s="35"/>
      <c r="AO44" s="735"/>
      <c r="AP44" s="129"/>
      <c r="AQ44" s="130"/>
      <c r="AR44" s="79"/>
      <c r="AS44" s="735"/>
      <c r="AT44" s="131"/>
      <c r="AU44" s="130"/>
      <c r="AV44" s="79"/>
      <c r="AW44" s="750"/>
      <c r="AX44" s="750"/>
      <c r="AY44" s="394">
        <f>SUM(M44,AG44,BA44)-SUM(O44,AI44,BC44)-L44</f>
        <v>-33</v>
      </c>
      <c r="AZ44" s="29">
        <f t="shared" si="68"/>
        <v>33</v>
      </c>
      <c r="BA44" s="299">
        <f>BA38</f>
        <v>0</v>
      </c>
      <c r="BB44" s="5">
        <f t="shared" si="76"/>
        <v>-33</v>
      </c>
      <c r="BC44" s="277"/>
      <c r="BD44" s="376">
        <f>BD38</f>
        <v>0</v>
      </c>
      <c r="BE44" s="231">
        <f t="shared" si="77"/>
        <v>33</v>
      </c>
      <c r="BF44" s="129"/>
      <c r="BG44" s="130"/>
      <c r="BH44" s="35"/>
      <c r="BI44" s="735"/>
      <c r="BJ44" s="129"/>
      <c r="BK44" s="130"/>
      <c r="BL44" s="79"/>
      <c r="BM44" s="735"/>
      <c r="BN44" s="131"/>
      <c r="BO44" s="130"/>
      <c r="BP44" s="79"/>
      <c r="BQ44" s="750"/>
      <c r="BR44" s="750"/>
      <c r="BS44" s="394">
        <f>SUM(M44,AG44,BA44,BU44)-SUM(O44,AI44,BC44,BW44)-L44</f>
        <v>-33</v>
      </c>
      <c r="BT44" s="29">
        <f t="shared" si="69"/>
        <v>33</v>
      </c>
      <c r="BU44" s="299">
        <f>BU38</f>
        <v>0</v>
      </c>
      <c r="BV44" s="5">
        <f t="shared" si="78"/>
        <v>-33</v>
      </c>
      <c r="BW44" s="277"/>
      <c r="BX44" s="376">
        <f>BX38</f>
        <v>0</v>
      </c>
      <c r="BY44" s="231">
        <f t="shared" si="79"/>
        <v>33</v>
      </c>
      <c r="BZ44" s="129"/>
      <c r="CA44" s="130"/>
      <c r="CB44" s="35"/>
      <c r="CC44" s="735"/>
      <c r="CD44" s="129"/>
      <c r="CE44" s="130"/>
      <c r="CF44" s="79"/>
      <c r="CG44" s="735"/>
      <c r="CH44" s="131"/>
      <c r="CI44" s="130"/>
      <c r="CJ44" s="79"/>
      <c r="CK44" s="750"/>
      <c r="CL44" s="750"/>
      <c r="CM44" s="394">
        <f>SUM(M44,AG44,BA44,BU44,CO44)-SUM(O44,AI44,BC44,BW44,CQ44)-L44</f>
        <v>-33</v>
      </c>
      <c r="CN44" s="29">
        <f t="shared" si="70"/>
        <v>33</v>
      </c>
      <c r="CO44" s="299">
        <f>CO38</f>
        <v>0</v>
      </c>
      <c r="CP44" s="5">
        <f t="shared" si="80"/>
        <v>-33</v>
      </c>
      <c r="CQ44" s="244"/>
      <c r="CR44" s="376">
        <f>CR38</f>
        <v>0</v>
      </c>
      <c r="CS44" s="231">
        <f t="shared" si="81"/>
        <v>33</v>
      </c>
      <c r="CT44" s="129"/>
      <c r="CU44" s="130"/>
      <c r="CV44" s="35"/>
      <c r="CW44" s="735"/>
      <c r="CX44" s="129"/>
      <c r="CY44" s="130"/>
      <c r="CZ44" s="79"/>
      <c r="DA44" s="735"/>
      <c r="DB44" s="131"/>
      <c r="DC44" s="130"/>
      <c r="DD44" s="79"/>
      <c r="DE44" s="750"/>
      <c r="DF44" s="750"/>
      <c r="DG44" s="394"/>
      <c r="DH44" s="29">
        <f t="shared" si="71"/>
        <v>33</v>
      </c>
      <c r="DI44" s="299">
        <f>DI38</f>
        <v>0</v>
      </c>
      <c r="DJ44" s="5">
        <f t="shared" si="82"/>
        <v>-33</v>
      </c>
      <c r="DK44" s="244"/>
      <c r="DL44" s="376">
        <f>DL38</f>
        <v>0</v>
      </c>
      <c r="DM44" s="231">
        <f t="shared" si="83"/>
        <v>33</v>
      </c>
    </row>
    <row r="45" spans="1:117" x14ac:dyDescent="0.3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85"/>
      <c r="J45" s="534">
        <f>SUM(M45,AG45,BA45,BU45)-L45</f>
        <v>-33</v>
      </c>
      <c r="K45" s="394">
        <f t="shared" si="7"/>
        <v>-33</v>
      </c>
      <c r="L45" s="29">
        <v>33</v>
      </c>
      <c r="M45" s="299">
        <f>M38</f>
        <v>0</v>
      </c>
      <c r="N45" s="5">
        <f t="shared" si="72"/>
        <v>-33</v>
      </c>
      <c r="O45" s="277"/>
      <c r="P45" s="376">
        <f>P38</f>
        <v>0</v>
      </c>
      <c r="Q45" s="231">
        <f t="shared" si="73"/>
        <v>33</v>
      </c>
      <c r="R45" s="131"/>
      <c r="S45" s="130"/>
      <c r="T45" s="35"/>
      <c r="U45" s="735"/>
      <c r="V45" s="129"/>
      <c r="W45" s="130"/>
      <c r="X45" s="79"/>
      <c r="Y45" s="735"/>
      <c r="Z45" s="131"/>
      <c r="AA45" s="130"/>
      <c r="AB45" s="79"/>
      <c r="AC45" s="750"/>
      <c r="AD45" s="750"/>
      <c r="AE45" s="394">
        <f>SUM(M45,AG45)-SUM(O45,AI45)-L45</f>
        <v>-33</v>
      </c>
      <c r="AF45" s="29">
        <f>Q45</f>
        <v>33</v>
      </c>
      <c r="AG45" s="299">
        <f>AG38</f>
        <v>0</v>
      </c>
      <c r="AH45" s="5">
        <f t="shared" si="74"/>
        <v>-33</v>
      </c>
      <c r="AI45" s="244"/>
      <c r="AJ45" s="376">
        <f>AJ38</f>
        <v>0</v>
      </c>
      <c r="AK45" s="231">
        <f t="shared" si="75"/>
        <v>33</v>
      </c>
      <c r="AL45" s="131"/>
      <c r="AM45" s="130"/>
      <c r="AN45" s="35"/>
      <c r="AO45" s="735"/>
      <c r="AP45" s="129"/>
      <c r="AQ45" s="130"/>
      <c r="AR45" s="79"/>
      <c r="AS45" s="735"/>
      <c r="AT45" s="131"/>
      <c r="AU45" s="130"/>
      <c r="AV45" s="79"/>
      <c r="AW45" s="750"/>
      <c r="AX45" s="750"/>
      <c r="AY45" s="394">
        <f>SUM(M45,AG45,BA45)-SUM(O45,AI45,BC45)-L45</f>
        <v>-33</v>
      </c>
      <c r="AZ45" s="29">
        <f t="shared" si="68"/>
        <v>33</v>
      </c>
      <c r="BA45" s="299">
        <f>BA38</f>
        <v>0</v>
      </c>
      <c r="BB45" s="5">
        <f t="shared" si="76"/>
        <v>-33</v>
      </c>
      <c r="BC45" s="277"/>
      <c r="BD45" s="376">
        <f>BD38</f>
        <v>0</v>
      </c>
      <c r="BE45" s="231">
        <f t="shared" si="77"/>
        <v>33</v>
      </c>
      <c r="BF45" s="131"/>
      <c r="BG45" s="130"/>
      <c r="BH45" s="35"/>
      <c r="BI45" s="735"/>
      <c r="BJ45" s="129"/>
      <c r="BK45" s="130"/>
      <c r="BL45" s="79"/>
      <c r="BM45" s="735"/>
      <c r="BN45" s="131"/>
      <c r="BO45" s="130"/>
      <c r="BP45" s="79"/>
      <c r="BQ45" s="750"/>
      <c r="BR45" s="750"/>
      <c r="BS45" s="394">
        <f>SUM(M45,AG45,BA45,BU45)-SUM(O45,AI45,BC45,BW45)-L45</f>
        <v>-33</v>
      </c>
      <c r="BT45" s="29">
        <f t="shared" si="69"/>
        <v>33</v>
      </c>
      <c r="BU45" s="299">
        <f>BU38</f>
        <v>0</v>
      </c>
      <c r="BV45" s="5">
        <f t="shared" si="78"/>
        <v>-33</v>
      </c>
      <c r="BW45" s="277"/>
      <c r="BX45" s="376">
        <f>BX38</f>
        <v>0</v>
      </c>
      <c r="BY45" s="231">
        <f t="shared" si="79"/>
        <v>33</v>
      </c>
      <c r="BZ45" s="131"/>
      <c r="CA45" s="130"/>
      <c r="CB45" s="35"/>
      <c r="CC45" s="735"/>
      <c r="CD45" s="129"/>
      <c r="CE45" s="130"/>
      <c r="CF45" s="79"/>
      <c r="CG45" s="735"/>
      <c r="CH45" s="131"/>
      <c r="CI45" s="130"/>
      <c r="CJ45" s="79"/>
      <c r="CK45" s="750"/>
      <c r="CL45" s="750"/>
      <c r="CM45" s="394">
        <f>SUM(M45,AG45,BA45,BU45,CO45)-SUM(O45,AI45,BC45,BW45,CQ45)-L45</f>
        <v>-33</v>
      </c>
      <c r="CN45" s="29">
        <f t="shared" si="70"/>
        <v>33</v>
      </c>
      <c r="CO45" s="299">
        <f>CO38</f>
        <v>0</v>
      </c>
      <c r="CP45" s="5">
        <f t="shared" si="80"/>
        <v>-33</v>
      </c>
      <c r="CQ45" s="244"/>
      <c r="CR45" s="376">
        <f>CR38</f>
        <v>0</v>
      </c>
      <c r="CS45" s="231">
        <f t="shared" si="81"/>
        <v>33</v>
      </c>
      <c r="CT45" s="131"/>
      <c r="CU45" s="130"/>
      <c r="CV45" s="35"/>
      <c r="CW45" s="735"/>
      <c r="CX45" s="129"/>
      <c r="CY45" s="130"/>
      <c r="CZ45" s="79"/>
      <c r="DA45" s="735"/>
      <c r="DB45" s="131"/>
      <c r="DC45" s="130"/>
      <c r="DD45" s="79"/>
      <c r="DE45" s="750"/>
      <c r="DF45" s="750"/>
      <c r="DG45" s="394"/>
      <c r="DH45" s="29">
        <f t="shared" si="71"/>
        <v>33</v>
      </c>
      <c r="DI45" s="299">
        <f>DI38</f>
        <v>0</v>
      </c>
      <c r="DJ45" s="5">
        <f t="shared" si="82"/>
        <v>-33</v>
      </c>
      <c r="DK45" s="244"/>
      <c r="DL45" s="376">
        <f>DL38</f>
        <v>0</v>
      </c>
      <c r="DM45" s="231">
        <f t="shared" si="83"/>
        <v>33</v>
      </c>
    </row>
    <row r="46" spans="1:117" ht="15" thickBot="1" x14ac:dyDescent="0.35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>SUM(M46,AG46,BA46,BU46)-L46</f>
        <v>-45</v>
      </c>
      <c r="K46" s="394">
        <f t="shared" si="7"/>
        <v>-45</v>
      </c>
      <c r="L46" s="29">
        <v>45</v>
      </c>
      <c r="M46" s="301">
        <f>M38</f>
        <v>0</v>
      </c>
      <c r="N46" s="5">
        <f t="shared" si="72"/>
        <v>-45</v>
      </c>
      <c r="O46" s="284"/>
      <c r="P46" s="305">
        <f>P38</f>
        <v>0</v>
      </c>
      <c r="Q46" s="232">
        <f t="shared" si="73"/>
        <v>45</v>
      </c>
      <c r="R46" s="200"/>
      <c r="S46" s="201"/>
      <c r="T46" s="35"/>
      <c r="U46" s="735"/>
      <c r="V46" s="200"/>
      <c r="W46" s="201"/>
      <c r="X46" s="36"/>
      <c r="Y46" s="220"/>
      <c r="Z46" s="122"/>
      <c r="AA46" s="201"/>
      <c r="AB46" s="36"/>
      <c r="AC46" s="750"/>
      <c r="AD46" s="750"/>
      <c r="AE46" s="394">
        <f>SUM(M46,AG46)-SUM(O46,AI46)-L46</f>
        <v>-45</v>
      </c>
      <c r="AF46" s="29">
        <f>Q46</f>
        <v>45</v>
      </c>
      <c r="AG46" s="301">
        <f>AG38</f>
        <v>0</v>
      </c>
      <c r="AH46" s="5">
        <f t="shared" si="74"/>
        <v>-45</v>
      </c>
      <c r="AI46" s="241"/>
      <c r="AJ46" s="305">
        <f>AJ38</f>
        <v>0</v>
      </c>
      <c r="AK46" s="232">
        <f t="shared" si="75"/>
        <v>45</v>
      </c>
      <c r="AL46" s="200"/>
      <c r="AM46" s="201"/>
      <c r="AN46" s="35"/>
      <c r="AO46" s="735"/>
      <c r="AP46" s="200"/>
      <c r="AQ46" s="201"/>
      <c r="AR46" s="36"/>
      <c r="AS46" s="220"/>
      <c r="AT46" s="122"/>
      <c r="AU46" s="201"/>
      <c r="AV46" s="36"/>
      <c r="AW46" s="750"/>
      <c r="AX46" s="750"/>
      <c r="AY46" s="394">
        <f>SUM(M46,AG46,BA46)-SUM(O46,AI46,BC46)-L46</f>
        <v>-45</v>
      </c>
      <c r="AZ46" s="29">
        <f t="shared" si="68"/>
        <v>45</v>
      </c>
      <c r="BA46" s="301">
        <f>BA38</f>
        <v>0</v>
      </c>
      <c r="BB46" s="5">
        <f t="shared" si="76"/>
        <v>-45</v>
      </c>
      <c r="BC46" s="256"/>
      <c r="BD46" s="305">
        <f>BD38</f>
        <v>0</v>
      </c>
      <c r="BE46" s="232">
        <f t="shared" si="77"/>
        <v>45</v>
      </c>
      <c r="BF46" s="200"/>
      <c r="BG46" s="201"/>
      <c r="BH46" s="35"/>
      <c r="BI46" s="735"/>
      <c r="BJ46" s="200"/>
      <c r="BK46" s="201"/>
      <c r="BL46" s="36"/>
      <c r="BM46" s="220"/>
      <c r="BN46" s="122"/>
      <c r="BO46" s="201"/>
      <c r="BP46" s="36"/>
      <c r="BQ46" s="750"/>
      <c r="BR46" s="750"/>
      <c r="BS46" s="394">
        <f>SUM(M46,AG46,BA46,BU46)-SUM(O46,AI46,BC46,BW46)-L46</f>
        <v>-45</v>
      </c>
      <c r="BT46" s="29">
        <f t="shared" si="69"/>
        <v>45</v>
      </c>
      <c r="BU46" s="301">
        <f>BU38</f>
        <v>0</v>
      </c>
      <c r="BV46" s="5">
        <f t="shared" si="78"/>
        <v>-45</v>
      </c>
      <c r="BW46" s="284"/>
      <c r="BX46" s="305">
        <f>BX38</f>
        <v>0</v>
      </c>
      <c r="BY46" s="232">
        <f t="shared" si="79"/>
        <v>45</v>
      </c>
      <c r="BZ46" s="200"/>
      <c r="CA46" s="201"/>
      <c r="CB46" s="35"/>
      <c r="CC46" s="735"/>
      <c r="CD46" s="200"/>
      <c r="CE46" s="201"/>
      <c r="CF46" s="36"/>
      <c r="CG46" s="220"/>
      <c r="CH46" s="122"/>
      <c r="CI46" s="201"/>
      <c r="CJ46" s="36"/>
      <c r="CK46" s="750"/>
      <c r="CL46" s="750"/>
      <c r="CM46" s="394">
        <f>SUM(M46,AG46,BA46,BU46,CO46)-SUM(O46,AI46,BC46,BW46,CQ46)-L46</f>
        <v>-45</v>
      </c>
      <c r="CN46" s="29">
        <f t="shared" si="70"/>
        <v>45</v>
      </c>
      <c r="CO46" s="301">
        <f>CO38</f>
        <v>0</v>
      </c>
      <c r="CP46" s="5">
        <f t="shared" si="80"/>
        <v>-45</v>
      </c>
      <c r="CQ46" s="241"/>
      <c r="CR46" s="305">
        <f>CR38</f>
        <v>0</v>
      </c>
      <c r="CS46" s="232">
        <f t="shared" si="81"/>
        <v>45</v>
      </c>
      <c r="CT46" s="200"/>
      <c r="CU46" s="201"/>
      <c r="CV46" s="35"/>
      <c r="CW46" s="735"/>
      <c r="CX46" s="200"/>
      <c r="CY46" s="201"/>
      <c r="CZ46" s="36"/>
      <c r="DA46" s="220"/>
      <c r="DB46" s="122"/>
      <c r="DC46" s="201"/>
      <c r="DD46" s="36"/>
      <c r="DE46" s="750"/>
      <c r="DF46" s="750"/>
      <c r="DG46" s="394"/>
      <c r="DH46" s="29">
        <f t="shared" si="71"/>
        <v>45</v>
      </c>
      <c r="DI46" s="301">
        <f>DI38</f>
        <v>0</v>
      </c>
      <c r="DJ46" s="5">
        <f t="shared" si="82"/>
        <v>-45</v>
      </c>
      <c r="DK46" s="241"/>
      <c r="DL46" s="305">
        <f>DL38</f>
        <v>0</v>
      </c>
      <c r="DM46" s="232">
        <f t="shared" si="83"/>
        <v>45</v>
      </c>
    </row>
    <row r="47" spans="1:117" x14ac:dyDescent="0.3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3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7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84">L48+O48-P48</f>
        <v>4708</v>
      </c>
      <c r="R48" s="123"/>
      <c r="S48" s="8"/>
      <c r="T48" s="34"/>
      <c r="U48" s="736"/>
      <c r="V48" s="123"/>
      <c r="W48" s="8"/>
      <c r="X48" s="34"/>
      <c r="Y48" s="736"/>
      <c r="Z48" s="20"/>
      <c r="AA48" s="8"/>
      <c r="AB48" s="34"/>
      <c r="AC48" s="736"/>
      <c r="AD48" s="736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85">AF48+AI48-AJ48</f>
        <v>4033</v>
      </c>
      <c r="AL48" s="123"/>
      <c r="AM48" s="8"/>
      <c r="AN48" s="34"/>
      <c r="AO48" s="736"/>
      <c r="AP48" s="123"/>
      <c r="AQ48" s="8"/>
      <c r="AR48" s="34"/>
      <c r="AS48" s="736"/>
      <c r="AT48" s="20"/>
      <c r="AU48" s="8"/>
      <c r="AV48" s="34"/>
      <c r="AW48" s="736"/>
      <c r="AX48" s="736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36"/>
      <c r="BJ48" s="123"/>
      <c r="BK48" s="8"/>
      <c r="BL48" s="35"/>
      <c r="BM48" s="736"/>
      <c r="BN48" s="20"/>
      <c r="BO48" s="8"/>
      <c r="BP48" s="34" t="s">
        <v>828</v>
      </c>
      <c r="BQ48" s="736"/>
      <c r="BR48" s="736"/>
      <c r="BS48" s="394">
        <f>SUM(M48,AG48,BA48,BU48)-SUM(O48,AI48,BC48,BW48)-L48</f>
        <v>-1478</v>
      </c>
      <c r="BT48" s="32">
        <f t="shared" ref="BT48:BT49" si="86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36"/>
      <c r="CD48" s="123"/>
      <c r="CE48" s="8"/>
      <c r="CF48" s="34"/>
      <c r="CG48" s="736"/>
      <c r="CH48" s="20"/>
      <c r="CI48" s="8"/>
      <c r="CJ48" s="148" t="s">
        <v>797</v>
      </c>
      <c r="CK48" s="834"/>
      <c r="CL48" s="834"/>
      <c r="CM48" s="394">
        <f>SUM(M48,AG48,BA48,BU48,CO48)-SUM(O48,AI48,BC48,BW48,CQ48)-L48</f>
        <v>-1478</v>
      </c>
      <c r="CN48" s="32">
        <f t="shared" ref="CN48:CN49" si="87">BY48</f>
        <v>2201</v>
      </c>
      <c r="CO48" s="242"/>
      <c r="CP48" s="5">
        <f>CO48-CN48</f>
        <v>-2201</v>
      </c>
      <c r="CQ48" s="258"/>
      <c r="CR48" s="242"/>
      <c r="CS48" s="231">
        <f t="shared" ref="CS48:CS59" si="88">CN48+CQ48-CR48</f>
        <v>2201</v>
      </c>
      <c r="CT48" s="123"/>
      <c r="CU48" s="8"/>
      <c r="CV48" s="34"/>
      <c r="CW48" s="736"/>
      <c r="CX48" s="123"/>
      <c r="CY48" s="8"/>
      <c r="CZ48" s="34"/>
      <c r="DA48" s="736"/>
      <c r="DB48" s="20"/>
      <c r="DC48" s="8"/>
      <c r="DD48" s="34"/>
      <c r="DE48" s="736"/>
      <c r="DF48" s="736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89">DH48+DK48-DL48</f>
        <v>2201</v>
      </c>
    </row>
    <row r="49" spans="1:117" ht="15" thickBot="1" x14ac:dyDescent="0.35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7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84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36"/>
      <c r="AD49" s="736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36"/>
      <c r="AX49" s="736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36"/>
      <c r="BJ49" s="123"/>
      <c r="BK49" s="6"/>
      <c r="BL49" s="35"/>
      <c r="BM49" s="612"/>
      <c r="BN49" s="21"/>
      <c r="BO49" s="6"/>
      <c r="BP49" s="35" t="s">
        <v>829</v>
      </c>
      <c r="BQ49" s="736"/>
      <c r="BR49" s="736"/>
      <c r="BS49" s="394">
        <f>SUM(M49,AG49,BA49,BU49)-SUM(O49,AI49,BC49,BW49)-L49</f>
        <v>-2342</v>
      </c>
      <c r="BT49" s="29">
        <f t="shared" si="86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834"/>
      <c r="CL49" s="834"/>
      <c r="CM49" s="394">
        <f>SUM(M49,AG49,BA49,BU49,CO49)-SUM(O49,AI49,BC49,BW49,CQ49)-L49</f>
        <v>-2342</v>
      </c>
      <c r="CN49" s="29">
        <f t="shared" si="87"/>
        <v>1421</v>
      </c>
      <c r="CO49" s="240"/>
      <c r="CP49" s="5">
        <f>CO49-CN49</f>
        <v>-1421</v>
      </c>
      <c r="CQ49" s="240"/>
      <c r="CR49" s="240"/>
      <c r="CS49" s="231">
        <f t="shared" si="88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36"/>
      <c r="DF49" s="736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89"/>
        <v>1421</v>
      </c>
    </row>
    <row r="50" spans="1:117" x14ac:dyDescent="0.3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84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85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90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91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88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89"/>
        <v>0</v>
      </c>
    </row>
    <row r="51" spans="1:117" x14ac:dyDescent="0.3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7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84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36"/>
      <c r="AD51" s="736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85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36"/>
      <c r="AX51" s="736"/>
      <c r="AY51" s="394">
        <f>SUM(M51,AG51,BA51)-SUM(O51,AI51,BC51)-L51</f>
        <v>0</v>
      </c>
      <c r="AZ51" s="29">
        <f t="shared" ref="AZ51:AZ52" si="92">AK51</f>
        <v>0</v>
      </c>
      <c r="BA51" s="298">
        <f>BA50</f>
        <v>0</v>
      </c>
      <c r="BB51" s="5"/>
      <c r="BC51" s="256"/>
      <c r="BD51" s="240"/>
      <c r="BE51" s="231">
        <f t="shared" si="90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36"/>
      <c r="BR51" s="736"/>
      <c r="BS51" s="394">
        <f>SUM(M51,AG51,BA51,BU51)-SUM(O51,AI51,BC51,BW51)-L51</f>
        <v>0</v>
      </c>
      <c r="BT51" s="29">
        <f t="shared" ref="BT51:BT52" si="93">BE51</f>
        <v>0</v>
      </c>
      <c r="BU51" s="298">
        <f>BU50</f>
        <v>0</v>
      </c>
      <c r="BV51" s="5"/>
      <c r="BW51" s="256"/>
      <c r="BX51" s="240"/>
      <c r="BY51" s="231">
        <f t="shared" si="91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36"/>
      <c r="CL51" s="736"/>
      <c r="CM51" s="394">
        <f>SUM(M51,AG51,BA51,BU51,CO51)-SUM(O51,AI51,BC51,BW51,CQ51)-L51</f>
        <v>0</v>
      </c>
      <c r="CN51" s="29">
        <f t="shared" ref="CN51:CN52" si="94">BY51</f>
        <v>0</v>
      </c>
      <c r="CO51" s="298">
        <f>CO50</f>
        <v>0</v>
      </c>
      <c r="CP51" s="5"/>
      <c r="CQ51" s="240"/>
      <c r="CR51" s="240"/>
      <c r="CS51" s="231">
        <f t="shared" si="88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36"/>
      <c r="DF51" s="736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89"/>
        <v>0</v>
      </c>
    </row>
    <row r="52" spans="1:117" ht="15" thickBot="1" x14ac:dyDescent="0.35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7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84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36"/>
      <c r="AD52" s="736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85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36"/>
      <c r="AX52" s="736"/>
      <c r="AY52" s="394">
        <f>SUM(M52,AG52,BA52)-SUM(O52,AI52,BC52)-L52</f>
        <v>-255</v>
      </c>
      <c r="AZ52" s="29">
        <f t="shared" si="92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90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36"/>
      <c r="BR52" s="736"/>
      <c r="BS52" s="394">
        <f>SUM(M52,AG52,BA52,BU52)-SUM(O52,AI52,BC52,BW52)-L52</f>
        <v>-255</v>
      </c>
      <c r="BT52" s="29">
        <f t="shared" si="93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91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36"/>
      <c r="CL52" s="736"/>
      <c r="CM52" s="394">
        <f>SUM(M52,AG52,BA52,BU52,CO52)-SUM(O52,AI52,BC52,BW52,CQ52)-L52</f>
        <v>-255</v>
      </c>
      <c r="CN52" s="29">
        <f t="shared" si="94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88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36"/>
      <c r="DF52" s="736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89"/>
        <v>255</v>
      </c>
    </row>
    <row r="53" spans="1:117" x14ac:dyDescent="0.3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" thickBot="1" x14ac:dyDescent="0.35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7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84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36"/>
      <c r="AD54" s="736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85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36"/>
      <c r="AX54" s="736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90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36"/>
      <c r="BR54" s="736"/>
      <c r="BS54" s="394">
        <f>SUM(M54,AG54,BA54,BU54)-SUM(O54,AI54,BC54,BW54)-L54</f>
        <v>-602</v>
      </c>
      <c r="BT54" s="29">
        <f t="shared" ref="BT54" si="95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91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36"/>
      <c r="CL54" s="736"/>
      <c r="CM54" s="394">
        <f>SUM(M54,AG54,BA54,BU54,CO54)-SUM(O54,AI54,BC54,BW54,CQ54)-L54</f>
        <v>-602</v>
      </c>
      <c r="CN54" s="29">
        <f t="shared" ref="CN54" si="96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88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36"/>
      <c r="DF54" s="736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97">DH54+DK54-DL54</f>
        <v>1398</v>
      </c>
    </row>
    <row r="55" spans="1:117" x14ac:dyDescent="0.3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3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7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84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36"/>
      <c r="AD56" s="736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85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36"/>
      <c r="AX56" s="736"/>
      <c r="AY56" s="394">
        <f>SUM(M56,AG56,BA56)-SUM(O56,AI56,BC56)-L56</f>
        <v>-3313</v>
      </c>
      <c r="AZ56" s="607">
        <f t="shared" ref="AZ56:AZ59" si="98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90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36"/>
      <c r="BR56" s="736"/>
      <c r="BS56" s="394">
        <f>SUM(M56,AG56,BA56,BU56)-SUM(O56,AI56,BC56,BW56)-L56</f>
        <v>-2713</v>
      </c>
      <c r="BT56" s="29">
        <f t="shared" ref="BT56:BT59" si="99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91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36"/>
      <c r="CL56" s="736"/>
      <c r="CM56" s="394">
        <f>SUM(M56,AG56,BA56,BU56,CO56)-SUM(O56,AI56,BC56,BW56,CQ56)-L56</f>
        <v>-2713</v>
      </c>
      <c r="CN56" s="29">
        <f t="shared" ref="CN56:CN59" si="100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88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36"/>
      <c r="DF56" s="736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01">DH56+DK56-DL56</f>
        <v>2583</v>
      </c>
    </row>
    <row r="57" spans="1:117" x14ac:dyDescent="0.3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7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02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36"/>
      <c r="AD57" s="736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03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36"/>
      <c r="AX57" s="736"/>
      <c r="AY57" s="394">
        <f>SUM(M57,AG57,BA57)-SUM(O57,AI57,BC57)-L57</f>
        <v>-3391</v>
      </c>
      <c r="AZ57" s="607">
        <f t="shared" ref="AZ57" si="104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05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36"/>
      <c r="BR57" s="736"/>
      <c r="BS57" s="394">
        <f>SUM(M57,AG57,BA57,BU57)-SUM(O57,AI57,BC57,BW57)-L57</f>
        <v>-2791</v>
      </c>
      <c r="BT57" s="29">
        <f t="shared" ref="BT57" si="106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07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36"/>
      <c r="CL57" s="736"/>
      <c r="CM57" s="394">
        <f>SUM(M57,AG57,BA57,BU57,CO57)-SUM(O57,AI57,BC57,BW57,CQ57)-L57</f>
        <v>-2791</v>
      </c>
      <c r="CN57" s="29">
        <f t="shared" ref="CN57" si="108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09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36"/>
      <c r="DF57" s="736"/>
      <c r="DG57" s="394">
        <f>SUM(M57,AG57,BA57,BU57,DI57)-SUM(O57,AI57,BC57,BW57,CQ57)-L57</f>
        <v>-2791</v>
      </c>
      <c r="DH57" s="29">
        <f t="shared" ref="DH57:DH59" si="110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01"/>
        <v>2661</v>
      </c>
    </row>
    <row r="58" spans="1:117" ht="28.8" x14ac:dyDescent="0.3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7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84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36"/>
      <c r="AD58" s="736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85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59"/>
      <c r="AX58" s="759"/>
      <c r="AY58" s="394">
        <f>SUM(M58,AG58,BA58)-SUM(O58,AI58,BC58)-L58</f>
        <v>-3459</v>
      </c>
      <c r="AZ58" s="29">
        <f t="shared" si="98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90"/>
        <v>3459</v>
      </c>
      <c r="BF58" s="526"/>
      <c r="BG58" s="210"/>
      <c r="BH58" s="500"/>
      <c r="BI58" s="740"/>
      <c r="BJ58" s="121"/>
      <c r="BK58" s="210"/>
      <c r="BL58" s="500"/>
      <c r="BM58" s="740"/>
      <c r="BN58" s="21"/>
      <c r="BO58" s="210"/>
      <c r="BP58" s="500"/>
      <c r="BQ58" s="759"/>
      <c r="BR58" s="759"/>
      <c r="BS58" s="394">
        <f>SUM(M58,AG58,BA58,BU58)-SUM(O58,AI58,BC58,BW58)-L58</f>
        <v>-2859</v>
      </c>
      <c r="BT58" s="29">
        <f t="shared" si="99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91"/>
        <v>2729</v>
      </c>
      <c r="BZ58" s="121"/>
      <c r="CA58" s="6"/>
      <c r="CB58" s="211"/>
      <c r="CC58" s="731"/>
      <c r="CD58" s="121"/>
      <c r="CE58" s="6"/>
      <c r="CF58" s="35"/>
      <c r="CG58" s="612"/>
      <c r="CH58" s="21"/>
      <c r="CI58" s="6"/>
      <c r="CJ58" s="35"/>
      <c r="CK58" s="736"/>
      <c r="CL58" s="736"/>
      <c r="CM58" s="394">
        <f>SUM(M58,AG58,BA58,BU58,CO58)-SUM(O58,AI58,BC58,BW58,CQ58)-L58</f>
        <v>-2859</v>
      </c>
      <c r="CN58" s="29">
        <f t="shared" si="100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88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36"/>
      <c r="DF58" s="736"/>
      <c r="DG58" s="394">
        <f>SUM(M58,AG58,BA58,BU58,DI58)-SUM(O58,AI58,BC58,BW58,CQ58)-L58</f>
        <v>-2859</v>
      </c>
      <c r="DH58" s="29">
        <f t="shared" si="110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01"/>
        <v>2729</v>
      </c>
    </row>
    <row r="59" spans="1:117" ht="15" thickBot="1" x14ac:dyDescent="0.35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7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84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36"/>
      <c r="AD59" s="736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85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36"/>
      <c r="AX59" s="736"/>
      <c r="AY59" s="394">
        <f>SUM(M59,AG59,BA59)-SUM(O59,AI59,BC59)-L59</f>
        <v>-966</v>
      </c>
      <c r="AZ59" s="29">
        <f t="shared" si="98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90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36"/>
      <c r="BR59" s="736"/>
      <c r="BS59" s="394">
        <f>SUM(M59,AG59,BA59,BU59)-SUM(O59,AI59,BC59,BW59)-L59</f>
        <v>-366</v>
      </c>
      <c r="BT59" s="29">
        <f t="shared" si="99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91"/>
        <v>236</v>
      </c>
      <c r="BZ59" s="121"/>
      <c r="CA59" s="6"/>
      <c r="CB59" s="216"/>
      <c r="CC59" s="759"/>
      <c r="CE59" s="121"/>
      <c r="CF59" s="35"/>
      <c r="CG59" s="612"/>
      <c r="CH59" s="21"/>
      <c r="CI59" s="6"/>
      <c r="CJ59" s="35"/>
      <c r="CK59" s="736"/>
      <c r="CL59" s="736"/>
      <c r="CM59" s="394">
        <f>SUM(M59,AG59,BA59,BU59,CO59)-SUM(O59,AI59,BC59,BW59,CQ59)-L59</f>
        <v>-366</v>
      </c>
      <c r="CN59" s="29">
        <f t="shared" si="100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88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36"/>
      <c r="DF59" s="736"/>
      <c r="DG59" s="394">
        <f>SUM(M59,AG59,BA59,BU59,DI59)-SUM(O59,AI59,BC59,BW59,CQ59)-L59</f>
        <v>-366</v>
      </c>
      <c r="DH59" s="29">
        <f t="shared" si="110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01"/>
        <v>236</v>
      </c>
    </row>
    <row r="60" spans="1:117" x14ac:dyDescent="0.3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3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30"/>
      <c r="V61" s="21"/>
      <c r="W61" s="6"/>
      <c r="X61" s="35"/>
      <c r="Y61" s="612"/>
      <c r="Z61" s="21"/>
      <c r="AA61" s="6"/>
      <c r="AB61" s="35"/>
      <c r="AC61" s="736"/>
      <c r="AD61" s="736"/>
      <c r="AE61" s="394">
        <f>SUM(M61,AG61)-SUM(O61,AI61)-L61-L59</f>
        <v>-5126</v>
      </c>
      <c r="AF61" s="29">
        <f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11">AF61+AI61-AJ61</f>
        <v>3547</v>
      </c>
      <c r="AL61" s="21"/>
      <c r="AM61" s="6"/>
      <c r="AN61" s="216"/>
      <c r="AO61" s="730"/>
      <c r="AP61" s="21"/>
      <c r="AQ61" s="6"/>
      <c r="AR61" s="35"/>
      <c r="AS61" s="612"/>
      <c r="AT61" s="21"/>
      <c r="AU61" s="6"/>
      <c r="AV61" s="35"/>
      <c r="AW61" s="736"/>
      <c r="AX61" s="736"/>
      <c r="AY61" s="394">
        <f>SUM(M61,AG61,BA61)-SUM(O61,AI61,BC61)-L61-L59</f>
        <v>-4739</v>
      </c>
      <c r="AZ61" s="29">
        <f t="shared" ref="AZ61:AZ68" si="11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13">AZ61+BC61-BD61</f>
        <v>3160</v>
      </c>
      <c r="BF61" s="21"/>
      <c r="BG61" s="6"/>
      <c r="BH61" s="216"/>
      <c r="BI61" s="730"/>
      <c r="BJ61" s="21"/>
      <c r="BK61" s="6"/>
      <c r="BL61" s="35"/>
      <c r="BM61" s="612"/>
      <c r="BN61" s="21"/>
      <c r="BO61" s="6"/>
      <c r="BP61" s="35"/>
      <c r="BQ61" s="736"/>
      <c r="BR61" s="736"/>
      <c r="BS61" s="394">
        <f>SUM(M61,AG61,BA61,BU61)-SUM(O61,AI61,BC61,BW61)-L61-L59</f>
        <v>-3278</v>
      </c>
      <c r="BT61" s="29">
        <f t="shared" ref="BT61:BT68" si="11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15">BT61+BW61-BX61</f>
        <v>2407</v>
      </c>
      <c r="BZ61" s="21"/>
      <c r="CA61" s="6"/>
      <c r="CB61" s="148"/>
      <c r="CC61" s="734"/>
      <c r="CD61" s="21"/>
      <c r="CE61" s="6"/>
      <c r="CF61" s="35"/>
      <c r="CG61" s="612"/>
      <c r="CH61" s="21"/>
      <c r="CI61" s="6"/>
      <c r="CJ61" s="35"/>
      <c r="CK61" s="736"/>
      <c r="CL61" s="736"/>
      <c r="CM61" s="394">
        <f>SUM(M61,AG61,BA61,BU61,CO61)-SUM(O61,AI61,BC61,BW61,CQ61)-L61-L59</f>
        <v>-6278</v>
      </c>
      <c r="CN61" s="29">
        <f t="shared" ref="CN61:CN68" si="11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17">CN61+CQ61-CR61</f>
        <v>5407</v>
      </c>
      <c r="CT61" s="21"/>
      <c r="CU61" s="6"/>
      <c r="CV61" s="216"/>
      <c r="CW61" s="730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36"/>
      <c r="DF61" s="736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18">DH61+DK61-DL61</f>
        <v>2407</v>
      </c>
    </row>
    <row r="62" spans="1:117" x14ac:dyDescent="0.3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7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19">L62+O62-P62</f>
        <v>4908</v>
      </c>
      <c r="R62" s="236"/>
      <c r="S62" s="210"/>
      <c r="T62" s="216"/>
      <c r="U62" s="730"/>
      <c r="V62" s="21"/>
      <c r="W62" s="6"/>
      <c r="X62" s="35"/>
      <c r="Y62" s="612"/>
      <c r="Z62" s="21"/>
      <c r="AA62" s="6"/>
      <c r="AB62" s="35"/>
      <c r="AC62" s="736"/>
      <c r="AD62" s="736"/>
      <c r="AE62" s="394">
        <f>SUM(M62,AG62)-SUM(O62,AI62)-L62</f>
        <v>-4340</v>
      </c>
      <c r="AF62" s="29">
        <f>Q62</f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11"/>
        <v>4340</v>
      </c>
      <c r="AL62" s="236"/>
      <c r="AM62" s="210"/>
      <c r="AN62" s="216"/>
      <c r="AO62" s="730"/>
      <c r="AP62" s="21"/>
      <c r="AQ62" s="6"/>
      <c r="AR62" s="35"/>
      <c r="AS62" s="612"/>
      <c r="AT62" s="21"/>
      <c r="AU62" s="6"/>
      <c r="AV62" s="35"/>
      <c r="AW62" s="736"/>
      <c r="AX62" s="736"/>
      <c r="AY62" s="394">
        <f>SUM(M62,AG62,BA62)-SUM(O62,AI62,BC62)-L62</f>
        <v>-3953</v>
      </c>
      <c r="AZ62" s="29">
        <f t="shared" si="11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1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36"/>
      <c r="BR62" s="736"/>
      <c r="BS62" s="394">
        <f>SUM(M62,AG62,BA62,BU62)-SUM(O62,AI62,BC62,BW62)-L62</f>
        <v>-5492</v>
      </c>
      <c r="BT62" s="29">
        <f t="shared" si="11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15"/>
        <v>6200</v>
      </c>
      <c r="BZ62" s="661">
        <v>30000</v>
      </c>
      <c r="CA62" s="657"/>
      <c r="CB62" s="662" t="s">
        <v>883</v>
      </c>
      <c r="CC62" s="816"/>
      <c r="CD62" s="21"/>
      <c r="CE62" s="663">
        <v>30000</v>
      </c>
      <c r="CF62" s="664" t="s">
        <v>888</v>
      </c>
      <c r="CG62" s="809"/>
      <c r="CH62" s="21"/>
      <c r="CI62" s="6"/>
      <c r="CJ62" s="35"/>
      <c r="CK62" s="736"/>
      <c r="CL62" s="736"/>
      <c r="CM62" s="394">
        <f>SUM(M62,AG62,BA62,BU62,CO62)-SUM(O62,AI62,BC62,BW62,CQ62)-L62</f>
        <v>-5492</v>
      </c>
      <c r="CN62" s="29">
        <f t="shared" si="11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17"/>
        <v>6200</v>
      </c>
      <c r="CT62" s="236"/>
      <c r="CU62" s="210"/>
      <c r="CV62" s="216"/>
      <c r="CW62" s="730"/>
      <c r="CX62" s="21"/>
      <c r="CY62" s="6"/>
      <c r="CZ62" s="35"/>
      <c r="DA62" s="612"/>
      <c r="DB62" s="21"/>
      <c r="DC62" s="6"/>
      <c r="DD62" s="35"/>
      <c r="DE62" s="736"/>
      <c r="DF62" s="736"/>
      <c r="DG62" s="394">
        <f>SUM(M62,AG62,BA62,BU62,DI62)-SUM(O62,AI62,BC62,BW62,CQ62)-L62</f>
        <v>-5492</v>
      </c>
      <c r="DH62" s="29">
        <f t="shared" ref="DH62:DH63" si="12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18"/>
        <v>6200</v>
      </c>
    </row>
    <row r="63" spans="1:117" ht="15" thickBot="1" x14ac:dyDescent="0.35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7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1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C63" s="750"/>
      <c r="AD63" s="750"/>
      <c r="AE63" s="394">
        <f>SUM(M63,AG63)-SUM(O63,AI63)-L63</f>
        <v>-45</v>
      </c>
      <c r="AF63" s="29">
        <f>Q63</f>
        <v>45</v>
      </c>
      <c r="AG63" s="31">
        <v>0</v>
      </c>
      <c r="AH63" s="31">
        <f>AG63-AF63</f>
        <v>-45</v>
      </c>
      <c r="AI63" s="284"/>
      <c r="AJ63" s="241"/>
      <c r="AK63" s="231">
        <f t="shared" si="11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W63" s="750"/>
      <c r="AX63" s="750"/>
      <c r="AY63" s="394">
        <f>SUM(M63,AG63,BA63)-SUM(O63,AI63,BC63)-L63</f>
        <v>-45</v>
      </c>
      <c r="AZ63" s="29">
        <f t="shared" si="112"/>
        <v>45</v>
      </c>
      <c r="BA63" s="31">
        <v>0</v>
      </c>
      <c r="BB63" s="31">
        <f>BA63-AZ63</f>
        <v>-45</v>
      </c>
      <c r="BC63" s="284"/>
      <c r="BD63" s="241"/>
      <c r="BE63" s="231">
        <f t="shared" si="11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Q63" s="750"/>
      <c r="BR63" s="750"/>
      <c r="BS63" s="394">
        <f>SUM(M63,AG63,BA63,BU63)-SUM(O63,AI63,BC63,BW63)-L63</f>
        <v>-45</v>
      </c>
      <c r="BT63" s="29">
        <f t="shared" si="114"/>
        <v>45</v>
      </c>
      <c r="BU63" s="31">
        <v>0</v>
      </c>
      <c r="BV63" s="31">
        <f>BU63-BT63</f>
        <v>-45</v>
      </c>
      <c r="BW63" s="284"/>
      <c r="BX63" s="241"/>
      <c r="BY63" s="231">
        <f t="shared" si="11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K63" s="750"/>
      <c r="CL63" s="750"/>
      <c r="CM63" s="394">
        <f>SUM(M63,AG63,BA63,BU63,CO63)-SUM(O63,AI63,BC63,BW63,CQ63)-L63</f>
        <v>-45</v>
      </c>
      <c r="CN63" s="29">
        <f t="shared" si="116"/>
        <v>45</v>
      </c>
      <c r="CO63" s="31">
        <v>0</v>
      </c>
      <c r="CP63" s="31">
        <f>CO63-CN63</f>
        <v>-45</v>
      </c>
      <c r="CQ63" s="241"/>
      <c r="CR63" s="241"/>
      <c r="CS63" s="231">
        <f t="shared" si="11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E63" s="750"/>
      <c r="DF63" s="750"/>
      <c r="DG63" s="394">
        <f>SUM(M63,AG63,BA63,BU63,DI63)-SUM(O63,AI63,BC63,BW63,CQ63)-L63</f>
        <v>-45</v>
      </c>
      <c r="DH63" s="29">
        <f t="shared" si="120"/>
        <v>45</v>
      </c>
      <c r="DI63" s="31">
        <v>0</v>
      </c>
      <c r="DJ63" s="31">
        <f>DI63-DH63</f>
        <v>-45</v>
      </c>
      <c r="DK63" s="241"/>
      <c r="DL63" s="241"/>
      <c r="DM63" s="231">
        <f t="shared" si="118"/>
        <v>45</v>
      </c>
    </row>
    <row r="64" spans="1:117" x14ac:dyDescent="0.3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1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>Q64</f>
        <v>1</v>
      </c>
      <c r="AG64" s="56">
        <v>0</v>
      </c>
      <c r="AH64" s="225">
        <v>0</v>
      </c>
      <c r="AI64" s="225"/>
      <c r="AJ64" s="245"/>
      <c r="AK64" s="57">
        <f t="shared" si="11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12"/>
        <v>1</v>
      </c>
      <c r="BA64" s="56">
        <v>0</v>
      </c>
      <c r="BB64" s="225">
        <v>0</v>
      </c>
      <c r="BC64" s="225"/>
      <c r="BD64" s="245"/>
      <c r="BE64" s="57">
        <f t="shared" si="11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14"/>
        <v>1</v>
      </c>
      <c r="BU64" s="56">
        <v>0</v>
      </c>
      <c r="BV64" s="225">
        <v>0</v>
      </c>
      <c r="BW64" s="225"/>
      <c r="BX64" s="245"/>
      <c r="BY64" s="57">
        <f t="shared" si="11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16"/>
        <v>1</v>
      </c>
      <c r="CO64" s="56">
        <v>0</v>
      </c>
      <c r="CP64" s="225">
        <v>0</v>
      </c>
      <c r="CQ64" s="225"/>
      <c r="CR64" s="245"/>
      <c r="CS64" s="57">
        <f t="shared" si="11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21">CS64</f>
        <v>1</v>
      </c>
      <c r="DI64" s="56">
        <v>0</v>
      </c>
      <c r="DJ64" s="225">
        <v>0</v>
      </c>
      <c r="DK64" s="225"/>
      <c r="DL64" s="245"/>
      <c r="DM64" s="57">
        <f t="shared" si="118"/>
        <v>1</v>
      </c>
    </row>
    <row r="65" spans="1:117" x14ac:dyDescent="0.3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7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1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36"/>
      <c r="AD65" s="736"/>
      <c r="AE65" s="394">
        <f>SUM(M65,AG65)-SUM(O65,AI65)-L65</f>
        <v>0</v>
      </c>
      <c r="AF65" s="29">
        <f>Q65</f>
        <v>0</v>
      </c>
      <c r="AG65" s="5">
        <v>0</v>
      </c>
      <c r="AH65" s="226">
        <f>AG65-AF65</f>
        <v>0</v>
      </c>
      <c r="AI65" s="226"/>
      <c r="AJ65" s="246"/>
      <c r="AK65" s="35">
        <f t="shared" si="11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36"/>
      <c r="AX65" s="736"/>
      <c r="AY65" s="394">
        <f>SUM(M65,AG65,BA65)-SUM(O65,AI65,BC65)-L65</f>
        <v>0</v>
      </c>
      <c r="AZ65" s="29">
        <f t="shared" si="112"/>
        <v>0</v>
      </c>
      <c r="BA65" s="5">
        <v>0</v>
      </c>
      <c r="BB65" s="226">
        <f>BA65-AZ65</f>
        <v>0</v>
      </c>
      <c r="BC65" s="226"/>
      <c r="BD65" s="246"/>
      <c r="BE65" s="35">
        <f t="shared" si="11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36"/>
      <c r="BR65" s="736"/>
      <c r="BS65" s="394">
        <f>SUM(M65,AG65,BA65,BU65)-SUM(O65,AI65,BC65,BW65)-L65</f>
        <v>0</v>
      </c>
      <c r="BT65" s="29">
        <f t="shared" si="114"/>
        <v>0</v>
      </c>
      <c r="BU65" s="5">
        <v>0</v>
      </c>
      <c r="BV65" s="226">
        <f>BU65-BT65</f>
        <v>0</v>
      </c>
      <c r="BW65" s="226"/>
      <c r="BX65" s="246"/>
      <c r="BY65" s="35">
        <f t="shared" si="11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36"/>
      <c r="CL65" s="736"/>
      <c r="CM65" s="394">
        <f>SUM(M65,AG65,BA65,BU65,CO65)-SUM(O65,AI65,BC65,BW65,CQ65)-L65</f>
        <v>0</v>
      </c>
      <c r="CN65" s="29">
        <f t="shared" si="116"/>
        <v>0</v>
      </c>
      <c r="CO65" s="5">
        <v>0</v>
      </c>
      <c r="CP65" s="226">
        <f>CO65-CN65</f>
        <v>0</v>
      </c>
      <c r="CQ65" s="226"/>
      <c r="CR65" s="246"/>
      <c r="CS65" s="35">
        <f t="shared" si="11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36"/>
      <c r="DF65" s="736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18"/>
        <v>0</v>
      </c>
    </row>
    <row r="66" spans="1:117" x14ac:dyDescent="0.3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7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1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36"/>
      <c r="AD66" s="736"/>
      <c r="AE66" s="394">
        <f>SUM(M66,AG66)-SUM(O66,AI66)-L66</f>
        <v>0</v>
      </c>
      <c r="AF66" s="29">
        <f>Q66</f>
        <v>0</v>
      </c>
      <c r="AG66" s="5">
        <v>0</v>
      </c>
      <c r="AH66" s="226">
        <f>AG66-AF66</f>
        <v>0</v>
      </c>
      <c r="AI66" s="226"/>
      <c r="AJ66" s="246"/>
      <c r="AK66" s="35">
        <f t="shared" si="11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36"/>
      <c r="AX66" s="736"/>
      <c r="AY66" s="394">
        <f>SUM(M66,AG66,BA66)-SUM(O66,AI66,BC66)-L66</f>
        <v>0</v>
      </c>
      <c r="AZ66" s="29">
        <f t="shared" si="112"/>
        <v>0</v>
      </c>
      <c r="BA66" s="5">
        <v>0</v>
      </c>
      <c r="BB66" s="226">
        <f>BA66-AZ66</f>
        <v>0</v>
      </c>
      <c r="BC66" s="226"/>
      <c r="BD66" s="246"/>
      <c r="BE66" s="35">
        <f t="shared" si="11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36"/>
      <c r="BR66" s="736"/>
      <c r="BS66" s="394">
        <f>SUM(M66,AG66,BA66,BU66)-SUM(O66,AI66,BC66,BW66)-L66</f>
        <v>0</v>
      </c>
      <c r="BT66" s="29">
        <f t="shared" si="114"/>
        <v>0</v>
      </c>
      <c r="BU66" s="5">
        <v>0</v>
      </c>
      <c r="BV66" s="226">
        <f>BU66-BT66</f>
        <v>0</v>
      </c>
      <c r="BW66" s="226"/>
      <c r="BX66" s="246"/>
      <c r="BY66" s="35">
        <f t="shared" si="11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36"/>
      <c r="CL66" s="736"/>
      <c r="CM66" s="394">
        <f>SUM(M66,AG66,BA66,BU66,CO66)-SUM(O66,AI66,BC66,BW66,CQ66)-L66</f>
        <v>0</v>
      </c>
      <c r="CN66" s="29">
        <f t="shared" si="116"/>
        <v>0</v>
      </c>
      <c r="CO66" s="5">
        <v>0</v>
      </c>
      <c r="CP66" s="226">
        <f>CO66-CN66</f>
        <v>0</v>
      </c>
      <c r="CQ66" s="226"/>
      <c r="CR66" s="246"/>
      <c r="CS66" s="35">
        <f t="shared" si="11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36"/>
      <c r="DF66" s="736"/>
      <c r="DG66" s="394"/>
      <c r="DH66" s="29">
        <f t="shared" ref="DH66:DH68" si="12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18"/>
        <v>0</v>
      </c>
    </row>
    <row r="67" spans="1:117" x14ac:dyDescent="0.3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7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1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36"/>
      <c r="AD67" s="736"/>
      <c r="AE67" s="394">
        <f>SUM(M67,AG67)-SUM(O67,AI67)-L67</f>
        <v>0</v>
      </c>
      <c r="AF67" s="29">
        <f>Q67</f>
        <v>0</v>
      </c>
      <c r="AG67" s="5">
        <v>0</v>
      </c>
      <c r="AH67" s="226">
        <f>AG67-AF67</f>
        <v>0</v>
      </c>
      <c r="AI67" s="226"/>
      <c r="AJ67" s="246"/>
      <c r="AK67" s="35">
        <f t="shared" si="11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36"/>
      <c r="AX67" s="736"/>
      <c r="AY67" s="394">
        <f>SUM(M67,AG67,BA67)-SUM(O67,AI67,BC67)-L67</f>
        <v>0</v>
      </c>
      <c r="AZ67" s="29">
        <f t="shared" si="112"/>
        <v>0</v>
      </c>
      <c r="BA67" s="5">
        <v>0</v>
      </c>
      <c r="BB67" s="226">
        <f>BA67-AZ67</f>
        <v>0</v>
      </c>
      <c r="BC67" s="226"/>
      <c r="BD67" s="246"/>
      <c r="BE67" s="35">
        <f t="shared" si="11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36"/>
      <c r="BR67" s="736"/>
      <c r="BS67" s="394">
        <f>SUM(M67,AG67,BA67,BU67)-SUM(O67,AI67,BC67,BW67)-L67</f>
        <v>0</v>
      </c>
      <c r="BT67" s="29">
        <f t="shared" si="114"/>
        <v>0</v>
      </c>
      <c r="BU67" s="5">
        <v>0</v>
      </c>
      <c r="BV67" s="226">
        <f>BU67-BT67</f>
        <v>0</v>
      </c>
      <c r="BW67" s="226"/>
      <c r="BX67" s="246"/>
      <c r="BY67" s="35">
        <f t="shared" si="11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36"/>
      <c r="CL67" s="736"/>
      <c r="CM67" s="394">
        <f>SUM(M67,AG67,BA67,BU67,CO67)-SUM(O67,AI67,BC67,BW67,CQ67)-L67</f>
        <v>0</v>
      </c>
      <c r="CN67" s="29">
        <f t="shared" si="116"/>
        <v>0</v>
      </c>
      <c r="CO67" s="5">
        <v>0</v>
      </c>
      <c r="CP67" s="226">
        <f>CO67-CN67</f>
        <v>0</v>
      </c>
      <c r="CQ67" s="226"/>
      <c r="CR67" s="246"/>
      <c r="CS67" s="35">
        <f t="shared" si="11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36"/>
      <c r="DF67" s="736"/>
      <c r="DG67" s="394"/>
      <c r="DH67" s="29">
        <f t="shared" si="122"/>
        <v>0</v>
      </c>
      <c r="DI67" s="5">
        <v>0</v>
      </c>
      <c r="DJ67" s="226">
        <f>DI67-DH67</f>
        <v>0</v>
      </c>
      <c r="DK67" s="226"/>
      <c r="DL67" s="246"/>
      <c r="DM67" s="35">
        <f t="shared" si="118"/>
        <v>0</v>
      </c>
    </row>
    <row r="68" spans="1:117" ht="15" thickBot="1" x14ac:dyDescent="0.35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7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1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C68" s="750"/>
      <c r="AD68" s="750"/>
      <c r="AE68" s="394">
        <f>SUM(M68,AG68)-SUM(O68,AI68)-L68</f>
        <v>0</v>
      </c>
      <c r="AF68" s="29">
        <f>Q68</f>
        <v>0</v>
      </c>
      <c r="AG68" s="31">
        <v>0</v>
      </c>
      <c r="AH68" s="227">
        <f>AG68-AF68</f>
        <v>0</v>
      </c>
      <c r="AI68" s="227"/>
      <c r="AJ68" s="247"/>
      <c r="AK68" s="35">
        <f t="shared" si="11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W68" s="750"/>
      <c r="AX68" s="750"/>
      <c r="AY68" s="394">
        <f>SUM(M68,AG68,BA68)-SUM(O68,AI68,BC68)-L68</f>
        <v>0</v>
      </c>
      <c r="AZ68" s="29">
        <f t="shared" si="112"/>
        <v>0</v>
      </c>
      <c r="BA68" s="31">
        <v>0</v>
      </c>
      <c r="BB68" s="227">
        <f>BA68-AZ68</f>
        <v>0</v>
      </c>
      <c r="BC68" s="227"/>
      <c r="BD68" s="247"/>
      <c r="BE68" s="35">
        <f t="shared" si="11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Q68" s="750"/>
      <c r="BR68" s="750"/>
      <c r="BS68" s="394">
        <f>SUM(M68,AG68,BA68,BU68)-SUM(O68,AI68,BC68,BW68)-L68</f>
        <v>0</v>
      </c>
      <c r="BT68" s="29">
        <f t="shared" si="114"/>
        <v>0</v>
      </c>
      <c r="BU68" s="31">
        <v>0</v>
      </c>
      <c r="BV68" s="227">
        <f>BU68-BT68</f>
        <v>0</v>
      </c>
      <c r="BW68" s="227"/>
      <c r="BX68" s="247"/>
      <c r="BY68" s="35">
        <f t="shared" si="11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K68" s="750"/>
      <c r="CL68" s="750"/>
      <c r="CM68" s="394">
        <f>SUM(M68,AG68,BA68,BU68,CO68)-SUM(O68,AI68,BC68,BW68,CQ68)-L68</f>
        <v>0</v>
      </c>
      <c r="CN68" s="29">
        <f t="shared" si="116"/>
        <v>0</v>
      </c>
      <c r="CO68" s="31">
        <v>0</v>
      </c>
      <c r="CP68" s="227">
        <f>CO68-CN68</f>
        <v>0</v>
      </c>
      <c r="CQ68" s="227"/>
      <c r="CR68" s="247"/>
      <c r="CS68" s="35">
        <f t="shared" si="11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E68" s="750"/>
      <c r="DF68" s="750"/>
      <c r="DG68" s="394"/>
      <c r="DH68" s="29">
        <f t="shared" si="122"/>
        <v>0</v>
      </c>
      <c r="DI68" s="31">
        <v>0</v>
      </c>
      <c r="DJ68" s="227">
        <f>DI68-DH68</f>
        <v>0</v>
      </c>
      <c r="DK68" s="227"/>
      <c r="DL68" s="247"/>
      <c r="DM68" s="35">
        <f t="shared" si="118"/>
        <v>0</v>
      </c>
    </row>
    <row r="69" spans="1:117" x14ac:dyDescent="0.3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28.8" x14ac:dyDescent="0.3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>SUM(M70,AG70,BA70,BU70)-L70</f>
        <v>-506</v>
      </c>
      <c r="K70" s="394">
        <f t="shared" si="7"/>
        <v>-1303</v>
      </c>
      <c r="L70" s="544">
        <v>1419</v>
      </c>
      <c r="M70" s="5">
        <f>300+116-300</f>
        <v>116</v>
      </c>
      <c r="N70" s="5">
        <f t="shared" ref="N70:N75" si="123">M70-L70</f>
        <v>-1303</v>
      </c>
      <c r="O70" s="256"/>
      <c r="P70" s="240">
        <f>4+40+2+70</f>
        <v>116</v>
      </c>
      <c r="Q70" s="231">
        <f t="shared" ref="Q70:Q75" si="124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36"/>
      <c r="AD70" s="736"/>
      <c r="AE70" s="394">
        <f>SUM(M70,AG70)-SUM(O70,AI70)-L70</f>
        <v>-1095</v>
      </c>
      <c r="AF70" s="29">
        <f>Q70</f>
        <v>1303</v>
      </c>
      <c r="AG70" s="5">
        <f>300-300+456-456+208</f>
        <v>208</v>
      </c>
      <c r="AH70" s="5">
        <f t="shared" ref="AH70:AH75" si="125">AG70-AF70</f>
        <v>-1095</v>
      </c>
      <c r="AI70" s="258"/>
      <c r="AJ70" s="240">
        <f>16+16+56+25+70</f>
        <v>183</v>
      </c>
      <c r="AK70" s="231">
        <f t="shared" ref="AK70:AK75" si="126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36"/>
      <c r="AX70" s="736"/>
      <c r="AY70" s="394">
        <f>SUM(M70,AG70,BA70)-SUM(O70,AI70,BC70)-L70</f>
        <v>-1606</v>
      </c>
      <c r="AZ70" s="29">
        <f t="shared" ref="AZ70:AZ75" si="127">AK70</f>
        <v>1120</v>
      </c>
      <c r="BA70" s="5">
        <f>500-500+409-409+89</f>
        <v>89</v>
      </c>
      <c r="BB70" s="5">
        <f t="shared" ref="BB70:BB75" si="128">BA70-AZ70</f>
        <v>-1031</v>
      </c>
      <c r="BC70" s="258">
        <v>600</v>
      </c>
      <c r="BD70" s="240">
        <f>5+84</f>
        <v>89</v>
      </c>
      <c r="BE70" s="231">
        <f t="shared" ref="BE70:BE75" si="129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809"/>
      <c r="BN70" s="21"/>
      <c r="BO70" s="6"/>
      <c r="BP70" s="257"/>
      <c r="BQ70" s="753"/>
      <c r="BR70" s="753"/>
      <c r="BS70" s="394">
        <f>SUM(M70,AG70,BA70,BU70)-SUM(O70,AI70,BC70,BW70)-L70</f>
        <v>-1106</v>
      </c>
      <c r="BT70" s="29">
        <f t="shared" ref="BT70:BT75" si="130">BE70</f>
        <v>1631</v>
      </c>
      <c r="BU70" s="5">
        <v>500</v>
      </c>
      <c r="BV70" s="5">
        <f t="shared" ref="BV70:BV75" si="131">BU70-BT70</f>
        <v>-1131</v>
      </c>
      <c r="BW70" s="258"/>
      <c r="BX70" s="240">
        <f>110+3+40</f>
        <v>153</v>
      </c>
      <c r="BY70" s="231">
        <f t="shared" ref="BY70:BY75" si="132">BT70+BW70-BX70</f>
        <v>1478</v>
      </c>
      <c r="BZ70" s="21"/>
      <c r="CA70" s="6"/>
      <c r="CB70" s="257"/>
      <c r="CC70" s="755"/>
      <c r="CD70" s="121"/>
      <c r="CE70" s="6"/>
      <c r="CF70" s="257"/>
      <c r="CG70" s="755"/>
      <c r="CH70" s="21"/>
      <c r="CI70" s="6"/>
      <c r="CJ70" s="35"/>
      <c r="CK70" s="736"/>
      <c r="CL70" s="736"/>
      <c r="CM70" s="394">
        <f>SUM(M70,AG70,BA70,BU70,CO70)-SUM(O70,AI70,BC70,BW70,CQ70)-L70</f>
        <v>-1106</v>
      </c>
      <c r="CN70" s="29">
        <f t="shared" ref="CN70:CN75" si="133">BY70</f>
        <v>1478</v>
      </c>
      <c r="CO70" s="240"/>
      <c r="CP70" s="5">
        <f t="shared" ref="CP70:CP75" si="134">CO70-CN70</f>
        <v>-1478</v>
      </c>
      <c r="CQ70" s="240"/>
      <c r="CR70" s="240"/>
      <c r="CS70" s="231">
        <f t="shared" ref="CS70:CS75" si="135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36"/>
      <c r="DF70" s="736"/>
      <c r="DG70" s="394">
        <f>SUM(M70,AG70,BA70,BU70,DI70)-SUM(O70,AI70,BC70,BW70,CQ70)-L70</f>
        <v>-1106</v>
      </c>
      <c r="DH70" s="29">
        <f>BY70</f>
        <v>1478</v>
      </c>
      <c r="DI70" s="240"/>
      <c r="DJ70" s="5">
        <f t="shared" ref="DJ70:DJ75" si="136">DI70-DH70</f>
        <v>-1478</v>
      </c>
      <c r="DK70" s="240"/>
      <c r="DL70" s="240"/>
      <c r="DM70" s="231">
        <f t="shared" ref="DM70:DM75" si="137">DH70+DK70-DL70</f>
        <v>1478</v>
      </c>
    </row>
    <row r="71" spans="1:117" ht="28.8" x14ac:dyDescent="0.3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>SUM(M71,AG71,BA71,BU71)-L71</f>
        <v>251</v>
      </c>
      <c r="K71" s="394">
        <f t="shared" si="7"/>
        <v>-4479</v>
      </c>
      <c r="L71" s="544">
        <v>3859</v>
      </c>
      <c r="M71" s="298">
        <f>M48+P71-M48</f>
        <v>380</v>
      </c>
      <c r="N71" s="5">
        <f t="shared" si="123"/>
        <v>-3479</v>
      </c>
      <c r="O71" s="258">
        <v>1000</v>
      </c>
      <c r="P71" s="240">
        <f>4+100+2+274</f>
        <v>380</v>
      </c>
      <c r="Q71" s="231">
        <f t="shared" si="124"/>
        <v>4479</v>
      </c>
      <c r="R71" s="236"/>
      <c r="S71" s="199"/>
      <c r="T71" s="216"/>
      <c r="U71" s="730"/>
      <c r="V71" s="121"/>
      <c r="W71" s="210"/>
      <c r="X71" s="216"/>
      <c r="Y71" s="730"/>
      <c r="Z71" s="581">
        <f>$F$71*50%*1000</f>
        <v>92125</v>
      </c>
      <c r="AA71" s="569">
        <f>$F$71*50%*1000</f>
        <v>92125</v>
      </c>
      <c r="AB71" s="211" t="s">
        <v>751</v>
      </c>
      <c r="AC71" s="758"/>
      <c r="AD71" s="758"/>
      <c r="AE71" s="394">
        <f>SUM(M71,AG71)-SUM(O71,AI71)-L71</f>
        <v>-3694</v>
      </c>
      <c r="AF71" s="29">
        <f>Q71</f>
        <v>4479</v>
      </c>
      <c r="AG71" s="298">
        <f>AG48</f>
        <v>785</v>
      </c>
      <c r="AH71" s="5">
        <f t="shared" si="125"/>
        <v>-3694</v>
      </c>
      <c r="AI71" s="258"/>
      <c r="AJ71" s="240">
        <f>16+34+36+178+112+300+12</f>
        <v>688</v>
      </c>
      <c r="AK71" s="231">
        <f t="shared" si="126"/>
        <v>3791</v>
      </c>
      <c r="AL71" s="236"/>
      <c r="AM71" s="210"/>
      <c r="AN71" s="216"/>
      <c r="AO71" s="730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36"/>
      <c r="AX71" s="736"/>
      <c r="AY71" s="394">
        <f>SUM(M71,AG71,BA71)-SUM(O71,AI71,BC71)-L71</f>
        <v>-5349</v>
      </c>
      <c r="AZ71" s="29">
        <f t="shared" si="127"/>
        <v>3791</v>
      </c>
      <c r="BA71" s="298">
        <f>BA48</f>
        <v>345</v>
      </c>
      <c r="BB71" s="5">
        <f t="shared" si="128"/>
        <v>-3446</v>
      </c>
      <c r="BC71" s="258">
        <v>2000</v>
      </c>
      <c r="BD71" s="240">
        <f>5+84+6+100+200</f>
        <v>395</v>
      </c>
      <c r="BE71" s="231">
        <f t="shared" si="129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809"/>
      <c r="BN71" s="236"/>
      <c r="BO71" s="6"/>
      <c r="BP71" s="257"/>
      <c r="BQ71" s="753"/>
      <c r="BR71" s="753"/>
      <c r="BS71" s="394">
        <f>SUM(M71,AG71,BA71,BU71)-SUM(O71,AI71,BC71,BW71)-L71</f>
        <v>-2749</v>
      </c>
      <c r="BT71" s="29">
        <f t="shared" si="130"/>
        <v>5396</v>
      </c>
      <c r="BU71" s="298">
        <f>BU48</f>
        <v>2600</v>
      </c>
      <c r="BV71" s="5">
        <f t="shared" si="131"/>
        <v>-2796</v>
      </c>
      <c r="BW71" s="7"/>
      <c r="BX71" s="240">
        <f>100+300+1120+514+300</f>
        <v>2334</v>
      </c>
      <c r="BY71" s="231">
        <f t="shared" si="132"/>
        <v>3062</v>
      </c>
      <c r="BZ71" s="236"/>
      <c r="CA71" s="6"/>
      <c r="CB71" s="257"/>
      <c r="CC71" s="755"/>
      <c r="CD71" s="121"/>
      <c r="CE71" s="6"/>
      <c r="CF71" s="35"/>
      <c r="CG71" s="612"/>
      <c r="CH71" s="121"/>
      <c r="CI71" s="210"/>
      <c r="CJ71" s="211"/>
      <c r="CK71" s="758"/>
      <c r="CL71" s="758"/>
      <c r="CM71" s="394">
        <f>SUM(M71,AG71,BA71,BU71,CO71)-SUM(O71,AI71,BC71,BW71,CQ71)-L71</f>
        <v>-2749</v>
      </c>
      <c r="CN71" s="29">
        <f t="shared" si="133"/>
        <v>3062</v>
      </c>
      <c r="CO71" s="303">
        <f>CO48</f>
        <v>0</v>
      </c>
      <c r="CP71" s="5">
        <f t="shared" si="134"/>
        <v>-3062</v>
      </c>
      <c r="CQ71" s="240"/>
      <c r="CR71" s="240"/>
      <c r="CS71" s="231">
        <f t="shared" si="135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36"/>
      <c r="DF71" s="736"/>
      <c r="DG71" s="394">
        <f>SUM(M71,AG71,BA71,BU71,DI71)-SUM(O71,AI71,BC71,BW71,CQ71)-L71</f>
        <v>-2749</v>
      </c>
      <c r="DH71" s="29">
        <f t="shared" ref="DH71:DH75" si="138">BY71</f>
        <v>3062</v>
      </c>
      <c r="DI71" s="303">
        <f>DI48</f>
        <v>0</v>
      </c>
      <c r="DJ71" s="5">
        <f t="shared" si="136"/>
        <v>-3062</v>
      </c>
      <c r="DK71" s="240"/>
      <c r="DL71" s="240"/>
      <c r="DM71" s="231">
        <f t="shared" si="137"/>
        <v>3062</v>
      </c>
    </row>
    <row r="72" spans="1:117" x14ac:dyDescent="0.3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>SUM(M72,AG72,BA72,BU72)-L72</f>
        <v>-854</v>
      </c>
      <c r="K72" s="394">
        <f t="shared" si="7"/>
        <v>-1446</v>
      </c>
      <c r="L72" s="544">
        <f>1661</f>
        <v>1661</v>
      </c>
      <c r="M72" s="5">
        <f>200+215-200</f>
        <v>215</v>
      </c>
      <c r="N72" s="5">
        <f t="shared" si="123"/>
        <v>-1446</v>
      </c>
      <c r="O72" s="256"/>
      <c r="P72" s="240">
        <f>6+18+2+60+10+99+20</f>
        <v>215</v>
      </c>
      <c r="Q72" s="231">
        <f t="shared" si="124"/>
        <v>1446</v>
      </c>
      <c r="R72" s="235"/>
      <c r="S72" s="210"/>
      <c r="T72" s="216"/>
      <c r="U72" s="730"/>
      <c r="V72" s="235"/>
      <c r="W72" s="210"/>
      <c r="X72" s="216"/>
      <c r="Y72" s="730"/>
      <c r="Z72" s="21"/>
      <c r="AA72" s="210"/>
      <c r="AB72" s="35"/>
      <c r="AC72" s="736"/>
      <c r="AD72" s="736"/>
      <c r="AE72" s="394">
        <f>SUM(M72,AG72)-SUM(O72,AI72)-L72</f>
        <v>-1104</v>
      </c>
      <c r="AF72" s="29">
        <f>Q72</f>
        <v>1446</v>
      </c>
      <c r="AG72" s="5">
        <f>200-200+686-686+342</f>
        <v>342</v>
      </c>
      <c r="AH72" s="5">
        <f t="shared" si="125"/>
        <v>-1104</v>
      </c>
      <c r="AI72" s="258"/>
      <c r="AJ72" s="240">
        <f>20+86+53+130</f>
        <v>289</v>
      </c>
      <c r="AK72" s="231">
        <f t="shared" si="126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36"/>
      <c r="AX72" s="736"/>
      <c r="AY72" s="394">
        <f>SUM(M72,AG72,BA72)-SUM(O72,AI72,BC72)-L72</f>
        <v>-1704</v>
      </c>
      <c r="AZ72" s="29">
        <f t="shared" si="127"/>
        <v>1157</v>
      </c>
      <c r="BA72" s="5">
        <f>250-250+476-476</f>
        <v>0</v>
      </c>
      <c r="BB72" s="5">
        <f t="shared" si="128"/>
        <v>-1157</v>
      </c>
      <c r="BC72" s="258">
        <v>600</v>
      </c>
      <c r="BD72" s="240"/>
      <c r="BE72" s="231">
        <f t="shared" si="129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809"/>
      <c r="BN72" s="236"/>
      <c r="BO72" s="6"/>
      <c r="BP72" s="35"/>
      <c r="BQ72" s="736"/>
      <c r="BR72" s="736"/>
      <c r="BS72" s="394">
        <f>SUM(M72,AG72,BA72,BU72)-SUM(O72,AI72,BC72,BW72)-L72</f>
        <v>-2454</v>
      </c>
      <c r="BT72" s="29">
        <f t="shared" si="130"/>
        <v>1757</v>
      </c>
      <c r="BU72" s="5">
        <v>250</v>
      </c>
      <c r="BV72" s="5">
        <f t="shared" si="131"/>
        <v>-1507</v>
      </c>
      <c r="BW72" s="621">
        <v>1000</v>
      </c>
      <c r="BX72" s="240">
        <f>150+560+206</f>
        <v>916</v>
      </c>
      <c r="BY72" s="231">
        <f t="shared" si="132"/>
        <v>1841</v>
      </c>
      <c r="BZ72" s="666">
        <v>66000</v>
      </c>
      <c r="CA72" s="663"/>
      <c r="CB72" s="664" t="s">
        <v>846</v>
      </c>
      <c r="CC72" s="809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818"/>
      <c r="CL72" s="818"/>
      <c r="CM72" s="394">
        <f>SUM(M72,AG72,BA72,BU72,CO72)-SUM(O72,AI72,BC72,BW72,CQ72)-L72</f>
        <v>-2454</v>
      </c>
      <c r="CN72" s="29">
        <f t="shared" si="133"/>
        <v>1841</v>
      </c>
      <c r="CO72" s="240"/>
      <c r="CP72" s="5">
        <f t="shared" si="134"/>
        <v>-1841</v>
      </c>
      <c r="CQ72" s="240"/>
      <c r="CR72" s="240"/>
      <c r="CS72" s="231">
        <f t="shared" si="135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36"/>
      <c r="DF72" s="736"/>
      <c r="DG72" s="394">
        <f>SUM(M72,AG72,BA72,BU72,DI72)-SUM(O72,AI72,BC72,BW72,CQ72)-L72</f>
        <v>-2454</v>
      </c>
      <c r="DH72" s="29">
        <f t="shared" si="138"/>
        <v>1841</v>
      </c>
      <c r="DI72" s="240"/>
      <c r="DJ72" s="5">
        <f t="shared" si="136"/>
        <v>-1841</v>
      </c>
      <c r="DK72" s="256"/>
      <c r="DL72" s="240"/>
      <c r="DM72" s="231">
        <f t="shared" si="137"/>
        <v>1841</v>
      </c>
    </row>
    <row r="73" spans="1:117" x14ac:dyDescent="0.3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>SUM(M73,AG73,BA73,BU73)-L73</f>
        <v>-2653</v>
      </c>
      <c r="K73" s="394">
        <f t="shared" si="7"/>
        <v>-3907</v>
      </c>
      <c r="L73" s="544">
        <f>4032</f>
        <v>4032</v>
      </c>
      <c r="M73" s="5">
        <f>650+125-650</f>
        <v>125</v>
      </c>
      <c r="N73" s="5">
        <f t="shared" si="123"/>
        <v>-3907</v>
      </c>
      <c r="O73" s="258"/>
      <c r="P73" s="240">
        <f>10+10+105</f>
        <v>125</v>
      </c>
      <c r="Q73" s="231">
        <f t="shared" si="124"/>
        <v>3907</v>
      </c>
      <c r="R73" s="21"/>
      <c r="S73" s="210"/>
      <c r="T73" s="216"/>
      <c r="U73" s="730"/>
      <c r="V73" s="21"/>
      <c r="W73" s="210"/>
      <c r="X73" s="216"/>
      <c r="Y73" s="730"/>
      <c r="Z73" s="21"/>
      <c r="AA73" s="210"/>
      <c r="AB73" s="216"/>
      <c r="AC73" s="739"/>
      <c r="AD73" s="739"/>
      <c r="AE73" s="394">
        <f>SUM(M73,AG73)-SUM(O73,AI73)-L73</f>
        <v>-3703</v>
      </c>
      <c r="AF73" s="29">
        <f>Q73</f>
        <v>3907</v>
      </c>
      <c r="AG73" s="5">
        <f>650-650+276-276+204</f>
        <v>204</v>
      </c>
      <c r="AH73" s="5">
        <f t="shared" si="125"/>
        <v>-3703</v>
      </c>
      <c r="AI73" s="256"/>
      <c r="AJ73" s="240">
        <f>36+34+100</f>
        <v>170</v>
      </c>
      <c r="AK73" s="231">
        <f t="shared" si="126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36"/>
      <c r="AX73" s="736"/>
      <c r="AY73" s="394">
        <f>SUM(M73,AG73,BA73)-SUM(O73,AI73,BC73)-L73</f>
        <v>-3603</v>
      </c>
      <c r="AZ73" s="29">
        <f t="shared" si="127"/>
        <v>3737</v>
      </c>
      <c r="BA73" s="5">
        <f>950-950+413-413+100</f>
        <v>100</v>
      </c>
      <c r="BB73" s="5">
        <f t="shared" si="128"/>
        <v>-3637</v>
      </c>
      <c r="BC73" s="256"/>
      <c r="BD73" s="240">
        <f>100</f>
        <v>100</v>
      </c>
      <c r="BE73" s="231">
        <f t="shared" si="129"/>
        <v>3637</v>
      </c>
      <c r="BF73" s="21"/>
      <c r="BG73" s="6"/>
      <c r="BH73" s="257"/>
      <c r="BI73" s="755"/>
      <c r="BJ73" s="21"/>
      <c r="BK73" s="6"/>
      <c r="BL73" s="257"/>
      <c r="BM73" s="755"/>
      <c r="BN73" s="21"/>
      <c r="BO73" s="6"/>
      <c r="BP73" s="257"/>
      <c r="BQ73" s="753"/>
      <c r="BR73" s="753"/>
      <c r="BS73" s="394">
        <f>SUM(M73,AG73,BA73,BU73)-SUM(O73,AI73,BC73,BW73)-L73</f>
        <v>-2653</v>
      </c>
      <c r="BT73" s="29">
        <f t="shared" si="130"/>
        <v>3637</v>
      </c>
      <c r="BU73" s="5">
        <v>950</v>
      </c>
      <c r="BV73" s="5">
        <f t="shared" si="131"/>
        <v>-2687</v>
      </c>
      <c r="BW73" s="7"/>
      <c r="BX73" s="240">
        <f>150+560+198</f>
        <v>908</v>
      </c>
      <c r="BY73" s="231">
        <f t="shared" si="132"/>
        <v>2729</v>
      </c>
      <c r="BZ73" s="236"/>
      <c r="CA73" s="6"/>
      <c r="CB73" s="257"/>
      <c r="CC73" s="755"/>
      <c r="CD73" s="121"/>
      <c r="CE73" s="6"/>
      <c r="CF73" s="35"/>
      <c r="CG73" s="612"/>
      <c r="CH73" s="121"/>
      <c r="CI73" s="210"/>
      <c r="CJ73" s="211"/>
      <c r="CK73" s="758"/>
      <c r="CL73" s="758"/>
      <c r="CM73" s="394">
        <f>SUM(M73,AG73,BA73,BU73,CO73)-SUM(O73,AI73,BC73,BW73,CQ73)-L73</f>
        <v>-2653</v>
      </c>
      <c r="CN73" s="29">
        <f t="shared" si="133"/>
        <v>2729</v>
      </c>
      <c r="CO73" s="240"/>
      <c r="CP73" s="5">
        <f t="shared" si="134"/>
        <v>-2729</v>
      </c>
      <c r="CQ73" s="240"/>
      <c r="CR73" s="240"/>
      <c r="CS73" s="231">
        <f t="shared" si="135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36"/>
      <c r="DF73" s="736"/>
      <c r="DG73" s="394">
        <f>SUM(M73,AG73,BA73,BU73,DI73)-SUM(O73,AI73,BC73,BW73,CQ73)-L73</f>
        <v>-2653</v>
      </c>
      <c r="DH73" s="29">
        <f t="shared" si="138"/>
        <v>2729</v>
      </c>
      <c r="DI73" s="240"/>
      <c r="DJ73" s="5">
        <f t="shared" si="136"/>
        <v>-2729</v>
      </c>
      <c r="DK73" s="256"/>
      <c r="DL73" s="240"/>
      <c r="DM73" s="231">
        <f t="shared" si="137"/>
        <v>2729</v>
      </c>
    </row>
    <row r="74" spans="1:117" ht="28.8" x14ac:dyDescent="0.3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>SUM(M74,AG74,BA74,BU74)-L74</f>
        <v>-19</v>
      </c>
      <c r="K74" s="394">
        <f t="shared" si="7"/>
        <v>-19</v>
      </c>
      <c r="L74" s="544">
        <v>19</v>
      </c>
      <c r="M74" s="5"/>
      <c r="N74" s="5">
        <f t="shared" si="123"/>
        <v>-19</v>
      </c>
      <c r="O74" s="256"/>
      <c r="P74" s="240"/>
      <c r="Q74" s="231">
        <f t="shared" si="124"/>
        <v>19</v>
      </c>
      <c r="R74" s="235"/>
      <c r="S74" s="199"/>
      <c r="T74" s="148"/>
      <c r="U74" s="734"/>
      <c r="V74" s="121"/>
      <c r="W74" s="6"/>
      <c r="X74" s="35"/>
      <c r="Y74" s="612"/>
      <c r="Z74" s="21"/>
      <c r="AA74" s="6"/>
      <c r="AB74" s="35"/>
      <c r="AC74" s="736"/>
      <c r="AD74" s="736"/>
      <c r="AE74" s="394">
        <f>SUM(M74,AG74)-SUM(O74,AI74)-L74</f>
        <v>-19</v>
      </c>
      <c r="AF74" s="29">
        <f>Q74</f>
        <v>19</v>
      </c>
      <c r="AG74" s="5">
        <v>0</v>
      </c>
      <c r="AH74" s="5">
        <f t="shared" si="125"/>
        <v>-19</v>
      </c>
      <c r="AI74" s="256"/>
      <c r="AJ74" s="240"/>
      <c r="AK74" s="231">
        <f t="shared" si="126"/>
        <v>19</v>
      </c>
      <c r="AL74" s="235"/>
      <c r="AM74" s="199"/>
      <c r="AN74" s="148"/>
      <c r="AO74" s="734"/>
      <c r="AP74" s="121"/>
      <c r="AQ74" s="6"/>
      <c r="AR74" s="35"/>
      <c r="AS74" s="612"/>
      <c r="AT74" s="21"/>
      <c r="AU74" s="6"/>
      <c r="AV74" s="35"/>
      <c r="AW74" s="736"/>
      <c r="AX74" s="736"/>
      <c r="AY74" s="394">
        <f>SUM(M74,AG74,BA74)-SUM(O74,AI74,BC74)-L74</f>
        <v>-19</v>
      </c>
      <c r="AZ74" s="29">
        <f t="shared" si="127"/>
        <v>19</v>
      </c>
      <c r="BA74" s="5">
        <v>0</v>
      </c>
      <c r="BB74" s="5">
        <f t="shared" si="128"/>
        <v>-19</v>
      </c>
      <c r="BC74" s="256"/>
      <c r="BD74" s="240"/>
      <c r="BE74" s="231">
        <f t="shared" si="129"/>
        <v>19</v>
      </c>
      <c r="BF74" s="235"/>
      <c r="BG74" s="199"/>
      <c r="BH74" s="148"/>
      <c r="BI74" s="734"/>
      <c r="BJ74" s="121"/>
      <c r="BK74" s="6"/>
      <c r="BL74" s="35"/>
      <c r="BM74" s="612"/>
      <c r="BN74" s="21"/>
      <c r="BO74" s="6"/>
      <c r="BP74" s="35"/>
      <c r="BQ74" s="736"/>
      <c r="BR74" s="736"/>
      <c r="BS74" s="394">
        <f>SUM(M74,AG74,BA74,BU74)-SUM(O74,AI74,BC74,BW74)-L74</f>
        <v>-19</v>
      </c>
      <c r="BT74" s="29">
        <f t="shared" si="130"/>
        <v>19</v>
      </c>
      <c r="BU74" s="5">
        <v>0</v>
      </c>
      <c r="BV74" s="5">
        <f t="shared" si="131"/>
        <v>-19</v>
      </c>
      <c r="BW74" s="256"/>
      <c r="BX74" s="240"/>
      <c r="BY74" s="231">
        <f t="shared" si="132"/>
        <v>19</v>
      </c>
      <c r="BZ74" s="235"/>
      <c r="CA74" s="199"/>
      <c r="CB74" s="148"/>
      <c r="CC74" s="734"/>
      <c r="CD74" s="121"/>
      <c r="CE74" s="6"/>
      <c r="CF74" s="35"/>
      <c r="CG74" s="612"/>
      <c r="CH74" s="21"/>
      <c r="CI74" s="6"/>
      <c r="CJ74" s="35"/>
      <c r="CK74" s="736"/>
      <c r="CL74" s="736"/>
      <c r="CM74" s="394">
        <f>SUM(M74,AG74,BA74,BU74,CO74)-SUM(O74,AI74,BC74,BW74,CQ74)-L74</f>
        <v>-19</v>
      </c>
      <c r="CN74" s="29">
        <f t="shared" si="133"/>
        <v>19</v>
      </c>
      <c r="CO74" s="5">
        <v>0</v>
      </c>
      <c r="CP74" s="5">
        <f t="shared" si="134"/>
        <v>-19</v>
      </c>
      <c r="CQ74" s="240"/>
      <c r="CR74" s="240"/>
      <c r="CS74" s="231">
        <f t="shared" si="135"/>
        <v>19</v>
      </c>
      <c r="CT74" s="235"/>
      <c r="CU74" s="199"/>
      <c r="CV74" s="148"/>
      <c r="CW74" s="734"/>
      <c r="CX74" s="121"/>
      <c r="CY74" s="6"/>
      <c r="CZ74" s="35"/>
      <c r="DA74" s="612"/>
      <c r="DB74" s="21"/>
      <c r="DC74" s="6"/>
      <c r="DD74" s="35"/>
      <c r="DE74" s="736"/>
      <c r="DF74" s="736"/>
      <c r="DG74" s="394">
        <f>SUM(M74,AG74,BA74,BU74,DI74)-SUM(O74,AI74,BC74,BW74,CQ74)-L74</f>
        <v>-19</v>
      </c>
      <c r="DH74" s="29">
        <f t="shared" si="138"/>
        <v>19</v>
      </c>
      <c r="DI74" s="5">
        <v>0</v>
      </c>
      <c r="DJ74" s="5">
        <f t="shared" si="136"/>
        <v>-19</v>
      </c>
      <c r="DK74" s="240"/>
      <c r="DL74" s="240"/>
      <c r="DM74" s="231">
        <f t="shared" si="137"/>
        <v>19</v>
      </c>
    </row>
    <row r="75" spans="1:117" ht="29.4" thickBot="1" x14ac:dyDescent="0.35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>SUM(M75,AG75,BA75,BU75)-L75</f>
        <v>-282</v>
      </c>
      <c r="K75" s="394">
        <f t="shared" si="7"/>
        <v>-282</v>
      </c>
      <c r="L75" s="545">
        <v>282</v>
      </c>
      <c r="M75" s="31"/>
      <c r="N75" s="31">
        <f t="shared" si="123"/>
        <v>-282</v>
      </c>
      <c r="O75" s="443"/>
      <c r="P75" s="241"/>
      <c r="Q75" s="231">
        <f t="shared" si="124"/>
        <v>282</v>
      </c>
      <c r="R75" s="272"/>
      <c r="S75" s="217"/>
      <c r="T75" s="273"/>
      <c r="U75" s="737"/>
      <c r="V75" s="200"/>
      <c r="W75" s="201"/>
      <c r="X75" s="36"/>
      <c r="Y75" s="220"/>
      <c r="Z75" s="122"/>
      <c r="AA75" s="201"/>
      <c r="AB75" s="36"/>
      <c r="AC75" s="750"/>
      <c r="AD75" s="750"/>
      <c r="AE75" s="394">
        <f>SUM(M75,AG75)-SUM(O75,AI75)-L75</f>
        <v>-282</v>
      </c>
      <c r="AF75" s="29">
        <f>Q75</f>
        <v>282</v>
      </c>
      <c r="AG75" s="31">
        <v>0</v>
      </c>
      <c r="AH75" s="31">
        <f t="shared" si="125"/>
        <v>-282</v>
      </c>
      <c r="AI75" s="443"/>
      <c r="AJ75" s="241"/>
      <c r="AK75" s="231">
        <f t="shared" si="126"/>
        <v>282</v>
      </c>
      <c r="AL75" s="272"/>
      <c r="AM75" s="217"/>
      <c r="AN75" s="273"/>
      <c r="AO75" s="737"/>
      <c r="AP75" s="200"/>
      <c r="AQ75" s="201"/>
      <c r="AR75" s="36"/>
      <c r="AS75" s="220"/>
      <c r="AT75" s="122"/>
      <c r="AU75" s="201"/>
      <c r="AV75" s="36"/>
      <c r="AW75" s="750"/>
      <c r="AX75" s="750"/>
      <c r="AY75" s="394">
        <f>SUM(M75,AG75,BA75)-SUM(O75,AI75,BC75)-L75</f>
        <v>-282</v>
      </c>
      <c r="AZ75" s="29">
        <f t="shared" si="127"/>
        <v>282</v>
      </c>
      <c r="BA75" s="31">
        <v>0</v>
      </c>
      <c r="BB75" s="31">
        <f t="shared" si="128"/>
        <v>-282</v>
      </c>
      <c r="BC75" s="443"/>
      <c r="BD75" s="241"/>
      <c r="BE75" s="231">
        <f t="shared" si="129"/>
        <v>282</v>
      </c>
      <c r="BF75" s="272"/>
      <c r="BG75" s="217"/>
      <c r="BH75" s="273"/>
      <c r="BI75" s="737"/>
      <c r="BJ75" s="200"/>
      <c r="BK75" s="201"/>
      <c r="BL75" s="36"/>
      <c r="BM75" s="220"/>
      <c r="BN75" s="122"/>
      <c r="BO75" s="201"/>
      <c r="BP75" s="36"/>
      <c r="BQ75" s="750"/>
      <c r="BR75" s="750"/>
      <c r="BS75" s="394">
        <f>SUM(M75,AG75,BA75,BU75)-SUM(O75,AI75,BC75,BW75)-L75</f>
        <v>-282</v>
      </c>
      <c r="BT75" s="29">
        <f t="shared" si="130"/>
        <v>282</v>
      </c>
      <c r="BU75" s="31">
        <v>0</v>
      </c>
      <c r="BV75" s="31">
        <f t="shared" si="131"/>
        <v>-282</v>
      </c>
      <c r="BW75" s="443"/>
      <c r="BX75" s="241"/>
      <c r="BY75" s="231">
        <f t="shared" si="132"/>
        <v>282</v>
      </c>
      <c r="BZ75" s="272"/>
      <c r="CA75" s="217"/>
      <c r="CB75" s="273"/>
      <c r="CC75" s="737"/>
      <c r="CD75" s="200"/>
      <c r="CE75" s="201"/>
      <c r="CF75" s="36"/>
      <c r="CG75" s="220"/>
      <c r="CH75" s="122"/>
      <c r="CI75" s="201"/>
      <c r="CJ75" s="36"/>
      <c r="CK75" s="750"/>
      <c r="CL75" s="750"/>
      <c r="CM75" s="394">
        <f>SUM(M75,AG75,BA75,BU75,CO75)-SUM(O75,AI75,BC75,BW75,CQ75)-L75</f>
        <v>-282</v>
      </c>
      <c r="CN75" s="29">
        <f t="shared" si="133"/>
        <v>282</v>
      </c>
      <c r="CO75" s="31">
        <v>0</v>
      </c>
      <c r="CP75" s="31">
        <f t="shared" si="134"/>
        <v>-282</v>
      </c>
      <c r="CQ75" s="247"/>
      <c r="CR75" s="241"/>
      <c r="CS75" s="231">
        <f t="shared" si="135"/>
        <v>282</v>
      </c>
      <c r="CT75" s="272"/>
      <c r="CU75" s="217"/>
      <c r="CV75" s="273"/>
      <c r="CW75" s="737"/>
      <c r="CX75" s="200"/>
      <c r="CY75" s="201"/>
      <c r="CZ75" s="36"/>
      <c r="DA75" s="220"/>
      <c r="DB75" s="122"/>
      <c r="DC75" s="201"/>
      <c r="DD75" s="36"/>
      <c r="DE75" s="750"/>
      <c r="DF75" s="750"/>
      <c r="DG75" s="394">
        <f>SUM(M75,AG75,BA75,BU75,DI75)-SUM(O75,AI75,BC75,BW75,CQ75)-L75</f>
        <v>-282</v>
      </c>
      <c r="DH75" s="29">
        <f t="shared" si="138"/>
        <v>282</v>
      </c>
      <c r="DI75" s="31">
        <v>0</v>
      </c>
      <c r="DJ75" s="31">
        <f t="shared" si="136"/>
        <v>-282</v>
      </c>
      <c r="DK75" s="247"/>
      <c r="DL75" s="241"/>
      <c r="DM75" s="231">
        <f t="shared" si="137"/>
        <v>282</v>
      </c>
    </row>
    <row r="76" spans="1:117" x14ac:dyDescent="0.3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3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864</v>
      </c>
      <c r="CC77" s="817"/>
      <c r="CD77" s="121"/>
      <c r="CE77" s="6"/>
      <c r="CF77" s="625"/>
      <c r="CG77" s="823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3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7"/>
        <v>-794</v>
      </c>
      <c r="L78" s="544">
        <v>810</v>
      </c>
      <c r="M78" s="298">
        <f>M24</f>
        <v>16</v>
      </c>
      <c r="N78" s="5">
        <f t="shared" ref="N78" si="139">M78-L78</f>
        <v>-794</v>
      </c>
      <c r="O78" s="256"/>
      <c r="P78" s="303">
        <f>P24</f>
        <v>16</v>
      </c>
      <c r="Q78" s="231">
        <f t="shared" ref="Q78" si="14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41">AG78-AF78</f>
        <v>-699</v>
      </c>
      <c r="AI78" s="240"/>
      <c r="AJ78" s="303">
        <f>AJ24</f>
        <v>89</v>
      </c>
      <c r="AK78" s="231">
        <f t="shared" ref="AK78" si="14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43">AK78</f>
        <v>705</v>
      </c>
      <c r="BA78" s="298">
        <f>BA24</f>
        <v>129</v>
      </c>
      <c r="BB78" s="5">
        <f t="shared" ref="BB78" si="144">BA78-AZ78</f>
        <v>-576</v>
      </c>
      <c r="BC78" s="256"/>
      <c r="BD78" s="303">
        <f>BD24</f>
        <v>129</v>
      </c>
      <c r="BE78" s="231">
        <f t="shared" ref="BE78" si="14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46">BU78-BT78</f>
        <v>-550</v>
      </c>
      <c r="BW78" s="240"/>
      <c r="BX78" s="303">
        <f>BX24</f>
        <v>242</v>
      </c>
      <c r="BY78" s="231">
        <f t="shared" ref="BY78" si="147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48">BY78</f>
        <v>758</v>
      </c>
      <c r="CO78" s="298">
        <f>CO24</f>
        <v>0</v>
      </c>
      <c r="CP78" s="5">
        <f t="shared" ref="CP78" si="149">CO78-CN78</f>
        <v>-758</v>
      </c>
      <c r="CQ78" s="5"/>
      <c r="CR78" s="303">
        <f>CR24</f>
        <v>0</v>
      </c>
      <c r="CS78" s="231">
        <f t="shared" ref="CS78" si="150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51">DI78-DH78</f>
        <v>-758</v>
      </c>
      <c r="DK78" s="5"/>
      <c r="DL78" s="303">
        <f>DL24</f>
        <v>0</v>
      </c>
      <c r="DM78" s="231">
        <f t="shared" ref="DM78:DM79" si="152">DH78+DK78-DL78</f>
        <v>758</v>
      </c>
    </row>
    <row r="79" spans="1:117" ht="15" thickBot="1" x14ac:dyDescent="0.35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7"/>
        <v>-894</v>
      </c>
      <c r="L79" s="551">
        <v>910</v>
      </c>
      <c r="M79" s="300">
        <f>M24</f>
        <v>16</v>
      </c>
      <c r="N79" s="65">
        <f t="shared" ref="N79" si="153">M79-L79</f>
        <v>-894</v>
      </c>
      <c r="O79" s="284"/>
      <c r="P79" s="384">
        <f>P24</f>
        <v>16</v>
      </c>
      <c r="Q79" s="297">
        <f t="shared" ref="Q79" si="154">L79+O79-P79</f>
        <v>894</v>
      </c>
      <c r="R79" s="126"/>
      <c r="S79" s="127"/>
      <c r="T79" s="66"/>
      <c r="U79" s="738"/>
      <c r="V79" s="126"/>
      <c r="W79" s="127"/>
      <c r="X79" s="66"/>
      <c r="Y79" s="738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55">AG79-AF79</f>
        <v>-799</v>
      </c>
      <c r="AI79" s="250"/>
      <c r="AJ79" s="384">
        <f>AJ24</f>
        <v>89</v>
      </c>
      <c r="AK79" s="297">
        <f t="shared" ref="AK79" si="156">AF79+AI79-AJ79</f>
        <v>805</v>
      </c>
      <c r="AL79" s="126"/>
      <c r="AM79" s="127"/>
      <c r="AN79" s="66"/>
      <c r="AO79" s="738"/>
      <c r="AP79" s="128"/>
      <c r="AQ79" s="127"/>
      <c r="AR79" s="66"/>
      <c r="AS79" s="738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57">AK79</f>
        <v>805</v>
      </c>
      <c r="BA79" s="300">
        <f>BA24</f>
        <v>129</v>
      </c>
      <c r="BB79" s="65">
        <f t="shared" ref="BB79" si="158">BA79-AZ79</f>
        <v>-676</v>
      </c>
      <c r="BC79" s="284"/>
      <c r="BD79" s="384">
        <f>BD24</f>
        <v>129</v>
      </c>
      <c r="BE79" s="297">
        <f t="shared" ref="BE79" si="159">AZ79+BC79-BD79</f>
        <v>676</v>
      </c>
      <c r="BF79" s="126"/>
      <c r="BG79" s="127"/>
      <c r="BH79" s="66"/>
      <c r="BI79" s="738"/>
      <c r="BJ79" s="126"/>
      <c r="BK79" s="127"/>
      <c r="BL79" s="66"/>
      <c r="BM79" s="738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60">BU79-BT79</f>
        <v>-550</v>
      </c>
      <c r="BW79" s="250"/>
      <c r="BX79" s="384">
        <f>BX24</f>
        <v>242</v>
      </c>
      <c r="BY79" s="297">
        <f t="shared" ref="BY79" si="161">BT79+BW79-BX79</f>
        <v>758</v>
      </c>
      <c r="BZ79" s="126"/>
      <c r="CA79" s="127"/>
      <c r="CB79" s="66"/>
      <c r="CC79" s="738"/>
      <c r="CD79" s="126"/>
      <c r="CE79" s="127"/>
      <c r="CF79" s="66"/>
      <c r="CG79" s="738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62">BY79</f>
        <v>758</v>
      </c>
      <c r="CO79" s="300">
        <f>CO24</f>
        <v>0</v>
      </c>
      <c r="CP79" s="65">
        <f t="shared" ref="CP79" si="163">CO79-CN79</f>
        <v>-758</v>
      </c>
      <c r="CQ79" s="65"/>
      <c r="CR79" s="384">
        <f>CR24</f>
        <v>0</v>
      </c>
      <c r="CS79" s="297">
        <f t="shared" ref="CS79" si="164">CN79+CQ79-CR79</f>
        <v>758</v>
      </c>
      <c r="CT79" s="126"/>
      <c r="CU79" s="127"/>
      <c r="CV79" s="66"/>
      <c r="CW79" s="738"/>
      <c r="CX79" s="126"/>
      <c r="CY79" s="127"/>
      <c r="CZ79" s="66"/>
      <c r="DA79" s="738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51"/>
        <v>-758</v>
      </c>
      <c r="DK79" s="65"/>
      <c r="DL79" s="384">
        <f>DL24</f>
        <v>0</v>
      </c>
      <c r="DM79" s="297">
        <f t="shared" si="152"/>
        <v>758</v>
      </c>
    </row>
    <row r="80" spans="1:117" ht="15" thickBot="1" x14ac:dyDescent="0.35">
      <c r="P80" s="248"/>
      <c r="AJ80" s="248"/>
      <c r="BD80" s="248"/>
      <c r="BX80" s="248"/>
      <c r="CR80" s="248"/>
      <c r="DL80" s="248"/>
    </row>
    <row r="81" spans="1:117" ht="15" thickBot="1" x14ac:dyDescent="0.35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3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3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36"/>
      <c r="AD83" s="736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36"/>
      <c r="AX83" s="736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36"/>
      <c r="BR83" s="736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823"/>
      <c r="CH83" s="21"/>
      <c r="CI83" s="6"/>
      <c r="CJ83" s="35"/>
      <c r="CK83" s="736"/>
      <c r="CL83" s="736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36"/>
      <c r="DF83" s="736"/>
      <c r="DG83" s="394"/>
      <c r="DH83" s="29"/>
      <c r="DI83" s="298"/>
      <c r="DJ83" s="5"/>
      <c r="DK83" s="240"/>
      <c r="DL83" s="303"/>
      <c r="DM83" s="231"/>
    </row>
    <row r="84" spans="1:117" x14ac:dyDescent="0.3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>SUM(M84,AG84,BA84,BU84)-L84</f>
        <v>490</v>
      </c>
      <c r="K84" s="394">
        <f t="shared" ref="K84:K136" si="165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36"/>
      <c r="AD84" s="736"/>
      <c r="AE84" s="394">
        <f>SUM(M84,AG84)-SUM(O84,AI84)-L84</f>
        <v>-1422</v>
      </c>
      <c r="AF84" s="29">
        <f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36"/>
      <c r="AX84" s="736"/>
      <c r="AY84" s="394">
        <f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36"/>
      <c r="BR84" s="736"/>
      <c r="BS84" s="394">
        <f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34"/>
      <c r="CH84" s="21"/>
      <c r="CI84" s="199"/>
      <c r="CJ84" s="148"/>
      <c r="CK84" s="834"/>
      <c r="CL84" s="834"/>
      <c r="CM84" s="394">
        <f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36"/>
      <c r="DF84" s="736"/>
      <c r="DG84" s="394">
        <f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3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>SUM(M85,AG85,BA85,BU85)-L85</f>
        <v>288</v>
      </c>
      <c r="K85" s="394">
        <f t="shared" si="165"/>
        <v>-205</v>
      </c>
      <c r="L85" s="544">
        <v>243</v>
      </c>
      <c r="M85" s="298">
        <f>M82</f>
        <v>38</v>
      </c>
      <c r="N85" s="5">
        <f t="shared" ref="N85:N91" si="166">M85-L85</f>
        <v>-205</v>
      </c>
      <c r="O85" s="256"/>
      <c r="P85" s="303">
        <f>P82</f>
        <v>38</v>
      </c>
      <c r="Q85" s="231">
        <f t="shared" ref="Q85:Q91" si="167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36"/>
      <c r="AD85" s="736"/>
      <c r="AE85" s="394">
        <f>SUM(M85,AG85)-SUM(O85,AI85)-L85</f>
        <v>-524</v>
      </c>
      <c r="AF85" s="29">
        <f>Q85</f>
        <v>205</v>
      </c>
      <c r="AG85" s="298">
        <f>AG82</f>
        <v>81</v>
      </c>
      <c r="AH85" s="5">
        <f t="shared" ref="AH85:AH91" si="168">AG85-AF85</f>
        <v>-124</v>
      </c>
      <c r="AI85" s="256">
        <v>400</v>
      </c>
      <c r="AJ85" s="303">
        <f>AJ82</f>
        <v>81</v>
      </c>
      <c r="AK85" s="231">
        <f t="shared" ref="AK85:AK91" si="169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36"/>
      <c r="AX85" s="736"/>
      <c r="AY85" s="394">
        <f>SUM(M85,AG85,BA85)-SUM(O85,AI85,BC85)-L85</f>
        <v>-262</v>
      </c>
      <c r="AZ85" s="29">
        <f t="shared" ref="AZ85:AZ91" si="170">AK85</f>
        <v>524</v>
      </c>
      <c r="BA85" s="298">
        <f>BA82</f>
        <v>262</v>
      </c>
      <c r="BB85" s="5">
        <f t="shared" ref="BB85:BB91" si="171">BA85-AZ85</f>
        <v>-262</v>
      </c>
      <c r="BC85" s="256"/>
      <c r="BD85" s="303">
        <f>BD82</f>
        <v>262</v>
      </c>
      <c r="BE85" s="231">
        <f t="shared" ref="BE85:BE91" si="172">AZ85+BC85-BD85</f>
        <v>262</v>
      </c>
      <c r="BF85" s="21"/>
      <c r="BG85" s="6"/>
      <c r="BH85" s="35"/>
      <c r="BI85" s="612"/>
      <c r="BJ85" s="121"/>
      <c r="BK85" s="6"/>
      <c r="BL85" s="216"/>
      <c r="BM85" s="730"/>
      <c r="BN85" s="527"/>
      <c r="BO85" s="6"/>
      <c r="BP85" s="216"/>
      <c r="BQ85" s="739"/>
      <c r="BR85" s="739"/>
      <c r="BS85" s="394">
        <f>SUM(M85,AG85,BA85,BU85)-SUM(O85,AI85,BC85,BW85)-L85</f>
        <v>-512</v>
      </c>
      <c r="BT85" s="29">
        <f t="shared" ref="BT85:BT91" si="173">BE85</f>
        <v>262</v>
      </c>
      <c r="BU85" s="298">
        <f>BU82</f>
        <v>150</v>
      </c>
      <c r="BV85" s="5">
        <f t="shared" ref="BV85:BV91" si="174">BU85-BT85</f>
        <v>-112</v>
      </c>
      <c r="BW85" s="621">
        <v>400</v>
      </c>
      <c r="BX85" s="303">
        <f>BX82</f>
        <v>56</v>
      </c>
      <c r="BY85" s="231">
        <f t="shared" ref="BY85:BY91" si="175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809"/>
      <c r="CH85" s="21"/>
      <c r="CI85" s="235"/>
      <c r="CJ85" s="148"/>
      <c r="CK85" s="834"/>
      <c r="CL85" s="834"/>
      <c r="CM85" s="394">
        <f>SUM(M85,AG85,BA85,BU85,CO85)-SUM(O85,AI85,BC85,BW85,CQ85)-L85</f>
        <v>-512</v>
      </c>
      <c r="CN85" s="29">
        <f t="shared" ref="CN85:CN91" si="176">BY85</f>
        <v>606</v>
      </c>
      <c r="CO85" s="298">
        <f>CO82</f>
        <v>0</v>
      </c>
      <c r="CP85" s="5">
        <f t="shared" ref="CP85:CP91" si="177">CO85-CN85</f>
        <v>-606</v>
      </c>
      <c r="CQ85" s="240"/>
      <c r="CR85" s="303">
        <f>CR82</f>
        <v>0</v>
      </c>
      <c r="CS85" s="231">
        <f t="shared" ref="CS85:CS91" si="178">CN85+CQ85-CR85</f>
        <v>606</v>
      </c>
      <c r="CT85" s="21"/>
      <c r="CU85" s="628">
        <v>38880</v>
      </c>
      <c r="CV85" s="625" t="s">
        <v>930</v>
      </c>
      <c r="CW85" s="823"/>
      <c r="CX85" s="121"/>
      <c r="CY85" s="6"/>
      <c r="CZ85" s="35"/>
      <c r="DA85" s="612"/>
      <c r="DB85" s="21"/>
      <c r="DC85" s="6"/>
      <c r="DD85" s="35"/>
      <c r="DE85" s="736"/>
      <c r="DF85" s="736"/>
      <c r="DG85" s="394">
        <f>SUM(M85,AG85,BA85,BU85,DI85)-SUM(O85,AI85,BC85,BW85,CQ85)-L85</f>
        <v>-512</v>
      </c>
      <c r="DH85" s="29">
        <f t="shared" ref="DH85:DH91" si="179">BY85</f>
        <v>606</v>
      </c>
      <c r="DI85" s="298">
        <f>DI82</f>
        <v>0</v>
      </c>
      <c r="DJ85" s="5">
        <f t="shared" ref="DJ85:DJ91" si="180">DI85-DH85</f>
        <v>-606</v>
      </c>
      <c r="DK85" s="240"/>
      <c r="DL85" s="303">
        <f>DL82</f>
        <v>0</v>
      </c>
      <c r="DM85" s="231">
        <f t="shared" ref="DM85:DM91" si="181">DH85+DK85-DL85</f>
        <v>606</v>
      </c>
    </row>
    <row r="86" spans="1:117" ht="43.2" x14ac:dyDescent="0.3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>SUM(M86,AG86,BA86,BU86)-L86</f>
        <v>282</v>
      </c>
      <c r="K86" s="394">
        <f t="shared" si="165"/>
        <v>-211</v>
      </c>
      <c r="L86" s="544">
        <v>249</v>
      </c>
      <c r="M86" s="298">
        <f>M82</f>
        <v>38</v>
      </c>
      <c r="N86" s="5">
        <f t="shared" si="166"/>
        <v>-211</v>
      </c>
      <c r="O86" s="256"/>
      <c r="P86" s="303">
        <f>P82</f>
        <v>38</v>
      </c>
      <c r="Q86" s="231">
        <f t="shared" si="167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36"/>
      <c r="AD86" s="736"/>
      <c r="AE86" s="394">
        <f>SUM(M86,AG86)-SUM(O86,AI86)-L86</f>
        <v>-530</v>
      </c>
      <c r="AF86" s="29">
        <f>Q86</f>
        <v>211</v>
      </c>
      <c r="AG86" s="298">
        <f>AG82</f>
        <v>81</v>
      </c>
      <c r="AH86" s="5">
        <f t="shared" si="168"/>
        <v>-130</v>
      </c>
      <c r="AI86" s="256">
        <v>400</v>
      </c>
      <c r="AJ86" s="303">
        <f>AJ82</f>
        <v>81</v>
      </c>
      <c r="AK86" s="231">
        <f t="shared" si="169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36"/>
      <c r="AX86" s="736"/>
      <c r="AY86" s="394">
        <f>SUM(M86,AG86,BA86)-SUM(O86,AI86,BC86)-L86</f>
        <v>-268</v>
      </c>
      <c r="AZ86" s="29">
        <f t="shared" si="170"/>
        <v>530</v>
      </c>
      <c r="BA86" s="298">
        <f>BA82</f>
        <v>262</v>
      </c>
      <c r="BB86" s="5">
        <f t="shared" si="171"/>
        <v>-268</v>
      </c>
      <c r="BC86" s="256"/>
      <c r="BD86" s="303">
        <f>BD82</f>
        <v>262</v>
      </c>
      <c r="BE86" s="231">
        <f t="shared" si="172"/>
        <v>268</v>
      </c>
      <c r="BF86" s="121"/>
      <c r="BG86" s="6"/>
      <c r="BH86" s="35"/>
      <c r="BI86" s="612"/>
      <c r="BJ86" s="121"/>
      <c r="BK86" s="6"/>
      <c r="BL86" s="216"/>
      <c r="BM86" s="730"/>
      <c r="BN86" s="527"/>
      <c r="BO86" s="6"/>
      <c r="BP86" s="216"/>
      <c r="BQ86" s="739"/>
      <c r="BR86" s="739"/>
      <c r="BS86" s="394">
        <f>SUM(M86,AG86,BA86,BU86)-SUM(O86,AI86,BC86,BW86)-L86</f>
        <v>-518</v>
      </c>
      <c r="BT86" s="29">
        <f t="shared" si="173"/>
        <v>268</v>
      </c>
      <c r="BU86" s="298">
        <f>BU82</f>
        <v>150</v>
      </c>
      <c r="BV86" s="5">
        <f t="shared" si="174"/>
        <v>-118</v>
      </c>
      <c r="BW86" s="621">
        <v>400</v>
      </c>
      <c r="BX86" s="303">
        <f>BX82</f>
        <v>56</v>
      </c>
      <c r="BY86" s="231">
        <f t="shared" si="175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809"/>
      <c r="CH86" s="526"/>
      <c r="CI86" s="199"/>
      <c r="CJ86" s="148"/>
      <c r="CK86" s="834"/>
      <c r="CL86" s="834"/>
      <c r="CM86" s="394">
        <f>SUM(M86,AG86,BA86,BU86,CO86)-SUM(O86,AI86,BC86,BW86,CQ86)-L86</f>
        <v>-518</v>
      </c>
      <c r="CN86" s="29">
        <f t="shared" si="176"/>
        <v>612</v>
      </c>
      <c r="CO86" s="298">
        <f>CO82</f>
        <v>0</v>
      </c>
      <c r="CP86" s="5">
        <f t="shared" si="177"/>
        <v>-612</v>
      </c>
      <c r="CQ86" s="240"/>
      <c r="CR86" s="303">
        <f>CR82</f>
        <v>0</v>
      </c>
      <c r="CS86" s="231">
        <f t="shared" si="178"/>
        <v>612</v>
      </c>
      <c r="CT86" s="526"/>
      <c r="CU86" s="629">
        <v>23520</v>
      </c>
      <c r="CV86" s="625" t="s">
        <v>930</v>
      </c>
      <c r="CW86" s="823"/>
      <c r="CX86" s="121"/>
      <c r="CY86" s="6"/>
      <c r="CZ86" s="35"/>
      <c r="DA86" s="612"/>
      <c r="DB86" s="21"/>
      <c r="DC86" s="6"/>
      <c r="DD86" s="35"/>
      <c r="DE86" s="736"/>
      <c r="DF86" s="736"/>
      <c r="DG86" s="394">
        <f>SUM(M86,AG86,BA86,BU86,DI86)-SUM(O86,AI86,BC86,BW86,CQ86)-L86</f>
        <v>-518</v>
      </c>
      <c r="DH86" s="29">
        <f t="shared" si="179"/>
        <v>612</v>
      </c>
      <c r="DI86" s="298">
        <f>DI82</f>
        <v>0</v>
      </c>
      <c r="DJ86" s="5">
        <f t="shared" si="180"/>
        <v>-612</v>
      </c>
      <c r="DK86" s="240"/>
      <c r="DL86" s="303">
        <f>DL82</f>
        <v>0</v>
      </c>
      <c r="DM86" s="231">
        <f t="shared" si="181"/>
        <v>612</v>
      </c>
    </row>
    <row r="87" spans="1:117" ht="37.799999999999997" customHeight="1" x14ac:dyDescent="0.3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>SUM(M87,AG87,BA87,BU87)-L87</f>
        <v>289</v>
      </c>
      <c r="K87" s="394">
        <f t="shared" si="165"/>
        <v>-604</v>
      </c>
      <c r="L87" s="544">
        <v>242</v>
      </c>
      <c r="M87" s="298">
        <f>M82</f>
        <v>38</v>
      </c>
      <c r="N87" s="5">
        <f t="shared" si="166"/>
        <v>-204</v>
      </c>
      <c r="O87" s="256">
        <v>400</v>
      </c>
      <c r="P87" s="303">
        <f>P82</f>
        <v>38</v>
      </c>
      <c r="Q87" s="231">
        <f t="shared" si="167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36"/>
      <c r="AD87" s="736"/>
      <c r="AE87" s="394">
        <f>SUM(M87,AG87)-SUM(O87,AI87)-L87</f>
        <v>-523</v>
      </c>
      <c r="AF87" s="29">
        <f>Q87</f>
        <v>604</v>
      </c>
      <c r="AG87" s="298">
        <f>AG82</f>
        <v>81</v>
      </c>
      <c r="AH87" s="5">
        <f t="shared" si="168"/>
        <v>-523</v>
      </c>
      <c r="AI87" s="256"/>
      <c r="AJ87" s="303">
        <f>AJ82</f>
        <v>81</v>
      </c>
      <c r="AK87" s="231">
        <f t="shared" si="169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36"/>
      <c r="AX87" s="736"/>
      <c r="AY87" s="394">
        <f>SUM(M87,AG87,BA87)-SUM(O87,AI87,BC87)-L87</f>
        <v>-261</v>
      </c>
      <c r="AZ87" s="29">
        <f t="shared" si="170"/>
        <v>523</v>
      </c>
      <c r="BA87" s="298">
        <f>BA82</f>
        <v>262</v>
      </c>
      <c r="BB87" s="5">
        <f t="shared" si="171"/>
        <v>-261</v>
      </c>
      <c r="BC87" s="256"/>
      <c r="BD87" s="303">
        <f>BD82</f>
        <v>262</v>
      </c>
      <c r="BE87" s="231">
        <f t="shared" si="172"/>
        <v>261</v>
      </c>
      <c r="BF87" s="21"/>
      <c r="BG87" s="6"/>
      <c r="BH87" s="35"/>
      <c r="BI87" s="612"/>
      <c r="BJ87" s="121"/>
      <c r="BK87" s="6"/>
      <c r="BL87" s="216"/>
      <c r="BM87" s="730"/>
      <c r="BN87" s="21"/>
      <c r="BO87" s="6"/>
      <c r="BP87" s="35"/>
      <c r="BQ87" s="736"/>
      <c r="BR87" s="736"/>
      <c r="BS87" s="394">
        <f>SUM(M87,AG87,BA87,BU87)-SUM(O87,AI87,BC87,BW87)-L87</f>
        <v>-411</v>
      </c>
      <c r="BT87" s="29">
        <f t="shared" si="173"/>
        <v>261</v>
      </c>
      <c r="BU87" s="298">
        <f>BU82</f>
        <v>150</v>
      </c>
      <c r="BV87" s="5">
        <f t="shared" si="174"/>
        <v>-111</v>
      </c>
      <c r="BW87" s="623">
        <v>300</v>
      </c>
      <c r="BX87" s="303">
        <f>BX82</f>
        <v>56</v>
      </c>
      <c r="BY87" s="231">
        <f t="shared" si="175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889</v>
      </c>
      <c r="CG87" s="824"/>
      <c r="CH87" s="21"/>
      <c r="CI87" s="6"/>
      <c r="CJ87" s="148"/>
      <c r="CK87" s="834"/>
      <c r="CL87" s="834"/>
      <c r="CM87" s="394">
        <f>SUM(M87,AG87,BA87,BU87,CO87)-SUM(O87,AI87,BC87,BW87,CQ87)-L87</f>
        <v>-411</v>
      </c>
      <c r="CN87" s="29">
        <f t="shared" si="176"/>
        <v>505</v>
      </c>
      <c r="CO87" s="298">
        <f>CO82</f>
        <v>0</v>
      </c>
      <c r="CP87" s="5">
        <f t="shared" si="177"/>
        <v>-505</v>
      </c>
      <c r="CQ87" s="240"/>
      <c r="CR87" s="303">
        <f>CR82</f>
        <v>0</v>
      </c>
      <c r="CS87" s="231">
        <f t="shared" si="178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36"/>
      <c r="DF87" s="736"/>
      <c r="DG87" s="394">
        <f>SUM(M87,AG87,BA87,BU87,DI87)-SUM(O87,AI87,BC87,BW87,CQ87)-L87</f>
        <v>-411</v>
      </c>
      <c r="DH87" s="29">
        <f t="shared" si="179"/>
        <v>505</v>
      </c>
      <c r="DI87" s="298">
        <f>DI82</f>
        <v>0</v>
      </c>
      <c r="DJ87" s="5">
        <f t="shared" si="180"/>
        <v>-505</v>
      </c>
      <c r="DK87" s="240"/>
      <c r="DL87" s="303">
        <f>DL82</f>
        <v>0</v>
      </c>
      <c r="DM87" s="231">
        <f t="shared" si="181"/>
        <v>505</v>
      </c>
    </row>
    <row r="88" spans="1:117" ht="36" x14ac:dyDescent="0.3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>SUM(M88,AG88,BA88,BU88)-L88</f>
        <v>265</v>
      </c>
      <c r="K88" s="394">
        <f t="shared" si="165"/>
        <v>-628</v>
      </c>
      <c r="L88" s="544">
        <v>266</v>
      </c>
      <c r="M88" s="298">
        <f>M82</f>
        <v>38</v>
      </c>
      <c r="N88" s="5">
        <f t="shared" si="166"/>
        <v>-228</v>
      </c>
      <c r="O88" s="256">
        <v>400</v>
      </c>
      <c r="P88" s="303">
        <f>P82</f>
        <v>38</v>
      </c>
      <c r="Q88" s="231">
        <f t="shared" si="167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36"/>
      <c r="AD88" s="736"/>
      <c r="AE88" s="394">
        <f>SUM(M88,AG88)-SUM(O88,AI88)-L88</f>
        <v>-547</v>
      </c>
      <c r="AF88" s="29">
        <f>Q88</f>
        <v>628</v>
      </c>
      <c r="AG88" s="298">
        <f>AG82</f>
        <v>81</v>
      </c>
      <c r="AH88" s="5">
        <f t="shared" si="168"/>
        <v>-547</v>
      </c>
      <c r="AI88" s="256"/>
      <c r="AJ88" s="303">
        <f>AJ82</f>
        <v>81</v>
      </c>
      <c r="AK88" s="231">
        <f t="shared" si="169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36"/>
      <c r="AX88" s="736"/>
      <c r="AY88" s="394">
        <f>SUM(M88,AG88,BA88)-SUM(O88,AI88,BC88)-L88</f>
        <v>-285</v>
      </c>
      <c r="AZ88" s="29">
        <f t="shared" si="170"/>
        <v>547</v>
      </c>
      <c r="BA88" s="298">
        <f>BA82</f>
        <v>262</v>
      </c>
      <c r="BB88" s="5">
        <f t="shared" si="171"/>
        <v>-285</v>
      </c>
      <c r="BC88" s="256"/>
      <c r="BD88" s="303">
        <f>BD82</f>
        <v>262</v>
      </c>
      <c r="BE88" s="231">
        <f t="shared" si="172"/>
        <v>285</v>
      </c>
      <c r="BF88" s="21"/>
      <c r="BG88" s="6"/>
      <c r="BH88" s="35"/>
      <c r="BI88" s="612"/>
      <c r="BJ88" s="121"/>
      <c r="BK88" s="6"/>
      <c r="BL88" s="216"/>
      <c r="BM88" s="730"/>
      <c r="BN88" s="21"/>
      <c r="BO88" s="6"/>
      <c r="BP88" s="35"/>
      <c r="BQ88" s="736"/>
      <c r="BR88" s="736"/>
      <c r="BS88" s="394">
        <f>SUM(M88,AG88,BA88,BU88)-SUM(O88,AI88,BC88,BW88)-L88</f>
        <v>-435</v>
      </c>
      <c r="BT88" s="29">
        <f t="shared" si="173"/>
        <v>285</v>
      </c>
      <c r="BU88" s="298">
        <f>BU82</f>
        <v>150</v>
      </c>
      <c r="BV88" s="5">
        <f t="shared" si="174"/>
        <v>-135</v>
      </c>
      <c r="BW88" s="621">
        <v>300</v>
      </c>
      <c r="BX88" s="303">
        <f>BX82</f>
        <v>56</v>
      </c>
      <c r="BY88" s="231">
        <f t="shared" si="175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889</v>
      </c>
      <c r="CG88" s="824"/>
      <c r="CH88" s="21"/>
      <c r="CI88" s="6"/>
      <c r="CM88" s="394">
        <f>SUM(M88,AG88,BA88,BU88,CO88)-SUM(O88,AI88,BC88,BW88,CQ88)-L88</f>
        <v>-435</v>
      </c>
      <c r="CN88" s="29">
        <f t="shared" si="176"/>
        <v>529</v>
      </c>
      <c r="CO88" s="298">
        <f>CO82</f>
        <v>0</v>
      </c>
      <c r="CP88" s="5">
        <f t="shared" si="177"/>
        <v>-529</v>
      </c>
      <c r="CQ88" s="240"/>
      <c r="CR88" s="303">
        <f>CR82</f>
        <v>0</v>
      </c>
      <c r="CS88" s="231">
        <f t="shared" si="178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36"/>
      <c r="DF88" s="736"/>
      <c r="DG88" s="394">
        <f>SUM(M88,AG88,BA88,BU88,DI88)-SUM(O88,AI88,BC88,BW88,CQ88)-L88</f>
        <v>-435</v>
      </c>
      <c r="DH88" s="29">
        <f t="shared" si="179"/>
        <v>529</v>
      </c>
      <c r="DI88" s="298">
        <f>DI82</f>
        <v>0</v>
      </c>
      <c r="DJ88" s="5">
        <f t="shared" si="180"/>
        <v>-529</v>
      </c>
      <c r="DK88" s="240"/>
      <c r="DL88" s="303">
        <f>DL82</f>
        <v>0</v>
      </c>
      <c r="DM88" s="231">
        <f t="shared" si="181"/>
        <v>529</v>
      </c>
    </row>
    <row r="89" spans="1:117" ht="29.4" customHeight="1" x14ac:dyDescent="0.3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>SUM(M89,AG89,BA89,BU89)-L89</f>
        <v>1154</v>
      </c>
      <c r="K89" s="394">
        <f t="shared" si="165"/>
        <v>-4311</v>
      </c>
      <c r="L89" s="544">
        <v>1501</v>
      </c>
      <c r="M89" s="298">
        <f>M82*5</f>
        <v>190</v>
      </c>
      <c r="N89" s="5">
        <f t="shared" si="166"/>
        <v>-1311</v>
      </c>
      <c r="O89" s="256">
        <v>3000</v>
      </c>
      <c r="P89" s="303">
        <f>P82*5</f>
        <v>190</v>
      </c>
      <c r="Q89" s="231">
        <f t="shared" si="167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36"/>
      <c r="AD89" s="736"/>
      <c r="AE89" s="394">
        <f>SUM(M89,AG89)-SUM(O89,AI89)-L89</f>
        <v>-3906</v>
      </c>
      <c r="AF89" s="29">
        <f>Q89</f>
        <v>4311</v>
      </c>
      <c r="AG89" s="298">
        <f>AG82*5</f>
        <v>405</v>
      </c>
      <c r="AH89" s="5">
        <f t="shared" si="168"/>
        <v>-3906</v>
      </c>
      <c r="AI89" s="256"/>
      <c r="AJ89" s="303">
        <f>AJ82*5</f>
        <v>405</v>
      </c>
      <c r="AK89" s="231">
        <f t="shared" si="169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36"/>
      <c r="AX89" s="736"/>
      <c r="AY89" s="394">
        <f>SUM(M89,AG89,BA89)-SUM(O89,AI89,BC89)-L89</f>
        <v>-2596</v>
      </c>
      <c r="AZ89" s="29">
        <f t="shared" si="170"/>
        <v>3906</v>
      </c>
      <c r="BA89" s="298">
        <f>BA82*5</f>
        <v>1310</v>
      </c>
      <c r="BB89" s="5">
        <f t="shared" si="171"/>
        <v>-2596</v>
      </c>
      <c r="BC89" s="256"/>
      <c r="BD89" s="303">
        <f>BD82*5</f>
        <v>1310</v>
      </c>
      <c r="BE89" s="231">
        <f t="shared" si="172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36"/>
      <c r="BR89" s="736"/>
      <c r="BS89" s="394">
        <f>SUM(M89,AG89,BA89,BU89)-SUM(O89,AI89,BC89,BW89)-L89</f>
        <v>-4846</v>
      </c>
      <c r="BT89" s="29">
        <f t="shared" si="173"/>
        <v>2596</v>
      </c>
      <c r="BU89" s="298">
        <f>BU82*5</f>
        <v>750</v>
      </c>
      <c r="BV89" s="5">
        <f t="shared" si="174"/>
        <v>-1846</v>
      </c>
      <c r="BW89" s="621">
        <v>3000</v>
      </c>
      <c r="BX89" s="303">
        <f>BX82*5</f>
        <v>280</v>
      </c>
      <c r="BY89" s="231">
        <f t="shared" si="175"/>
        <v>5316</v>
      </c>
      <c r="BZ89" s="21"/>
      <c r="CA89" s="6"/>
      <c r="CB89" s="35"/>
      <c r="CC89" s="612"/>
      <c r="CD89" s="215"/>
      <c r="CE89" s="199"/>
      <c r="CF89" s="271"/>
      <c r="CG89" s="814"/>
      <c r="CH89" s="121"/>
      <c r="CI89" s="629">
        <f>$F$89*$BW$89</f>
        <v>8250</v>
      </c>
      <c r="CJ89" s="650" t="s">
        <v>924</v>
      </c>
      <c r="CK89" s="840"/>
      <c r="CL89" s="840"/>
      <c r="CM89" s="394">
        <f>SUM(M89,AG89,BA89,BU89,CO89)-SUM(O89,AI89,BC89,BW89,CQ89)-L89</f>
        <v>-4846</v>
      </c>
      <c r="CN89" s="29">
        <f t="shared" si="176"/>
        <v>5316</v>
      </c>
      <c r="CO89" s="298">
        <f>CO82*5</f>
        <v>0</v>
      </c>
      <c r="CP89" s="5">
        <f t="shared" si="177"/>
        <v>-5316</v>
      </c>
      <c r="CQ89" s="240"/>
      <c r="CR89" s="303">
        <f>CR82*5</f>
        <v>0</v>
      </c>
      <c r="CS89" s="231">
        <f t="shared" si="178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36"/>
      <c r="DF89" s="736"/>
      <c r="DG89" s="394">
        <f>SUM(M89,AG89,BA89,BU89,DI89)-SUM(O89,AI89,BC89,BW89,CQ89)-L89</f>
        <v>-4846</v>
      </c>
      <c r="DH89" s="29">
        <f t="shared" si="179"/>
        <v>5316</v>
      </c>
      <c r="DI89" s="298">
        <f>DI82*5</f>
        <v>0</v>
      </c>
      <c r="DJ89" s="5">
        <f t="shared" si="180"/>
        <v>-5316</v>
      </c>
      <c r="DK89" s="240"/>
      <c r="DL89" s="303">
        <f>DL82*5</f>
        <v>0</v>
      </c>
      <c r="DM89" s="231">
        <f t="shared" si="181"/>
        <v>5316</v>
      </c>
    </row>
    <row r="90" spans="1:117" ht="28.8" x14ac:dyDescent="0.3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>SUM(M90,AG90,BA90,BU90)-L90</f>
        <v>317</v>
      </c>
      <c r="K90" s="394">
        <f t="shared" si="165"/>
        <v>-576</v>
      </c>
      <c r="L90" s="544">
        <v>214</v>
      </c>
      <c r="M90" s="298">
        <f>M82</f>
        <v>38</v>
      </c>
      <c r="N90" s="5">
        <f t="shared" si="166"/>
        <v>-176</v>
      </c>
      <c r="O90" s="256">
        <v>400</v>
      </c>
      <c r="P90" s="303">
        <f>P82</f>
        <v>38</v>
      </c>
      <c r="Q90" s="231">
        <f t="shared" si="167"/>
        <v>576</v>
      </c>
      <c r="R90" s="121"/>
      <c r="S90" s="199"/>
      <c r="T90" s="216"/>
      <c r="U90" s="730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36"/>
      <c r="AD90" s="736"/>
      <c r="AE90" s="394">
        <f>SUM(M90,AG90)-SUM(O90,AI90)-L90</f>
        <v>-495</v>
      </c>
      <c r="AF90" s="29">
        <f>Q90</f>
        <v>576</v>
      </c>
      <c r="AG90" s="298">
        <f>AG82</f>
        <v>81</v>
      </c>
      <c r="AH90" s="5">
        <f t="shared" si="168"/>
        <v>-495</v>
      </c>
      <c r="AI90" s="256"/>
      <c r="AJ90" s="303">
        <f>AJ82</f>
        <v>81</v>
      </c>
      <c r="AK90" s="231">
        <f t="shared" si="169"/>
        <v>495</v>
      </c>
      <c r="AL90" s="310"/>
      <c r="AM90" s="6"/>
      <c r="AN90" s="35"/>
      <c r="AO90" s="612"/>
      <c r="AP90" s="215"/>
      <c r="AQ90" s="6"/>
      <c r="AR90" s="216"/>
      <c r="AS90" s="730"/>
      <c r="AT90" s="215"/>
      <c r="AU90" s="6"/>
      <c r="AV90" s="216"/>
      <c r="AW90" s="739"/>
      <c r="AX90" s="739"/>
      <c r="AY90" s="394">
        <f>SUM(M90,AG90,BA90)-SUM(O90,AI90,BC90)-L90</f>
        <v>-233</v>
      </c>
      <c r="AZ90" s="29">
        <f t="shared" si="170"/>
        <v>495</v>
      </c>
      <c r="BA90" s="298">
        <f>BA82</f>
        <v>262</v>
      </c>
      <c r="BB90" s="5">
        <f t="shared" si="171"/>
        <v>-233</v>
      </c>
      <c r="BC90" s="256"/>
      <c r="BD90" s="303">
        <f>BD82</f>
        <v>262</v>
      </c>
      <c r="BE90" s="231">
        <f t="shared" si="172"/>
        <v>233</v>
      </c>
      <c r="BF90" s="121"/>
      <c r="BG90" s="6"/>
      <c r="BH90" s="216"/>
      <c r="BI90" s="730"/>
      <c r="BJ90" s="310"/>
      <c r="BK90" s="6"/>
      <c r="BL90" s="216"/>
      <c r="BM90" s="730"/>
      <c r="BN90" s="21"/>
      <c r="BO90" s="6"/>
      <c r="BP90" s="35"/>
      <c r="BQ90" s="736"/>
      <c r="BR90" s="736"/>
      <c r="BS90" s="394">
        <f>SUM(M90,AG90,BA90,BU90)-SUM(O90,AI90,BC90,BW90)-L90</f>
        <v>-383</v>
      </c>
      <c r="BT90" s="29">
        <f t="shared" si="173"/>
        <v>233</v>
      </c>
      <c r="BU90" s="298">
        <f>BU82</f>
        <v>150</v>
      </c>
      <c r="BV90" s="5">
        <f t="shared" si="174"/>
        <v>-83</v>
      </c>
      <c r="BW90" s="623">
        <v>300</v>
      </c>
      <c r="BX90" s="303">
        <f>BX82</f>
        <v>56</v>
      </c>
      <c r="BY90" s="231">
        <f t="shared" si="175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809"/>
      <c r="CH90" s="121"/>
      <c r="CI90" s="199"/>
      <c r="CJ90" s="148"/>
      <c r="CK90" s="834"/>
      <c r="CL90" s="834"/>
      <c r="CM90" s="394">
        <f>SUM(M90,AG90,BA90,BU90,CO90)-SUM(O90,AI90,BC90,BW90,CQ90)-L90</f>
        <v>-383</v>
      </c>
      <c r="CN90" s="29">
        <f t="shared" si="176"/>
        <v>477</v>
      </c>
      <c r="CO90" s="298">
        <f>CO82</f>
        <v>0</v>
      </c>
      <c r="CP90" s="5">
        <f t="shared" si="177"/>
        <v>-477</v>
      </c>
      <c r="CQ90" s="240"/>
      <c r="CR90" s="303">
        <f>CR82</f>
        <v>0</v>
      </c>
      <c r="CS90" s="231">
        <f t="shared" si="178"/>
        <v>477</v>
      </c>
      <c r="CT90" s="526"/>
      <c r="CU90" s="199"/>
      <c r="CV90" s="148"/>
      <c r="CW90" s="734"/>
      <c r="CX90" s="215"/>
      <c r="CY90" s="6"/>
      <c r="CZ90" s="216"/>
      <c r="DA90" s="730"/>
      <c r="DB90" s="21"/>
      <c r="DC90" s="6"/>
      <c r="DD90" s="35"/>
      <c r="DE90" s="736"/>
      <c r="DF90" s="736"/>
      <c r="DG90" s="394">
        <f>SUM(M90,AG90,BA90,BU90,DI90)-SUM(O90,AI90,BC90,BW90,CQ90)-L90</f>
        <v>-383</v>
      </c>
      <c r="DH90" s="29">
        <f t="shared" si="179"/>
        <v>477</v>
      </c>
      <c r="DI90" s="298">
        <f>DI82</f>
        <v>0</v>
      </c>
      <c r="DJ90" s="5">
        <f t="shared" si="180"/>
        <v>-477</v>
      </c>
      <c r="DK90" s="240"/>
      <c r="DL90" s="303">
        <f>DL82</f>
        <v>0</v>
      </c>
      <c r="DM90" s="231">
        <f t="shared" si="181"/>
        <v>477</v>
      </c>
    </row>
    <row r="91" spans="1:117" ht="29.4" thickBot="1" x14ac:dyDescent="0.35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>SUM(M91,AG91,BA91,BU91)-L91</f>
        <v>317</v>
      </c>
      <c r="K91" s="394">
        <f t="shared" si="165"/>
        <v>-176</v>
      </c>
      <c r="L91" s="544">
        <v>214</v>
      </c>
      <c r="M91" s="298">
        <f>M82</f>
        <v>38</v>
      </c>
      <c r="N91" s="5">
        <f t="shared" si="166"/>
        <v>-176</v>
      </c>
      <c r="O91" s="5"/>
      <c r="P91" s="303">
        <f>P82</f>
        <v>38</v>
      </c>
      <c r="Q91" s="231">
        <f t="shared" si="167"/>
        <v>176</v>
      </c>
      <c r="R91" s="121"/>
      <c r="S91" s="6"/>
      <c r="T91" s="216"/>
      <c r="U91" s="730"/>
      <c r="V91" s="121"/>
      <c r="W91" s="6"/>
      <c r="X91" s="216"/>
      <c r="Y91" s="730"/>
      <c r="Z91" s="121"/>
      <c r="AA91" s="6"/>
      <c r="AB91" s="216"/>
      <c r="AC91" s="739"/>
      <c r="AD91" s="739"/>
      <c r="AE91" s="394">
        <f>SUM(M91,AG91)-SUM(O91,AI91)-L91</f>
        <v>-95</v>
      </c>
      <c r="AF91" s="29">
        <f>Q91</f>
        <v>176</v>
      </c>
      <c r="AG91" s="298">
        <f>AG82</f>
        <v>81</v>
      </c>
      <c r="AH91" s="5">
        <f t="shared" si="168"/>
        <v>-95</v>
      </c>
      <c r="AI91" s="5"/>
      <c r="AJ91" s="303">
        <f>AJ82</f>
        <v>81</v>
      </c>
      <c r="AK91" s="231">
        <f t="shared" si="169"/>
        <v>95</v>
      </c>
      <c r="AL91" s="121"/>
      <c r="AM91" s="6"/>
      <c r="AN91" s="216"/>
      <c r="AO91" s="730"/>
      <c r="AP91" s="121"/>
      <c r="AQ91" s="6"/>
      <c r="AR91" s="216"/>
      <c r="AS91" s="730"/>
      <c r="AT91" s="121">
        <f>$F$91*50%*400</f>
        <v>74010</v>
      </c>
      <c r="AU91" s="6"/>
      <c r="AV91" s="216" t="s">
        <v>715</v>
      </c>
      <c r="AW91" s="739"/>
      <c r="AX91" s="739"/>
      <c r="AY91" s="394">
        <f>SUM(M91,AG91,BA91)-SUM(O91,AI91,BC91)-L91</f>
        <v>-233</v>
      </c>
      <c r="AZ91" s="29">
        <f t="shared" si="170"/>
        <v>95</v>
      </c>
      <c r="BA91" s="298">
        <f>BA82</f>
        <v>262</v>
      </c>
      <c r="BB91" s="5">
        <f t="shared" si="171"/>
        <v>167</v>
      </c>
      <c r="BC91" s="256">
        <v>400</v>
      </c>
      <c r="BD91" s="303">
        <f>BD82</f>
        <v>262</v>
      </c>
      <c r="BE91" s="231">
        <f t="shared" si="172"/>
        <v>233</v>
      </c>
      <c r="BF91" s="121"/>
      <c r="BG91" s="6">
        <f>$F$91*50%*400</f>
        <v>74010</v>
      </c>
      <c r="BH91" s="216" t="s">
        <v>716</v>
      </c>
      <c r="BI91" s="730"/>
      <c r="BJ91" s="121"/>
      <c r="BK91" s="6"/>
      <c r="BL91" s="211"/>
      <c r="BM91" s="731"/>
      <c r="BN91" s="121"/>
      <c r="BO91" s="6"/>
      <c r="BP91" s="216"/>
      <c r="BQ91" s="739"/>
      <c r="BR91" s="739"/>
      <c r="BS91" s="394">
        <f>SUM(M91,AG91,BA91,BU91)-SUM(O91,AI91,BC91,BW91)-L91</f>
        <v>-383</v>
      </c>
      <c r="BT91" s="29">
        <f t="shared" si="173"/>
        <v>233</v>
      </c>
      <c r="BU91" s="298">
        <f>BU82</f>
        <v>150</v>
      </c>
      <c r="BV91" s="5">
        <f t="shared" si="174"/>
        <v>-83</v>
      </c>
      <c r="BW91" s="621">
        <v>300</v>
      </c>
      <c r="BX91" s="303">
        <f>BX82</f>
        <v>56</v>
      </c>
      <c r="BY91" s="231">
        <f t="shared" si="175"/>
        <v>477</v>
      </c>
      <c r="BZ91" s="21"/>
      <c r="CA91" s="6"/>
      <c r="CB91" s="35"/>
      <c r="CC91" s="612"/>
      <c r="CD91" s="215"/>
      <c r="CE91" s="199"/>
      <c r="CF91" s="148"/>
      <c r="CG91" s="734"/>
      <c r="CH91" s="630">
        <f>$F$91*$BW91/2</f>
        <v>55507.5</v>
      </c>
      <c r="CI91" s="629"/>
      <c r="CJ91" s="625" t="s">
        <v>798</v>
      </c>
      <c r="CK91" s="818"/>
      <c r="CL91" s="818"/>
      <c r="CM91" s="394">
        <f>SUM(M91,AG91,BA91,BU91,CO91)-SUM(O91,AI91,BC91,BW91,CQ91)-L91</f>
        <v>-383</v>
      </c>
      <c r="CN91" s="29">
        <f t="shared" si="176"/>
        <v>477</v>
      </c>
      <c r="CO91" s="298">
        <f>CO82</f>
        <v>0</v>
      </c>
      <c r="CP91" s="5">
        <f t="shared" si="177"/>
        <v>-477</v>
      </c>
      <c r="CQ91" s="240"/>
      <c r="CR91" s="303">
        <f>CR82</f>
        <v>0</v>
      </c>
      <c r="CS91" s="231">
        <f t="shared" si="178"/>
        <v>477</v>
      </c>
      <c r="CT91" s="121"/>
      <c r="CU91" s="629">
        <v>55507.5</v>
      </c>
      <c r="CV91" s="625" t="s">
        <v>799</v>
      </c>
      <c r="CW91" s="823"/>
      <c r="CX91" s="121"/>
      <c r="CY91" s="6"/>
      <c r="CZ91" s="216"/>
      <c r="DA91" s="730"/>
      <c r="DB91" s="121"/>
      <c r="DC91" s="6"/>
      <c r="DD91" s="216"/>
      <c r="DE91" s="739"/>
      <c r="DF91" s="739"/>
      <c r="DG91" s="394">
        <f>SUM(M91,AG91,BA91,BU91,DI91)-SUM(O91,AI91,BC91,BW91,CQ91)-L91</f>
        <v>-383</v>
      </c>
      <c r="DH91" s="29">
        <f t="shared" si="179"/>
        <v>477</v>
      </c>
      <c r="DI91" s="298">
        <f>DI82</f>
        <v>0</v>
      </c>
      <c r="DJ91" s="5">
        <f t="shared" si="180"/>
        <v>-477</v>
      </c>
      <c r="DK91" s="240"/>
      <c r="DL91" s="303">
        <f>DL82</f>
        <v>0</v>
      </c>
      <c r="DM91" s="231">
        <f t="shared" si="181"/>
        <v>477</v>
      </c>
    </row>
    <row r="92" spans="1:117" x14ac:dyDescent="0.3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3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65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36"/>
      <c r="AD93" s="736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36"/>
      <c r="AX93" s="736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36"/>
      <c r="BR93" s="736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34"/>
      <c r="CH93" s="235">
        <v>43200</v>
      </c>
      <c r="CI93" s="235"/>
      <c r="CJ93" s="148" t="s">
        <v>890</v>
      </c>
      <c r="CK93" s="834"/>
      <c r="CL93" s="834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34"/>
      <c r="DB93" s="21"/>
      <c r="DC93" s="6"/>
      <c r="DD93" s="35"/>
      <c r="DE93" s="736"/>
      <c r="DF93" s="736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3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65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31"/>
      <c r="V94" s="570">
        <f>$F$94*50%*3000</f>
        <v>427500</v>
      </c>
      <c r="W94" s="6"/>
      <c r="X94" s="216" t="s">
        <v>706</v>
      </c>
      <c r="Y94" s="730"/>
      <c r="Z94" s="21"/>
      <c r="AA94" s="6"/>
      <c r="AB94" s="216"/>
      <c r="AC94" s="739"/>
      <c r="AD94" s="739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30"/>
      <c r="AT94" s="21"/>
      <c r="AU94" s="6"/>
      <c r="AV94" s="35"/>
      <c r="AW94" s="736"/>
      <c r="AX94" s="736"/>
      <c r="AY94" s="394">
        <f>SUM(M94,AG94,BA94)-SUM(O94,AI94,BC94)-L94</f>
        <v>-1049</v>
      </c>
      <c r="AZ94" s="29">
        <f t="shared" ref="AZ94" si="182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36"/>
      <c r="BR94" s="736"/>
      <c r="BS94" s="394">
        <f>SUM(M94,AG94,BA94,BU94)-SUM(O94,AI94,BC94,BW94)-L94</f>
        <v>-3149</v>
      </c>
      <c r="BT94" s="29">
        <f t="shared" ref="BT94:BT95" si="183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809"/>
      <c r="CH94" s="121"/>
      <c r="CI94" s="629">
        <v>570000</v>
      </c>
      <c r="CJ94" s="625" t="s">
        <v>917</v>
      </c>
      <c r="CK94" s="818"/>
      <c r="CL94" s="818"/>
      <c r="CM94" s="394">
        <f>SUM(M94,AG94,BA94,BU94,CO94)-SUM(O94,AI94,BC94,BW94,CQ94)-L94</f>
        <v>-3149</v>
      </c>
      <c r="CN94" s="29">
        <f t="shared" ref="CN94:CN95" si="184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34"/>
      <c r="CX94" s="121"/>
      <c r="CY94" s="6"/>
      <c r="CZ94" s="35"/>
      <c r="DA94" s="612"/>
      <c r="DB94" s="21"/>
      <c r="DC94" s="6"/>
      <c r="DD94" s="35"/>
      <c r="DE94" s="736"/>
      <c r="DF94" s="736"/>
      <c r="DG94" s="394">
        <f>SUM(M94,AG94,BA94,BU94,DI94)-SUM(O94,AI94,BC94,BW94,CQ94)-L94</f>
        <v>-3149</v>
      </c>
      <c r="DH94" s="29">
        <f t="shared" ref="DH94:DH95" si="185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39.6" thickBot="1" x14ac:dyDescent="0.35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65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33"/>
      <c r="V95" s="314"/>
      <c r="W95" s="201"/>
      <c r="X95" s="321"/>
      <c r="Y95" s="733"/>
      <c r="Z95" s="582">
        <f>$F$95*100%*4000</f>
        <v>7200</v>
      </c>
      <c r="AA95" s="201"/>
      <c r="AB95" s="36" t="s">
        <v>748</v>
      </c>
      <c r="AC95" s="750"/>
      <c r="AD95" s="750"/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33"/>
      <c r="AP95" s="314"/>
      <c r="AQ95" s="201"/>
      <c r="AR95" s="321"/>
      <c r="AS95" s="733"/>
      <c r="AT95" s="122"/>
      <c r="AU95" s="201"/>
      <c r="AV95" s="36"/>
      <c r="AW95" s="750"/>
      <c r="AX95" s="750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33"/>
      <c r="BJ95" s="314"/>
      <c r="BK95" s="201"/>
      <c r="BL95" s="321"/>
      <c r="BM95" s="740"/>
      <c r="BN95" s="21">
        <f>BC95*F95/2</f>
        <v>0</v>
      </c>
      <c r="BO95" s="201"/>
      <c r="BP95" s="35" t="s">
        <v>801</v>
      </c>
      <c r="BQ95" s="736"/>
      <c r="BR95" s="736"/>
      <c r="BS95" s="394">
        <f>SUM(M95,AG95,BA95,BU95)-SUM(O95,AI95,BC95,BW95)-L95</f>
        <v>-4265</v>
      </c>
      <c r="BT95" s="29">
        <f t="shared" si="183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35"/>
      <c r="CD95" s="699">
        <f>F95*BW95</f>
        <v>7200</v>
      </c>
      <c r="CE95" s="666"/>
      <c r="CF95" s="664" t="s">
        <v>891</v>
      </c>
      <c r="CG95" s="808"/>
      <c r="CH95" s="122"/>
      <c r="CI95" s="201"/>
      <c r="CJ95" s="36"/>
      <c r="CK95" s="750"/>
      <c r="CL95" s="750"/>
      <c r="CM95" s="394">
        <f>SUM(M95,AG95,BA95,BU95,CO95)-SUM(O95,AI95,BC95,BW95,CQ95)-L95</f>
        <v>-4265</v>
      </c>
      <c r="CN95" s="29">
        <f t="shared" si="184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33"/>
      <c r="CX95" s="314"/>
      <c r="CY95" s="201"/>
      <c r="CZ95" s="321"/>
      <c r="DA95" s="733"/>
      <c r="DB95" s="122"/>
      <c r="DC95" s="201"/>
      <c r="DD95" s="36"/>
      <c r="DE95" s="750"/>
      <c r="DF95" s="750"/>
      <c r="DG95" s="394">
        <f>SUM(M95,AG95,BA95,BU95,DI95)-SUM(O95,AI95,BC95,BW95,CQ95)-L95</f>
        <v>-4265</v>
      </c>
      <c r="DH95" s="29">
        <f t="shared" si="185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3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3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65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36"/>
      <c r="AD97" s="736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36"/>
      <c r="AX97" s="736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36"/>
      <c r="BR97" s="736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36"/>
      <c r="CL97" s="736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36"/>
      <c r="DF97" s="736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" customHeight="1" x14ac:dyDescent="0.3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65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186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809"/>
      <c r="CH98" s="21"/>
      <c r="CI98" s="6"/>
      <c r="CJ98" s="35"/>
      <c r="CK98" s="736"/>
      <c r="CL98" s="736"/>
      <c r="CM98" s="394">
        <f>SUM(M98,AG98,BA98,BU98,CO98)-SUM(O98,AI98,BC98,BW98,CQ98)-L98</f>
        <v>-1755</v>
      </c>
      <c r="CN98" s="29">
        <f t="shared" ref="CN98" si="187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36"/>
      <c r="DF98" s="736"/>
      <c r="DG98" s="394">
        <f>SUM(M98,AG98,BA98,BU98,DI98)-SUM(O98,AI98,BC98,BW98,CQ98)-L98</f>
        <v>-1755</v>
      </c>
      <c r="DH98" s="29">
        <f t="shared" ref="DH98:DH99" si="188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" thickBot="1" x14ac:dyDescent="0.35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65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36"/>
      <c r="V99" s="123"/>
      <c r="W99" s="8"/>
      <c r="X99" s="34"/>
      <c r="Y99" s="736"/>
      <c r="Z99" s="123"/>
      <c r="AA99" s="8"/>
      <c r="AB99" s="34"/>
      <c r="AC99" s="736"/>
      <c r="AD99" s="736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36"/>
      <c r="AP99" s="123"/>
      <c r="AQ99" s="8"/>
      <c r="AR99" s="34"/>
      <c r="AS99" s="736"/>
      <c r="AT99" s="20"/>
      <c r="AU99" s="8"/>
      <c r="AV99" s="34"/>
      <c r="AW99" s="736"/>
      <c r="AX99" s="736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53"/>
      <c r="BJ99" s="123"/>
      <c r="BK99" s="8"/>
      <c r="BL99" s="34"/>
      <c r="BM99" s="736"/>
      <c r="BN99" s="20"/>
      <c r="BO99" s="8"/>
      <c r="BP99" s="34"/>
      <c r="BQ99" s="736"/>
      <c r="BR99" s="736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36"/>
      <c r="CD99" s="123"/>
      <c r="CE99" s="8"/>
      <c r="CF99" s="34"/>
      <c r="CG99" s="736"/>
      <c r="CH99" s="20"/>
      <c r="CI99" s="8"/>
      <c r="CJ99" s="34"/>
      <c r="CK99" s="736"/>
      <c r="CL99" s="736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36"/>
      <c r="CX99" s="123"/>
      <c r="CY99" s="8"/>
      <c r="CZ99" s="34"/>
      <c r="DA99" s="736"/>
      <c r="DB99" s="20"/>
      <c r="DC99" s="8"/>
      <c r="DD99" s="34"/>
      <c r="DE99" s="736"/>
      <c r="DF99" s="736"/>
      <c r="DG99" s="394">
        <f>SUM(M99,AG99,BA99,BU99,DI99)-SUM(O99,AI99,BC99,BW99,CQ99)-L99</f>
        <v>-89</v>
      </c>
      <c r="DH99" s="29">
        <f t="shared" si="188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3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" thickBot="1" x14ac:dyDescent="0.35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65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30"/>
      <c r="Z101" s="21"/>
      <c r="AA101" s="6"/>
      <c r="AB101" s="35"/>
      <c r="AC101" s="736"/>
      <c r="AD101" s="736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30"/>
      <c r="AT101" s="21"/>
      <c r="AU101" s="6"/>
      <c r="AV101" s="35" t="s">
        <v>785</v>
      </c>
      <c r="AW101" s="736"/>
      <c r="AX101" s="736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30"/>
      <c r="BN101" s="21"/>
      <c r="BO101" s="6"/>
      <c r="BP101" s="35"/>
      <c r="BQ101" s="736"/>
      <c r="BR101" s="736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823"/>
      <c r="CH101" s="21"/>
      <c r="CI101" s="6"/>
      <c r="CJ101" s="35"/>
      <c r="CK101" s="736"/>
      <c r="CL101" s="736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823"/>
      <c r="DB101" s="21"/>
      <c r="DC101" s="6"/>
      <c r="DD101" s="35"/>
      <c r="DE101" s="736"/>
      <c r="DF101" s="736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3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28.8" x14ac:dyDescent="0.3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65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189">L103+O103-P103</f>
        <v>690</v>
      </c>
      <c r="R103" s="123"/>
      <c r="S103" s="8"/>
      <c r="T103" s="313"/>
      <c r="U103" s="739"/>
      <c r="V103" s="123"/>
      <c r="W103" s="8"/>
      <c r="X103" s="313"/>
      <c r="Y103" s="739"/>
      <c r="Z103" s="20"/>
      <c r="AA103" s="8"/>
      <c r="AB103" s="34"/>
      <c r="AC103" s="736"/>
      <c r="AD103" s="736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190">AF103+AI103-AJ103</f>
        <v>593</v>
      </c>
      <c r="AL103" s="123"/>
      <c r="AM103" s="8"/>
      <c r="AN103" s="313"/>
      <c r="AO103" s="739"/>
      <c r="AP103" s="123"/>
      <c r="AQ103" s="8"/>
      <c r="AR103" s="313"/>
      <c r="AS103" s="739"/>
      <c r="AT103" s="20"/>
      <c r="AU103" s="8"/>
      <c r="AV103" s="34"/>
      <c r="AW103" s="736"/>
      <c r="AX103" s="736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191">AZ103+BC103-BD103</f>
        <v>225</v>
      </c>
      <c r="BF103" s="123"/>
      <c r="BG103" s="8"/>
      <c r="BH103" s="313"/>
      <c r="BI103" s="739"/>
      <c r="BJ103" s="123"/>
      <c r="BK103" s="8"/>
      <c r="BL103" s="313"/>
      <c r="BM103" s="739"/>
      <c r="BN103" s="20"/>
      <c r="BO103" s="8"/>
      <c r="BP103" s="34"/>
      <c r="BQ103" s="736"/>
      <c r="BR103" s="736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192">BT103+BW103-BX103</f>
        <v>84</v>
      </c>
      <c r="BZ103" s="123"/>
      <c r="CA103" s="8"/>
      <c r="CB103" s="313"/>
      <c r="CC103" s="739"/>
      <c r="CD103" s="123"/>
      <c r="CE103" s="8"/>
      <c r="CF103" s="313"/>
      <c r="CG103" s="739"/>
      <c r="CH103" s="20"/>
      <c r="CI103" s="8"/>
      <c r="CJ103" s="34"/>
      <c r="CK103" s="736"/>
      <c r="CL103" s="736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193">CN103+CQ103-CR103</f>
        <v>84</v>
      </c>
      <c r="CT103" s="123"/>
      <c r="CU103" s="8"/>
      <c r="CV103" s="313"/>
      <c r="CW103" s="739"/>
      <c r="CX103" s="123"/>
      <c r="CY103" s="8"/>
      <c r="CZ103" s="313"/>
      <c r="DA103" s="739"/>
      <c r="DB103" s="20"/>
      <c r="DC103" s="8"/>
      <c r="DD103" s="34"/>
      <c r="DE103" s="736"/>
      <c r="DF103" s="736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194">DH103+DK103-DL103</f>
        <v>84</v>
      </c>
    </row>
    <row r="104" spans="1:117" ht="54" customHeight="1" x14ac:dyDescent="0.3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65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189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36"/>
      <c r="AD104" s="736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190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36"/>
      <c r="AX104" s="736"/>
      <c r="AY104" s="394">
        <f>SUM(M104,AG104,BA104)-SUM(O104,AI104,BC104)-L104</f>
        <v>-232</v>
      </c>
      <c r="AZ104" s="606">
        <f t="shared" ref="AZ104:AZ105" si="195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191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36"/>
      <c r="BR104" s="736"/>
      <c r="BS104" s="394">
        <f>SUM(M104,AG104,BA104,BU104)-SUM(O104,AI104,BC104,BW104)-L104</f>
        <v>-542</v>
      </c>
      <c r="BT104" s="32">
        <f t="shared" ref="BT104:BT105" si="196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192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809"/>
      <c r="CH104" s="21"/>
      <c r="CI104" s="6"/>
      <c r="CJ104" s="35"/>
      <c r="CK104" s="736"/>
      <c r="CL104" s="736"/>
      <c r="CM104" s="394">
        <f>SUM(M104,AG104,BA104,BU104,CO104)-SUM(O104,AI104,BC104,BW104,CQ104)-L104</f>
        <v>-542</v>
      </c>
      <c r="CN104" s="32">
        <f t="shared" ref="CN104:CN105" si="197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193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36"/>
      <c r="DF104" s="736"/>
      <c r="DG104" s="394">
        <f>SUM(M104,AG104,BA104,BU104,DI104)-SUM(O104,AI104,BC104,BW104,CQ104)-L104</f>
        <v>-542</v>
      </c>
      <c r="DH104" s="29">
        <f t="shared" ref="DH104:DH105" si="198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194"/>
        <v>620</v>
      </c>
    </row>
    <row r="105" spans="1:117" ht="54" thickBot="1" x14ac:dyDescent="0.35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65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189"/>
        <v>697</v>
      </c>
      <c r="R105" s="314"/>
      <c r="S105" s="201"/>
      <c r="T105" s="321"/>
      <c r="U105" s="740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36"/>
      <c r="AD105" s="736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190"/>
        <v>600</v>
      </c>
      <c r="AL105" s="314"/>
      <c r="AM105" s="201"/>
      <c r="AN105" s="321"/>
      <c r="AO105" s="740"/>
      <c r="AP105" s="121"/>
      <c r="AQ105" s="6"/>
      <c r="AR105" s="35"/>
      <c r="AS105" s="612"/>
      <c r="AT105" s="21"/>
      <c r="AU105" s="6"/>
      <c r="AV105" s="35"/>
      <c r="AW105" s="736"/>
      <c r="AX105" s="736"/>
      <c r="AY105" s="394">
        <f>SUM(M105,AG105,BA105)-SUM(O105,AI105,BC105)-L105</f>
        <v>-232</v>
      </c>
      <c r="AZ105" s="606">
        <f t="shared" si="195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191"/>
        <v>232</v>
      </c>
      <c r="BF105" s="314"/>
      <c r="BG105" s="201"/>
      <c r="BH105" s="321"/>
      <c r="BI105" s="733"/>
      <c r="BJ105" s="314"/>
      <c r="BK105" s="201"/>
      <c r="BL105" s="321"/>
      <c r="BM105" s="740"/>
      <c r="BN105" s="21"/>
      <c r="BO105" s="6"/>
      <c r="BP105" s="35"/>
      <c r="BQ105" s="736"/>
      <c r="BR105" s="736"/>
      <c r="BS105" s="394">
        <f>SUM(M105,AG105,BA105,BU105)-SUM(O105,AI105,BC105,BW105)-L105</f>
        <v>-542</v>
      </c>
      <c r="BT105" s="32">
        <f t="shared" si="196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192"/>
        <v>620</v>
      </c>
      <c r="BZ105" s="314"/>
      <c r="CA105" s="201"/>
      <c r="CB105" s="321"/>
      <c r="CC105" s="740"/>
      <c r="CD105" s="668">
        <f>F105*BW105</f>
        <v>3600</v>
      </c>
      <c r="CE105" s="663"/>
      <c r="CF105" s="664" t="s">
        <v>936</v>
      </c>
      <c r="CG105" s="809"/>
      <c r="CH105" s="21"/>
      <c r="CI105" s="6"/>
      <c r="CJ105" s="35"/>
      <c r="CK105" s="736"/>
      <c r="CL105" s="736"/>
      <c r="CM105" s="394">
        <f>SUM(M105,AG105,BA105,BU105,CO105)-SUM(O105,AI105,BC105,BW105,CQ105)-L105</f>
        <v>-542</v>
      </c>
      <c r="CN105" s="32">
        <f t="shared" si="197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193"/>
        <v>620</v>
      </c>
      <c r="CT105" s="314"/>
      <c r="CU105" s="201"/>
      <c r="CV105" s="321"/>
      <c r="CW105" s="740"/>
      <c r="CX105" s="121"/>
      <c r="CY105" s="6"/>
      <c r="CZ105" s="35"/>
      <c r="DA105" s="612"/>
      <c r="DB105" s="21"/>
      <c r="DC105" s="6"/>
      <c r="DD105" s="35"/>
      <c r="DE105" s="736"/>
      <c r="DF105" s="736"/>
      <c r="DG105" s="394">
        <f>SUM(M105,AG105,BA105,BU105,DI105)-SUM(O105,AI105,BC105,BW105,CQ105)-L105</f>
        <v>-542</v>
      </c>
      <c r="DH105" s="29">
        <f t="shared" si="198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194"/>
        <v>620</v>
      </c>
    </row>
    <row r="106" spans="1:117" x14ac:dyDescent="0.3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28.8" x14ac:dyDescent="0.3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65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189"/>
        <v>61</v>
      </c>
      <c r="R107" s="123"/>
      <c r="S107" s="8"/>
      <c r="T107" s="34"/>
      <c r="U107" s="736"/>
      <c r="V107" s="123"/>
      <c r="W107" s="8"/>
      <c r="X107" s="34"/>
      <c r="Y107" s="736"/>
      <c r="Z107" s="20"/>
      <c r="AA107" s="8"/>
      <c r="AB107" s="34"/>
      <c r="AC107" s="736"/>
      <c r="AD107" s="736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190"/>
        <v>45</v>
      </c>
      <c r="AL107" s="123"/>
      <c r="AM107" s="8"/>
      <c r="AN107" s="34"/>
      <c r="AO107" s="736"/>
      <c r="AP107" s="123"/>
      <c r="AQ107" s="8"/>
      <c r="AR107" s="34"/>
      <c r="AS107" s="736"/>
      <c r="AT107" s="20"/>
      <c r="AU107" s="8"/>
      <c r="AV107" s="34"/>
      <c r="AW107" s="736"/>
      <c r="AX107" s="736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191"/>
        <v>40</v>
      </c>
      <c r="BF107" s="123"/>
      <c r="BG107" s="8"/>
      <c r="BH107" s="34"/>
      <c r="BI107" s="736"/>
      <c r="BJ107" s="123"/>
      <c r="BK107" s="8"/>
      <c r="BL107" s="34"/>
      <c r="BM107" s="736"/>
      <c r="BN107" s="20"/>
      <c r="BO107" s="8"/>
      <c r="BP107" s="34"/>
      <c r="BQ107" s="736"/>
      <c r="BR107" s="736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192"/>
        <v>62</v>
      </c>
      <c r="BZ107" s="123"/>
      <c r="CA107" s="8"/>
      <c r="CB107" s="34"/>
      <c r="CC107" s="736"/>
      <c r="CD107" s="123"/>
      <c r="CE107" s="8"/>
      <c r="CF107" s="34"/>
      <c r="CG107" s="736"/>
      <c r="CH107" s="20"/>
      <c r="CI107" s="8"/>
      <c r="CJ107" s="34"/>
      <c r="CK107" s="736"/>
      <c r="CL107" s="736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193"/>
        <v>62</v>
      </c>
      <c r="CT107" s="123"/>
      <c r="CU107" s="8"/>
      <c r="CV107" s="34"/>
      <c r="CW107" s="736"/>
      <c r="CX107" s="123"/>
      <c r="CY107" s="8"/>
      <c r="CZ107" s="34"/>
      <c r="DA107" s="736"/>
      <c r="DB107" s="20"/>
      <c r="DC107" s="8"/>
      <c r="DD107" s="34"/>
      <c r="DE107" s="736"/>
      <c r="DF107" s="736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199">DH107+DK107-DL107</f>
        <v>62</v>
      </c>
    </row>
    <row r="108" spans="1:117" ht="28.8" x14ac:dyDescent="0.3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65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189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36"/>
      <c r="AD108" s="736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190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36"/>
      <c r="AX108" s="736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191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36"/>
      <c r="BR108" s="736"/>
      <c r="BS108" s="394">
        <f>SUM(M108,AG108,BA108,BU108)-SUM(O108,AI108,BC108,BW108)-L108</f>
        <v>-85</v>
      </c>
      <c r="BT108" s="32">
        <f t="shared" ref="BT108:BT109" si="200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192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36"/>
      <c r="CL108" s="736"/>
      <c r="CM108" s="394">
        <f>SUM(M108,AG108,BA108,BU108,CO108)-SUM(O108,AI108,BC108,BW108,CQ108)-L108</f>
        <v>-85</v>
      </c>
      <c r="CN108" s="32">
        <f t="shared" ref="CN108:CN109" si="201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193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36"/>
      <c r="DF108" s="736"/>
      <c r="DG108" s="394">
        <f>SUM(M108,AG108,BA108,BU108,DI108)-SUM(O108,AI108,BC108,BW108,CQ108)-L108</f>
        <v>-85</v>
      </c>
      <c r="DH108" s="29">
        <f t="shared" ref="DH108:DH109" si="202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199"/>
        <v>78</v>
      </c>
    </row>
    <row r="109" spans="1:117" ht="29.4" thickBot="1" x14ac:dyDescent="0.35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65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189"/>
        <v>112</v>
      </c>
      <c r="R109" s="314"/>
      <c r="S109" s="201"/>
      <c r="T109" s="321"/>
      <c r="U109" s="740"/>
      <c r="V109" s="121"/>
      <c r="W109" s="6"/>
      <c r="X109" s="35"/>
      <c r="Y109" s="612"/>
      <c r="Z109" s="21"/>
      <c r="AA109" s="6"/>
      <c r="AB109" s="35"/>
      <c r="AC109" s="736"/>
      <c r="AD109" s="736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190"/>
        <v>96</v>
      </c>
      <c r="AL109" s="314"/>
      <c r="AM109" s="201"/>
      <c r="AN109" s="321"/>
      <c r="AO109" s="740"/>
      <c r="AP109" s="121"/>
      <c r="AQ109" s="6"/>
      <c r="AR109" s="35"/>
      <c r="AS109" s="612"/>
      <c r="AT109" s="21"/>
      <c r="AU109" s="6"/>
      <c r="AV109" s="35"/>
      <c r="AW109" s="736"/>
      <c r="AX109" s="736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191"/>
        <v>81</v>
      </c>
      <c r="BF109" s="314"/>
      <c r="BG109" s="201"/>
      <c r="BH109" s="321"/>
      <c r="BI109" s="740"/>
      <c r="BJ109" s="121"/>
      <c r="BK109" s="6"/>
      <c r="BL109" s="35"/>
      <c r="BM109" s="612"/>
      <c r="BN109" s="21"/>
      <c r="BO109" s="6"/>
      <c r="BP109" s="35"/>
      <c r="BQ109" s="736"/>
      <c r="BR109" s="736"/>
      <c r="BS109" s="394">
        <f>SUM(M109,AG109,BA109,BU109)-SUM(O109,AI109,BC109,BW109)-L109</f>
        <v>-85</v>
      </c>
      <c r="BT109" s="32">
        <f t="shared" si="200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192"/>
        <v>78</v>
      </c>
      <c r="BZ109" s="314"/>
      <c r="CA109" s="201"/>
      <c r="CB109" s="321"/>
      <c r="CC109" s="740"/>
      <c r="CD109" s="121"/>
      <c r="CE109" s="6"/>
      <c r="CF109" s="35"/>
      <c r="CG109" s="612"/>
      <c r="CH109" s="21"/>
      <c r="CI109" s="6"/>
      <c r="CJ109" s="35"/>
      <c r="CK109" s="736"/>
      <c r="CL109" s="736"/>
      <c r="CM109" s="394">
        <f>SUM(M109,AG109,BA109,BU109,CO109)-SUM(O109,AI109,BC109,BW109,CQ109)-L109</f>
        <v>-85</v>
      </c>
      <c r="CN109" s="32">
        <f t="shared" si="201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193"/>
        <v>78</v>
      </c>
      <c r="CT109" s="314"/>
      <c r="CU109" s="201"/>
      <c r="CV109" s="321"/>
      <c r="CW109" s="740"/>
      <c r="CX109" s="121"/>
      <c r="CY109" s="6"/>
      <c r="CZ109" s="35"/>
      <c r="DA109" s="612"/>
      <c r="DB109" s="21"/>
      <c r="DC109" s="6"/>
      <c r="DD109" s="35"/>
      <c r="DE109" s="736"/>
      <c r="DF109" s="736"/>
      <c r="DG109" s="394">
        <f>SUM(M109,AG109,BA109,BU109,DI109)-SUM(O109,AI109,BC109,BW109,CQ109)-L109</f>
        <v>-85</v>
      </c>
      <c r="DH109" s="29">
        <f t="shared" si="202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199"/>
        <v>78</v>
      </c>
    </row>
    <row r="110" spans="1:117" x14ac:dyDescent="0.3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28.8" x14ac:dyDescent="0.3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65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189"/>
        <v>50</v>
      </c>
      <c r="R111" s="123"/>
      <c r="S111" s="8"/>
      <c r="T111" s="34"/>
      <c r="U111" s="736"/>
      <c r="V111" s="123"/>
      <c r="W111" s="8"/>
      <c r="X111" s="34"/>
      <c r="Y111" s="736"/>
      <c r="Z111" s="20"/>
      <c r="AA111" s="8"/>
      <c r="AB111" s="34"/>
      <c r="AC111" s="736"/>
      <c r="AD111" s="736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190"/>
        <v>86</v>
      </c>
      <c r="AL111" s="123"/>
      <c r="AM111" s="8"/>
      <c r="AN111" s="34" t="s">
        <v>776</v>
      </c>
      <c r="AO111" s="736"/>
      <c r="AP111" s="123"/>
      <c r="AQ111" s="8"/>
      <c r="AR111" s="34"/>
      <c r="AS111" s="736"/>
      <c r="AT111" s="20"/>
      <c r="AU111" s="8"/>
      <c r="AV111" s="34"/>
      <c r="AW111" s="736"/>
      <c r="AX111" s="736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191"/>
        <v>9</v>
      </c>
      <c r="BF111" s="123"/>
      <c r="BG111" s="8"/>
      <c r="BH111" s="34"/>
      <c r="BI111" s="736"/>
      <c r="BJ111" s="123"/>
      <c r="BK111" s="8"/>
      <c r="BL111" s="34"/>
      <c r="BM111" s="736"/>
      <c r="BN111" s="20"/>
      <c r="BO111" s="8"/>
      <c r="BP111" s="34"/>
      <c r="BQ111" s="736"/>
      <c r="BR111" s="736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192"/>
        <v>1</v>
      </c>
      <c r="BZ111" s="123"/>
      <c r="CA111" s="8"/>
      <c r="CB111" s="642" t="s">
        <v>849</v>
      </c>
      <c r="CC111" s="818"/>
      <c r="CD111" s="123"/>
      <c r="CE111" s="8"/>
      <c r="CF111" s="34"/>
      <c r="CG111" s="736"/>
      <c r="CH111" s="20"/>
      <c r="CI111" s="8"/>
      <c r="CJ111" s="34"/>
      <c r="CK111" s="736"/>
      <c r="CL111" s="736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193"/>
        <v>1</v>
      </c>
      <c r="CT111" s="123"/>
      <c r="CU111" s="8"/>
      <c r="CV111" s="34"/>
      <c r="CW111" s="736"/>
      <c r="CX111" s="123"/>
      <c r="CY111" s="8"/>
      <c r="CZ111" s="34"/>
      <c r="DA111" s="736"/>
      <c r="DB111" s="20"/>
      <c r="DC111" s="8"/>
      <c r="DD111" s="34"/>
      <c r="DE111" s="736"/>
      <c r="DF111" s="736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03">DH111+DK111-DL111</f>
        <v>1</v>
      </c>
    </row>
    <row r="112" spans="1:117" ht="53.4" customHeight="1" thickBot="1" x14ac:dyDescent="0.35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65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189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36"/>
      <c r="AD112" s="736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190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36"/>
      <c r="AX112" s="736"/>
      <c r="AY112" s="394">
        <f>SUM(M112,AG112,BA112)-SUM(O112,AI112,BC112)-L112</f>
        <v>-74</v>
      </c>
      <c r="AZ112" s="606">
        <f t="shared" ref="AZ112" si="204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191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36"/>
      <c r="BR112" s="736"/>
      <c r="BS112" s="394">
        <f>SUM(M112,AG112,BA112,BU112)-SUM(O112,AI112,BC112,BW112)-L112</f>
        <v>-214</v>
      </c>
      <c r="BT112" s="32">
        <f t="shared" ref="BT112" si="205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192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809"/>
      <c r="CH112" s="21"/>
      <c r="CI112" s="6"/>
      <c r="CJ112" s="35"/>
      <c r="CK112" s="736"/>
      <c r="CL112" s="736"/>
      <c r="CM112" s="394">
        <f>SUM(M112,AG112,BA112,BU112,CO112)-SUM(O112,AI112,BC112,BW112,CQ112)-L112</f>
        <v>-214</v>
      </c>
      <c r="CN112" s="32">
        <f t="shared" ref="CN112" si="206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193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36"/>
      <c r="DF112" s="736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03"/>
        <v>216</v>
      </c>
    </row>
    <row r="113" spans="1:117" x14ac:dyDescent="0.3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3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65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36"/>
      <c r="AD114" s="736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36"/>
      <c r="AX114" s="736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36"/>
      <c r="BR114" s="736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36"/>
      <c r="CL114" s="736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36"/>
      <c r="DF114" s="736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3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07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36"/>
      <c r="AD115" s="736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36"/>
      <c r="AX115" s="736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36"/>
      <c r="BR115" s="736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36"/>
      <c r="CL115" s="736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36"/>
      <c r="DF115" s="736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3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36"/>
      <c r="AD116" s="736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36"/>
      <c r="AX116" s="736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36"/>
      <c r="BR116" s="736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36"/>
      <c r="CD116" s="21"/>
      <c r="CE116" s="6"/>
      <c r="CF116" s="35"/>
      <c r="CG116" s="612"/>
      <c r="CH116" s="21"/>
      <c r="CI116" s="6"/>
      <c r="CJ116" s="35"/>
      <c r="CK116" s="736"/>
      <c r="CL116" s="736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36"/>
      <c r="DF116" s="736"/>
      <c r="DG116" s="394"/>
      <c r="DH116" s="29"/>
      <c r="DI116" s="298"/>
      <c r="DJ116" s="5"/>
      <c r="DK116" s="240"/>
      <c r="DL116" s="303"/>
      <c r="DM116" s="231"/>
    </row>
    <row r="117" spans="1:117" x14ac:dyDescent="0.3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36"/>
      <c r="AD117" s="736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36"/>
      <c r="AX117" s="736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36"/>
      <c r="BR117" s="736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36"/>
      <c r="CD117" s="21"/>
      <c r="CE117" s="6"/>
      <c r="CF117" s="35"/>
      <c r="CG117" s="612"/>
      <c r="CH117" s="21"/>
      <c r="CI117" s="6"/>
      <c r="CJ117" s="35"/>
      <c r="CK117" s="736"/>
      <c r="CL117" s="736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36"/>
      <c r="DF117" s="736"/>
      <c r="DG117" s="394"/>
      <c r="DH117" s="29"/>
      <c r="DI117" s="298"/>
      <c r="DJ117" s="5"/>
      <c r="DK117" s="240"/>
      <c r="DL117" s="303"/>
      <c r="DM117" s="231"/>
    </row>
    <row r="118" spans="1:117" ht="15" thickBot="1" x14ac:dyDescent="0.35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65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36"/>
      <c r="AD118" s="736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30"/>
      <c r="AT118" s="21"/>
      <c r="AU118" s="6"/>
      <c r="AV118" s="35"/>
      <c r="AW118" s="736"/>
      <c r="AX118" s="736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30"/>
      <c r="BN118" s="21"/>
      <c r="BO118" s="6"/>
      <c r="BP118" s="35"/>
      <c r="BQ118" s="736"/>
      <c r="BR118" s="736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30"/>
      <c r="CH118" s="21"/>
      <c r="CI118" s="6"/>
      <c r="CJ118" s="35"/>
      <c r="CK118" s="736"/>
      <c r="CL118" s="736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30"/>
      <c r="DB118" s="21"/>
      <c r="DC118" s="6"/>
      <c r="DD118" s="35"/>
      <c r="DE118" s="736"/>
      <c r="DF118" s="736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3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28.8" x14ac:dyDescent="0.3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>SUM(M120,AG120,BA120,BU120)-L120</f>
        <v>408</v>
      </c>
      <c r="K120" s="394">
        <f t="shared" si="165"/>
        <v>-628</v>
      </c>
      <c r="L120" s="544">
        <v>654</v>
      </c>
      <c r="M120" s="5">
        <f>60+26-60</f>
        <v>26</v>
      </c>
      <c r="N120" s="5">
        <f t="shared" ref="N120:N136" si="208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36"/>
      <c r="AD120" s="736"/>
      <c r="AE120" s="394">
        <f>SUM(M120,AG120)-SUM(O120,AI120)-L120</f>
        <v>-1530</v>
      </c>
      <c r="AF120" s="29">
        <f>Q120</f>
        <v>628</v>
      </c>
      <c r="AG120" s="5">
        <f>594-594+150-150+98</f>
        <v>98</v>
      </c>
      <c r="AH120" s="5">
        <f t="shared" ref="AH120:AH136" si="209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36"/>
      <c r="AX120" s="736"/>
      <c r="AY120" s="394">
        <f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10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36"/>
      <c r="BR120" s="736"/>
      <c r="BS120" s="394">
        <f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11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809"/>
      <c r="CH120" s="21"/>
      <c r="CI120" s="629">
        <v>88000</v>
      </c>
      <c r="CJ120" s="625" t="s">
        <v>805</v>
      </c>
      <c r="CK120" s="818"/>
      <c r="CL120" s="818"/>
      <c r="CM120" s="394">
        <f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1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36"/>
      <c r="DF120" s="736"/>
      <c r="DG120" s="394">
        <f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13">DI120-DH120</f>
        <v>-1280</v>
      </c>
      <c r="DK120" s="240"/>
      <c r="DL120" s="240"/>
      <c r="DM120" s="231">
        <f>DH120+DK120-DL120</f>
        <v>1280</v>
      </c>
    </row>
    <row r="121" spans="1:117" ht="31.8" x14ac:dyDescent="0.3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>SUM(M121,AG121,BA121,BU121)-L121</f>
        <v>-277</v>
      </c>
      <c r="K121" s="394">
        <f t="shared" si="165"/>
        <v>-4076</v>
      </c>
      <c r="L121" s="544">
        <v>4101</v>
      </c>
      <c r="M121" s="5">
        <f>250+25-250</f>
        <v>25</v>
      </c>
      <c r="N121" s="5">
        <f t="shared" si="208"/>
        <v>-4076</v>
      </c>
      <c r="O121" s="256"/>
      <c r="P121" s="240">
        <f>4+6+8+2+5</f>
        <v>25</v>
      </c>
      <c r="Q121" s="231">
        <f t="shared" ref="Q121:Q126" si="214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36"/>
      <c r="AD121" s="736"/>
      <c r="AE121" s="394">
        <f>SUM(M121,AG121)-SUM(O121,AI121)-L121</f>
        <v>-3910</v>
      </c>
      <c r="AF121" s="29">
        <f>Q121</f>
        <v>4076</v>
      </c>
      <c r="AG121" s="5">
        <f>2520-2520+450-450+166</f>
        <v>166</v>
      </c>
      <c r="AH121" s="5">
        <f t="shared" si="209"/>
        <v>-3910</v>
      </c>
      <c r="AI121" s="256"/>
      <c r="AJ121" s="240">
        <f>10+4+4+2+48+72+18+8</f>
        <v>166</v>
      </c>
      <c r="AK121" s="231">
        <f t="shared" ref="AK121:AK126" si="215">AF121+AI121-AJ121</f>
        <v>3910</v>
      </c>
      <c r="AL121" s="121"/>
      <c r="AM121" s="6"/>
      <c r="AN121" s="257"/>
      <c r="AO121" s="755"/>
      <c r="AP121" s="121"/>
      <c r="AQ121" s="6"/>
      <c r="AR121" s="35"/>
      <c r="AS121" s="612"/>
      <c r="AT121" s="21"/>
      <c r="AU121" s="6"/>
      <c r="AV121" s="35"/>
      <c r="AW121" s="736"/>
      <c r="AX121" s="736"/>
      <c r="AY121" s="394">
        <f>SUM(M121,AG121,BA121)-SUM(O121,AI121,BC121)-L121</f>
        <v>-1277</v>
      </c>
      <c r="AZ121" s="29">
        <f t="shared" ref="AZ121:AZ126" si="216">AK121</f>
        <v>3910</v>
      </c>
      <c r="BA121" s="5">
        <f>600-600+2620-2620+2996-2996+2633</f>
        <v>2633</v>
      </c>
      <c r="BB121" s="5">
        <f t="shared" si="210"/>
        <v>-1277</v>
      </c>
      <c r="BC121" s="240"/>
      <c r="BD121" s="240">
        <f>20+24+192+6+200+120+20+80+80+184+1700+7</f>
        <v>2633</v>
      </c>
      <c r="BE121" s="231">
        <f t="shared" ref="BE121:BE126" si="217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36"/>
      <c r="BR121" s="736"/>
      <c r="BS121" s="394">
        <f>SUM(M121,AG121,BA121,BU121)-SUM(O121,AI121,BC121,BW121)-L121</f>
        <v>-2277</v>
      </c>
      <c r="BT121" s="29">
        <f t="shared" ref="BT121:BT125" si="218">BE121</f>
        <v>1277</v>
      </c>
      <c r="BU121" s="5">
        <f>900-900+1000</f>
        <v>1000</v>
      </c>
      <c r="BV121" s="5">
        <f t="shared" si="211"/>
        <v>-277</v>
      </c>
      <c r="BW121" s="621">
        <f>1000+1000</f>
        <v>2000</v>
      </c>
      <c r="BX121" s="240">
        <f>3+48+72+2+8+4</f>
        <v>137</v>
      </c>
      <c r="BY121" s="231">
        <f t="shared" ref="BY121:BY126" si="219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959</v>
      </c>
      <c r="CG121" s="824"/>
      <c r="CH121" s="628">
        <f>1000*$F$121/2</f>
        <v>41500</v>
      </c>
      <c r="CI121" s="628">
        <f>(1000*$F$121/2)+(1000*$F$121/2)</f>
        <v>83000</v>
      </c>
      <c r="CJ121" s="678" t="s">
        <v>960</v>
      </c>
      <c r="CK121" s="841"/>
      <c r="CL121" s="841"/>
      <c r="CM121" s="394">
        <f>SUM(M121,AG121,BA121,BU121,CO121)-SUM(O121,AI121,BC121,BW121,CQ121)-L121</f>
        <v>-5277</v>
      </c>
      <c r="CN121" s="29">
        <f t="shared" ref="CN121:CN126" si="220">BY121</f>
        <v>3140</v>
      </c>
      <c r="CO121" s="240"/>
      <c r="CP121" s="5">
        <f t="shared" si="212"/>
        <v>-3140</v>
      </c>
      <c r="CQ121" s="240">
        <v>3000</v>
      </c>
      <c r="CR121" s="240"/>
      <c r="CS121" s="231">
        <f t="shared" ref="CS121:CS126" si="221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36"/>
      <c r="DF121" s="736"/>
      <c r="DG121" s="394">
        <f>SUM(M121,AG121,BA121,BU121,DI121)-SUM(O121,AI121,BC121,BW121,CQ121)-L121</f>
        <v>-5277</v>
      </c>
      <c r="DH121" s="29">
        <f t="shared" ref="DH121:DH126" si="222">BY121</f>
        <v>3140</v>
      </c>
      <c r="DI121" s="240"/>
      <c r="DJ121" s="5">
        <f t="shared" si="213"/>
        <v>-3140</v>
      </c>
      <c r="DK121" s="240"/>
      <c r="DL121" s="240"/>
      <c r="DM121" s="231">
        <f t="shared" ref="DM121:DM126" si="223">DH121+DK121-DL121</f>
        <v>3140</v>
      </c>
    </row>
    <row r="122" spans="1:117" ht="28.8" x14ac:dyDescent="0.3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>SUM(M122,AG122,BA122,BU122)-L122</f>
        <v>271</v>
      </c>
      <c r="K122" s="394">
        <f t="shared" si="165"/>
        <v>-169</v>
      </c>
      <c r="L122" s="544">
        <v>206</v>
      </c>
      <c r="M122" s="5">
        <f>50+37-50</f>
        <v>37</v>
      </c>
      <c r="N122" s="5">
        <f t="shared" si="208"/>
        <v>-169</v>
      </c>
      <c r="O122" s="242"/>
      <c r="P122" s="240">
        <f>6+15+16</f>
        <v>37</v>
      </c>
      <c r="Q122" s="231">
        <f t="shared" si="214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36"/>
      <c r="AD122" s="736"/>
      <c r="AE122" s="394">
        <f>SUM(M122,AG122)-SUM(O122,AI122)-L122</f>
        <v>74</v>
      </c>
      <c r="AF122" s="29">
        <f>Q122</f>
        <v>169</v>
      </c>
      <c r="AG122" s="5">
        <f>30-30+243</f>
        <v>243</v>
      </c>
      <c r="AH122" s="5">
        <f t="shared" si="209"/>
        <v>74</v>
      </c>
      <c r="AI122" s="258"/>
      <c r="AJ122" s="240">
        <f>8+3+32+78+8+15+78+21</f>
        <v>243</v>
      </c>
      <c r="AK122" s="231">
        <f t="shared" si="215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36"/>
      <c r="AX122" s="736"/>
      <c r="AY122" s="394">
        <f>SUM(M122,AG122,BA122)-SUM(O122,AI122,BC122)-L122</f>
        <v>-199</v>
      </c>
      <c r="AZ122" s="29">
        <f t="shared" si="216"/>
        <v>-74</v>
      </c>
      <c r="BA122" s="5">
        <f>40-40+110-110+127</f>
        <v>127</v>
      </c>
      <c r="BB122" s="5">
        <f t="shared" si="210"/>
        <v>201</v>
      </c>
      <c r="BC122" s="256">
        <v>400</v>
      </c>
      <c r="BD122" s="240">
        <f>20+12+28+4+17+15+1+30</f>
        <v>127</v>
      </c>
      <c r="BE122" s="231">
        <f t="shared" si="217"/>
        <v>199</v>
      </c>
      <c r="BF122" s="121">
        <v>92000</v>
      </c>
      <c r="BG122" s="6">
        <v>92000</v>
      </c>
      <c r="BH122" s="257" t="s">
        <v>786</v>
      </c>
      <c r="BI122" s="755"/>
      <c r="BJ122" s="121"/>
      <c r="BL122" s="35"/>
      <c r="BM122" s="612"/>
      <c r="BN122" s="21"/>
      <c r="BO122" s="6"/>
      <c r="BP122" s="35"/>
      <c r="BQ122" s="736"/>
      <c r="BR122" s="736"/>
      <c r="BS122" s="394">
        <f>SUM(M122,AG122,BA122,BU122)-SUM(O122,AI122,BC122,BW122)-L122</f>
        <v>-529</v>
      </c>
      <c r="BT122" s="29">
        <f t="shared" si="218"/>
        <v>199</v>
      </c>
      <c r="BU122" s="5">
        <f>90-90+70</f>
        <v>70</v>
      </c>
      <c r="BV122" s="5">
        <f t="shared" si="211"/>
        <v>-129</v>
      </c>
      <c r="BW122" s="621">
        <v>400</v>
      </c>
      <c r="BX122" s="240">
        <f>4+8+5+8+38</f>
        <v>63</v>
      </c>
      <c r="BY122" s="231">
        <f t="shared" si="219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809"/>
      <c r="CH122" s="21"/>
      <c r="CI122" s="199"/>
      <c r="CJ122" s="148"/>
      <c r="CK122" s="834"/>
      <c r="CL122" s="834"/>
      <c r="CM122" s="394">
        <f>SUM(M122,AG122,BA122,BU122,CO122)-SUM(O122,AI122,BC122,BW122,CQ122)-L122</f>
        <v>-529</v>
      </c>
      <c r="CN122" s="29">
        <f t="shared" si="220"/>
        <v>536</v>
      </c>
      <c r="CO122" s="240"/>
      <c r="CP122" s="5">
        <f t="shared" si="212"/>
        <v>-536</v>
      </c>
      <c r="CQ122" s="240"/>
      <c r="CR122" s="240"/>
      <c r="CS122" s="231">
        <f t="shared" si="221"/>
        <v>536</v>
      </c>
      <c r="CT122" s="121"/>
      <c r="CU122" s="629">
        <v>105000</v>
      </c>
      <c r="CV122" s="625" t="s">
        <v>805</v>
      </c>
      <c r="CW122" s="823"/>
      <c r="CX122" s="121"/>
      <c r="CY122" s="6"/>
      <c r="CZ122" s="35"/>
      <c r="DA122" s="612"/>
      <c r="DB122" s="21"/>
      <c r="DC122" s="6"/>
      <c r="DD122" s="35"/>
      <c r="DE122" s="736"/>
      <c r="DF122" s="736"/>
      <c r="DG122" s="394">
        <f>SUM(M122,AG122,BA122,BU122,DI122)-SUM(O122,AI122,BC122,BW122,CQ122)-L122</f>
        <v>-529</v>
      </c>
      <c r="DH122" s="29">
        <f t="shared" si="222"/>
        <v>536</v>
      </c>
      <c r="DI122" s="240"/>
      <c r="DJ122" s="5">
        <f t="shared" si="213"/>
        <v>-536</v>
      </c>
      <c r="DK122" s="240"/>
      <c r="DL122" s="240"/>
      <c r="DM122" s="231">
        <f t="shared" si="223"/>
        <v>536</v>
      </c>
    </row>
    <row r="123" spans="1:117" x14ac:dyDescent="0.3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>SUM(M123,AG123,BA123,BU123)-L123</f>
        <v>321</v>
      </c>
      <c r="K123" s="394">
        <f t="shared" si="165"/>
        <v>-658</v>
      </c>
      <c r="L123" s="544">
        <v>233</v>
      </c>
      <c r="M123" s="5">
        <f>50+75-50</f>
        <v>75</v>
      </c>
      <c r="N123" s="5">
        <f t="shared" si="208"/>
        <v>-158</v>
      </c>
      <c r="O123" s="256">
        <v>500</v>
      </c>
      <c r="P123" s="240">
        <f>22+11+2+40</f>
        <v>75</v>
      </c>
      <c r="Q123" s="231">
        <f t="shared" si="214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36"/>
      <c r="AD123" s="736"/>
      <c r="AE123" s="394">
        <f>SUM(M123,AG123)-SUM(O123,AI123)-L123</f>
        <v>-464</v>
      </c>
      <c r="AF123" s="29">
        <f>Q123</f>
        <v>658</v>
      </c>
      <c r="AG123" s="5">
        <f>140-140+90-90+194</f>
        <v>194</v>
      </c>
      <c r="AH123" s="5">
        <f t="shared" si="209"/>
        <v>-464</v>
      </c>
      <c r="AI123" s="256"/>
      <c r="AJ123" s="240">
        <f>2+3+3+8+4+8+55+2+6+18+55+30</f>
        <v>194</v>
      </c>
      <c r="AK123" s="231">
        <f t="shared" si="215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36"/>
      <c r="AX123" s="736"/>
      <c r="AY123" s="394">
        <f>SUM(M123,AG123,BA123)-SUM(O123,AI123,BC123)-L123</f>
        <v>-344</v>
      </c>
      <c r="AZ123" s="29">
        <f t="shared" si="216"/>
        <v>464</v>
      </c>
      <c r="BA123" s="5">
        <f>140-140+120</f>
        <v>120</v>
      </c>
      <c r="BB123" s="5">
        <f t="shared" si="210"/>
        <v>-344</v>
      </c>
      <c r="BC123" s="256"/>
      <c r="BD123" s="240">
        <f>20+8+210+5+48+16+4</f>
        <v>311</v>
      </c>
      <c r="BE123" s="231">
        <f t="shared" si="217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36"/>
      <c r="BR123" s="736"/>
      <c r="BS123" s="394">
        <f>SUM(M123,AG123,BA123,BU123)-SUM(O123,AI123,BC123,BW123)-L123</f>
        <v>-579</v>
      </c>
      <c r="BT123" s="29">
        <f t="shared" si="218"/>
        <v>153</v>
      </c>
      <c r="BU123" s="5">
        <f>190-190+165</f>
        <v>165</v>
      </c>
      <c r="BV123" s="5">
        <f t="shared" si="211"/>
        <v>12</v>
      </c>
      <c r="BW123" s="621">
        <v>400</v>
      </c>
      <c r="BX123" s="240">
        <f>10+14+21+10</f>
        <v>55</v>
      </c>
      <c r="BY123" s="231">
        <f t="shared" si="219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809"/>
      <c r="CH123" s="121"/>
      <c r="CI123" s="629">
        <v>63000</v>
      </c>
      <c r="CJ123" s="625" t="s">
        <v>805</v>
      </c>
      <c r="CK123" s="818"/>
      <c r="CL123" s="818"/>
      <c r="CM123" s="394">
        <f>SUM(M123,AG123,BA123,BU123,CO123)-SUM(O123,AI123,BC123,BW123,CQ123)-L123</f>
        <v>-579</v>
      </c>
      <c r="CN123" s="29">
        <f t="shared" si="220"/>
        <v>498</v>
      </c>
      <c r="CO123" s="240"/>
      <c r="CP123" s="5">
        <f t="shared" si="212"/>
        <v>-498</v>
      </c>
      <c r="CQ123" s="240"/>
      <c r="CR123" s="240"/>
      <c r="CS123" s="231">
        <f t="shared" si="221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36"/>
      <c r="DF123" s="736"/>
      <c r="DG123" s="394">
        <f>SUM(M123,AG123,BA123,BU123,DI123)-SUM(O123,AI123,BC123,BW123,CQ123)-L123</f>
        <v>-579</v>
      </c>
      <c r="DH123" s="29">
        <f t="shared" si="222"/>
        <v>498</v>
      </c>
      <c r="DI123" s="240"/>
      <c r="DJ123" s="5">
        <f t="shared" si="213"/>
        <v>-498</v>
      </c>
      <c r="DK123" s="240"/>
      <c r="DL123" s="240"/>
      <c r="DM123" s="231">
        <f t="shared" si="223"/>
        <v>498</v>
      </c>
    </row>
    <row r="124" spans="1:117" ht="21.6" x14ac:dyDescent="0.3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>SUM(M124,AG124,BA124,BU124)-L124</f>
        <v>295</v>
      </c>
      <c r="K124" s="394">
        <f t="shared" si="165"/>
        <v>-505</v>
      </c>
      <c r="L124" s="544">
        <v>7</v>
      </c>
      <c r="M124" s="5">
        <f>40+2-40</f>
        <v>2</v>
      </c>
      <c r="N124" s="5">
        <f t="shared" si="208"/>
        <v>-5</v>
      </c>
      <c r="O124" s="256">
        <v>500</v>
      </c>
      <c r="P124" s="240">
        <f>2</f>
        <v>2</v>
      </c>
      <c r="Q124" s="231">
        <f t="shared" si="214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36"/>
      <c r="AD124" s="736"/>
      <c r="AE124" s="394">
        <f>SUM(M124,AG124)-SUM(O124,AI124)-L124</f>
        <v>-469</v>
      </c>
      <c r="AF124" s="29">
        <f>Q124</f>
        <v>505</v>
      </c>
      <c r="AG124" s="5">
        <f>80-80+36</f>
        <v>36</v>
      </c>
      <c r="AH124" s="5">
        <f t="shared" si="209"/>
        <v>-469</v>
      </c>
      <c r="AI124" s="256"/>
      <c r="AJ124" s="240">
        <f>16+6+14</f>
        <v>36</v>
      </c>
      <c r="AK124" s="231">
        <f t="shared" si="215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36"/>
      <c r="AX124" s="736"/>
      <c r="AY124" s="394">
        <f>SUM(M124,AG124,BA124)-SUM(O124,AI124,BC124)-L124</f>
        <v>-335</v>
      </c>
      <c r="AZ124" s="29">
        <f t="shared" si="216"/>
        <v>469</v>
      </c>
      <c r="BA124" s="5">
        <f>100-100+134</f>
        <v>134</v>
      </c>
      <c r="BB124" s="5">
        <f t="shared" si="210"/>
        <v>-335</v>
      </c>
      <c r="BC124" s="256"/>
      <c r="BD124" s="240">
        <f>24+11+6</f>
        <v>41</v>
      </c>
      <c r="BE124" s="231">
        <f t="shared" si="217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36"/>
      <c r="BR124" s="736"/>
      <c r="BS124" s="394">
        <f>SUM(M124,AG124,BA124,BU124)-SUM(O124,AI124,BC124,BW124)-L124</f>
        <v>-705</v>
      </c>
      <c r="BT124" s="607">
        <f>400</f>
        <v>400</v>
      </c>
      <c r="BU124" s="5">
        <v>130</v>
      </c>
      <c r="BV124" s="5">
        <f t="shared" si="211"/>
        <v>-270</v>
      </c>
      <c r="BW124" s="621">
        <f>400+100</f>
        <v>500</v>
      </c>
      <c r="BX124" s="240">
        <f>24+30+74</f>
        <v>128</v>
      </c>
      <c r="BY124" s="231">
        <f t="shared" si="219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809"/>
      <c r="CH124" s="628">
        <f>43800/2</f>
        <v>21900</v>
      </c>
      <c r="CI124" s="630">
        <f>43800/2</f>
        <v>21900</v>
      </c>
      <c r="CJ124" s="679" t="s">
        <v>961</v>
      </c>
      <c r="CK124" s="842"/>
      <c r="CL124" s="842"/>
      <c r="CM124" s="394">
        <f>SUM(M124,AG124,BA124,BU124,CO124)-SUM(O124,AI124,BC124,BW124,CQ124)-L124</f>
        <v>-705</v>
      </c>
      <c r="CN124" s="29">
        <f t="shared" si="220"/>
        <v>772</v>
      </c>
      <c r="CO124" s="240"/>
      <c r="CP124" s="5">
        <f t="shared" si="212"/>
        <v>-772</v>
      </c>
      <c r="CQ124" s="240"/>
      <c r="CR124" s="240"/>
      <c r="CS124" s="231">
        <f t="shared" si="221"/>
        <v>772</v>
      </c>
      <c r="CT124" s="121"/>
      <c r="CU124" s="630">
        <f>33000</f>
        <v>33000</v>
      </c>
      <c r="CV124" s="625" t="s">
        <v>805</v>
      </c>
      <c r="CW124" s="823"/>
      <c r="CX124" s="121"/>
      <c r="CY124" s="6"/>
      <c r="CZ124" s="35"/>
      <c r="DA124" s="612"/>
      <c r="DB124" s="21"/>
      <c r="DC124" s="6"/>
      <c r="DD124" s="35"/>
      <c r="DE124" s="736"/>
      <c r="DF124" s="736"/>
      <c r="DG124" s="394">
        <f>SUM(M124,AG124,BA124,BU124,DI124)-SUM(O124,AI124,BC124,BW124,CQ124)-L124</f>
        <v>-705</v>
      </c>
      <c r="DH124" s="29">
        <f t="shared" si="222"/>
        <v>772</v>
      </c>
      <c r="DI124" s="240"/>
      <c r="DJ124" s="5">
        <f t="shared" si="213"/>
        <v>-772</v>
      </c>
      <c r="DK124" s="240"/>
      <c r="DL124" s="240"/>
      <c r="DM124" s="231">
        <f t="shared" si="223"/>
        <v>772</v>
      </c>
    </row>
    <row r="125" spans="1:117" x14ac:dyDescent="0.3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>SUM(M125,AG125,BA125,BU125)-L125</f>
        <v>246</v>
      </c>
      <c r="K125" s="394">
        <f t="shared" si="165"/>
        <v>-504</v>
      </c>
      <c r="L125" s="544">
        <v>4</v>
      </c>
      <c r="M125" s="5">
        <f>20+0-20</f>
        <v>0</v>
      </c>
      <c r="N125" s="5">
        <f t="shared" si="208"/>
        <v>-4</v>
      </c>
      <c r="O125" s="256">
        <v>500</v>
      </c>
      <c r="P125" s="240"/>
      <c r="Q125" s="231">
        <f t="shared" si="214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36"/>
      <c r="AD125" s="736"/>
      <c r="AE125" s="394">
        <f>SUM(M125,AG125)-SUM(O125,AI125)-L125</f>
        <v>-458</v>
      </c>
      <c r="AF125" s="29">
        <f>Q125</f>
        <v>504</v>
      </c>
      <c r="AG125" s="5">
        <f>50-50+46</f>
        <v>46</v>
      </c>
      <c r="AH125" s="5">
        <f t="shared" si="209"/>
        <v>-458</v>
      </c>
      <c r="AI125" s="256"/>
      <c r="AJ125" s="240">
        <f>16+10+20</f>
        <v>46</v>
      </c>
      <c r="AK125" s="231">
        <f t="shared" si="215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36"/>
      <c r="AX125" s="736"/>
      <c r="AY125" s="394">
        <f>SUM(M125,AG125,BA125)-SUM(O125,AI125,BC125)-L125</f>
        <v>-334</v>
      </c>
      <c r="AZ125" s="29">
        <f t="shared" si="216"/>
        <v>458</v>
      </c>
      <c r="BA125" s="5">
        <f>60-60+124</f>
        <v>124</v>
      </c>
      <c r="BB125" s="5">
        <f t="shared" si="210"/>
        <v>-334</v>
      </c>
      <c r="BC125" s="256"/>
      <c r="BD125" s="240">
        <f>8+80+16+15+8</f>
        <v>127</v>
      </c>
      <c r="BE125" s="231">
        <f t="shared" si="217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36"/>
      <c r="BR125" s="736"/>
      <c r="BS125" s="394">
        <f>SUM(M125,AG125,BA125,BU125)-SUM(O125,AI125,BC125,BW125)-L125</f>
        <v>-654</v>
      </c>
      <c r="BT125" s="29">
        <f t="shared" si="218"/>
        <v>331</v>
      </c>
      <c r="BU125" s="5">
        <v>80</v>
      </c>
      <c r="BV125" s="5">
        <f t="shared" si="211"/>
        <v>-251</v>
      </c>
      <c r="BW125" s="621">
        <v>400</v>
      </c>
      <c r="BX125" s="240">
        <f>24+40+30+40+4</f>
        <v>138</v>
      </c>
      <c r="BY125" s="231">
        <f t="shared" si="219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809"/>
      <c r="CH125" s="21"/>
      <c r="CI125" s="215"/>
      <c r="CJ125" s="148"/>
      <c r="CK125" s="834"/>
      <c r="CL125" s="834"/>
      <c r="CM125" s="394">
        <f>SUM(M125,AG125,BA125,BU125,CO125)-SUM(O125,AI125,BC125,BW125,CQ125)-L125</f>
        <v>-654</v>
      </c>
      <c r="CN125" s="29">
        <f t="shared" si="220"/>
        <v>593</v>
      </c>
      <c r="CO125" s="240"/>
      <c r="CP125" s="5">
        <f t="shared" si="212"/>
        <v>-593</v>
      </c>
      <c r="CQ125" s="240"/>
      <c r="CR125" s="240"/>
      <c r="CS125" s="231">
        <f t="shared" si="221"/>
        <v>593</v>
      </c>
      <c r="CT125" s="121"/>
      <c r="CU125" s="630">
        <v>40000</v>
      </c>
      <c r="CV125" s="625" t="s">
        <v>805</v>
      </c>
      <c r="CW125" s="823"/>
      <c r="CX125" s="121"/>
      <c r="CY125" s="6"/>
      <c r="CZ125" s="35"/>
      <c r="DA125" s="612"/>
      <c r="DB125" s="21"/>
      <c r="DC125" s="6"/>
      <c r="DD125" s="35"/>
      <c r="DE125" s="736"/>
      <c r="DF125" s="736"/>
      <c r="DG125" s="394">
        <f>SUM(M125,AG125,BA125,BU125,DI125)-SUM(O125,AI125,BC125,BW125,CQ125)-L125</f>
        <v>-654</v>
      </c>
      <c r="DH125" s="29">
        <f t="shared" si="222"/>
        <v>593</v>
      </c>
      <c r="DI125" s="240"/>
      <c r="DJ125" s="5">
        <f t="shared" si="213"/>
        <v>-593</v>
      </c>
      <c r="DK125" s="240"/>
      <c r="DL125" s="240"/>
      <c r="DM125" s="231">
        <f t="shared" si="223"/>
        <v>593</v>
      </c>
    </row>
    <row r="126" spans="1:117" ht="15" thickBot="1" x14ac:dyDescent="0.35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>SUM(M126,AG126,BA126,BU126)-L126</f>
        <v>513</v>
      </c>
      <c r="K126" s="394">
        <f t="shared" si="165"/>
        <v>-1037</v>
      </c>
      <c r="L126" s="544">
        <f>115-6-18-2-10-20-20</f>
        <v>39</v>
      </c>
      <c r="M126" s="301">
        <f>SUM(M124:M125)</f>
        <v>2</v>
      </c>
      <c r="N126" s="31">
        <f t="shared" si="208"/>
        <v>-37</v>
      </c>
      <c r="O126" s="256">
        <v>1000</v>
      </c>
      <c r="P126" s="305">
        <f>SUM(P124:P125)</f>
        <v>2</v>
      </c>
      <c r="Q126" s="231">
        <f t="shared" si="214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C126" s="750"/>
      <c r="AD126" s="750"/>
      <c r="AE126" s="394">
        <f>SUM(M126,AG126)-SUM(O126,AI126)-L126</f>
        <v>-955</v>
      </c>
      <c r="AF126" s="29">
        <f>Q126</f>
        <v>1037</v>
      </c>
      <c r="AG126" s="301">
        <f>SUM(AG124:AG125)</f>
        <v>82</v>
      </c>
      <c r="AH126" s="31">
        <f t="shared" si="209"/>
        <v>-955</v>
      </c>
      <c r="AI126" s="284"/>
      <c r="AJ126" s="305">
        <f>SUM(AJ124:AJ125)</f>
        <v>82</v>
      </c>
      <c r="AK126" s="231">
        <f t="shared" si="215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W126" s="750"/>
      <c r="AX126" s="750"/>
      <c r="AY126" s="394">
        <f>SUM(M126,AG126,BA126)-SUM(O126,AI126,BC126)-L126</f>
        <v>-697</v>
      </c>
      <c r="AZ126" s="29">
        <f t="shared" si="216"/>
        <v>955</v>
      </c>
      <c r="BA126" s="301">
        <f>SUM(BA124:BA125)</f>
        <v>258</v>
      </c>
      <c r="BB126" s="31">
        <f t="shared" si="210"/>
        <v>-697</v>
      </c>
      <c r="BC126" s="284"/>
      <c r="BD126" s="305">
        <f>SUM(BD124:BD125)</f>
        <v>168</v>
      </c>
      <c r="BE126" s="231">
        <f t="shared" si="217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Q126" s="750"/>
      <c r="BR126" s="750"/>
      <c r="BS126" s="394">
        <f>SUM(M126,AG126,BA126,BU126)-SUM(O126,AI126,BC126,BW126)-L126</f>
        <v>-1287</v>
      </c>
      <c r="BT126" s="607">
        <f>BE126-81</f>
        <v>706</v>
      </c>
      <c r="BU126" s="301">
        <f>SUM(BU124:BU125)</f>
        <v>210</v>
      </c>
      <c r="BV126" s="31">
        <f t="shared" si="211"/>
        <v>-496</v>
      </c>
      <c r="BW126" s="622">
        <v>800</v>
      </c>
      <c r="BX126" s="305">
        <f>SUM(BX124:BX125)</f>
        <v>266</v>
      </c>
      <c r="BY126" s="231">
        <f t="shared" si="219"/>
        <v>1240</v>
      </c>
      <c r="BZ126" s="236"/>
      <c r="CA126" s="201"/>
      <c r="CB126" s="35"/>
      <c r="CC126" s="735"/>
      <c r="CD126" s="669">
        <v>37200</v>
      </c>
      <c r="CE126" s="670"/>
      <c r="CF126" s="664" t="s">
        <v>893</v>
      </c>
      <c r="CG126" s="808"/>
      <c r="CH126" s="122"/>
      <c r="CI126" s="680"/>
      <c r="CJ126" s="148"/>
      <c r="CK126" s="834"/>
      <c r="CL126" s="834"/>
      <c r="CM126" s="394">
        <f>SUM(M126,AG126,BA126,BU126,CO126)-SUM(O126,AI126,BC126,BW126,CQ126)-L126</f>
        <v>-1287</v>
      </c>
      <c r="CN126" s="29">
        <f t="shared" si="220"/>
        <v>1240</v>
      </c>
      <c r="CO126" s="301">
        <f>SUM(CO124:CO125)</f>
        <v>0</v>
      </c>
      <c r="CP126" s="31">
        <f t="shared" si="212"/>
        <v>-1240</v>
      </c>
      <c r="CQ126" s="241"/>
      <c r="CR126" s="305">
        <f>SUM(CR124:CR125)</f>
        <v>0</v>
      </c>
      <c r="CS126" s="231">
        <f t="shared" si="221"/>
        <v>1240</v>
      </c>
      <c r="CT126" s="200"/>
      <c r="CU126" s="634">
        <v>37200</v>
      </c>
      <c r="CV126" s="625" t="s">
        <v>805</v>
      </c>
      <c r="CW126" s="854"/>
      <c r="CX126" s="200"/>
      <c r="CY126" s="201"/>
      <c r="CZ126" s="36"/>
      <c r="DA126" s="220"/>
      <c r="DB126" s="122"/>
      <c r="DC126" s="201"/>
      <c r="DD126" s="36"/>
      <c r="DE126" s="750"/>
      <c r="DF126" s="750"/>
      <c r="DG126" s="394">
        <f>SUM(M126,AG126,BA126,BU126,DI126)-SUM(O126,AI126,BC126,BW126,CQ126)-L126</f>
        <v>-1287</v>
      </c>
      <c r="DH126" s="29">
        <f t="shared" si="222"/>
        <v>1240</v>
      </c>
      <c r="DI126" s="301">
        <f>SUM(DI124:DI125)</f>
        <v>0</v>
      </c>
      <c r="DJ126" s="31">
        <f t="shared" si="213"/>
        <v>-1240</v>
      </c>
      <c r="DK126" s="241"/>
      <c r="DL126" s="305">
        <f>SUM(DL124:DL125)</f>
        <v>0</v>
      </c>
      <c r="DM126" s="231">
        <f t="shared" si="223"/>
        <v>1240</v>
      </c>
    </row>
    <row r="127" spans="1:117" x14ac:dyDescent="0.3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3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>SUM(M128,AG128,BA128,BU128)-L128</f>
        <v>-7</v>
      </c>
      <c r="K128" s="394">
        <f t="shared" si="165"/>
        <v>-24</v>
      </c>
      <c r="L128" s="544">
        <v>24</v>
      </c>
      <c r="M128" s="298">
        <f>M127</f>
        <v>0</v>
      </c>
      <c r="N128" s="5">
        <f t="shared" si="208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34"/>
      <c r="V128" s="121"/>
      <c r="W128" s="6"/>
      <c r="X128" s="35"/>
      <c r="Y128" s="612"/>
      <c r="Z128" s="21"/>
      <c r="AA128" s="6"/>
      <c r="AB128" s="35"/>
      <c r="AC128" s="736"/>
      <c r="AD128" s="736"/>
      <c r="AE128" s="394">
        <f>SUM(M128,AG128)-SUM(O128,AI128)-L128</f>
        <v>-24</v>
      </c>
      <c r="AF128" s="29">
        <f>Q128</f>
        <v>24</v>
      </c>
      <c r="AG128" s="298">
        <f>AG127</f>
        <v>0</v>
      </c>
      <c r="AH128" s="5">
        <f t="shared" si="209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34"/>
      <c r="AP128" s="121"/>
      <c r="AQ128" s="6"/>
      <c r="AR128" s="35"/>
      <c r="AS128" s="612"/>
      <c r="AT128" s="21"/>
      <c r="AU128" s="6"/>
      <c r="AV128" s="35"/>
      <c r="AW128" s="736"/>
      <c r="AX128" s="736"/>
      <c r="AY128" s="394">
        <f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10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34"/>
      <c r="BJ128" s="121"/>
      <c r="BK128" s="6"/>
      <c r="BL128" s="35"/>
      <c r="BM128" s="612"/>
      <c r="BN128" s="21"/>
      <c r="BO128" s="6"/>
      <c r="BP128" s="35"/>
      <c r="BQ128" s="736"/>
      <c r="BR128" s="736"/>
      <c r="BS128" s="394">
        <f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11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34"/>
      <c r="CD128" s="121"/>
      <c r="CE128" s="6"/>
      <c r="CF128" s="625" t="s">
        <v>907</v>
      </c>
      <c r="CG128" s="823"/>
      <c r="CH128" s="21"/>
      <c r="CI128" s="6"/>
      <c r="CJ128" s="35"/>
      <c r="CK128" s="736"/>
      <c r="CL128" s="736"/>
      <c r="CM128" s="394">
        <f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1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34"/>
      <c r="CX128" s="121"/>
      <c r="CY128" s="6"/>
      <c r="CZ128" s="35"/>
      <c r="DA128" s="612"/>
      <c r="DB128" s="21"/>
      <c r="DC128" s="6"/>
      <c r="DD128" s="35"/>
      <c r="DE128" s="736"/>
      <c r="DF128" s="736"/>
      <c r="DG128" s="394">
        <f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24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3.2" x14ac:dyDescent="0.3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>SUM(M129,AG129,BA129,BU129)-L129</f>
        <v>-7</v>
      </c>
      <c r="K129" s="394">
        <f t="shared" si="165"/>
        <v>-24</v>
      </c>
      <c r="L129" s="544">
        <v>24</v>
      </c>
      <c r="M129" s="298">
        <f>M127</f>
        <v>0</v>
      </c>
      <c r="N129" s="5">
        <f t="shared" si="208"/>
        <v>-24</v>
      </c>
      <c r="O129" s="256"/>
      <c r="P129" s="303">
        <f>P127</f>
        <v>0</v>
      </c>
      <c r="Q129" s="231">
        <f t="shared" ref="Q129:Q133" si="225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36"/>
      <c r="AD129" s="736"/>
      <c r="AE129" s="394">
        <f>SUM(M129,AG129)-SUM(O129,AI129)-L129</f>
        <v>-24</v>
      </c>
      <c r="AF129" s="29">
        <f>Q129</f>
        <v>24</v>
      </c>
      <c r="AG129" s="298">
        <f>AG127</f>
        <v>0</v>
      </c>
      <c r="AH129" s="5">
        <f t="shared" si="209"/>
        <v>-24</v>
      </c>
      <c r="AI129" s="256"/>
      <c r="AJ129" s="303">
        <f>AJ127</f>
        <v>0</v>
      </c>
      <c r="AK129" s="231">
        <f t="shared" ref="AK129:AK133" si="226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36"/>
      <c r="AX129" s="736"/>
      <c r="AY129" s="394">
        <f>SUM(M129,AG129,BA129)-SUM(O129,AI129,BC129)-L129</f>
        <v>-12</v>
      </c>
      <c r="AZ129" s="29">
        <f t="shared" ref="AZ129:AZ133" si="227">AK129</f>
        <v>24</v>
      </c>
      <c r="BA129" s="298">
        <f>BA127</f>
        <v>12</v>
      </c>
      <c r="BB129" s="5">
        <f t="shared" si="210"/>
        <v>-12</v>
      </c>
      <c r="BC129" s="256"/>
      <c r="BD129" s="303">
        <f>BD127</f>
        <v>12</v>
      </c>
      <c r="BE129" s="231">
        <f t="shared" ref="BE129:BE133" si="228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36"/>
      <c r="BR129" s="736"/>
      <c r="BS129" s="394">
        <f>SUM(M129,AG129,BA129,BU129)-SUM(O129,AI129,BC129,BW129)-L129</f>
        <v>-57</v>
      </c>
      <c r="BT129" s="29">
        <f t="shared" ref="BT129:BT133" si="229">BE129</f>
        <v>12</v>
      </c>
      <c r="BU129" s="298">
        <f>BU127</f>
        <v>5</v>
      </c>
      <c r="BV129" s="5">
        <f t="shared" si="211"/>
        <v>-7</v>
      </c>
      <c r="BW129" s="240">
        <v>50</v>
      </c>
      <c r="BX129" s="303">
        <f>BX127</f>
        <v>0</v>
      </c>
      <c r="BY129" s="231">
        <f t="shared" ref="BY129:BY133" si="230">BT129+BW129-BX129</f>
        <v>62</v>
      </c>
      <c r="BZ129" s="21"/>
      <c r="CA129" s="6"/>
      <c r="CB129" s="35"/>
      <c r="CC129" s="612"/>
      <c r="CD129" s="215"/>
      <c r="CE129" s="199"/>
      <c r="CF129" s="240"/>
      <c r="CG129" s="825"/>
      <c r="CH129" s="215">
        <v>12500</v>
      </c>
      <c r="CI129" s="199"/>
      <c r="CJ129" s="240" t="s">
        <v>804</v>
      </c>
      <c r="CK129" s="834"/>
      <c r="CL129" s="834"/>
      <c r="CM129" s="394">
        <f>SUM(M129,AG129,BA129,BU129,CO129)-SUM(O129,AI129,BC129,BW129,CQ129)-L129</f>
        <v>-57</v>
      </c>
      <c r="CN129" s="29">
        <f t="shared" ref="CN129:CN133" si="231">BY129</f>
        <v>62</v>
      </c>
      <c r="CO129" s="298">
        <f>CO127</f>
        <v>0</v>
      </c>
      <c r="CP129" s="5">
        <f t="shared" si="212"/>
        <v>-62</v>
      </c>
      <c r="CQ129" s="240"/>
      <c r="CR129" s="303">
        <f>CR127</f>
        <v>0</v>
      </c>
      <c r="CS129" s="231">
        <f t="shared" ref="CS129:CS133" si="232">CN129+CQ129-CR129</f>
        <v>62</v>
      </c>
      <c r="CT129" s="21"/>
      <c r="CU129" s="199">
        <v>12500</v>
      </c>
      <c r="CV129" s="148" t="s">
        <v>806</v>
      </c>
      <c r="CW129" s="734"/>
      <c r="CX129" s="121"/>
      <c r="CY129" s="6"/>
      <c r="CZ129" s="35"/>
      <c r="DA129" s="612"/>
      <c r="DB129" s="21"/>
      <c r="DC129" s="6"/>
      <c r="DD129" s="35"/>
      <c r="DE129" s="736"/>
      <c r="DF129" s="736"/>
      <c r="DG129" s="394">
        <f>SUM(M129,AG129,BA129,BU129,DI129)-SUM(O129,AI129,BC129,BW129,CQ129)-L129</f>
        <v>-57</v>
      </c>
      <c r="DH129" s="29">
        <f t="shared" ref="DH129:DH133" si="233">BY129</f>
        <v>62</v>
      </c>
      <c r="DI129" s="298">
        <f>DI127</f>
        <v>0</v>
      </c>
      <c r="DJ129" s="5">
        <f t="shared" si="224"/>
        <v>-62</v>
      </c>
      <c r="DK129" s="240"/>
      <c r="DL129" s="303">
        <f>DL127</f>
        <v>0</v>
      </c>
      <c r="DM129" s="231">
        <f t="shared" ref="DM129:DM133" si="234">DH129+DK129-DL129</f>
        <v>62</v>
      </c>
    </row>
    <row r="130" spans="1:117" ht="46.2" x14ac:dyDescent="0.3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>SUM(M130,AG130,BA130,BU130)-L130</f>
        <v>-21</v>
      </c>
      <c r="K130" s="394">
        <f t="shared" si="165"/>
        <v>-38</v>
      </c>
      <c r="L130" s="544">
        <v>38</v>
      </c>
      <c r="M130" s="298">
        <f>M127</f>
        <v>0</v>
      </c>
      <c r="N130" s="5">
        <f t="shared" si="208"/>
        <v>-38</v>
      </c>
      <c r="O130" s="256"/>
      <c r="P130" s="303">
        <f>P127</f>
        <v>0</v>
      </c>
      <c r="Q130" s="231">
        <f t="shared" si="225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36"/>
      <c r="AD130" s="736"/>
      <c r="AE130" s="394">
        <f>SUM(M130,AG130)-SUM(O130,AI130)-L130</f>
        <v>-38</v>
      </c>
      <c r="AF130" s="29">
        <f>Q130</f>
        <v>38</v>
      </c>
      <c r="AG130" s="298">
        <f>AG127</f>
        <v>0</v>
      </c>
      <c r="AH130" s="5">
        <f t="shared" si="209"/>
        <v>-38</v>
      </c>
      <c r="AI130" s="256"/>
      <c r="AJ130" s="303">
        <f>AJ127</f>
        <v>0</v>
      </c>
      <c r="AK130" s="231">
        <f t="shared" si="226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36"/>
      <c r="AX130" s="736"/>
      <c r="AY130" s="394">
        <f>SUM(M130,AG130,BA130)-SUM(O130,AI130,BC130)-L130</f>
        <v>-26</v>
      </c>
      <c r="AZ130" s="607">
        <f t="shared" si="227"/>
        <v>38</v>
      </c>
      <c r="BA130" s="298">
        <f>BA127</f>
        <v>12</v>
      </c>
      <c r="BB130" s="5">
        <f t="shared" si="210"/>
        <v>-26</v>
      </c>
      <c r="BC130" s="256"/>
      <c r="BD130" s="303">
        <f>BD127</f>
        <v>12</v>
      </c>
      <c r="BE130" s="231">
        <f t="shared" si="228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36"/>
      <c r="BR130" s="736"/>
      <c r="BS130" s="394">
        <f>SUM(M130,AG130,BA130,BU130)-SUM(O130,AI130,BC130,BW130)-L130</f>
        <v>-71</v>
      </c>
      <c r="BT130" s="29">
        <f t="shared" si="229"/>
        <v>26</v>
      </c>
      <c r="BU130" s="298">
        <f>BU127</f>
        <v>5</v>
      </c>
      <c r="BV130" s="5">
        <f t="shared" si="211"/>
        <v>-21</v>
      </c>
      <c r="BW130" s="621">
        <v>50</v>
      </c>
      <c r="BX130" s="303">
        <f>BX127</f>
        <v>0</v>
      </c>
      <c r="BY130" s="231">
        <f t="shared" si="230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826"/>
      <c r="CH130" s="21"/>
      <c r="CI130" s="199"/>
      <c r="CJ130" s="148"/>
      <c r="CK130" s="834"/>
      <c r="CL130" s="834"/>
      <c r="CM130" s="394">
        <f>SUM(M130,AG130,BA130,BU130,CO130)-SUM(O130,AI130,BC130,BW130,CQ130)-L130</f>
        <v>-71</v>
      </c>
      <c r="CN130" s="29">
        <f t="shared" si="231"/>
        <v>76</v>
      </c>
      <c r="CO130" s="298">
        <f>CO127</f>
        <v>0</v>
      </c>
      <c r="CP130" s="5">
        <f t="shared" si="212"/>
        <v>-76</v>
      </c>
      <c r="CQ130" s="240"/>
      <c r="CR130" s="303">
        <f>CR127</f>
        <v>0</v>
      </c>
      <c r="CS130" s="231">
        <f t="shared" si="232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36"/>
      <c r="DF130" s="736"/>
      <c r="DG130" s="394">
        <f>SUM(M130,AG130,BA130,BU130,DI130)-SUM(O130,AI130,BC130,BW130,CQ130)-L130</f>
        <v>-71</v>
      </c>
      <c r="DH130" s="29">
        <f t="shared" si="233"/>
        <v>76</v>
      </c>
      <c r="DI130" s="298">
        <f>DI127</f>
        <v>0</v>
      </c>
      <c r="DJ130" s="5">
        <f t="shared" si="224"/>
        <v>-76</v>
      </c>
      <c r="DK130" s="240"/>
      <c r="DL130" s="303">
        <f>DL127</f>
        <v>0</v>
      </c>
      <c r="DM130" s="231">
        <f t="shared" si="234"/>
        <v>76</v>
      </c>
    </row>
    <row r="131" spans="1:117" x14ac:dyDescent="0.3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>SUM(M131,AG131,BA131,BU131)-L131</f>
        <v>-72</v>
      </c>
      <c r="K131" s="394">
        <f t="shared" si="165"/>
        <v>-89</v>
      </c>
      <c r="L131" s="544">
        <v>89</v>
      </c>
      <c r="M131" s="298">
        <f>M127</f>
        <v>0</v>
      </c>
      <c r="N131" s="5">
        <f t="shared" si="208"/>
        <v>-89</v>
      </c>
      <c r="O131" s="256"/>
      <c r="P131" s="303">
        <f>P127</f>
        <v>0</v>
      </c>
      <c r="Q131" s="231">
        <f t="shared" si="225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36"/>
      <c r="AD131" s="736"/>
      <c r="AE131" s="394">
        <f>SUM(M131,AG131)-SUM(O131,AI131)-L131</f>
        <v>-89</v>
      </c>
      <c r="AF131" s="29">
        <f>Q131</f>
        <v>89</v>
      </c>
      <c r="AG131" s="298">
        <f>AG127</f>
        <v>0</v>
      </c>
      <c r="AH131" s="5">
        <f t="shared" si="209"/>
        <v>-89</v>
      </c>
      <c r="AI131" s="256"/>
      <c r="AJ131" s="303">
        <f>AJ127</f>
        <v>0</v>
      </c>
      <c r="AK131" s="231">
        <f t="shared" si="226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36"/>
      <c r="AX131" s="736"/>
      <c r="AY131" s="394">
        <f>SUM(M131,AG131,BA131)-SUM(O131,AI131,BC131)-L131</f>
        <v>-77</v>
      </c>
      <c r="AZ131" s="29">
        <f t="shared" si="227"/>
        <v>89</v>
      </c>
      <c r="BA131" s="298">
        <f>BA127</f>
        <v>12</v>
      </c>
      <c r="BB131" s="5">
        <f t="shared" si="210"/>
        <v>-77</v>
      </c>
      <c r="BC131" s="256"/>
      <c r="BD131" s="303">
        <f>BD127</f>
        <v>12</v>
      </c>
      <c r="BE131" s="231">
        <f t="shared" si="228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36"/>
      <c r="BR131" s="736"/>
      <c r="BS131" s="394">
        <f>SUM(M131,AG131,BA131,BU131)-SUM(O131,AI131,BC131,BW131)-L131</f>
        <v>-72</v>
      </c>
      <c r="BT131" s="29">
        <f t="shared" si="229"/>
        <v>77</v>
      </c>
      <c r="BU131" s="298">
        <f>BU127</f>
        <v>5</v>
      </c>
      <c r="BV131" s="5">
        <f t="shared" si="211"/>
        <v>-72</v>
      </c>
      <c r="BW131" s="240"/>
      <c r="BX131" s="303">
        <f>BX127</f>
        <v>0</v>
      </c>
      <c r="BY131" s="231">
        <f t="shared" si="230"/>
        <v>77</v>
      </c>
      <c r="BZ131" s="21"/>
      <c r="CA131" s="6"/>
      <c r="CB131" s="35"/>
      <c r="CC131" s="612"/>
      <c r="CD131" s="215"/>
      <c r="CE131" s="199"/>
      <c r="CF131" s="240"/>
      <c r="CG131" s="825"/>
      <c r="CH131" s="21"/>
      <c r="CI131" s="199"/>
      <c r="CJ131" s="148"/>
      <c r="CK131" s="834"/>
      <c r="CL131" s="834"/>
      <c r="CM131" s="394">
        <f>SUM(M131,AG131,BA131,BU131,CO131)-SUM(O131,AI131,BC131,BW131,CQ131)-L131</f>
        <v>-72</v>
      </c>
      <c r="CN131" s="29">
        <f t="shared" si="231"/>
        <v>77</v>
      </c>
      <c r="CO131" s="298">
        <f>CO127</f>
        <v>0</v>
      </c>
      <c r="CP131" s="5">
        <f t="shared" si="212"/>
        <v>-77</v>
      </c>
      <c r="CQ131" s="240"/>
      <c r="CR131" s="303">
        <f>CR127</f>
        <v>0</v>
      </c>
      <c r="CS131" s="231">
        <f t="shared" si="232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36"/>
      <c r="DF131" s="736"/>
      <c r="DG131" s="394">
        <f>SUM(M131,AG131,BA131,BU131,DI131)-SUM(O131,AI131,BC131,BW131,CQ131)-L131</f>
        <v>-72</v>
      </c>
      <c r="DH131" s="29">
        <f t="shared" si="233"/>
        <v>77</v>
      </c>
      <c r="DI131" s="298">
        <f>DI127</f>
        <v>0</v>
      </c>
      <c r="DJ131" s="5">
        <f t="shared" si="224"/>
        <v>-77</v>
      </c>
      <c r="DK131" s="240"/>
      <c r="DL131" s="303">
        <f>DL127</f>
        <v>0</v>
      </c>
      <c r="DM131" s="231">
        <f t="shared" si="234"/>
        <v>77</v>
      </c>
    </row>
    <row r="132" spans="1:117" ht="46.2" x14ac:dyDescent="0.3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>SUM(M132,AG132,BA132,BU132)-L132</f>
        <v>-6</v>
      </c>
      <c r="K132" s="394">
        <f t="shared" si="165"/>
        <v>-23</v>
      </c>
      <c r="L132" s="544">
        <v>23</v>
      </c>
      <c r="M132" s="298">
        <f>M127</f>
        <v>0</v>
      </c>
      <c r="N132" s="5">
        <f t="shared" si="208"/>
        <v>-23</v>
      </c>
      <c r="O132" s="256"/>
      <c r="P132" s="303">
        <f>P127</f>
        <v>0</v>
      </c>
      <c r="Q132" s="231">
        <f t="shared" si="225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36"/>
      <c r="AD132" s="736"/>
      <c r="AE132" s="394">
        <f>SUM(M132,AG132)-SUM(O132,AI132)-L132</f>
        <v>-23</v>
      </c>
      <c r="AF132" s="29">
        <f>Q132</f>
        <v>23</v>
      </c>
      <c r="AG132" s="298">
        <f>AG127</f>
        <v>0</v>
      </c>
      <c r="AH132" s="5">
        <f t="shared" si="209"/>
        <v>-23</v>
      </c>
      <c r="AI132" s="256"/>
      <c r="AJ132" s="303">
        <f>AJ127</f>
        <v>0</v>
      </c>
      <c r="AK132" s="231">
        <f t="shared" si="226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36"/>
      <c r="AX132" s="736"/>
      <c r="AY132" s="394">
        <f>SUM(M132,AG132,BA132)-SUM(O132,AI132,BC132)-L132</f>
        <v>-11</v>
      </c>
      <c r="AZ132" s="607">
        <f t="shared" si="227"/>
        <v>23</v>
      </c>
      <c r="BA132" s="298">
        <f>BA127</f>
        <v>12</v>
      </c>
      <c r="BB132" s="5">
        <f t="shared" si="210"/>
        <v>-11</v>
      </c>
      <c r="BC132" s="256"/>
      <c r="BD132" s="303">
        <f>BD127</f>
        <v>12</v>
      </c>
      <c r="BE132" s="231">
        <f t="shared" si="228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36"/>
      <c r="BR132" s="736"/>
      <c r="BS132" s="394">
        <f>SUM(M132,AG132,BA132,BU132)-SUM(O132,AI132,BC132,BW132)-L132</f>
        <v>-56</v>
      </c>
      <c r="BT132" s="29">
        <f t="shared" si="229"/>
        <v>11</v>
      </c>
      <c r="BU132" s="298">
        <f>BU127</f>
        <v>5</v>
      </c>
      <c r="BV132" s="5">
        <f t="shared" si="211"/>
        <v>-6</v>
      </c>
      <c r="BW132" s="621">
        <v>50</v>
      </c>
      <c r="BX132" s="303">
        <f>BX127</f>
        <v>0</v>
      </c>
      <c r="BY132" s="231">
        <f t="shared" si="230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826"/>
      <c r="CH132" s="21"/>
      <c r="CI132" s="199"/>
      <c r="CJ132" s="148"/>
      <c r="CK132" s="834"/>
      <c r="CL132" s="834"/>
      <c r="CM132" s="394">
        <f>SUM(M132,AG132,BA132,BU132,CO132)-SUM(O132,AI132,BC132,BW132,CQ132)-L132</f>
        <v>-56</v>
      </c>
      <c r="CN132" s="29">
        <f t="shared" si="231"/>
        <v>61</v>
      </c>
      <c r="CO132" s="298">
        <f>CO127</f>
        <v>0</v>
      </c>
      <c r="CP132" s="5">
        <f t="shared" si="212"/>
        <v>-61</v>
      </c>
      <c r="CQ132" s="240"/>
      <c r="CR132" s="303">
        <f>CR127</f>
        <v>0</v>
      </c>
      <c r="CS132" s="231">
        <f t="shared" si="232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36"/>
      <c r="DF132" s="736"/>
      <c r="DG132" s="394">
        <f>SUM(M132,AG132,BA132,BU132,DI132)-SUM(O132,AI132,BC132,BW132,CQ132)-L132</f>
        <v>-56</v>
      </c>
      <c r="DH132" s="29">
        <f t="shared" si="233"/>
        <v>61</v>
      </c>
      <c r="DI132" s="298">
        <f>DI127</f>
        <v>0</v>
      </c>
      <c r="DJ132" s="5">
        <f t="shared" si="224"/>
        <v>-61</v>
      </c>
      <c r="DK132" s="240"/>
      <c r="DL132" s="303">
        <f>DL127</f>
        <v>0</v>
      </c>
      <c r="DM132" s="231">
        <f t="shared" si="234"/>
        <v>61</v>
      </c>
    </row>
    <row r="133" spans="1:117" ht="15" thickBot="1" x14ac:dyDescent="0.35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>SUM(M133,AG133,BA133,BU133)-L133</f>
        <v>-13</v>
      </c>
      <c r="K133" s="394">
        <f t="shared" si="165"/>
        <v>-30</v>
      </c>
      <c r="L133" s="544">
        <v>30</v>
      </c>
      <c r="M133" s="298">
        <f>M127</f>
        <v>0</v>
      </c>
      <c r="N133" s="5">
        <f t="shared" si="208"/>
        <v>-30</v>
      </c>
      <c r="O133" s="256"/>
      <c r="P133" s="303">
        <f>P127</f>
        <v>0</v>
      </c>
      <c r="Q133" s="231">
        <f t="shared" si="225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36"/>
      <c r="AD133" s="736"/>
      <c r="AE133" s="394">
        <f>SUM(M133,AG133)-SUM(O133,AI133)-L133</f>
        <v>-30</v>
      </c>
      <c r="AF133" s="29">
        <f>Q133</f>
        <v>30</v>
      </c>
      <c r="AG133" s="298">
        <f>AG127</f>
        <v>0</v>
      </c>
      <c r="AH133" s="5">
        <f t="shared" si="209"/>
        <v>-30</v>
      </c>
      <c r="AI133" s="256"/>
      <c r="AJ133" s="303">
        <f>AJ127</f>
        <v>0</v>
      </c>
      <c r="AK133" s="231">
        <f t="shared" si="226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36"/>
      <c r="AX133" s="736"/>
      <c r="AY133" s="394">
        <f>SUM(M133,AG133,BA133)-SUM(O133,AI133,BC133)-L133</f>
        <v>-18</v>
      </c>
      <c r="AZ133" s="29">
        <f t="shared" si="227"/>
        <v>30</v>
      </c>
      <c r="BA133" s="298">
        <f>BA127</f>
        <v>12</v>
      </c>
      <c r="BB133" s="5">
        <f t="shared" si="210"/>
        <v>-18</v>
      </c>
      <c r="BC133" s="256"/>
      <c r="BD133" s="303">
        <f>BD127</f>
        <v>12</v>
      </c>
      <c r="BE133" s="231">
        <f t="shared" si="228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36"/>
      <c r="BR133" s="736"/>
      <c r="BS133" s="394">
        <f>SUM(M133,AG133,BA133,BU133)-SUM(O133,AI133,BC133,BW133)-L133</f>
        <v>-63</v>
      </c>
      <c r="BT133" s="29">
        <f t="shared" si="229"/>
        <v>18</v>
      </c>
      <c r="BU133" s="298">
        <f>BU127</f>
        <v>5</v>
      </c>
      <c r="BV133" s="5">
        <f t="shared" si="211"/>
        <v>-13</v>
      </c>
      <c r="BW133" s="621">
        <v>50</v>
      </c>
      <c r="BX133" s="303">
        <f>BX127</f>
        <v>0</v>
      </c>
      <c r="BY133" s="231">
        <f t="shared" si="230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938</v>
      </c>
      <c r="CG133" s="690"/>
      <c r="CH133" s="21"/>
      <c r="CI133" s="199"/>
      <c r="CJ133" s="148"/>
      <c r="CK133" s="834"/>
      <c r="CL133" s="834"/>
      <c r="CM133" s="394">
        <f>SUM(M133,AG133,BA133,BU133,CO133)-SUM(O133,AI133,BC133,BW133,CQ133)-L133</f>
        <v>-63</v>
      </c>
      <c r="CN133" s="29">
        <f t="shared" si="231"/>
        <v>68</v>
      </c>
      <c r="CO133" s="298">
        <f>CO127</f>
        <v>0</v>
      </c>
      <c r="CP133" s="5">
        <f t="shared" si="212"/>
        <v>-68</v>
      </c>
      <c r="CQ133" s="240"/>
      <c r="CR133" s="303">
        <f>CR127</f>
        <v>0</v>
      </c>
      <c r="CS133" s="231">
        <f t="shared" si="232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36"/>
      <c r="DF133" s="736"/>
      <c r="DG133" s="394">
        <f>SUM(M133,AG133,BA133,BU133,DI133)-SUM(O133,AI133,BC133,BW133,CQ133)-L133</f>
        <v>-63</v>
      </c>
      <c r="DH133" s="29">
        <f t="shared" si="233"/>
        <v>68</v>
      </c>
      <c r="DI133" s="298">
        <f>DI127</f>
        <v>0</v>
      </c>
      <c r="DJ133" s="5">
        <f t="shared" si="224"/>
        <v>-68</v>
      </c>
      <c r="DK133" s="240"/>
      <c r="DL133" s="303">
        <f>DL127</f>
        <v>0</v>
      </c>
      <c r="DM133" s="231">
        <f t="shared" si="234"/>
        <v>68</v>
      </c>
    </row>
    <row r="134" spans="1:117" x14ac:dyDescent="0.3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28.8" x14ac:dyDescent="0.3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65"/>
        <v>-377</v>
      </c>
      <c r="L135" s="544">
        <v>79</v>
      </c>
      <c r="M135" s="298">
        <f>M134</f>
        <v>2</v>
      </c>
      <c r="N135" s="5">
        <f t="shared" si="208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55"/>
      <c r="Z135" s="527"/>
      <c r="AA135" s="579">
        <f>$F$135*50%*200</f>
        <v>47600</v>
      </c>
      <c r="AB135" s="35" t="s">
        <v>707</v>
      </c>
      <c r="AC135" s="736"/>
      <c r="AD135" s="736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09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36"/>
      <c r="AX135" s="736"/>
      <c r="AY135" s="394">
        <f>SUM(M135,AG135,BA135)-SUM(O135,AI135,BC135)-L135</f>
        <v>-138</v>
      </c>
      <c r="AZ135" s="607">
        <f t="shared" ref="AZ135:AZ137" si="235">AK135</f>
        <v>363</v>
      </c>
      <c r="BA135" s="298">
        <f>BA134</f>
        <v>225</v>
      </c>
      <c r="BB135" s="5">
        <f t="shared" si="210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36"/>
      <c r="BR135" s="736"/>
      <c r="BS135" s="394">
        <f>SUM(M135,AG135,BA135,BU135)-SUM(O135,AI135,BC135,BW135)-L135</f>
        <v>-293</v>
      </c>
      <c r="BT135" s="29">
        <f t="shared" ref="BT135:BT137" si="236">BE135</f>
        <v>138</v>
      </c>
      <c r="BU135" s="298">
        <f>BU134</f>
        <v>45</v>
      </c>
      <c r="BV135" s="5">
        <f t="shared" si="211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918</v>
      </c>
      <c r="CG135" s="827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37">BY135</f>
        <v>333</v>
      </c>
      <c r="CO135" s="298">
        <f>CO134</f>
        <v>0</v>
      </c>
      <c r="CP135" s="5">
        <f t="shared" si="21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36"/>
      <c r="DF135" s="736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38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3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65"/>
        <v>-381</v>
      </c>
      <c r="L136" s="544">
        <v>83</v>
      </c>
      <c r="M136" s="298">
        <f>M135</f>
        <v>2</v>
      </c>
      <c r="N136" s="5">
        <f t="shared" si="208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36"/>
      <c r="AD136" s="736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09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36"/>
      <c r="AX136" s="736"/>
      <c r="AY136" s="394">
        <f>SUM(M136,AG136,BA136)-SUM(O136,AI136,BC136)-L136</f>
        <v>-142</v>
      </c>
      <c r="AZ136" s="607">
        <f t="shared" si="235"/>
        <v>367</v>
      </c>
      <c r="BA136" s="298">
        <f>BA135</f>
        <v>225</v>
      </c>
      <c r="BB136" s="5">
        <f t="shared" si="210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36"/>
      <c r="BR136" s="736"/>
      <c r="BS136" s="394">
        <f>SUM(M136,AG136,BA136,BU136)-SUM(O136,AI136,BC136,BW136)-L136</f>
        <v>-297</v>
      </c>
      <c r="BT136" s="29">
        <f t="shared" si="236"/>
        <v>142</v>
      </c>
      <c r="BU136" s="298">
        <f>BU135</f>
        <v>45</v>
      </c>
      <c r="BV136" s="5">
        <f t="shared" si="211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826"/>
      <c r="CH136" s="21"/>
      <c r="CI136" s="6"/>
      <c r="CJ136" s="5" t="s">
        <v>916</v>
      </c>
      <c r="CK136" s="736"/>
      <c r="CL136" s="736"/>
      <c r="CM136" s="707">
        <f>SUM(M136,AG136,BA136,BU136,CO136)-SUM(O136,AI136,BC136,BW136,CQ136)-L136</f>
        <v>-297</v>
      </c>
      <c r="CN136" s="29">
        <f t="shared" si="237"/>
        <v>337</v>
      </c>
      <c r="CO136" s="298">
        <f>CO135</f>
        <v>0</v>
      </c>
      <c r="CP136" s="5">
        <f t="shared" si="21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36"/>
      <c r="DF136" s="736"/>
      <c r="DG136" s="394">
        <f>SUM(M136,AG136,BA136,BU136,DI136)-SUM(O136,AI136,BC136,BW136,CQ136)-L136</f>
        <v>-297</v>
      </c>
      <c r="DH136" s="29">
        <f t="shared" ref="DH136:DH137" si="239">BY136</f>
        <v>337</v>
      </c>
      <c r="DI136" s="298">
        <f>DI135</f>
        <v>0</v>
      </c>
      <c r="DJ136" s="5">
        <f t="shared" si="238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" thickBot="1" x14ac:dyDescent="0.35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38"/>
      <c r="AD137" s="738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38"/>
      <c r="AX137" s="738"/>
      <c r="AY137" s="311"/>
      <c r="AZ137" s="296">
        <f t="shared" si="235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38"/>
      <c r="BR137" s="738"/>
      <c r="BS137" s="311"/>
      <c r="BT137" s="296">
        <f t="shared" si="236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38"/>
      <c r="CL137" s="738"/>
      <c r="CM137" s="311"/>
      <c r="CN137" s="296">
        <f t="shared" si="237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E137" s="750"/>
      <c r="DF137" s="750"/>
      <c r="DG137" s="394">
        <f>SUM(M137,AG137,BA137,BU137,DI137)-SUM(O137,AI137,BC137,BW137,CQ137)-L137</f>
        <v>0</v>
      </c>
      <c r="DH137" s="29">
        <f t="shared" si="239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3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3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40">M139-O139-L139</f>
        <v>-613</v>
      </c>
      <c r="L139" s="544">
        <v>150</v>
      </c>
      <c r="M139" s="298">
        <f>M138</f>
        <v>37</v>
      </c>
      <c r="N139" s="5">
        <f t="shared" ref="N139:N141" si="241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36"/>
      <c r="AD139" s="736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42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36"/>
      <c r="AX139" s="736"/>
      <c r="AY139" s="394">
        <f>SUM(M139,AG139,BA139)-SUM(O139,AI139,BC139)-L139</f>
        <v>-408</v>
      </c>
      <c r="AZ139" s="29">
        <f t="shared" ref="AZ139:AZ145" si="243">AK139</f>
        <v>1273</v>
      </c>
      <c r="BA139" s="298">
        <f>BA138</f>
        <v>865</v>
      </c>
      <c r="BB139" s="5">
        <f t="shared" ref="BB139:BB141" si="244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36"/>
      <c r="BR139" s="736"/>
      <c r="BS139" s="394">
        <f>SUM(M139,AG139,BA139,BU139)-SUM(O139,AI139,BC139,BW139)-L139</f>
        <v>-953</v>
      </c>
      <c r="BT139" s="29">
        <f t="shared" ref="BT139:BT145" si="245">BE139</f>
        <v>404</v>
      </c>
      <c r="BU139" s="298">
        <f>BU138</f>
        <v>155</v>
      </c>
      <c r="BV139" s="5">
        <f t="shared" ref="BV139:BV141" si="246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927</v>
      </c>
      <c r="CG139" s="823"/>
      <c r="CH139" s="21"/>
      <c r="CI139" s="6"/>
      <c r="CJ139" s="35"/>
      <c r="CK139" s="736"/>
      <c r="CL139" s="736"/>
      <c r="CM139" s="394">
        <f>SUM(M139,AG139,BA139,BU139,CO139)-SUM(O139,AI139,BC139,BW139,CQ139)-L139</f>
        <v>-953</v>
      </c>
      <c r="CN139" s="29">
        <f t="shared" ref="CN139:CN145" si="247">BY139</f>
        <v>1062</v>
      </c>
      <c r="CO139" s="298">
        <f>CO138</f>
        <v>0</v>
      </c>
      <c r="CP139" s="5">
        <f t="shared" ref="CP139:CP141" si="248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36"/>
      <c r="DF139" s="736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49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28.8" x14ac:dyDescent="0.3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40"/>
        <v>-617</v>
      </c>
      <c r="L140" s="544">
        <f>149+5</f>
        <v>154</v>
      </c>
      <c r="M140" s="298">
        <f>M138</f>
        <v>37</v>
      </c>
      <c r="N140" s="5">
        <f t="shared" si="241"/>
        <v>-117</v>
      </c>
      <c r="O140" s="256">
        <v>500</v>
      </c>
      <c r="P140" s="303">
        <f>P138</f>
        <v>37</v>
      </c>
      <c r="Q140" s="231">
        <f t="shared" ref="Q140:Q145" si="250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55"/>
      <c r="Z140" s="21"/>
      <c r="AA140" s="6"/>
      <c r="AB140" s="35"/>
      <c r="AC140" s="736"/>
      <c r="AD140" s="736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42"/>
        <v>-577</v>
      </c>
      <c r="AI140" s="256">
        <v>700</v>
      </c>
      <c r="AJ140" s="303">
        <f>AJ138</f>
        <v>40</v>
      </c>
      <c r="AK140" s="231">
        <f t="shared" ref="AK140:AK145" si="251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36"/>
      <c r="AX140" s="736"/>
      <c r="AY140" s="394">
        <f>SUM(M140,AG140,BA140)-SUM(O140,AI140,BC140)-L140</f>
        <v>-412</v>
      </c>
      <c r="AZ140" s="29">
        <f t="shared" si="243"/>
        <v>1277</v>
      </c>
      <c r="BA140" s="298">
        <f>BA138</f>
        <v>865</v>
      </c>
      <c r="BB140" s="5">
        <f t="shared" si="244"/>
        <v>-412</v>
      </c>
      <c r="BC140" s="256"/>
      <c r="BD140" s="303">
        <f>BD138</f>
        <v>869</v>
      </c>
      <c r="BE140" s="231">
        <f t="shared" ref="BE140:BE145" si="252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36"/>
      <c r="BR140" s="736"/>
      <c r="BS140" s="394">
        <f>SUM(M140,AG140,BA140,BU140)-SUM(O140,AI140,BC140,BW140)-L140</f>
        <v>-957</v>
      </c>
      <c r="BT140" s="29">
        <f t="shared" si="245"/>
        <v>408</v>
      </c>
      <c r="BU140" s="298">
        <f>BU138</f>
        <v>155</v>
      </c>
      <c r="BV140" s="5">
        <f t="shared" si="246"/>
        <v>-253</v>
      </c>
      <c r="BW140" s="621">
        <v>700</v>
      </c>
      <c r="BX140" s="303">
        <f>BX138</f>
        <v>42</v>
      </c>
      <c r="BY140" s="231">
        <f t="shared" ref="BY140:BY145" si="253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826"/>
      <c r="CH140" s="21"/>
      <c r="CI140" s="199"/>
      <c r="CJ140" s="35"/>
      <c r="CK140" s="736"/>
      <c r="CL140" s="736"/>
      <c r="CM140" s="394">
        <f>SUM(M140,AG140,BA140,BU140,CO140)-SUM(O140,AI140,BC140,BW140,CQ140)-L140</f>
        <v>-957</v>
      </c>
      <c r="CN140" s="29">
        <f t="shared" si="247"/>
        <v>1066</v>
      </c>
      <c r="CO140" s="298">
        <f>CO138</f>
        <v>0</v>
      </c>
      <c r="CP140" s="5">
        <f t="shared" si="248"/>
        <v>-1066</v>
      </c>
      <c r="CQ140" s="256"/>
      <c r="CR140" s="303">
        <f>CR138</f>
        <v>0</v>
      </c>
      <c r="CS140" s="231">
        <f t="shared" ref="CS140:CS145" si="254">CN140+CQ140-CR140</f>
        <v>1066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36"/>
      <c r="DF140" s="736"/>
      <c r="DG140" s="394">
        <f>SUM(M140,AG140,BA140,BU140,DI140)-SUM(O140,AI140,BC140,BW140,CQ140)-L140</f>
        <v>-957</v>
      </c>
      <c r="DH140" s="29">
        <f t="shared" ref="DH140:DH141" si="255">BY140</f>
        <v>1066</v>
      </c>
      <c r="DI140" s="298">
        <f>DI138</f>
        <v>0</v>
      </c>
      <c r="DJ140" s="5">
        <f t="shared" si="249"/>
        <v>-1066</v>
      </c>
      <c r="DK140" s="240"/>
      <c r="DL140" s="303">
        <f>DL138</f>
        <v>0</v>
      </c>
      <c r="DM140" s="231">
        <f t="shared" ref="DM140:DM141" si="256">DH140+DK140-DL140</f>
        <v>1066</v>
      </c>
    </row>
    <row r="141" spans="1:117" ht="28.8" x14ac:dyDescent="0.3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40"/>
        <v>-1319</v>
      </c>
      <c r="L141" s="544">
        <v>656</v>
      </c>
      <c r="M141" s="298">
        <f>M138</f>
        <v>37</v>
      </c>
      <c r="N141" s="5">
        <f t="shared" si="241"/>
        <v>-619</v>
      </c>
      <c r="O141" s="256">
        <v>700</v>
      </c>
      <c r="P141" s="303">
        <f>P138</f>
        <v>37</v>
      </c>
      <c r="Q141" s="231">
        <f t="shared" si="250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36"/>
      <c r="AD141" s="736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42"/>
        <v>-1279</v>
      </c>
      <c r="AI141" s="258"/>
      <c r="AJ141" s="303">
        <f>AJ138</f>
        <v>40</v>
      </c>
      <c r="AK141" s="231">
        <f t="shared" si="251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36"/>
      <c r="AX141" s="736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44"/>
        <v>-405</v>
      </c>
      <c r="BC141" s="256"/>
      <c r="BD141" s="303">
        <f>BD138</f>
        <v>869</v>
      </c>
      <c r="BE141" s="231">
        <f t="shared" si="252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36"/>
      <c r="BR141" s="736"/>
      <c r="BS141" s="394">
        <f>SUM(M141,AG141,BA141,BU141)-SUM(O141,AI141,BC141,BW141)-L141</f>
        <v>-959</v>
      </c>
      <c r="BT141" s="29">
        <f t="shared" si="245"/>
        <v>401</v>
      </c>
      <c r="BU141" s="298">
        <f>BU138</f>
        <v>155</v>
      </c>
      <c r="BV141" s="5">
        <f t="shared" si="246"/>
        <v>-246</v>
      </c>
      <c r="BW141" s="240">
        <v>700</v>
      </c>
      <c r="BX141" s="303">
        <f>BX138</f>
        <v>42</v>
      </c>
      <c r="BY141" s="231">
        <f t="shared" si="253"/>
        <v>1059</v>
      </c>
      <c r="BZ141" s="121"/>
      <c r="CA141" s="6"/>
      <c r="CD141" s="215"/>
      <c r="CE141" s="199"/>
      <c r="CF141" s="240"/>
      <c r="CG141" s="825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47"/>
        <v>1059</v>
      </c>
      <c r="CO141" s="298">
        <f>CO138</f>
        <v>0</v>
      </c>
      <c r="CP141" s="5">
        <f t="shared" si="248"/>
        <v>-1059</v>
      </c>
      <c r="CQ141" s="240"/>
      <c r="CR141" s="303">
        <f>CR138</f>
        <v>0</v>
      </c>
      <c r="CS141" s="231">
        <f t="shared" si="254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36"/>
      <c r="DF141" s="736"/>
      <c r="DG141" s="394">
        <f>SUM(M141,AG141,BA141,BU141,DI141)-SUM(O141,AI141,BC141,BW141,CQ141)-L141</f>
        <v>-959</v>
      </c>
      <c r="DH141" s="29">
        <f t="shared" si="255"/>
        <v>1059</v>
      </c>
      <c r="DI141" s="298">
        <f>DI138</f>
        <v>0</v>
      </c>
      <c r="DJ141" s="5">
        <f t="shared" si="249"/>
        <v>-1059</v>
      </c>
      <c r="DK141" s="240"/>
      <c r="DL141" s="303">
        <f>DL138</f>
        <v>0</v>
      </c>
      <c r="DM141" s="231">
        <f t="shared" si="256"/>
        <v>1059</v>
      </c>
    </row>
    <row r="142" spans="1:117" x14ac:dyDescent="0.3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41"/>
      <c r="V142" s="366"/>
      <c r="W142" s="367"/>
      <c r="X142" s="368"/>
      <c r="Y142" s="741"/>
      <c r="Z142" s="369"/>
      <c r="AA142" s="367"/>
      <c r="AB142" s="368"/>
      <c r="AC142" s="751"/>
      <c r="AD142" s="751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41"/>
      <c r="AP142" s="366"/>
      <c r="AQ142" s="367"/>
      <c r="AR142" s="368"/>
      <c r="AS142" s="741"/>
      <c r="AT142" s="369"/>
      <c r="AU142" s="367"/>
      <c r="AV142" s="368"/>
      <c r="AW142" s="751"/>
      <c r="AX142" s="751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41"/>
      <c r="BJ142" s="366"/>
      <c r="BK142" s="367"/>
      <c r="BL142" s="368"/>
      <c r="BM142" s="741"/>
      <c r="BN142" s="369"/>
      <c r="BO142" s="367"/>
      <c r="BP142" s="368"/>
      <c r="BQ142" s="751"/>
      <c r="BR142" s="751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41"/>
      <c r="CD142" s="366"/>
      <c r="CE142" s="367"/>
      <c r="CF142" s="368"/>
      <c r="CG142" s="741"/>
      <c r="CH142" s="369"/>
      <c r="CI142" s="369"/>
      <c r="CJ142" s="369"/>
      <c r="CK142" s="843"/>
      <c r="CL142" s="843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41"/>
      <c r="CX142" s="366"/>
      <c r="CY142" s="367"/>
      <c r="CZ142" s="368"/>
      <c r="DA142" s="741"/>
      <c r="DB142" s="369"/>
      <c r="DC142" s="367"/>
      <c r="DD142" s="368"/>
      <c r="DE142" s="751"/>
      <c r="DF142" s="751"/>
      <c r="DG142" s="351"/>
      <c r="DH142" s="364"/>
      <c r="DI142" s="374"/>
      <c r="DJ142" s="374"/>
      <c r="DK142" s="375"/>
      <c r="DL142" s="375"/>
      <c r="DM142" s="365"/>
    </row>
    <row r="143" spans="1:117" x14ac:dyDescent="0.3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40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36"/>
      <c r="AD143" s="736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36"/>
      <c r="AX143" s="736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36"/>
      <c r="BR143" s="736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36"/>
      <c r="DF143" s="736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3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40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36"/>
      <c r="AD144" s="736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36"/>
      <c r="AX144" s="736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36"/>
      <c r="BR144" s="736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648</v>
      </c>
      <c r="CC144" s="409"/>
      <c r="CD144" s="235"/>
      <c r="CE144" s="6"/>
      <c r="CF144" s="240"/>
      <c r="CG144" s="825"/>
      <c r="CH144" s="215">
        <v>95550</v>
      </c>
      <c r="CI144" s="6"/>
      <c r="CJ144" s="240" t="s">
        <v>807</v>
      </c>
      <c r="CK144" s="834"/>
      <c r="CL144" s="834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36"/>
      <c r="DF144" s="736"/>
      <c r="DG144" s="394">
        <f>SUM(M144,AG144,BA144,BU144,DI144)-SUM(O144,AI144,BC144,BW144,CQ144)-L144</f>
        <v>-952</v>
      </c>
      <c r="DH144" s="29">
        <f t="shared" ref="DH144:DH145" si="257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" thickBot="1" x14ac:dyDescent="0.35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50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35"/>
      <c r="AD145" s="735"/>
      <c r="AE145" s="77"/>
      <c r="AF145" s="29">
        <f>Q145</f>
        <v>0</v>
      </c>
      <c r="AG145" s="31"/>
      <c r="AH145" s="31"/>
      <c r="AI145" s="284"/>
      <c r="AJ145" s="241"/>
      <c r="AK145" s="232">
        <f t="shared" si="251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35"/>
      <c r="AX145" s="735"/>
      <c r="AY145" s="77"/>
      <c r="AZ145" s="29">
        <f t="shared" si="243"/>
        <v>0</v>
      </c>
      <c r="BA145" s="31"/>
      <c r="BB145" s="31"/>
      <c r="BC145" s="284"/>
      <c r="BD145" s="241"/>
      <c r="BE145" s="232">
        <f t="shared" si="252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35"/>
      <c r="BR145" s="735"/>
      <c r="BS145" s="77"/>
      <c r="BT145" s="29">
        <f t="shared" si="245"/>
        <v>0</v>
      </c>
      <c r="BU145" s="31"/>
      <c r="BV145" s="31"/>
      <c r="BW145" s="284"/>
      <c r="BX145" s="241"/>
      <c r="BY145" s="232">
        <f t="shared" si="253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35"/>
      <c r="CL145" s="735"/>
      <c r="CM145" s="77"/>
      <c r="CN145" s="29">
        <f t="shared" si="247"/>
        <v>0</v>
      </c>
      <c r="CO145" s="31"/>
      <c r="CP145" s="31"/>
      <c r="CQ145" s="284"/>
      <c r="CR145" s="241"/>
      <c r="CS145" s="232">
        <f t="shared" si="254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35"/>
      <c r="DF145" s="735"/>
      <c r="DG145" s="77"/>
      <c r="DH145" s="29">
        <f t="shared" si="257"/>
        <v>0</v>
      </c>
      <c r="DI145" s="31"/>
      <c r="DJ145" s="31"/>
      <c r="DK145" s="284"/>
      <c r="DL145" s="241"/>
      <c r="DM145" s="232">
        <f t="shared" ref="DM145" si="258">DH145+DK145-DL145</f>
        <v>0</v>
      </c>
    </row>
    <row r="146" spans="1:117" x14ac:dyDescent="0.3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3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259">M147-O147-L147</f>
        <v>-211</v>
      </c>
      <c r="L147" s="544">
        <v>113</v>
      </c>
      <c r="M147" s="298">
        <f>M146</f>
        <v>2</v>
      </c>
      <c r="N147" s="5">
        <f t="shared" ref="N147:N149" si="260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36"/>
      <c r="AD147" s="736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261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36"/>
      <c r="AX147" s="736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262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36"/>
      <c r="BR147" s="736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263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36"/>
      <c r="CL147" s="736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264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36"/>
      <c r="DF147" s="736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265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3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259"/>
        <v>-213</v>
      </c>
      <c r="L148" s="544">
        <f>112+3</f>
        <v>115</v>
      </c>
      <c r="M148" s="298">
        <f>M146</f>
        <v>2</v>
      </c>
      <c r="N148" s="5">
        <f t="shared" si="260"/>
        <v>-113</v>
      </c>
      <c r="O148" s="256">
        <v>100</v>
      </c>
      <c r="P148" s="303">
        <f>P146</f>
        <v>2</v>
      </c>
      <c r="Q148" s="231">
        <f t="shared" ref="Q148:Q153" si="266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36"/>
      <c r="AD148" s="736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261"/>
        <v>-187</v>
      </c>
      <c r="AI148" s="256"/>
      <c r="AJ148" s="303">
        <f>AJ146</f>
        <v>26</v>
      </c>
      <c r="AK148" s="231">
        <f t="shared" ref="AK148:AK153" si="267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36"/>
      <c r="AX148" s="736"/>
      <c r="AY148" s="394">
        <f>SUM(M148,AG148,BA148)-SUM(O148,AI148,BC148)-L148</f>
        <v>-136</v>
      </c>
      <c r="AZ148" s="29">
        <f t="shared" ref="AZ148:AZ153" si="268">AK148</f>
        <v>187</v>
      </c>
      <c r="BA148" s="298">
        <f>BA146</f>
        <v>51</v>
      </c>
      <c r="BB148" s="5">
        <f t="shared" si="262"/>
        <v>-136</v>
      </c>
      <c r="BC148" s="258"/>
      <c r="BD148" s="303">
        <f>BD146</f>
        <v>51</v>
      </c>
      <c r="BE148" s="231">
        <f t="shared" ref="BE148:BE153" si="269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36"/>
      <c r="BR148" s="736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263"/>
        <v>-40</v>
      </c>
      <c r="BW148" s="256"/>
      <c r="BX148" s="303">
        <f>BX146</f>
        <v>26</v>
      </c>
      <c r="BY148" s="231">
        <f t="shared" ref="BY148:BY153" si="270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36"/>
      <c r="CL148" s="736"/>
      <c r="CM148" s="394">
        <f>SUM(M148,AG148,BA148,BU148,CO148)-SUM(O148,AI148,BC148,BW148,CQ148)-L148</f>
        <v>-186</v>
      </c>
      <c r="CN148" s="29">
        <f t="shared" ref="CN148:CN153" si="271">BY148</f>
        <v>64</v>
      </c>
      <c r="CO148" s="298">
        <f>CO146</f>
        <v>0</v>
      </c>
      <c r="CP148" s="5">
        <f t="shared" si="264"/>
        <v>-64</v>
      </c>
      <c r="CQ148" s="240">
        <v>100</v>
      </c>
      <c r="CR148" s="303">
        <f>CR146</f>
        <v>0</v>
      </c>
      <c r="CS148" s="231">
        <f t="shared" ref="CS148:CS153" si="272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36"/>
      <c r="DF148" s="736"/>
      <c r="DG148" s="394">
        <f>SUM(M148,AG148,BA148,BU148,DI148)-SUM(O148,AI148,BC148,BW148,CQ148)-L148</f>
        <v>-186</v>
      </c>
      <c r="DH148" s="29">
        <f t="shared" ref="DH148:DH149" si="273">BY148</f>
        <v>64</v>
      </c>
      <c r="DI148" s="298">
        <f>DI146</f>
        <v>0</v>
      </c>
      <c r="DJ148" s="5">
        <f t="shared" si="265"/>
        <v>-64</v>
      </c>
      <c r="DK148" s="240"/>
      <c r="DL148" s="303">
        <f>DL146</f>
        <v>0</v>
      </c>
      <c r="DM148" s="231">
        <f t="shared" ref="DM148:DM149" si="274">DH148+DK148-DL148</f>
        <v>64</v>
      </c>
    </row>
    <row r="149" spans="1:117" ht="34.200000000000003" customHeight="1" x14ac:dyDescent="0.3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259"/>
        <v>-218</v>
      </c>
      <c r="L149" s="544">
        <v>220</v>
      </c>
      <c r="M149" s="298">
        <f>M146</f>
        <v>2</v>
      </c>
      <c r="N149" s="5">
        <f t="shared" si="260"/>
        <v>-218</v>
      </c>
      <c r="O149" s="256"/>
      <c r="P149" s="303">
        <f>P146</f>
        <v>2</v>
      </c>
      <c r="Q149" s="231">
        <f t="shared" si="266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36"/>
      <c r="AD149" s="736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261"/>
        <v>-192</v>
      </c>
      <c r="AI149" s="256"/>
      <c r="AJ149" s="303">
        <f>AJ146</f>
        <v>26</v>
      </c>
      <c r="AK149" s="231">
        <f t="shared" si="267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36"/>
      <c r="AX149" s="736"/>
      <c r="AY149" s="394">
        <f>SUM(M149,AG149,BA149)-SUM(O149,AI149,BC149)-L149</f>
        <v>-141</v>
      </c>
      <c r="AZ149" s="607">
        <f t="shared" si="268"/>
        <v>192</v>
      </c>
      <c r="BA149" s="298">
        <f>BA146</f>
        <v>51</v>
      </c>
      <c r="BB149" s="5">
        <f t="shared" si="262"/>
        <v>-141</v>
      </c>
      <c r="BC149" s="258"/>
      <c r="BD149" s="303">
        <f>BD146</f>
        <v>51</v>
      </c>
      <c r="BE149" s="231">
        <f t="shared" si="269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36"/>
      <c r="BR149" s="736"/>
      <c r="BS149" s="394">
        <f>SUM(M149,AG149,BA149,BU149)-SUM(O149,AI149,BC149,BW149)-L149</f>
        <v>-91</v>
      </c>
      <c r="BT149" s="29">
        <f t="shared" ref="BT149:BT153" si="275">BE149</f>
        <v>141</v>
      </c>
      <c r="BU149" s="298">
        <f>BU146</f>
        <v>50</v>
      </c>
      <c r="BV149" s="5">
        <f t="shared" si="263"/>
        <v>-91</v>
      </c>
      <c r="BW149" s="256"/>
      <c r="BX149" s="303">
        <f>BX146</f>
        <v>26</v>
      </c>
      <c r="BY149" s="231">
        <f t="shared" si="270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36"/>
      <c r="CL149" s="736"/>
      <c r="CM149" s="394">
        <f>SUM(M149,AG149,BA149,BU149,CO149)-SUM(O149,AI149,BC149,BW149,CQ149)-L149</f>
        <v>-191</v>
      </c>
      <c r="CN149" s="29">
        <f t="shared" si="271"/>
        <v>115</v>
      </c>
      <c r="CO149" s="298">
        <f>CO146</f>
        <v>0</v>
      </c>
      <c r="CP149" s="5">
        <f t="shared" si="264"/>
        <v>-115</v>
      </c>
      <c r="CQ149" s="240">
        <v>100</v>
      </c>
      <c r="CR149" s="303">
        <f>CR146</f>
        <v>0</v>
      </c>
      <c r="CS149" s="231">
        <f t="shared" si="272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36"/>
      <c r="DF149" s="736"/>
      <c r="DG149" s="394">
        <f>SUM(M149,AG149,BA149,BU149,DI149)-SUM(O149,AI149,BC149,BW149,CQ149)-L149</f>
        <v>-191</v>
      </c>
      <c r="DH149" s="29">
        <f t="shared" si="273"/>
        <v>115</v>
      </c>
      <c r="DI149" s="298">
        <f>DI146</f>
        <v>0</v>
      </c>
      <c r="DJ149" s="5">
        <f t="shared" si="265"/>
        <v>-115</v>
      </c>
      <c r="DK149" s="240"/>
      <c r="DL149" s="303">
        <f>DL146</f>
        <v>0</v>
      </c>
      <c r="DM149" s="231">
        <f t="shared" si="274"/>
        <v>115</v>
      </c>
    </row>
    <row r="150" spans="1:117" x14ac:dyDescent="0.3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41"/>
      <c r="V150" s="366"/>
      <c r="W150" s="367"/>
      <c r="X150" s="368"/>
      <c r="Y150" s="741"/>
      <c r="Z150" s="369"/>
      <c r="AA150" s="367"/>
      <c r="AB150" s="368"/>
      <c r="AC150" s="751"/>
      <c r="AD150" s="751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41"/>
      <c r="AP150" s="366"/>
      <c r="AQ150" s="367"/>
      <c r="AR150" s="368"/>
      <c r="AS150" s="741"/>
      <c r="AT150" s="369"/>
      <c r="AU150" s="367"/>
      <c r="AV150" s="368"/>
      <c r="AW150" s="751"/>
      <c r="AX150" s="751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41"/>
      <c r="BJ150" s="366"/>
      <c r="BK150" s="367"/>
      <c r="BL150" s="368"/>
      <c r="BM150" s="741"/>
      <c r="BN150" s="369"/>
      <c r="BO150" s="367"/>
      <c r="BP150" s="368"/>
      <c r="BQ150" s="751"/>
      <c r="BR150" s="751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41"/>
      <c r="CD150" s="366"/>
      <c r="CE150" s="367"/>
      <c r="CF150" s="368"/>
      <c r="CG150" s="741"/>
      <c r="CH150" s="369"/>
      <c r="CI150" s="367"/>
      <c r="CJ150" s="368"/>
      <c r="CK150" s="751"/>
      <c r="CL150" s="751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41"/>
      <c r="CX150" s="366"/>
      <c r="CY150" s="367"/>
      <c r="CZ150" s="368"/>
      <c r="DA150" s="741"/>
      <c r="DB150" s="369"/>
      <c r="DC150" s="367"/>
      <c r="DD150" s="368"/>
      <c r="DE150" s="751"/>
      <c r="DF150" s="751"/>
      <c r="DG150" s="351"/>
      <c r="DH150" s="364"/>
      <c r="DI150" s="374"/>
      <c r="DJ150" s="374"/>
      <c r="DK150" s="375"/>
      <c r="DL150" s="375"/>
      <c r="DM150" s="365"/>
    </row>
    <row r="151" spans="1:117" x14ac:dyDescent="0.3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259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53"/>
      <c r="AD151" s="753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36"/>
      <c r="AX151" s="736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36"/>
      <c r="BR151" s="736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36"/>
      <c r="CL151" s="736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36"/>
      <c r="DF151" s="736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3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259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53"/>
      <c r="AD152" s="753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36"/>
      <c r="AX152" s="736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36"/>
      <c r="BR152" s="736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36"/>
      <c r="CL152" s="736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36"/>
      <c r="DF152" s="736"/>
      <c r="DG152" s="394">
        <f>SUM(M152,AG152,BA152,BU152,DI152)-SUM(O152,AI152,BC152,BW152,CQ152)-L152</f>
        <v>-184</v>
      </c>
      <c r="DH152" s="29">
        <f t="shared" ref="DH152:DH153" si="276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" thickBot="1" x14ac:dyDescent="0.35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266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35"/>
      <c r="AD153" s="735"/>
      <c r="AE153" s="77"/>
      <c r="AF153" s="29">
        <f>Q153</f>
        <v>0</v>
      </c>
      <c r="AG153" s="31"/>
      <c r="AH153" s="31"/>
      <c r="AI153" s="284"/>
      <c r="AJ153" s="241"/>
      <c r="AK153" s="232">
        <f t="shared" si="267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35"/>
      <c r="AX153" s="735"/>
      <c r="AY153" s="77"/>
      <c r="AZ153" s="29">
        <f t="shared" si="268"/>
        <v>0</v>
      </c>
      <c r="BA153" s="31"/>
      <c r="BB153" s="31"/>
      <c r="BC153" s="284"/>
      <c r="BD153" s="241"/>
      <c r="BE153" s="232">
        <f t="shared" si="269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35"/>
      <c r="BR153" s="735"/>
      <c r="BS153" s="77"/>
      <c r="BT153" s="29">
        <f t="shared" si="275"/>
        <v>0</v>
      </c>
      <c r="BU153" s="31"/>
      <c r="BV153" s="31"/>
      <c r="BW153" s="284"/>
      <c r="BX153" s="241"/>
      <c r="BY153" s="232">
        <f t="shared" si="270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35"/>
      <c r="CL153" s="735"/>
      <c r="CM153" s="77"/>
      <c r="CN153" s="29">
        <f t="shared" si="271"/>
        <v>0</v>
      </c>
      <c r="CO153" s="31"/>
      <c r="CP153" s="31"/>
      <c r="CQ153" s="284"/>
      <c r="CR153" s="241"/>
      <c r="CS153" s="232">
        <f t="shared" si="272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35"/>
      <c r="DF153" s="735"/>
      <c r="DG153" s="77"/>
      <c r="DH153" s="29">
        <f t="shared" si="276"/>
        <v>0</v>
      </c>
      <c r="DI153" s="31"/>
      <c r="DJ153" s="31"/>
      <c r="DK153" s="284"/>
      <c r="DL153" s="241"/>
      <c r="DM153" s="232">
        <f t="shared" ref="DM153" si="277">DH153+DK153-DL153</f>
        <v>0</v>
      </c>
    </row>
    <row r="154" spans="1:117" x14ac:dyDescent="0.3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3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278">M155-O155-L155</f>
        <v>-50</v>
      </c>
      <c r="L155" s="544">
        <v>50</v>
      </c>
      <c r="M155" s="298">
        <f>M154</f>
        <v>0</v>
      </c>
      <c r="N155" s="5">
        <f t="shared" ref="N155:N158" si="279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36"/>
      <c r="AD155" s="736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280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36"/>
      <c r="AX155" s="736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281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36"/>
      <c r="BR155" s="736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282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36"/>
      <c r="CL155" s="736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283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36"/>
      <c r="DF155" s="736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284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3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278"/>
        <v>-50</v>
      </c>
      <c r="L156" s="544">
        <v>50</v>
      </c>
      <c r="M156" s="298">
        <f>M154</f>
        <v>0</v>
      </c>
      <c r="N156" s="5">
        <f t="shared" si="279"/>
        <v>-50</v>
      </c>
      <c r="O156" s="256"/>
      <c r="P156" s="303">
        <f>P154</f>
        <v>0</v>
      </c>
      <c r="Q156" s="231">
        <f t="shared" ref="Q156:Q162" si="285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36"/>
      <c r="AD156" s="736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280"/>
        <v>-47</v>
      </c>
      <c r="AI156" s="256"/>
      <c r="AJ156" s="303">
        <f>AJ154</f>
        <v>3</v>
      </c>
      <c r="AK156" s="231">
        <f t="shared" ref="AK156:AK162" si="286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36"/>
      <c r="AX156" s="736"/>
      <c r="AY156" s="394">
        <f>SUM(M156,AG156,BA156)-SUM(O156,AI156,BC156)-L156</f>
        <v>-47</v>
      </c>
      <c r="AZ156" s="29">
        <f t="shared" ref="AZ156:AZ162" si="287">AK156</f>
        <v>47</v>
      </c>
      <c r="BA156" s="298">
        <f>BA154</f>
        <v>0</v>
      </c>
      <c r="BB156" s="5">
        <f t="shared" si="281"/>
        <v>-47</v>
      </c>
      <c r="BC156" s="256"/>
      <c r="BD156" s="303">
        <f>BD154</f>
        <v>11</v>
      </c>
      <c r="BE156" s="231">
        <f t="shared" ref="BE156:BE162" si="288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36"/>
      <c r="BR156" s="736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282"/>
        <v>-27</v>
      </c>
      <c r="BW156" s="256"/>
      <c r="BX156" s="303">
        <f>BX154</f>
        <v>1</v>
      </c>
      <c r="BY156" s="231">
        <f t="shared" ref="BY156:BY162" si="289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36"/>
      <c r="CL156" s="736"/>
      <c r="CM156" s="394">
        <f>SUM(M156,AG156,BA156,BU156,CO156)-SUM(O156,AI156,BC156,BW156,CQ156)-L156</f>
        <v>-43</v>
      </c>
      <c r="CN156" s="29">
        <f t="shared" ref="CN156:CN162" si="290">BY156</f>
        <v>30</v>
      </c>
      <c r="CO156" s="298">
        <f>CO154</f>
        <v>0</v>
      </c>
      <c r="CP156" s="5">
        <f t="shared" si="283"/>
        <v>-30</v>
      </c>
      <c r="CQ156" s="240"/>
      <c r="CR156" s="303">
        <f>CR154</f>
        <v>0</v>
      </c>
      <c r="CS156" s="231">
        <f t="shared" ref="CS156:CS162" si="291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36"/>
      <c r="DF156" s="736"/>
      <c r="DG156" s="394">
        <f>SUM(M156,AG156,BA156,BU156,DI156)-SUM(O156,AI156,BC156,BW156,CQ156)-L156</f>
        <v>-43</v>
      </c>
      <c r="DH156" s="29">
        <f t="shared" ref="DH156:DH158" si="292">BY156</f>
        <v>30</v>
      </c>
      <c r="DI156" s="298">
        <f>DI154</f>
        <v>0</v>
      </c>
      <c r="DJ156" s="5">
        <f t="shared" si="284"/>
        <v>-30</v>
      </c>
      <c r="DK156" s="240"/>
      <c r="DL156" s="303">
        <f>DL154</f>
        <v>0</v>
      </c>
      <c r="DM156" s="231">
        <f t="shared" ref="DM156:DM158" si="293">DH156+DK156-DL156</f>
        <v>30</v>
      </c>
    </row>
    <row r="157" spans="1:117" x14ac:dyDescent="0.3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278"/>
        <v>-50</v>
      </c>
      <c r="L157" s="544">
        <v>50</v>
      </c>
      <c r="M157" s="298">
        <f>M154</f>
        <v>0</v>
      </c>
      <c r="N157" s="5">
        <f t="shared" si="279"/>
        <v>-50</v>
      </c>
      <c r="O157" s="256"/>
      <c r="P157" s="303">
        <f>P154</f>
        <v>0</v>
      </c>
      <c r="Q157" s="231">
        <f t="shared" si="285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36"/>
      <c r="AD157" s="736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280"/>
        <v>-47</v>
      </c>
      <c r="AI157" s="256"/>
      <c r="AJ157" s="303">
        <f>AJ154</f>
        <v>3</v>
      </c>
      <c r="AK157" s="231">
        <f t="shared" si="286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36"/>
      <c r="AX157" s="736"/>
      <c r="AY157" s="394">
        <f>SUM(M157,AG157,BA157)-SUM(O157,AI157,BC157)-L157</f>
        <v>-47</v>
      </c>
      <c r="AZ157" s="29">
        <f t="shared" si="287"/>
        <v>47</v>
      </c>
      <c r="BA157" s="298">
        <f>BA154</f>
        <v>0</v>
      </c>
      <c r="BB157" s="5">
        <f t="shared" si="281"/>
        <v>-47</v>
      </c>
      <c r="BC157" s="256"/>
      <c r="BD157" s="303">
        <f>BD154</f>
        <v>11</v>
      </c>
      <c r="BE157" s="231">
        <f t="shared" si="288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36"/>
      <c r="BR157" s="736"/>
      <c r="BS157" s="394">
        <f>SUM(M157,AG157,BA157,BU157)-SUM(O157,AI157,BC157,BW157)-L157</f>
        <v>-43</v>
      </c>
      <c r="BT157" s="29">
        <f t="shared" ref="BT157:BT162" si="294">BE157</f>
        <v>36</v>
      </c>
      <c r="BU157" s="298">
        <f>BU154</f>
        <v>4</v>
      </c>
      <c r="BV157" s="5">
        <f t="shared" si="282"/>
        <v>-32</v>
      </c>
      <c r="BW157" s="256"/>
      <c r="BX157" s="303">
        <f>BX154</f>
        <v>1</v>
      </c>
      <c r="BY157" s="231">
        <f t="shared" si="289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36"/>
      <c r="CL157" s="736"/>
      <c r="CM157" s="394">
        <f>SUM(M157,AG157,BA157,BU157,CO157)-SUM(O157,AI157,BC157,BW157,CQ157)-L157</f>
        <v>-43</v>
      </c>
      <c r="CN157" s="29">
        <f t="shared" si="290"/>
        <v>35</v>
      </c>
      <c r="CO157" s="298">
        <f>CO154</f>
        <v>0</v>
      </c>
      <c r="CP157" s="5">
        <f t="shared" si="283"/>
        <v>-35</v>
      </c>
      <c r="CQ157" s="240"/>
      <c r="CR157" s="303">
        <f>CR154</f>
        <v>0</v>
      </c>
      <c r="CS157" s="231">
        <f t="shared" si="291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36"/>
      <c r="DF157" s="736"/>
      <c r="DG157" s="394">
        <f>SUM(M157,AG157,BA157,BU157,DI157)-SUM(O157,AI157,BC157,BW157,CQ157)-L157</f>
        <v>-43</v>
      </c>
      <c r="DH157" s="29">
        <f t="shared" si="292"/>
        <v>35</v>
      </c>
      <c r="DI157" s="298">
        <f>DI154</f>
        <v>0</v>
      </c>
      <c r="DJ157" s="5">
        <f t="shared" si="284"/>
        <v>-35</v>
      </c>
      <c r="DK157" s="240"/>
      <c r="DL157" s="303">
        <f>DL154</f>
        <v>0</v>
      </c>
      <c r="DM157" s="231">
        <f t="shared" si="293"/>
        <v>35</v>
      </c>
    </row>
    <row r="158" spans="1:117" x14ac:dyDescent="0.3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278"/>
        <v>-53</v>
      </c>
      <c r="L158" s="544">
        <v>53</v>
      </c>
      <c r="M158" s="298">
        <f>M154</f>
        <v>0</v>
      </c>
      <c r="N158" s="5">
        <f t="shared" si="279"/>
        <v>-53</v>
      </c>
      <c r="O158" s="256"/>
      <c r="P158" s="303">
        <f>P154</f>
        <v>0</v>
      </c>
      <c r="Q158" s="231">
        <f t="shared" si="285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36"/>
      <c r="AD158" s="736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280"/>
        <v>-50</v>
      </c>
      <c r="AI158" s="256"/>
      <c r="AJ158" s="303">
        <f>AJ154</f>
        <v>3</v>
      </c>
      <c r="AK158" s="231">
        <f t="shared" si="286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36"/>
      <c r="AX158" s="736"/>
      <c r="AY158" s="394">
        <f>SUM(M158,AG158,BA158)-SUM(O158,AI158,BC158)-L158</f>
        <v>-50</v>
      </c>
      <c r="AZ158" s="29">
        <f t="shared" si="287"/>
        <v>50</v>
      </c>
      <c r="BA158" s="298">
        <f>BA154</f>
        <v>0</v>
      </c>
      <c r="BB158" s="5">
        <f t="shared" si="281"/>
        <v>-50</v>
      </c>
      <c r="BC158" s="256"/>
      <c r="BD158" s="303">
        <f>BD154</f>
        <v>11</v>
      </c>
      <c r="BE158" s="231">
        <f t="shared" si="288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36"/>
      <c r="BR158" s="736"/>
      <c r="BS158" s="394">
        <f>SUM(M158,AG158,BA158,BU158)-SUM(O158,AI158,BC158,BW158)-L158</f>
        <v>-46</v>
      </c>
      <c r="BT158" s="29">
        <f t="shared" si="294"/>
        <v>39</v>
      </c>
      <c r="BU158" s="298">
        <f>BU154</f>
        <v>4</v>
      </c>
      <c r="BV158" s="5">
        <f t="shared" si="282"/>
        <v>-35</v>
      </c>
      <c r="BW158" s="256"/>
      <c r="BX158" s="303">
        <f>BX154</f>
        <v>1</v>
      </c>
      <c r="BY158" s="231">
        <f t="shared" si="289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36"/>
      <c r="CL158" s="736"/>
      <c r="CM158" s="394">
        <f>SUM(M158,AG158,BA158,BU158,CO158)-SUM(O158,AI158,BC158,BW158,CQ158)-L158</f>
        <v>-46</v>
      </c>
      <c r="CN158" s="29">
        <f t="shared" si="290"/>
        <v>38</v>
      </c>
      <c r="CO158" s="298">
        <f>CO154</f>
        <v>0</v>
      </c>
      <c r="CP158" s="5">
        <f t="shared" si="283"/>
        <v>-38</v>
      </c>
      <c r="CQ158" s="240"/>
      <c r="CR158" s="303">
        <f>CR154</f>
        <v>0</v>
      </c>
      <c r="CS158" s="231">
        <f t="shared" si="291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36"/>
      <c r="DF158" s="736"/>
      <c r="DG158" s="394">
        <f>SUM(M158,AG158,BA158,BU158,DI158)-SUM(O158,AI158,BC158,BW158,CQ158)-L158</f>
        <v>-46</v>
      </c>
      <c r="DH158" s="29">
        <f t="shared" si="292"/>
        <v>38</v>
      </c>
      <c r="DI158" s="298">
        <f>DI154</f>
        <v>0</v>
      </c>
      <c r="DJ158" s="5">
        <f t="shared" si="284"/>
        <v>-38</v>
      </c>
      <c r="DK158" s="240"/>
      <c r="DL158" s="303">
        <f>DL154</f>
        <v>0</v>
      </c>
      <c r="DM158" s="231">
        <f t="shared" si="293"/>
        <v>38</v>
      </c>
    </row>
    <row r="159" spans="1:117" x14ac:dyDescent="0.3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41"/>
      <c r="V159" s="366"/>
      <c r="W159" s="367"/>
      <c r="X159" s="368"/>
      <c r="Y159" s="741"/>
      <c r="Z159" s="369"/>
      <c r="AA159" s="367"/>
      <c r="AB159" s="368"/>
      <c r="AC159" s="751"/>
      <c r="AD159" s="751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41"/>
      <c r="AP159" s="366"/>
      <c r="AQ159" s="367"/>
      <c r="AR159" s="368"/>
      <c r="AS159" s="741"/>
      <c r="AT159" s="369"/>
      <c r="AU159" s="367"/>
      <c r="AV159" s="368"/>
      <c r="AW159" s="751"/>
      <c r="AX159" s="751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41"/>
      <c r="BJ159" s="366"/>
      <c r="BK159" s="367"/>
      <c r="BL159" s="368"/>
      <c r="BM159" s="741"/>
      <c r="BN159" s="369"/>
      <c r="BO159" s="367"/>
      <c r="BP159" s="368"/>
      <c r="BQ159" s="751"/>
      <c r="BR159" s="751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41"/>
      <c r="CD159" s="366"/>
      <c r="CE159" s="367"/>
      <c r="CF159" s="368"/>
      <c r="CG159" s="741"/>
      <c r="CH159" s="369"/>
      <c r="CI159" s="367"/>
      <c r="CJ159" s="368"/>
      <c r="CK159" s="751"/>
      <c r="CL159" s="751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41"/>
      <c r="CX159" s="366"/>
      <c r="CY159" s="367"/>
      <c r="CZ159" s="368"/>
      <c r="DA159" s="741"/>
      <c r="DB159" s="369"/>
      <c r="DC159" s="367"/>
      <c r="DD159" s="368"/>
      <c r="DE159" s="751"/>
      <c r="DF159" s="751"/>
      <c r="DG159" s="351"/>
      <c r="DH159" s="364"/>
      <c r="DI159" s="374"/>
      <c r="DJ159" s="374"/>
      <c r="DK159" s="375"/>
      <c r="DL159" s="375"/>
      <c r="DM159" s="365"/>
    </row>
    <row r="160" spans="1:117" x14ac:dyDescent="0.3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295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36"/>
      <c r="AD160" s="736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36"/>
      <c r="AX160" s="736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36"/>
      <c r="BR160" s="736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36"/>
      <c r="CL160" s="736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36"/>
      <c r="DF160" s="736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3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295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36"/>
      <c r="AD161" s="736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36"/>
      <c r="AX161" s="736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36"/>
      <c r="BR161" s="736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36"/>
      <c r="CL161" s="736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36"/>
      <c r="DF161" s="736"/>
      <c r="DG161" s="394">
        <f>SUM(M161,AG161,BA161,BU161,DI161)-SUM(O161,AI161,BC161,BW161,CQ161)-L161</f>
        <v>-43</v>
      </c>
      <c r="DH161" s="29">
        <f t="shared" ref="DH161:DH162" si="296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" thickBot="1" x14ac:dyDescent="0.35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285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35"/>
      <c r="AD162" s="735"/>
      <c r="AE162" s="77"/>
      <c r="AF162" s="29">
        <f>Q162</f>
        <v>0</v>
      </c>
      <c r="AG162" s="31">
        <f>SUM(AG158:AG158)</f>
        <v>3</v>
      </c>
      <c r="AH162" s="31">
        <f t="shared" si="280"/>
        <v>3</v>
      </c>
      <c r="AI162" s="284"/>
      <c r="AJ162" s="241"/>
      <c r="AK162" s="232">
        <f t="shared" si="286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35"/>
      <c r="AX162" s="735"/>
      <c r="AY162" s="77"/>
      <c r="AZ162" s="29">
        <f t="shared" si="287"/>
        <v>0</v>
      </c>
      <c r="BA162" s="31"/>
      <c r="BB162" s="31">
        <f t="shared" si="281"/>
        <v>0</v>
      </c>
      <c r="BC162" s="284"/>
      <c r="BD162" s="241"/>
      <c r="BE162" s="232">
        <f t="shared" si="288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35"/>
      <c r="BR162" s="735"/>
      <c r="BS162" s="77"/>
      <c r="BT162" s="29">
        <f t="shared" si="294"/>
        <v>0</v>
      </c>
      <c r="BU162" s="31"/>
      <c r="BV162" s="31">
        <f t="shared" si="282"/>
        <v>0</v>
      </c>
      <c r="BW162" s="284"/>
      <c r="BX162" s="241"/>
      <c r="BY162" s="232">
        <f t="shared" si="289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35"/>
      <c r="CL162" s="735"/>
      <c r="CM162" s="77"/>
      <c r="CN162" s="29">
        <f t="shared" si="290"/>
        <v>0</v>
      </c>
      <c r="CO162" s="31"/>
      <c r="CP162" s="31">
        <f t="shared" si="283"/>
        <v>0</v>
      </c>
      <c r="CQ162" s="284"/>
      <c r="CR162" s="241"/>
      <c r="CS162" s="232">
        <f t="shared" si="291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35"/>
      <c r="DF162" s="735"/>
      <c r="DG162" s="77"/>
      <c r="DH162" s="29">
        <f t="shared" si="296"/>
        <v>0</v>
      </c>
      <c r="DI162" s="31"/>
      <c r="DJ162" s="31">
        <f t="shared" ref="DJ162" si="297">DI162-DH162</f>
        <v>0</v>
      </c>
      <c r="DK162" s="284"/>
      <c r="DL162" s="241"/>
      <c r="DM162" s="232">
        <f t="shared" ref="DM162" si="298">DH162+DK162-DL162</f>
        <v>0</v>
      </c>
    </row>
    <row r="163" spans="1:117" x14ac:dyDescent="0.3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collapsed="1" x14ac:dyDescent="0.3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30"/>
      <c r="V164" s="570"/>
      <c r="W164" s="6"/>
      <c r="X164" s="216"/>
      <c r="Y164" s="730"/>
      <c r="Z164" s="121"/>
      <c r="AA164" s="6"/>
      <c r="AB164" s="211"/>
      <c r="AC164" s="760"/>
      <c r="AD164" s="760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30"/>
      <c r="AP164" s="121"/>
      <c r="AQ164" s="6"/>
      <c r="AR164" s="216"/>
      <c r="AS164" s="730"/>
      <c r="AT164" s="121"/>
      <c r="AU164" s="6"/>
      <c r="AV164" s="216"/>
      <c r="AW164" s="764"/>
      <c r="AX164" s="764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30"/>
      <c r="BJ164" s="121"/>
      <c r="BK164" s="6"/>
      <c r="BL164" s="211"/>
      <c r="BM164" s="731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30"/>
      <c r="CD164" s="121"/>
      <c r="CE164" s="6"/>
      <c r="CF164" s="625" t="s">
        <v>876</v>
      </c>
      <c r="CG164" s="823"/>
      <c r="CH164" s="121"/>
      <c r="CI164" s="6"/>
      <c r="CJ164" s="216"/>
      <c r="CK164" s="764"/>
      <c r="CL164" s="764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30"/>
      <c r="CX164" s="121"/>
      <c r="CY164" s="6"/>
      <c r="CZ164" s="216"/>
      <c r="DA164" s="730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" hidden="1" customHeight="1" outlineLevel="1" x14ac:dyDescent="0.3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30"/>
      <c r="V165" s="570"/>
      <c r="W165" s="6"/>
      <c r="X165" s="216"/>
      <c r="Y165" s="730"/>
      <c r="Z165" s="121"/>
      <c r="AA165" s="6"/>
      <c r="AB165" s="211"/>
      <c r="AC165" s="760"/>
      <c r="AD165" s="760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30"/>
      <c r="AP165" s="121"/>
      <c r="AQ165" s="6"/>
      <c r="AR165" s="216"/>
      <c r="AS165" s="730"/>
      <c r="AT165" s="121"/>
      <c r="AU165" s="6"/>
      <c r="AV165" s="216"/>
      <c r="AW165" s="764"/>
      <c r="AX165" s="764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30"/>
      <c r="BJ165" s="121"/>
      <c r="BK165" s="6"/>
      <c r="BL165" s="211"/>
      <c r="BM165" s="731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30"/>
      <c r="CD165" s="121"/>
      <c r="CE165" s="6"/>
      <c r="CF165" s="625" t="s">
        <v>876</v>
      </c>
      <c r="CG165" s="823"/>
      <c r="CH165" s="121"/>
      <c r="CI165" s="6"/>
      <c r="CJ165" s="216"/>
      <c r="CK165" s="764"/>
      <c r="CL165" s="764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30"/>
      <c r="CX165" s="121"/>
      <c r="CY165" s="6"/>
      <c r="CZ165" s="216"/>
      <c r="DA165" s="730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5" hidden="1" customHeight="1" outlineLevel="1" x14ac:dyDescent="0.3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30"/>
      <c r="V166" s="570"/>
      <c r="W166" s="6"/>
      <c r="X166" s="216"/>
      <c r="Y166" s="730"/>
      <c r="Z166" s="121"/>
      <c r="AA166" s="6"/>
      <c r="AB166" s="211"/>
      <c r="AC166" s="760"/>
      <c r="AD166" s="760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30"/>
      <c r="AP166" s="121"/>
      <c r="AQ166" s="6"/>
      <c r="AR166" s="216"/>
      <c r="AS166" s="730"/>
      <c r="AT166" s="121"/>
      <c r="AU166" s="6"/>
      <c r="AV166" s="216"/>
      <c r="AW166" s="764"/>
      <c r="AX166" s="764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30"/>
      <c r="BJ166" s="121"/>
      <c r="BK166" s="6"/>
      <c r="BL166" s="211"/>
      <c r="BM166" s="731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299">BU166-BT166</f>
        <v>0</v>
      </c>
      <c r="BW166" s="5">
        <v>5000</v>
      </c>
      <c r="BX166" s="303">
        <f>BX167</f>
        <v>844</v>
      </c>
      <c r="BY166" s="231">
        <f t="shared" ref="BY166" si="300">BT166+BW166-BX166</f>
        <v>4156</v>
      </c>
      <c r="BZ166" s="310">
        <v>180000</v>
      </c>
      <c r="CA166" s="210"/>
      <c r="CB166" s="211" t="s">
        <v>884</v>
      </c>
      <c r="CC166" s="731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64"/>
      <c r="CL166" s="764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30"/>
      <c r="CX166" s="121"/>
      <c r="CY166" s="6"/>
      <c r="CZ166" s="216"/>
      <c r="DA166" s="730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28.8" x14ac:dyDescent="0.3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01">M167-O167-L167</f>
        <v>-8727</v>
      </c>
      <c r="L167" s="544">
        <v>4449</v>
      </c>
      <c r="M167" s="298">
        <f>SUM(M92,M102,M106,M110,M96)</f>
        <v>722</v>
      </c>
      <c r="N167" s="5">
        <f t="shared" ref="N167:N184" si="302">M167-L167</f>
        <v>-3727</v>
      </c>
      <c r="O167" s="256">
        <v>5000</v>
      </c>
      <c r="P167" s="303">
        <f>SUM(P92,P102,P106,P110,P96)</f>
        <v>722</v>
      </c>
      <c r="Q167" s="231">
        <f t="shared" ref="Q167:Q184" si="303">L167+O167-P167</f>
        <v>8727</v>
      </c>
      <c r="R167" s="121"/>
      <c r="S167" s="6"/>
      <c r="T167" s="216"/>
      <c r="U167" s="730"/>
      <c r="V167" s="570">
        <f>F167*100%*5000</f>
        <v>125580</v>
      </c>
      <c r="W167" s="6"/>
      <c r="X167" s="216" t="s">
        <v>708</v>
      </c>
      <c r="Y167" s="730"/>
      <c r="Z167" s="121"/>
      <c r="AA167" s="6"/>
      <c r="AB167" s="211"/>
      <c r="AC167" s="760"/>
      <c r="AD167" s="760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04">AG167-AF167</f>
        <v>-7652</v>
      </c>
      <c r="AI167" s="256"/>
      <c r="AJ167" s="303">
        <f>SUM(AJ92,AJ102,AJ106,AJ110,AJ96)</f>
        <v>1075</v>
      </c>
      <c r="AK167" s="231">
        <f t="shared" ref="AK167:AK184" si="305">AF167+AI167-AJ167</f>
        <v>7652</v>
      </c>
      <c r="AL167" s="121"/>
      <c r="AM167" s="6"/>
      <c r="AN167" s="216"/>
      <c r="AO167" s="730"/>
      <c r="AP167" s="121"/>
      <c r="AQ167" s="6"/>
      <c r="AR167" s="216"/>
      <c r="AS167" s="730"/>
      <c r="AT167" s="121"/>
      <c r="AU167" s="6"/>
      <c r="AV167" s="216"/>
      <c r="AW167" s="764"/>
      <c r="AX167" s="764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06">BA167-AZ167</f>
        <v>-3389</v>
      </c>
      <c r="BC167" s="256"/>
      <c r="BD167" s="303">
        <f>SUM(BD92,BD102,BD106,BD110,BD96)</f>
        <v>4263</v>
      </c>
      <c r="BE167" s="231">
        <f t="shared" ref="BE167:BE184" si="307">AZ167+BC167-BD167</f>
        <v>3389</v>
      </c>
      <c r="BF167" s="121"/>
      <c r="BG167" s="6"/>
      <c r="BH167" s="216"/>
      <c r="BI167" s="730"/>
      <c r="BJ167" s="121"/>
      <c r="BK167" s="6"/>
      <c r="BL167" s="211"/>
      <c r="BM167" s="731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08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09">BT167+BW167-BX167</f>
        <v>7555</v>
      </c>
      <c r="BZ167" s="310"/>
      <c r="CA167" s="210"/>
      <c r="CB167" s="216"/>
      <c r="CC167" s="730"/>
      <c r="CD167" s="668">
        <f>F167*BW167</f>
        <v>125831.16</v>
      </c>
      <c r="CE167" s="663"/>
      <c r="CF167" s="664" t="s">
        <v>964</v>
      </c>
      <c r="CG167" s="809"/>
      <c r="CH167" s="121"/>
      <c r="CI167" s="6"/>
      <c r="CJ167" s="216"/>
      <c r="CK167" s="764"/>
      <c r="CL167" s="764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10">CO167-CN167</f>
        <v>-7555</v>
      </c>
      <c r="CQ167" s="240"/>
      <c r="CR167" s="303">
        <f>SUM(CR92,CR102,CR106,CR110,CR96)</f>
        <v>0</v>
      </c>
      <c r="CS167" s="231">
        <f t="shared" ref="CS167:CS184" si="311">CN167+CQ167-CR167</f>
        <v>7555</v>
      </c>
      <c r="CT167" s="121"/>
      <c r="CU167" s="199"/>
      <c r="CV167" s="148"/>
      <c r="CW167" s="734"/>
      <c r="CX167" s="121"/>
      <c r="CY167" s="6"/>
      <c r="CZ167" s="216"/>
      <c r="DA167" s="730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12">DI167-DH167</f>
        <v>-7555</v>
      </c>
      <c r="DK167" s="240"/>
      <c r="DL167" s="303">
        <f>SUM(DL92,DL102,DL106,DL110,DL96)</f>
        <v>0</v>
      </c>
      <c r="DM167" s="231">
        <f t="shared" ref="DM167:DM169" si="313">DH167+DK167-DL167</f>
        <v>7555</v>
      </c>
    </row>
    <row r="168" spans="1:117" ht="28.8" x14ac:dyDescent="0.3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01"/>
        <v>-3727</v>
      </c>
      <c r="L168" s="544">
        <v>4449</v>
      </c>
      <c r="M168" s="298">
        <f>SUM(M92,M102,M106,M110,M96)</f>
        <v>722</v>
      </c>
      <c r="N168" s="5">
        <f t="shared" si="302"/>
        <v>-3727</v>
      </c>
      <c r="O168" s="256"/>
      <c r="P168" s="303">
        <f>SUM(P92,P102,P106,P110,P96)</f>
        <v>722</v>
      </c>
      <c r="Q168" s="231">
        <f t="shared" si="303"/>
        <v>3727</v>
      </c>
      <c r="R168" s="121"/>
      <c r="S168" s="6"/>
      <c r="T168" s="216"/>
      <c r="U168" s="730"/>
      <c r="V168" s="21"/>
      <c r="W168" s="6"/>
      <c r="X168" s="216"/>
      <c r="Y168" s="730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04"/>
        <v>-2652</v>
      </c>
      <c r="AI168" s="240"/>
      <c r="AJ168" s="303">
        <f>SUM(AJ92,AJ102,AJ106,AJ110,AJ96)</f>
        <v>1075</v>
      </c>
      <c r="AK168" s="231">
        <f t="shared" si="305"/>
        <v>2652</v>
      </c>
      <c r="AL168" s="21"/>
      <c r="AM168" s="6"/>
      <c r="AN168" s="35"/>
      <c r="AO168" s="612"/>
      <c r="AP168" s="21"/>
      <c r="AQ168" s="6"/>
      <c r="AR168" s="211"/>
      <c r="AS168" s="731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14">AK168</f>
        <v>2652</v>
      </c>
      <c r="BA168" s="298">
        <f>SUM(BA92,BA102,BA106,BA110,BA96)</f>
        <v>4263</v>
      </c>
      <c r="BB168" s="5">
        <f t="shared" si="306"/>
        <v>1611</v>
      </c>
      <c r="BC168" s="256">
        <v>5000</v>
      </c>
      <c r="BD168" s="303">
        <f>SUM(BD92,BD102,BD106,BD110,BD96)</f>
        <v>4263</v>
      </c>
      <c r="BE168" s="231">
        <f t="shared" si="307"/>
        <v>3389</v>
      </c>
      <c r="BF168" s="121"/>
      <c r="BG168" s="6">
        <f>$F$168*50%*5000</f>
        <v>175000</v>
      </c>
      <c r="BH168" s="211" t="s">
        <v>683</v>
      </c>
      <c r="BI168" s="731"/>
      <c r="BJ168" s="21"/>
      <c r="BK168" s="6"/>
      <c r="BL168" s="211"/>
      <c r="BM168" s="731"/>
      <c r="BN168" s="21"/>
      <c r="BO168" s="6"/>
      <c r="BP168" s="211"/>
      <c r="BQ168" s="760"/>
      <c r="BR168" s="760"/>
      <c r="BS168" s="395">
        <f>SUM(M168,AG168,BA168,BU168)-SUM(O168,AI168,BC168,BW168)-L168</f>
        <v>-5933</v>
      </c>
      <c r="BT168" s="29">
        <f t="shared" ref="BT168:BT179" si="315">BE168</f>
        <v>3389</v>
      </c>
      <c r="BU168" s="298">
        <f>SUM(BU92,BU102,BU106,BU110,BU96)</f>
        <v>2456</v>
      </c>
      <c r="BV168" s="5">
        <f t="shared" si="308"/>
        <v>-933</v>
      </c>
      <c r="BW168" s="621">
        <v>5000</v>
      </c>
      <c r="BX168" s="303">
        <f>SUM(BX92,BX102,BX106,BX110,BX96)</f>
        <v>844</v>
      </c>
      <c r="BY168" s="231">
        <f t="shared" si="309"/>
        <v>7545</v>
      </c>
      <c r="BZ168" s="310"/>
      <c r="CA168" s="6"/>
      <c r="CB168" s="216"/>
      <c r="CC168" s="730"/>
      <c r="CD168" s="215"/>
      <c r="CE168" s="199"/>
      <c r="CF168" s="148"/>
      <c r="CG168" s="734"/>
      <c r="CH168" s="630">
        <f>$F$168*$BW168/2</f>
        <v>175000</v>
      </c>
      <c r="CI168" s="629"/>
      <c r="CJ168" s="625" t="s">
        <v>809</v>
      </c>
      <c r="CK168" s="844"/>
      <c r="CL168" s="844"/>
      <c r="CM168" s="395">
        <f>SUM(M168,AG168,BA168,BU168,CO168)-SUM(O168,AI168,BC168,BW168,CQ168)-L168</f>
        <v>-5933</v>
      </c>
      <c r="CN168" s="29">
        <f t="shared" ref="CN168:CN179" si="316">BY168</f>
        <v>7545</v>
      </c>
      <c r="CO168" s="298">
        <f>SUM(CO92,CO102,CO106,CO110,CO96)</f>
        <v>0</v>
      </c>
      <c r="CP168" s="5">
        <f t="shared" si="310"/>
        <v>-7545</v>
      </c>
      <c r="CQ168" s="240"/>
      <c r="CR168" s="303">
        <f>SUM(CR92,CR102,CR106,CR110,CR96)</f>
        <v>0</v>
      </c>
      <c r="CS168" s="231">
        <f t="shared" si="311"/>
        <v>7545</v>
      </c>
      <c r="CT168" s="121"/>
      <c r="CU168" s="629">
        <v>175000</v>
      </c>
      <c r="CV168" s="625" t="s">
        <v>810</v>
      </c>
      <c r="CW168" s="823"/>
      <c r="CX168" s="21"/>
      <c r="CY168" s="6"/>
      <c r="CZ168" s="216"/>
      <c r="DA168" s="730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17">BY168</f>
        <v>7545</v>
      </c>
      <c r="DI168" s="298">
        <f>SUM(DI92,DI102,DI106,DI110,DI96)</f>
        <v>0</v>
      </c>
      <c r="DJ168" s="5">
        <f t="shared" si="312"/>
        <v>-7545</v>
      </c>
      <c r="DK168" s="240"/>
      <c r="DL168" s="303">
        <f>SUM(DL92,DL102,DL106,DL110,DL96)</f>
        <v>0</v>
      </c>
      <c r="DM168" s="231">
        <f t="shared" si="313"/>
        <v>7545</v>
      </c>
    </row>
    <row r="169" spans="1:117" x14ac:dyDescent="0.3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01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02"/>
        <v>-3869</v>
      </c>
      <c r="O169" s="242"/>
      <c r="P169" s="303">
        <f>SUM(P92,P102,P106,P110,P96,P138,P146,P154)</f>
        <v>761</v>
      </c>
      <c r="Q169" s="231">
        <f t="shared" si="303"/>
        <v>3869</v>
      </c>
      <c r="R169" s="21"/>
      <c r="S169" s="6"/>
      <c r="T169" s="216"/>
      <c r="U169" s="730"/>
      <c r="V169" s="121"/>
      <c r="W169" s="6"/>
      <c r="X169" s="216"/>
      <c r="Y169" s="730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04"/>
        <v>-2725</v>
      </c>
      <c r="AI169" s="599">
        <v>6142</v>
      </c>
      <c r="AJ169" s="303">
        <f>SUM(AJ92,AJ102,AJ106,AJ110,AJ96,AJ138,AJ146,AJ154)</f>
        <v>1144</v>
      </c>
      <c r="AK169" s="231">
        <f t="shared" si="305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31"/>
      <c r="AT169" s="21"/>
      <c r="AU169" s="6"/>
      <c r="AV169" s="211"/>
      <c r="AW169" s="760"/>
      <c r="AX169" s="760"/>
      <c r="AY169" s="395">
        <f>SUM(M169,AG169,BA169)-SUM(O169,AI169,BC169)-L169</f>
        <v>-3688</v>
      </c>
      <c r="AZ169" s="29">
        <f t="shared" si="314"/>
        <v>8867</v>
      </c>
      <c r="BA169" s="298">
        <f>SUM(BA92,BA102,BA106,BA110,BA96,BA138,BA146,BA154)</f>
        <v>5179</v>
      </c>
      <c r="BB169" s="5">
        <f t="shared" si="306"/>
        <v>-3688</v>
      </c>
      <c r="BC169" s="256"/>
      <c r="BD169" s="303">
        <f>SUM(BD92,BD102,BD106,BD110,BD96,BD138,BD146,BD154)+140</f>
        <v>5334</v>
      </c>
      <c r="BE169" s="231">
        <f t="shared" si="307"/>
        <v>3533</v>
      </c>
      <c r="BF169" s="21"/>
      <c r="BG169" s="6"/>
      <c r="BH169" s="211"/>
      <c r="BI169" s="731"/>
      <c r="BJ169" s="21"/>
      <c r="BK169" s="6"/>
      <c r="BL169" s="211"/>
      <c r="BM169" s="731"/>
      <c r="BN169" s="21"/>
      <c r="BO169" s="6"/>
      <c r="BP169" s="216"/>
      <c r="BQ169" s="764"/>
      <c r="BR169" s="764"/>
      <c r="BS169" s="395">
        <f>SUM(M169,AG169,BA169,BU169)-SUM(O169,AI169,BC169,BW169)-L169</f>
        <v>-6023</v>
      </c>
      <c r="BT169" s="29">
        <f t="shared" si="315"/>
        <v>3533</v>
      </c>
      <c r="BU169" s="298">
        <f>SUM(BU92,BU102,BU106,BU110,BU96,BU138,BU146,BU154)</f>
        <v>2665</v>
      </c>
      <c r="BV169" s="5">
        <f t="shared" si="308"/>
        <v>-868</v>
      </c>
      <c r="BW169" s="621">
        <v>5000</v>
      </c>
      <c r="BX169" s="303">
        <f>SUM(BX92,BX102,BX106,BX110,BX96,BX138,BX146,BX154)</f>
        <v>913</v>
      </c>
      <c r="BY169" s="231">
        <f t="shared" si="309"/>
        <v>7620</v>
      </c>
      <c r="BZ169" s="310"/>
      <c r="CA169" s="6"/>
      <c r="CB169" s="216"/>
      <c r="CC169" s="730"/>
      <c r="CD169" s="668">
        <f>136800/2</f>
        <v>68400</v>
      </c>
      <c r="CE169" s="663"/>
      <c r="CF169" s="664" t="s">
        <v>809</v>
      </c>
      <c r="CG169" s="809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16"/>
        <v>7620</v>
      </c>
      <c r="CO169" s="298">
        <f>SUM(CO92,CO102,CO106,CO110,CO96,CO138,CO146,CO154)</f>
        <v>0</v>
      </c>
      <c r="CP169" s="5">
        <f t="shared" si="310"/>
        <v>-7620</v>
      </c>
      <c r="CQ169" s="240"/>
      <c r="CR169" s="303">
        <f>SUM(CR92,CR102,CR106,CR110,CR96,CR138,CR146,CR154)</f>
        <v>0</v>
      </c>
      <c r="CS169" s="231">
        <f t="shared" si="311"/>
        <v>7620</v>
      </c>
      <c r="CT169" s="21"/>
      <c r="CU169" s="630">
        <f>136800/2</f>
        <v>68400</v>
      </c>
      <c r="CV169" s="625" t="s">
        <v>810</v>
      </c>
      <c r="CW169" s="823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17"/>
        <v>7620</v>
      </c>
      <c r="DI169" s="298">
        <f>SUM(DI92,DI102,DI106,DI110,DI96,DI138,DI146,DI154)</f>
        <v>0</v>
      </c>
      <c r="DJ169" s="5">
        <f t="shared" si="312"/>
        <v>-7620</v>
      </c>
      <c r="DK169" s="240"/>
      <c r="DL169" s="303">
        <f>SUM(DL92,DL102,DL106,DL110,DL96,DL138,DL146,DL154)</f>
        <v>0</v>
      </c>
      <c r="DM169" s="231">
        <f t="shared" si="313"/>
        <v>7620</v>
      </c>
    </row>
    <row r="170" spans="1:117" x14ac:dyDescent="0.3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8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42"/>
      <c r="V170" s="366"/>
      <c r="W170" s="367"/>
      <c r="X170" s="368"/>
      <c r="Y170" s="741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95"/>
      <c r="AP170" s="366"/>
      <c r="AQ170" s="367"/>
      <c r="AR170" s="484"/>
      <c r="AS170" s="801"/>
      <c r="AT170" s="369"/>
      <c r="AU170" s="367"/>
      <c r="AV170" s="484"/>
      <c r="AW170" s="802"/>
      <c r="AX170" s="802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801"/>
      <c r="BJ170" s="366"/>
      <c r="BK170" s="367"/>
      <c r="BL170" s="368"/>
      <c r="BM170" s="741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42"/>
      <c r="CD170" s="366"/>
      <c r="CE170" s="367"/>
      <c r="CF170" s="368"/>
      <c r="CG170" s="741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42"/>
      <c r="CX170" s="366"/>
      <c r="CY170" s="367"/>
      <c r="CZ170" s="368"/>
      <c r="DA170" s="741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86.4" x14ac:dyDescent="0.3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>SUM(M171,AG171,BA171,BU171)-L171</f>
        <v>578</v>
      </c>
      <c r="K171" s="395">
        <f t="shared" ref="K171:K180" si="318">M171-O171-L171</f>
        <v>-408</v>
      </c>
      <c r="L171" s="544">
        <v>484</v>
      </c>
      <c r="M171" s="298">
        <f>M82*2</f>
        <v>76</v>
      </c>
      <c r="N171" s="5">
        <f t="shared" si="302"/>
        <v>-408</v>
      </c>
      <c r="O171" s="240"/>
      <c r="P171" s="303">
        <f>P82*2</f>
        <v>76</v>
      </c>
      <c r="Q171" s="231">
        <f t="shared" si="303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>SUM(M171,AG171)-SUM(O171,AI171)-L171</f>
        <v>-896</v>
      </c>
      <c r="AF171" s="29">
        <f>Q171</f>
        <v>408</v>
      </c>
      <c r="AG171" s="298">
        <f>AG82*2</f>
        <v>162</v>
      </c>
      <c r="AH171" s="5">
        <f t="shared" si="304"/>
        <v>-246</v>
      </c>
      <c r="AI171" s="602">
        <v>650</v>
      </c>
      <c r="AJ171" s="303">
        <f>AJ82*2</f>
        <v>162</v>
      </c>
      <c r="AK171" s="231">
        <f t="shared" si="305"/>
        <v>896</v>
      </c>
      <c r="AL171" s="21"/>
      <c r="AM171" s="6"/>
      <c r="AN171" s="35"/>
      <c r="AO171" s="796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>SUM(M171,AG171,BA171)-SUM(O171,AI171,BC171)-L171</f>
        <v>-372</v>
      </c>
      <c r="AZ171" s="29">
        <f t="shared" si="314"/>
        <v>896</v>
      </c>
      <c r="BA171" s="298">
        <f>BA82*2</f>
        <v>524</v>
      </c>
      <c r="BB171" s="5">
        <f t="shared" si="306"/>
        <v>-372</v>
      </c>
      <c r="BC171" s="256"/>
      <c r="BD171" s="303">
        <f>BD82*2</f>
        <v>524</v>
      </c>
      <c r="BE171" s="231">
        <f t="shared" si="307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>SUM(M171,AG171,BA171,BU171)-SUM(O171,AI171,BC171,BW171)-L171</f>
        <v>-772</v>
      </c>
      <c r="BT171" s="29">
        <f t="shared" si="315"/>
        <v>372</v>
      </c>
      <c r="BU171" s="298">
        <f>BU82*2</f>
        <v>300</v>
      </c>
      <c r="BV171" s="5">
        <f t="shared" si="308"/>
        <v>-72</v>
      </c>
      <c r="BW171" s="240">
        <v>700</v>
      </c>
      <c r="BX171" s="303">
        <f>BX82*2</f>
        <v>112</v>
      </c>
      <c r="BY171" s="231">
        <f t="shared" si="309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45"/>
      <c r="CL171" s="845"/>
      <c r="CM171" s="395">
        <f>SUM(M171,AG171,BA171,BU171,CO171)-SUM(O171,AI171,BC171,BW171,CQ171)-L171</f>
        <v>-772</v>
      </c>
      <c r="CN171" s="29">
        <f t="shared" si="316"/>
        <v>960</v>
      </c>
      <c r="CO171" s="298">
        <f>CO82*2</f>
        <v>0</v>
      </c>
      <c r="CP171" s="5">
        <f t="shared" si="310"/>
        <v>-960</v>
      </c>
      <c r="CQ171" s="240"/>
      <c r="CR171" s="303">
        <f>CR82*2</f>
        <v>0</v>
      </c>
      <c r="CS171" s="231">
        <f t="shared" si="311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19">DI171-DH171</f>
        <v>-960</v>
      </c>
      <c r="DK171" s="240"/>
      <c r="DL171" s="303">
        <f>DL82*2</f>
        <v>0</v>
      </c>
      <c r="DM171" s="231">
        <f t="shared" ref="DM171:DM175" si="320">DH171+DK171-DL171</f>
        <v>960</v>
      </c>
    </row>
    <row r="172" spans="1:117" ht="28.8" x14ac:dyDescent="0.3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>SUM(M172,AG172,BA172,BU172)-L172</f>
        <v>244</v>
      </c>
      <c r="K172" s="395">
        <f t="shared" si="318"/>
        <v>-249</v>
      </c>
      <c r="L172" s="544">
        <v>287</v>
      </c>
      <c r="M172" s="298">
        <f>M82</f>
        <v>38</v>
      </c>
      <c r="N172" s="5">
        <f t="shared" si="302"/>
        <v>-249</v>
      </c>
      <c r="O172" s="240"/>
      <c r="P172" s="303">
        <f>P82</f>
        <v>38</v>
      </c>
      <c r="Q172" s="231">
        <f t="shared" si="303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>SUM(M172,AG172)-SUM(O172,AI172)-L172</f>
        <v>-468</v>
      </c>
      <c r="AF172" s="29">
        <f>Q172</f>
        <v>249</v>
      </c>
      <c r="AG172" s="298">
        <f>AG82</f>
        <v>81</v>
      </c>
      <c r="AH172" s="5">
        <f t="shared" si="304"/>
        <v>-168</v>
      </c>
      <c r="AI172" s="602">
        <v>300</v>
      </c>
      <c r="AJ172" s="303">
        <f>AJ82</f>
        <v>81</v>
      </c>
      <c r="AK172" s="231">
        <f t="shared" si="305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>SUM(M172,AG172,BA172)-SUM(O172,AI172,BC172)-L172</f>
        <v>-206</v>
      </c>
      <c r="AZ172" s="29">
        <f t="shared" si="314"/>
        <v>468</v>
      </c>
      <c r="BA172" s="298">
        <f>BA82</f>
        <v>262</v>
      </c>
      <c r="BB172" s="5">
        <f t="shared" si="306"/>
        <v>-206</v>
      </c>
      <c r="BC172" s="256"/>
      <c r="BD172" s="303">
        <f>BD82</f>
        <v>262</v>
      </c>
      <c r="BE172" s="231">
        <f t="shared" si="307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>SUM(M172,AG172,BA172,BU172)-SUM(O172,AI172,BC172,BW172)-L172</f>
        <v>-556</v>
      </c>
      <c r="BT172" s="29">
        <f t="shared" si="315"/>
        <v>206</v>
      </c>
      <c r="BU172" s="298">
        <f>BU82</f>
        <v>150</v>
      </c>
      <c r="BV172" s="5">
        <f t="shared" si="308"/>
        <v>-56</v>
      </c>
      <c r="BW172" s="621">
        <v>500</v>
      </c>
      <c r="BX172" s="303">
        <f>BX82</f>
        <v>56</v>
      </c>
      <c r="BY172" s="231">
        <f t="shared" si="309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44"/>
      <c r="CL172" s="844"/>
      <c r="CM172" s="395">
        <f>SUM(M172,AG172,BA172,BU172,CO172)-SUM(O172,AI172,BC172,BW172,CQ172)-L172</f>
        <v>-556</v>
      </c>
      <c r="CN172" s="29">
        <f t="shared" si="316"/>
        <v>650</v>
      </c>
      <c r="CO172" s="298">
        <f>CO82</f>
        <v>0</v>
      </c>
      <c r="CP172" s="5">
        <f t="shared" si="310"/>
        <v>-650</v>
      </c>
      <c r="CQ172" s="240"/>
      <c r="CR172" s="303">
        <f>CR82</f>
        <v>0</v>
      </c>
      <c r="CS172" s="231">
        <f t="shared" si="311"/>
        <v>650</v>
      </c>
      <c r="CT172" s="121"/>
      <c r="CU172" s="628">
        <f>BW172*$F$172/2</f>
        <v>10500</v>
      </c>
      <c r="CV172" s="625" t="s">
        <v>812</v>
      </c>
      <c r="CW172" s="823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>SUM(M172,AG172,BA172,BU172,DI172)-SUM(O172,AI172,BC172,BW172,CQ172)-L172</f>
        <v>-556</v>
      </c>
      <c r="DH172" s="29">
        <f t="shared" ref="DH172:DH180" si="321">BY172</f>
        <v>650</v>
      </c>
      <c r="DI172" s="298">
        <f>DI82</f>
        <v>0</v>
      </c>
      <c r="DJ172" s="5">
        <f t="shared" si="319"/>
        <v>-650</v>
      </c>
      <c r="DK172" s="240"/>
      <c r="DL172" s="303">
        <f>DL82</f>
        <v>0</v>
      </c>
      <c r="DM172" s="231">
        <f t="shared" si="320"/>
        <v>650</v>
      </c>
    </row>
    <row r="173" spans="1:117" ht="28.8" x14ac:dyDescent="0.3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>SUM(M173,AG173,BA173,BU173)-L173</f>
        <v>7024</v>
      </c>
      <c r="K173" s="395">
        <f t="shared" si="318"/>
        <v>-4808</v>
      </c>
      <c r="L173" s="544">
        <v>5720</v>
      </c>
      <c r="M173" s="302">
        <f>M82*24</f>
        <v>912</v>
      </c>
      <c r="N173" s="7">
        <f t="shared" si="302"/>
        <v>-4808</v>
      </c>
      <c r="O173" s="242"/>
      <c r="P173" s="304">
        <f>P82*24</f>
        <v>912</v>
      </c>
      <c r="Q173" s="234">
        <f t="shared" si="303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>SUM(M173,AG173)-SUM(O173,AI173)-L173</f>
        <v>-10364</v>
      </c>
      <c r="AF173" s="29">
        <f>Q173</f>
        <v>4808</v>
      </c>
      <c r="AG173" s="302">
        <f>AG82*24</f>
        <v>1944</v>
      </c>
      <c r="AH173" s="7">
        <f t="shared" si="304"/>
        <v>-2864</v>
      </c>
      <c r="AI173" s="603">
        <v>7500</v>
      </c>
      <c r="AJ173" s="304">
        <f>AJ82*24</f>
        <v>1944</v>
      </c>
      <c r="AK173" s="234">
        <f t="shared" si="305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>SUM(M173,AG173,BA173)-SUM(O173,AI173,BC173)-L173</f>
        <v>-4076</v>
      </c>
      <c r="AZ173" s="29">
        <f t="shared" si="314"/>
        <v>10364</v>
      </c>
      <c r="BA173" s="302">
        <f>BA82*24</f>
        <v>6288</v>
      </c>
      <c r="BB173" s="7">
        <f t="shared" si="306"/>
        <v>-4076</v>
      </c>
      <c r="BC173" s="258"/>
      <c r="BD173" s="304">
        <f>BD82*24</f>
        <v>6288</v>
      </c>
      <c r="BE173" s="234">
        <f t="shared" si="307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>SUM(M173,AG173,BA173,BU173)-SUM(O173,AI173,BC173,BW173)-L173</f>
        <v>-3476</v>
      </c>
      <c r="BT173" s="29">
        <f t="shared" si="315"/>
        <v>4076</v>
      </c>
      <c r="BU173" s="302">
        <f>BU82*24</f>
        <v>3600</v>
      </c>
      <c r="BV173" s="7">
        <f t="shared" si="308"/>
        <v>-476</v>
      </c>
      <c r="BW173" s="623">
        <v>3000</v>
      </c>
      <c r="BX173" s="304">
        <f>BX82*24</f>
        <v>1344</v>
      </c>
      <c r="BY173" s="234">
        <f t="shared" si="309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44"/>
      <c r="CL173" s="844"/>
      <c r="CM173" s="395">
        <f>SUM(M173,AG173,BA173,BU173,CO173)-SUM(O173,AI173,BC173,BW173,CQ173)-L173</f>
        <v>-3476</v>
      </c>
      <c r="CN173" s="29">
        <f t="shared" si="316"/>
        <v>5732</v>
      </c>
      <c r="CO173" s="302">
        <f>CO82*24</f>
        <v>0</v>
      </c>
      <c r="CP173" s="7">
        <f t="shared" si="310"/>
        <v>-5732</v>
      </c>
      <c r="CQ173" s="242"/>
      <c r="CR173" s="304">
        <f>CR82*24</f>
        <v>0</v>
      </c>
      <c r="CS173" s="234">
        <f t="shared" si="311"/>
        <v>5732</v>
      </c>
      <c r="CT173" s="121"/>
      <c r="CU173" s="628">
        <f t="shared" ref="CU173:CU179" si="322">BW173*$F$172/2</f>
        <v>63000</v>
      </c>
      <c r="CV173" s="625" t="s">
        <v>812</v>
      </c>
      <c r="CW173" s="823"/>
      <c r="CX173" s="121"/>
      <c r="CY173" s="6"/>
      <c r="CZ173" s="35"/>
      <c r="DA173" s="736"/>
      <c r="DB173" s="20"/>
      <c r="DC173" s="8"/>
      <c r="DD173" s="34"/>
      <c r="DE173" s="234"/>
      <c r="DF173" s="234"/>
      <c r="DG173" s="395">
        <f>SUM(M173,AG173,BA173,BU173,DI173)-SUM(O173,AI173,BC173,BW173,CQ173)-L173</f>
        <v>-3476</v>
      </c>
      <c r="DH173" s="29">
        <f t="shared" si="321"/>
        <v>5732</v>
      </c>
      <c r="DI173" s="302">
        <f>DI82*24</f>
        <v>0</v>
      </c>
      <c r="DJ173" s="7">
        <f t="shared" si="319"/>
        <v>-5732</v>
      </c>
      <c r="DK173" s="242"/>
      <c r="DL173" s="304">
        <f>DL82*24</f>
        <v>0</v>
      </c>
      <c r="DM173" s="234">
        <f t="shared" si="320"/>
        <v>5732</v>
      </c>
    </row>
    <row r="174" spans="1:117" ht="28.8" x14ac:dyDescent="0.3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>SUM(M174,AG174,BA174,BU174)-L174</f>
        <v>399</v>
      </c>
      <c r="K174" s="395">
        <f t="shared" si="318"/>
        <v>-94</v>
      </c>
      <c r="L174" s="544">
        <v>132</v>
      </c>
      <c r="M174" s="298">
        <f>M82</f>
        <v>38</v>
      </c>
      <c r="N174" s="5">
        <f t="shared" si="302"/>
        <v>-94</v>
      </c>
      <c r="O174" s="240"/>
      <c r="P174" s="303">
        <f>P82</f>
        <v>38</v>
      </c>
      <c r="Q174" s="231">
        <f t="shared" si="303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>SUM(M174,AG174)-SUM(O174,AI174)-L174</f>
        <v>-513</v>
      </c>
      <c r="AF174" s="29">
        <f>Q174</f>
        <v>94</v>
      </c>
      <c r="AG174" s="298">
        <f>AG82</f>
        <v>81</v>
      </c>
      <c r="AH174" s="5">
        <f t="shared" si="304"/>
        <v>-13</v>
      </c>
      <c r="AI174" s="602">
        <v>500</v>
      </c>
      <c r="AJ174" s="303">
        <f>AJ82</f>
        <v>81</v>
      </c>
      <c r="AK174" s="231">
        <f t="shared" si="305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>SUM(M174,AG174,BA174)-SUM(O174,AI174,BC174)-L174</f>
        <v>-251</v>
      </c>
      <c r="AZ174" s="29">
        <f t="shared" si="314"/>
        <v>513</v>
      </c>
      <c r="BA174" s="298">
        <f>BA82</f>
        <v>262</v>
      </c>
      <c r="BB174" s="5">
        <f t="shared" si="306"/>
        <v>-251</v>
      </c>
      <c r="BC174" s="256"/>
      <c r="BD174" s="303">
        <f>BD82</f>
        <v>262</v>
      </c>
      <c r="BE174" s="231">
        <f t="shared" si="307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>SUM(M174,AG174,BA174,BU174)-SUM(O174,AI174,BC174,BW174)-L174</f>
        <v>-601</v>
      </c>
      <c r="BT174" s="29">
        <f t="shared" si="315"/>
        <v>251</v>
      </c>
      <c r="BU174" s="298">
        <f>BU82</f>
        <v>150</v>
      </c>
      <c r="BV174" s="5">
        <f t="shared" si="308"/>
        <v>-101</v>
      </c>
      <c r="BW174" s="621">
        <v>500</v>
      </c>
      <c r="BX174" s="303">
        <f>BX82</f>
        <v>56</v>
      </c>
      <c r="BY174" s="231">
        <f t="shared" si="309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44"/>
      <c r="CL174" s="844"/>
      <c r="CM174" s="395">
        <f>SUM(M174,AG174,BA174,BU174,CO174)-SUM(O174,AI174,BC174,BW174,CQ174)-L174</f>
        <v>-601</v>
      </c>
      <c r="CN174" s="29">
        <f t="shared" si="316"/>
        <v>695</v>
      </c>
      <c r="CO174" s="298">
        <f>CO82</f>
        <v>0</v>
      </c>
      <c r="CP174" s="5">
        <f t="shared" si="310"/>
        <v>-695</v>
      </c>
      <c r="CQ174" s="240"/>
      <c r="CR174" s="303">
        <f>CR82</f>
        <v>0</v>
      </c>
      <c r="CS174" s="231">
        <f t="shared" si="311"/>
        <v>695</v>
      </c>
      <c r="CT174" s="121"/>
      <c r="CU174" s="628">
        <f t="shared" si="322"/>
        <v>10500</v>
      </c>
      <c r="CV174" s="625" t="s">
        <v>812</v>
      </c>
      <c r="CW174" s="823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>SUM(M174,AG174,BA174,BU174,DI174)-SUM(O174,AI174,BC174,BW174,CQ174)-L174</f>
        <v>-601</v>
      </c>
      <c r="DH174" s="29">
        <f t="shared" si="321"/>
        <v>695</v>
      </c>
      <c r="DI174" s="298">
        <f>DI82</f>
        <v>0</v>
      </c>
      <c r="DJ174" s="5">
        <f t="shared" si="319"/>
        <v>-695</v>
      </c>
      <c r="DK174" s="240"/>
      <c r="DL174" s="303">
        <f>DL82</f>
        <v>0</v>
      </c>
      <c r="DM174" s="231">
        <f t="shared" si="320"/>
        <v>695</v>
      </c>
    </row>
    <row r="175" spans="1:117" ht="28.8" x14ac:dyDescent="0.3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>SUM(M175,AG175,BA175,BU175)-L175</f>
        <v>167</v>
      </c>
      <c r="K175" s="395">
        <f t="shared" si="318"/>
        <v>-495</v>
      </c>
      <c r="L175" s="544">
        <v>560</v>
      </c>
      <c r="M175" s="298">
        <f>SUM(M102,M106)</f>
        <v>65</v>
      </c>
      <c r="N175" s="5">
        <f t="shared" si="302"/>
        <v>-495</v>
      </c>
      <c r="O175" s="242"/>
      <c r="P175" s="303">
        <f>SUM(P102,P106)</f>
        <v>65</v>
      </c>
      <c r="Q175" s="231">
        <f t="shared" si="303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>SUM(M175,AG175)-SUM(O175,AI175)-L175</f>
        <v>-682</v>
      </c>
      <c r="AF175" s="29">
        <f>Q175</f>
        <v>495</v>
      </c>
      <c r="AG175" s="298">
        <f>SUM(AG102,AG106)</f>
        <v>113</v>
      </c>
      <c r="AH175" s="5">
        <f t="shared" si="304"/>
        <v>-382</v>
      </c>
      <c r="AI175" s="603">
        <v>300</v>
      </c>
      <c r="AJ175" s="303">
        <f>SUM(AJ102,AJ106)</f>
        <v>113</v>
      </c>
      <c r="AK175" s="231">
        <f t="shared" si="305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>SUM(M175,AG175,BA175)-SUM(O175,AI175,BC175)-L175</f>
        <v>-309</v>
      </c>
      <c r="AZ175" s="29">
        <f t="shared" si="314"/>
        <v>682</v>
      </c>
      <c r="BA175" s="298">
        <f>SUM(BA102,BA106)</f>
        <v>373</v>
      </c>
      <c r="BB175" s="5">
        <f t="shared" si="306"/>
        <v>-309</v>
      </c>
      <c r="BC175" s="240"/>
      <c r="BD175" s="303">
        <f>SUM(BD102,BD106)</f>
        <v>373</v>
      </c>
      <c r="BE175" s="231">
        <f t="shared" si="307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>SUM(M175,AG175,BA175,BU175)-SUM(O175,AI175,BC175,BW175)-L175</f>
        <v>-433</v>
      </c>
      <c r="BT175" s="29">
        <f t="shared" si="315"/>
        <v>309</v>
      </c>
      <c r="BU175" s="298">
        <f>SUM(BU102,BU106)</f>
        <v>176</v>
      </c>
      <c r="BV175" s="5">
        <f t="shared" si="308"/>
        <v>-133</v>
      </c>
      <c r="BW175" s="240">
        <v>300</v>
      </c>
      <c r="BX175" s="303">
        <f>SUM(BX102,BX106)</f>
        <v>95</v>
      </c>
      <c r="BY175" s="231">
        <f t="shared" si="309"/>
        <v>514</v>
      </c>
      <c r="BZ175" s="121"/>
      <c r="CA175" s="6"/>
      <c r="CB175" s="35"/>
      <c r="CC175" s="736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45"/>
      <c r="CL175" s="845"/>
      <c r="CM175" s="395">
        <f>SUM(M175,AG175,BA175,BU175,CO175)-SUM(O175,AI175,BC175,BW175,CQ175)-L175</f>
        <v>-433</v>
      </c>
      <c r="CN175" s="29">
        <f t="shared" si="316"/>
        <v>514</v>
      </c>
      <c r="CO175" s="298">
        <f>SUM(CO102,CO106)</f>
        <v>0</v>
      </c>
      <c r="CP175" s="5">
        <f t="shared" si="310"/>
        <v>-514</v>
      </c>
      <c r="CQ175" s="240"/>
      <c r="CR175" s="303">
        <f>SUM(CR102,CR106)</f>
        <v>0</v>
      </c>
      <c r="CS175" s="231">
        <f t="shared" si="311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>SUM(M175,AG175,BA175,BU175,DI175)-SUM(O175,AI175,BC175,BW175,CQ175)-L175</f>
        <v>-433</v>
      </c>
      <c r="DH175" s="29">
        <f t="shared" si="321"/>
        <v>514</v>
      </c>
      <c r="DI175" s="298">
        <f>SUM(DI102,DI106)</f>
        <v>0</v>
      </c>
      <c r="DJ175" s="5">
        <f t="shared" si="319"/>
        <v>-514</v>
      </c>
      <c r="DK175" s="240"/>
      <c r="DL175" s="303">
        <f>SUM(DL102,DL106)</f>
        <v>0</v>
      </c>
      <c r="DM175" s="231">
        <f t="shared" si="320"/>
        <v>514</v>
      </c>
    </row>
    <row r="176" spans="1:117" ht="43.2" x14ac:dyDescent="0.3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>SUM(M176,AG176,BA176,BU176)-L176</f>
        <v>126</v>
      </c>
      <c r="K176" s="395">
        <f t="shared" si="318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30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>SUM(M176,AG176)-SUM(O176,AI176)-L176</f>
        <v>-211</v>
      </c>
      <c r="AF176" s="29">
        <f>Q176</f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>SUM(M176,AG176,BA176)-SUM(O176,AI176,BC176)-L176</f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>SUM(M176,AG176,BA176,BU176)-SUM(O176,AI176,BC176,BW176)-L176</f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39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44"/>
      <c r="CL176" s="844"/>
      <c r="CM176" s="395">
        <f>SUM(M176,AG176,BA176,BU176,CO176)-SUM(O176,AI176,BC176,BW176,CQ176)-L176</f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22"/>
        <v>6300</v>
      </c>
      <c r="CV176" s="625" t="s">
        <v>812</v>
      </c>
      <c r="CW176" s="823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>SUM(M176,AG176,BA176,BU176,DI176)-SUM(O176,AI176,BC176,BW176,CQ176)-L176</f>
        <v>-374</v>
      </c>
      <c r="DH176" s="29">
        <f t="shared" si="321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3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>SUM(M177,AG177,BA177,BU177)-L177</f>
        <v>190</v>
      </c>
      <c r="K177" s="395">
        <f t="shared" si="318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23">L177+O177-P177</f>
        <v>11</v>
      </c>
      <c r="R177" s="123"/>
      <c r="S177" s="8"/>
      <c r="T177" s="34"/>
      <c r="U177" s="736"/>
      <c r="V177" s="123"/>
      <c r="W177" s="8"/>
      <c r="X177" s="34"/>
      <c r="Y177" s="736"/>
      <c r="Z177" s="21"/>
      <c r="AA177" s="8"/>
      <c r="AB177" s="35"/>
      <c r="AC177" s="736"/>
      <c r="AD177" s="736"/>
      <c r="AE177" s="394">
        <f>SUM(M177,AG177)-SUM(O177,AI177)-L177</f>
        <v>-247</v>
      </c>
      <c r="AF177" s="32">
        <f>Q177</f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97"/>
      <c r="AP177" s="8"/>
      <c r="AQ177" s="8"/>
      <c r="AR177" s="35"/>
      <c r="AS177" s="612"/>
      <c r="AT177" s="21"/>
      <c r="AU177" s="21"/>
      <c r="AV177" s="35"/>
      <c r="AW177" s="736"/>
      <c r="AX177" s="736"/>
      <c r="AY177" s="394">
        <f>SUM(M177,AG177,BA177)-SUM(O177,AI177,BC177)-L177</f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36"/>
      <c r="BJ177" s="123"/>
      <c r="BK177" s="8"/>
      <c r="BL177" s="34"/>
      <c r="BM177" s="736"/>
      <c r="BN177" s="123"/>
      <c r="BO177" s="8"/>
      <c r="BP177" s="34"/>
      <c r="BQ177" s="736"/>
      <c r="BR177" s="736"/>
      <c r="BS177" s="394">
        <f>SUM(M177,AG177,BA177,BU177)-SUM(O177,AI177,BC177,BW177)-L177</f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36"/>
      <c r="CD177" s="123"/>
      <c r="CE177" s="8"/>
      <c r="CF177" s="34"/>
      <c r="CG177" s="736"/>
      <c r="CH177" s="20"/>
      <c r="CI177" s="8"/>
      <c r="CJ177" s="34"/>
      <c r="CK177" s="234"/>
      <c r="CL177" s="234"/>
      <c r="CM177" s="395">
        <f>SUM(M177,AG177,BA177,BU177,CO177)-SUM(O177,AI177,BC177,BW177,CQ177)-L177</f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36"/>
      <c r="CX177" s="123"/>
      <c r="CY177" s="8"/>
      <c r="CZ177" s="34"/>
      <c r="DA177" s="736"/>
      <c r="DB177" s="20"/>
      <c r="DC177" s="8"/>
      <c r="DD177" s="34"/>
      <c r="DE177" s="234"/>
      <c r="DF177" s="234"/>
      <c r="DG177" s="395">
        <f>SUM(M177,AG177,BA177,BU177,DI177)-SUM(O177,AI177,BC177,BW177,CQ177)-L177</f>
        <v>-110</v>
      </c>
      <c r="DH177" s="29">
        <f t="shared" si="321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3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>SUM(M178,AG178,BA178,BU178)-L178</f>
        <v>-92</v>
      </c>
      <c r="K178" s="395">
        <f t="shared" si="318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>SUM(M178,AG178)-SUM(O178,AI178)-L178</f>
        <v>-109</v>
      </c>
      <c r="AF178" s="29">
        <f>Q178</f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>SUM(M178,AG178,BA178)-SUM(O178,AI178,BC178)-L178</f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>SUM(M178,AG178,BA178,BU178)-SUM(O178,AI178,BC178,BW178)-L178</f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>SUM(M178,AG178,BA178,BU178,CO178)-SUM(O178,AI178,BC178,BW178,CQ178)-L178</f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>SUM(M178,AG178,BA178,BU178,DI178)-SUM(O178,AI178,BC178,BW178,CQ178)-L178</f>
        <v>-92</v>
      </c>
      <c r="DH178" s="29">
        <f t="shared" si="321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3.2" x14ac:dyDescent="0.3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>SUM(M179,AG179,BA179,BU179)-L179</f>
        <v>355</v>
      </c>
      <c r="K179" s="395">
        <f t="shared" si="318"/>
        <v>-832</v>
      </c>
      <c r="L179" s="515">
        <v>871</v>
      </c>
      <c r="M179" s="302">
        <f>SUM(M138,M146)</f>
        <v>39</v>
      </c>
      <c r="N179" s="7">
        <f t="shared" si="302"/>
        <v>-832</v>
      </c>
      <c r="O179" s="240"/>
      <c r="P179" s="304">
        <f>SUM(P138,P146)</f>
        <v>39</v>
      </c>
      <c r="Q179" s="234">
        <f t="shared" si="303"/>
        <v>832</v>
      </c>
      <c r="R179" s="123"/>
      <c r="S179" s="8"/>
      <c r="T179" s="34"/>
      <c r="U179" s="736"/>
      <c r="V179" s="123"/>
      <c r="W179" s="8"/>
      <c r="X179" s="34"/>
      <c r="Y179" s="736"/>
      <c r="Z179" s="21"/>
      <c r="AA179" s="8"/>
      <c r="AB179" s="35"/>
      <c r="AC179" s="234"/>
      <c r="AD179" s="234"/>
      <c r="AE179" s="395">
        <f>SUM(M179,AG179)-SUM(O179,AI179)-L179</f>
        <v>-1366</v>
      </c>
      <c r="AF179" s="32">
        <f>Q179</f>
        <v>832</v>
      </c>
      <c r="AG179" s="302">
        <f>SUM(AG138,AG146)</f>
        <v>66</v>
      </c>
      <c r="AH179" s="7">
        <f t="shared" si="304"/>
        <v>-766</v>
      </c>
      <c r="AI179" s="602">
        <v>600</v>
      </c>
      <c r="AJ179" s="304">
        <f>SUM(AJ138,AJ146)</f>
        <v>66</v>
      </c>
      <c r="AK179" s="234">
        <f t="shared" si="305"/>
        <v>1366</v>
      </c>
      <c r="AL179" s="21"/>
      <c r="AM179" s="8"/>
      <c r="AN179" s="35"/>
      <c r="AO179" s="797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>SUM(M179,AG179,BA179)-SUM(O179,AI179,BC179)-L179</f>
        <v>-450</v>
      </c>
      <c r="AZ179" s="32">
        <f t="shared" si="314"/>
        <v>1366</v>
      </c>
      <c r="BA179" s="302">
        <f>SUM(BA138,BA146)</f>
        <v>916</v>
      </c>
      <c r="BB179" s="7">
        <f t="shared" si="306"/>
        <v>-450</v>
      </c>
      <c r="BC179" s="256"/>
      <c r="BD179" s="304">
        <f>SUM(BD138,BD146)</f>
        <v>920</v>
      </c>
      <c r="BE179" s="234">
        <f t="shared" si="307"/>
        <v>446</v>
      </c>
      <c r="BF179" s="123"/>
      <c r="BG179" s="8"/>
      <c r="BH179" s="34"/>
      <c r="BI179" s="736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>SUM(M179,AG179,BA179,BU179)-SUM(O179,AI179,BC179,BW179)-L179</f>
        <v>-745</v>
      </c>
      <c r="BT179" s="32">
        <f t="shared" si="315"/>
        <v>446</v>
      </c>
      <c r="BU179" s="302">
        <f>SUM(BU138,BU146)</f>
        <v>205</v>
      </c>
      <c r="BV179" s="7">
        <f t="shared" si="308"/>
        <v>-241</v>
      </c>
      <c r="BW179" s="621">
        <v>500</v>
      </c>
      <c r="BX179" s="304">
        <f>SUM(BX138,BX146)</f>
        <v>68</v>
      </c>
      <c r="BY179" s="234">
        <f t="shared" si="309"/>
        <v>878</v>
      </c>
      <c r="BZ179" s="123"/>
      <c r="CA179" s="8"/>
      <c r="CB179" s="34"/>
      <c r="CC179" s="736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44"/>
      <c r="CL179" s="844"/>
      <c r="CM179" s="395">
        <f>SUM(M179,AG179,BA179,BU179,CO179)-SUM(O179,AI179,BC179,BW179,CQ179)-L179</f>
        <v>-745</v>
      </c>
      <c r="CN179" s="32">
        <f t="shared" si="316"/>
        <v>878</v>
      </c>
      <c r="CO179" s="302">
        <f>SUM(CO138,CO146)</f>
        <v>0</v>
      </c>
      <c r="CP179" s="7">
        <f t="shared" si="310"/>
        <v>-878</v>
      </c>
      <c r="CQ179" s="258"/>
      <c r="CR179" s="304">
        <f>SUM(CR138,CR146)</f>
        <v>0</v>
      </c>
      <c r="CS179" s="234">
        <f t="shared" si="311"/>
        <v>878</v>
      </c>
      <c r="CT179" s="123"/>
      <c r="CU179" s="628">
        <f t="shared" si="322"/>
        <v>10500</v>
      </c>
      <c r="CV179" s="625" t="s">
        <v>812</v>
      </c>
      <c r="CW179" s="818"/>
      <c r="CX179" s="123"/>
      <c r="CY179" s="8"/>
      <c r="CZ179" s="34"/>
      <c r="DA179" s="736"/>
      <c r="DB179" s="20"/>
      <c r="DC179" s="8"/>
      <c r="DD179" s="34"/>
      <c r="DE179" s="234"/>
      <c r="DF179" s="234"/>
      <c r="DG179" s="395">
        <f>SUM(M179,AG179,BA179,BU179,DI179)-SUM(O179,AI179,BC179,BW179,CQ179)-L179</f>
        <v>-745</v>
      </c>
      <c r="DH179" s="29">
        <f t="shared" si="321"/>
        <v>878</v>
      </c>
      <c r="DI179" s="302">
        <f>SUM(DI138,DI146)</f>
        <v>0</v>
      </c>
      <c r="DJ179" s="7">
        <f t="shared" ref="DJ179:DJ180" si="324">DI179-DH179</f>
        <v>-878</v>
      </c>
      <c r="DK179" s="258"/>
      <c r="DL179" s="304">
        <f>SUM(DL138,DL146)</f>
        <v>0</v>
      </c>
      <c r="DM179" s="234">
        <f t="shared" ref="DM179:DM180" si="325">DH179+DK179-DL179</f>
        <v>878</v>
      </c>
    </row>
    <row r="180" spans="1:117" x14ac:dyDescent="0.3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>SUM(M180,AG180,BA180,BU180)-L180</f>
        <v>-78</v>
      </c>
      <c r="K180" s="395">
        <f t="shared" si="318"/>
        <v>-85</v>
      </c>
      <c r="L180" s="544">
        <v>85</v>
      </c>
      <c r="M180" s="298">
        <f>M154</f>
        <v>0</v>
      </c>
      <c r="N180" s="5">
        <f t="shared" si="302"/>
        <v>-85</v>
      </c>
      <c r="O180" s="256"/>
      <c r="P180" s="303">
        <f>P154</f>
        <v>0</v>
      </c>
      <c r="Q180" s="231">
        <f t="shared" si="303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>SUM(M180,AG180)-SUM(O180,AI180)-L180</f>
        <v>-82</v>
      </c>
      <c r="AF180" s="29">
        <f>Q180</f>
        <v>85</v>
      </c>
      <c r="AG180" s="298">
        <f>AG154</f>
        <v>3</v>
      </c>
      <c r="AH180" s="5">
        <f t="shared" si="304"/>
        <v>-82</v>
      </c>
      <c r="AI180" s="240"/>
      <c r="AJ180" s="303">
        <f>AJ154</f>
        <v>3</v>
      </c>
      <c r="AK180" s="231">
        <f t="shared" si="305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>SUM(M180,AG180,BA180)-SUM(O180,AI180,BC180)-L180</f>
        <v>-82</v>
      </c>
      <c r="AZ180" s="29">
        <f>AK180</f>
        <v>82</v>
      </c>
      <c r="BA180" s="298">
        <f>BA154</f>
        <v>0</v>
      </c>
      <c r="BB180" s="5">
        <f t="shared" si="306"/>
        <v>-82</v>
      </c>
      <c r="BC180" s="256"/>
      <c r="BD180" s="303">
        <f>BD154</f>
        <v>11</v>
      </c>
      <c r="BE180" s="231">
        <f t="shared" si="307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>SUM(M180,AG180,BA180,BU180)-SUM(O180,AI180,BC180,BW180)-L180</f>
        <v>-78</v>
      </c>
      <c r="BT180" s="29">
        <f>BE180</f>
        <v>71</v>
      </c>
      <c r="BU180" s="298">
        <f>BU154</f>
        <v>4</v>
      </c>
      <c r="BV180" s="5">
        <f t="shared" si="308"/>
        <v>-67</v>
      </c>
      <c r="BW180" s="240"/>
      <c r="BX180" s="303">
        <f>BX154</f>
        <v>1</v>
      </c>
      <c r="BY180" s="231">
        <f t="shared" si="309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>SUM(M180,AG180,BA180,BU180,CO180)-SUM(O180,AI180,BC180,BW180,CQ180)-L180</f>
        <v>-78</v>
      </c>
      <c r="CN180" s="29">
        <f>BY180</f>
        <v>70</v>
      </c>
      <c r="CO180" s="298">
        <f>CO154</f>
        <v>0</v>
      </c>
      <c r="CP180" s="5">
        <f t="shared" si="310"/>
        <v>-70</v>
      </c>
      <c r="CQ180" s="240"/>
      <c r="CR180" s="303">
        <f>CR154</f>
        <v>0</v>
      </c>
      <c r="CS180" s="231">
        <f t="shared" si="311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>SUM(M180,AG180,BA180,BU180,DI180)-SUM(O180,AI180,BC180,BW180,CQ180)-L180</f>
        <v>-78</v>
      </c>
      <c r="DH180" s="29">
        <f t="shared" si="321"/>
        <v>70</v>
      </c>
      <c r="DI180" s="298">
        <f>DI154</f>
        <v>0</v>
      </c>
      <c r="DJ180" s="5">
        <f t="shared" si="324"/>
        <v>-70</v>
      </c>
      <c r="DK180" s="240"/>
      <c r="DL180" s="303">
        <f>DL154</f>
        <v>0</v>
      </c>
      <c r="DM180" s="231">
        <f t="shared" si="325"/>
        <v>70</v>
      </c>
    </row>
    <row r="181" spans="1:117" x14ac:dyDescent="0.3">
      <c r="A181" s="360"/>
      <c r="B181" s="361"/>
      <c r="C181" s="360"/>
      <c r="D181" s="373"/>
      <c r="E181" s="373"/>
      <c r="F181" s="362"/>
      <c r="G181" s="361"/>
      <c r="H181" s="485"/>
      <c r="I181" s="78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41"/>
      <c r="V181" s="366"/>
      <c r="W181" s="367"/>
      <c r="X181" s="368"/>
      <c r="Y181" s="741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41"/>
      <c r="AP181" s="366"/>
      <c r="AQ181" s="367"/>
      <c r="AR181" s="368"/>
      <c r="AS181" s="741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41"/>
      <c r="BJ181" s="366"/>
      <c r="BK181" s="367"/>
      <c r="BL181" s="368"/>
      <c r="BM181" s="741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41"/>
      <c r="CD181" s="366"/>
      <c r="CE181" s="367"/>
      <c r="CF181" s="368"/>
      <c r="CG181" s="741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41"/>
      <c r="CX181" s="366"/>
      <c r="CY181" s="367"/>
      <c r="CZ181" s="368"/>
      <c r="DA181" s="741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3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26">M182-O182-L182</f>
        <v>-409</v>
      </c>
      <c r="L182" s="544">
        <v>447</v>
      </c>
      <c r="M182" s="298">
        <f>M82</f>
        <v>38</v>
      </c>
      <c r="N182" s="5">
        <f t="shared" ref="N182" si="327">M182-L182</f>
        <v>-409</v>
      </c>
      <c r="O182" s="256"/>
      <c r="P182" s="303">
        <f>P82</f>
        <v>38</v>
      </c>
      <c r="Q182" s="231">
        <f t="shared" ref="Q182" si="328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04"/>
        <v>-328</v>
      </c>
      <c r="AI182" s="256"/>
      <c r="AJ182" s="303">
        <f>AJ82</f>
        <v>81</v>
      </c>
      <c r="AK182" s="231">
        <f t="shared" si="305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29">AK182</f>
        <v>328</v>
      </c>
      <c r="BA182" s="298">
        <f>BA82</f>
        <v>262</v>
      </c>
      <c r="BB182" s="5">
        <f t="shared" si="306"/>
        <v>-66</v>
      </c>
      <c r="BC182" s="256">
        <v>500</v>
      </c>
      <c r="BD182" s="303">
        <f>BD82</f>
        <v>262</v>
      </c>
      <c r="BE182" s="231">
        <f t="shared" si="307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30">BE182</f>
        <v>566</v>
      </c>
      <c r="BU182" s="298">
        <f>BU82</f>
        <v>150</v>
      </c>
      <c r="BV182" s="5">
        <f t="shared" si="308"/>
        <v>-416</v>
      </c>
      <c r="BW182" s="240"/>
      <c r="BX182" s="303">
        <f>BX82</f>
        <v>56</v>
      </c>
      <c r="BY182" s="231">
        <f t="shared" si="309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31">BY182</f>
        <v>510</v>
      </c>
      <c r="CO182" s="298">
        <f>CO82</f>
        <v>0</v>
      </c>
      <c r="CP182" s="5">
        <f t="shared" si="310"/>
        <v>-510</v>
      </c>
      <c r="CQ182" s="5"/>
      <c r="CR182" s="303">
        <f>CR82</f>
        <v>0</v>
      </c>
      <c r="CS182" s="231">
        <f t="shared" si="311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32">DI182-DH182</f>
        <v>-510</v>
      </c>
      <c r="DK182" s="5"/>
      <c r="DL182" s="303">
        <f>DL82</f>
        <v>0</v>
      </c>
      <c r="DM182" s="231">
        <f t="shared" ref="DM182:DM184" si="333">DH182+DK182-DL182</f>
        <v>510</v>
      </c>
    </row>
    <row r="183" spans="1:117" x14ac:dyDescent="0.3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26"/>
        <v>-409</v>
      </c>
      <c r="L183" s="544">
        <v>447</v>
      </c>
      <c r="M183" s="298">
        <f>M84</f>
        <v>38</v>
      </c>
      <c r="N183" s="5">
        <f t="shared" ref="N183" si="334">M183-L183</f>
        <v>-409</v>
      </c>
      <c r="O183" s="256"/>
      <c r="P183" s="303">
        <f>P84</f>
        <v>38</v>
      </c>
      <c r="Q183" s="231">
        <f t="shared" ref="Q183" si="335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36">AG183-AF183</f>
        <v>-328</v>
      </c>
      <c r="AI183" s="256"/>
      <c r="AJ183" s="303">
        <f>AJ84</f>
        <v>81</v>
      </c>
      <c r="AK183" s="231">
        <f t="shared" ref="AK183" si="337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38">AK183</f>
        <v>328</v>
      </c>
      <c r="BA183" s="298">
        <f>BA84</f>
        <v>262</v>
      </c>
      <c r="BB183" s="5">
        <f t="shared" ref="BB183" si="339">BA183-AZ183</f>
        <v>-66</v>
      </c>
      <c r="BC183" s="256">
        <v>500</v>
      </c>
      <c r="BD183" s="303">
        <f>BD84</f>
        <v>262</v>
      </c>
      <c r="BE183" s="231">
        <f t="shared" ref="BE183" si="340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41">BE183</f>
        <v>566</v>
      </c>
      <c r="BU183" s="298">
        <f>BU84</f>
        <v>150</v>
      </c>
      <c r="BV183" s="5">
        <f t="shared" ref="BV183" si="342">BU183-BT183</f>
        <v>-416</v>
      </c>
      <c r="BW183" s="240"/>
      <c r="BX183" s="303">
        <f>BX84</f>
        <v>56</v>
      </c>
      <c r="BY183" s="231">
        <f t="shared" ref="BY183" si="343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44">BY183</f>
        <v>510</v>
      </c>
      <c r="CO183" s="298">
        <f>CO84</f>
        <v>0</v>
      </c>
      <c r="CP183" s="5">
        <f t="shared" ref="CP183" si="345">CO183-CN183</f>
        <v>-510</v>
      </c>
      <c r="CQ183" s="5"/>
      <c r="CR183" s="303">
        <f>CR84</f>
        <v>0</v>
      </c>
      <c r="CS183" s="231">
        <f t="shared" ref="CS183" si="346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347">BY183</f>
        <v>510</v>
      </c>
      <c r="DI183" s="298">
        <f>DI84</f>
        <v>0</v>
      </c>
      <c r="DJ183" s="5">
        <f t="shared" si="332"/>
        <v>-510</v>
      </c>
      <c r="DK183" s="5"/>
      <c r="DL183" s="303">
        <f>DL84</f>
        <v>0</v>
      </c>
      <c r="DM183" s="231">
        <f t="shared" si="333"/>
        <v>510</v>
      </c>
    </row>
    <row r="184" spans="1:117" ht="29.4" thickBot="1" x14ac:dyDescent="0.35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26"/>
        <v>-409</v>
      </c>
      <c r="L184" s="551">
        <v>447</v>
      </c>
      <c r="M184" s="300">
        <f>M82</f>
        <v>38</v>
      </c>
      <c r="N184" s="65">
        <f t="shared" si="302"/>
        <v>-409</v>
      </c>
      <c r="O184" s="286"/>
      <c r="P184" s="384">
        <f>P82</f>
        <v>38</v>
      </c>
      <c r="Q184" s="297">
        <f t="shared" si="303"/>
        <v>409</v>
      </c>
      <c r="R184" s="126"/>
      <c r="S184" s="127"/>
      <c r="T184" s="66"/>
      <c r="U184" s="738"/>
      <c r="V184" s="126"/>
      <c r="W184" s="127"/>
      <c r="X184" s="66"/>
      <c r="Y184" s="738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04"/>
        <v>-328</v>
      </c>
      <c r="AI184" s="286"/>
      <c r="AJ184" s="384">
        <f>AJ82</f>
        <v>81</v>
      </c>
      <c r="AK184" s="297">
        <f t="shared" si="305"/>
        <v>328</v>
      </c>
      <c r="AL184" s="126"/>
      <c r="AM184" s="127"/>
      <c r="AN184" s="66"/>
      <c r="AO184" s="738"/>
      <c r="AP184" s="126"/>
      <c r="AQ184" s="127"/>
      <c r="AR184" s="66"/>
      <c r="AS184" s="738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29"/>
        <v>328</v>
      </c>
      <c r="BA184" s="300">
        <f>BA82</f>
        <v>262</v>
      </c>
      <c r="BB184" s="65">
        <f t="shared" si="306"/>
        <v>-66</v>
      </c>
      <c r="BC184" s="241">
        <v>500</v>
      </c>
      <c r="BD184" s="384">
        <f>BD82</f>
        <v>262</v>
      </c>
      <c r="BE184" s="297">
        <f t="shared" si="307"/>
        <v>566</v>
      </c>
      <c r="BF184" s="126"/>
      <c r="BG184" s="127"/>
      <c r="BH184" s="66"/>
      <c r="BI184" s="738"/>
      <c r="BJ184" s="126"/>
      <c r="BK184" s="127"/>
      <c r="BL184" s="66"/>
      <c r="BM184" s="738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30"/>
        <v>566</v>
      </c>
      <c r="BU184" s="300">
        <f>BU82</f>
        <v>150</v>
      </c>
      <c r="BV184" s="65">
        <f t="shared" si="308"/>
        <v>-416</v>
      </c>
      <c r="BW184" s="645">
        <v>600</v>
      </c>
      <c r="BX184" s="384">
        <f>BX82</f>
        <v>56</v>
      </c>
      <c r="BY184" s="297">
        <f t="shared" si="309"/>
        <v>1110</v>
      </c>
      <c r="BZ184" s="126"/>
      <c r="CA184" s="127"/>
      <c r="CB184" s="66"/>
      <c r="CC184" s="738"/>
      <c r="CD184" s="698">
        <v>13200</v>
      </c>
      <c r="CE184" s="703">
        <v>13200</v>
      </c>
      <c r="CF184" s="704" t="s">
        <v>897</v>
      </c>
      <c r="CG184" s="828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31"/>
        <v>1110</v>
      </c>
      <c r="CO184" s="300">
        <f>CO82</f>
        <v>0</v>
      </c>
      <c r="CP184" s="65">
        <f t="shared" si="310"/>
        <v>-1110</v>
      </c>
      <c r="CQ184" s="65"/>
      <c r="CR184" s="384">
        <f>CR82</f>
        <v>0</v>
      </c>
      <c r="CS184" s="297">
        <f t="shared" si="311"/>
        <v>1110</v>
      </c>
      <c r="CT184" s="126"/>
      <c r="CU184" s="127"/>
      <c r="CV184" s="66"/>
      <c r="CW184" s="738"/>
      <c r="CX184" s="126"/>
      <c r="CY184" s="127"/>
      <c r="CZ184" s="66"/>
      <c r="DA184" s="738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347"/>
        <v>1110</v>
      </c>
      <c r="DI184" s="300">
        <f>DI82</f>
        <v>0</v>
      </c>
      <c r="DJ184" s="65">
        <f t="shared" si="332"/>
        <v>-1110</v>
      </c>
      <c r="DK184" s="65"/>
      <c r="DL184" s="384">
        <f>DL82</f>
        <v>0</v>
      </c>
      <c r="DM184" s="297">
        <f t="shared" si="333"/>
        <v>1110</v>
      </c>
    </row>
    <row r="185" spans="1:117" ht="15" thickBot="1" x14ac:dyDescent="0.35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" thickBot="1" x14ac:dyDescent="0.35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" thickBot="1" x14ac:dyDescent="0.35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>SUM(M187,AG187,BA187,BU187)-L187</f>
        <v>15</v>
      </c>
      <c r="K187" s="395">
        <f t="shared" ref="K187:K200" si="348">M187-O187-L187</f>
        <v>-10</v>
      </c>
      <c r="L187" s="553">
        <v>15</v>
      </c>
      <c r="M187" s="285">
        <f>3+5-3</f>
        <v>5</v>
      </c>
      <c r="N187" s="47">
        <f t="shared" ref="N187:N200" si="349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43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>SUM(M187,AG187)-SUM(O187,AI187)-L187</f>
        <v>-10</v>
      </c>
      <c r="AF187" s="279">
        <f>Q187</f>
        <v>10</v>
      </c>
      <c r="AG187" s="285">
        <f>7-7+3-3</f>
        <v>0</v>
      </c>
      <c r="AH187" s="47">
        <f t="shared" ref="AH187:AH200" si="350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43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351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43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35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43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46"/>
      <c r="CL187" s="846"/>
      <c r="CM187" s="395">
        <f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353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43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354">DI187-DH187</f>
        <v>-51</v>
      </c>
      <c r="DK187" s="256"/>
      <c r="DL187" s="253"/>
      <c r="DM187" s="290">
        <f>DH187+DK187-DL187</f>
        <v>51</v>
      </c>
    </row>
    <row r="188" spans="1:117" x14ac:dyDescent="0.3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>SUM(M188,AG188,BA188,BU188)-L188</f>
        <v>13</v>
      </c>
      <c r="K188" s="395">
        <f t="shared" si="348"/>
        <v>-12</v>
      </c>
      <c r="L188" s="544">
        <v>17</v>
      </c>
      <c r="M188" s="256">
        <f>3+5-3</f>
        <v>5</v>
      </c>
      <c r="N188" s="5">
        <f t="shared" si="349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>SUM(M188,AG188)-SUM(O188,AI188)-L188</f>
        <v>-12</v>
      </c>
      <c r="AF188" s="29">
        <f>Q188</f>
        <v>12</v>
      </c>
      <c r="AG188" s="256">
        <f>7-7+3-3</f>
        <v>0</v>
      </c>
      <c r="AH188" s="5">
        <f t="shared" si="350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>SUM(M188,AG188,BA188)-SUM(O188,AI188,BC188)-L188</f>
        <v>-3</v>
      </c>
      <c r="AZ188" s="29">
        <f>AK188</f>
        <v>12</v>
      </c>
      <c r="BA188" s="285">
        <f>5-5+9</f>
        <v>9</v>
      </c>
      <c r="BB188" s="5">
        <f t="shared" si="351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>SUM(M188,AG188,BA188,BU188)-SUM(O188,AI188,BC188,BW188)-L188</f>
        <v>-37</v>
      </c>
      <c r="BT188" s="29">
        <f>BE188</f>
        <v>12</v>
      </c>
      <c r="BU188" s="285">
        <f>10-10+8-8+16</f>
        <v>16</v>
      </c>
      <c r="BV188" s="5">
        <f t="shared" si="35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>SUM(M188,AG188,BA188,BU188,CO188)-SUM(O188,AI188,BC188,BW188,CQ188)-L188</f>
        <v>-37</v>
      </c>
      <c r="CN188" s="29">
        <f>BY188</f>
        <v>53</v>
      </c>
      <c r="CO188" s="240"/>
      <c r="CP188" s="5">
        <f t="shared" si="353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>SUM(M188,AG188,BA188,BU188,DI188)-SUM(O188,AI188,BC188,BW188,CQ188)-L188</f>
        <v>-37</v>
      </c>
      <c r="DH188" s="29">
        <f t="shared" ref="DH188:DH191" si="355">BY188</f>
        <v>53</v>
      </c>
      <c r="DI188" s="240"/>
      <c r="DJ188" s="5">
        <f t="shared" si="354"/>
        <v>-53</v>
      </c>
      <c r="DK188" s="256"/>
      <c r="DL188" s="240"/>
      <c r="DM188" s="231">
        <f>DH188+DK188-DL188</f>
        <v>53</v>
      </c>
    </row>
    <row r="189" spans="1:117" x14ac:dyDescent="0.3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>SUM(M189,AG189,BA189,BU189)-L189</f>
        <v>75</v>
      </c>
      <c r="K189" s="395">
        <f t="shared" si="348"/>
        <v>-50</v>
      </c>
      <c r="L189" s="544">
        <v>75</v>
      </c>
      <c r="M189" s="344">
        <f>M188*5</f>
        <v>25</v>
      </c>
      <c r="N189" s="5">
        <f t="shared" si="349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34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>SUM(M189,AG189)-SUM(O189,AI189)-L189</f>
        <v>-50</v>
      </c>
      <c r="AF189" s="29">
        <f>Q189</f>
        <v>50</v>
      </c>
      <c r="AG189" s="344">
        <f>AG188*5</f>
        <v>0</v>
      </c>
      <c r="AH189" s="5">
        <f t="shared" si="350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34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>SUM(M189,AG189,BA189)-SUM(O189,AI189,BC189)-L189</f>
        <v>-5</v>
      </c>
      <c r="AZ189" s="29">
        <f t="shared" ref="AZ189:AZ197" si="356">AK189</f>
        <v>50</v>
      </c>
      <c r="BA189" s="344">
        <f>BA188*5</f>
        <v>45</v>
      </c>
      <c r="BB189" s="5">
        <f t="shared" si="351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34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>SUM(M189,AG189,BA189,BU189)-SUM(O189,AI189,BC189,BW189)-L189</f>
        <v>75</v>
      </c>
      <c r="BT189" s="29">
        <f t="shared" ref="BT189:BT200" si="357">BE189</f>
        <v>50</v>
      </c>
      <c r="BU189" s="344">
        <f>BU188*5</f>
        <v>80</v>
      </c>
      <c r="BV189" s="5">
        <f t="shared" si="35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34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>SUM(M189,AG189,BA189,BU189,CO189)-SUM(O189,AI189,BC189,BW189,CQ189)-L189</f>
        <v>75</v>
      </c>
      <c r="CN189" s="29">
        <f t="shared" ref="CN189:CN200" si="358">BY189</f>
        <v>5</v>
      </c>
      <c r="CO189" s="303">
        <f>CO188*5</f>
        <v>0</v>
      </c>
      <c r="CP189" s="5">
        <f t="shared" si="353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34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>SUM(M189,AG189,BA189,BU189,DI189)-SUM(O189,AI189,BC189,BW189,CQ189)-L189</f>
        <v>75</v>
      </c>
      <c r="DH189" s="29">
        <f t="shared" si="355"/>
        <v>5</v>
      </c>
      <c r="DI189" s="303">
        <f>DI188*5</f>
        <v>0</v>
      </c>
      <c r="DJ189" s="5">
        <f t="shared" si="354"/>
        <v>-5</v>
      </c>
      <c r="DK189" s="240"/>
      <c r="DL189" s="303">
        <f>DL188*5</f>
        <v>0</v>
      </c>
      <c r="DM189" s="231">
        <f>DH189+DK189-DL189</f>
        <v>5</v>
      </c>
    </row>
    <row r="190" spans="1:117" ht="15" thickBot="1" x14ac:dyDescent="0.35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>SUM(M190,AG190,BA190,BU190)-L190</f>
        <v>-244</v>
      </c>
      <c r="K190" s="395">
        <f t="shared" si="348"/>
        <v>-394</v>
      </c>
      <c r="L190" s="544">
        <v>424</v>
      </c>
      <c r="M190" s="344">
        <f>M188*6</f>
        <v>30</v>
      </c>
      <c r="N190" s="5">
        <f t="shared" si="349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34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>SUM(M190,AG190)-SUM(O190,AI190)-L190</f>
        <v>-394</v>
      </c>
      <c r="AF190" s="29">
        <f>Q190</f>
        <v>394</v>
      </c>
      <c r="AG190" s="344">
        <f>AG188*6</f>
        <v>0</v>
      </c>
      <c r="AH190" s="5">
        <f t="shared" si="350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34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>SUM(M190,AG190,BA190)-SUM(O190,AI190,BC190)-L190</f>
        <v>-340</v>
      </c>
      <c r="AZ190" s="29">
        <f t="shared" si="356"/>
        <v>394</v>
      </c>
      <c r="BA190" s="344">
        <f>BA188*6</f>
        <v>54</v>
      </c>
      <c r="BB190" s="5">
        <f t="shared" si="351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34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>SUM(M190,AG190,BA190,BU190)-SUM(O190,AI190,BC190,BW190)-L190</f>
        <v>-244</v>
      </c>
      <c r="BT190" s="29">
        <f t="shared" si="357"/>
        <v>394</v>
      </c>
      <c r="BU190" s="344">
        <f>BU188*6</f>
        <v>96</v>
      </c>
      <c r="BV190" s="5">
        <f t="shared" si="35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34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>SUM(M190,AG190,BA190,BU190,CO190)-SUM(O190,AI190,BC190,BW190,CQ190)-L190</f>
        <v>-244</v>
      </c>
      <c r="CN190" s="29">
        <f t="shared" si="358"/>
        <v>340</v>
      </c>
      <c r="CO190" s="303">
        <f>CO188*6</f>
        <v>0</v>
      </c>
      <c r="CP190" s="5">
        <f t="shared" si="353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34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>SUM(M190,AG190,BA190,BU190,DI190)-SUM(O190,AI190,BC190,BW190,CQ190)-L190</f>
        <v>-244</v>
      </c>
      <c r="DH190" s="29">
        <f t="shared" si="355"/>
        <v>340</v>
      </c>
      <c r="DI190" s="303">
        <f>DI188*6</f>
        <v>0</v>
      </c>
      <c r="DJ190" s="5">
        <f t="shared" si="354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" thickBot="1" x14ac:dyDescent="0.35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>SUM(M191,AG191,BA191,BU191)-L191</f>
        <v>12</v>
      </c>
      <c r="K191" s="396">
        <f t="shared" si="348"/>
        <v>-13</v>
      </c>
      <c r="L191" s="545">
        <v>18</v>
      </c>
      <c r="M191" s="284">
        <f>3+5-3</f>
        <v>5</v>
      </c>
      <c r="N191" s="31">
        <f t="shared" si="349"/>
        <v>-13</v>
      </c>
      <c r="O191" s="256"/>
      <c r="P191" s="241">
        <f>1+1+2+1</f>
        <v>5</v>
      </c>
      <c r="Q191" s="232">
        <f t="shared" ref="Q191:Q200" si="359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>SUM(M191,AG191)-SUM(O191,AI191)-L191</f>
        <v>-13</v>
      </c>
      <c r="AF191" s="30">
        <f>Q191</f>
        <v>13</v>
      </c>
      <c r="AG191" s="284">
        <f>7-7+3-3</f>
        <v>0</v>
      </c>
      <c r="AH191" s="31">
        <f t="shared" si="350"/>
        <v>-13</v>
      </c>
      <c r="AI191" s="256"/>
      <c r="AJ191" s="241"/>
      <c r="AK191" s="232">
        <f t="shared" ref="AK191:AK200" si="360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>SUM(M191,AG191,BA191)-SUM(O191,AI191,BC191)-L191</f>
        <v>-4</v>
      </c>
      <c r="AZ191" s="30">
        <f t="shared" si="356"/>
        <v>13</v>
      </c>
      <c r="BA191" s="285">
        <f>5-5+9</f>
        <v>9</v>
      </c>
      <c r="BB191" s="31">
        <f t="shared" si="351"/>
        <v>-4</v>
      </c>
      <c r="BC191" s="256"/>
      <c r="BD191" s="241"/>
      <c r="BE191" s="232">
        <f t="shared" ref="BE191:BE200" si="361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>SUM(M191,AG191,BA191,BU191)-SUM(O191,AI191,BC191,BW191)-L191</f>
        <v>-38</v>
      </c>
      <c r="BT191" s="30">
        <f t="shared" si="357"/>
        <v>13</v>
      </c>
      <c r="BU191" s="285">
        <f>10-10+8-8+16</f>
        <v>16</v>
      </c>
      <c r="BV191" s="31">
        <f t="shared" si="352"/>
        <v>3</v>
      </c>
      <c r="BW191" s="621">
        <v>50</v>
      </c>
      <c r="BX191" s="241">
        <f>9</f>
        <v>9</v>
      </c>
      <c r="BY191" s="232">
        <f t="shared" ref="BY191:BY200" si="362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>SUM(M191,AG191,BA191,BU191,CO191)-SUM(O191,AI191,BC191,BW191,CQ191)-L191</f>
        <v>-38</v>
      </c>
      <c r="CN191" s="30">
        <f t="shared" si="358"/>
        <v>54</v>
      </c>
      <c r="CO191" s="241"/>
      <c r="CP191" s="31">
        <f t="shared" si="353"/>
        <v>-54</v>
      </c>
      <c r="CQ191" s="256"/>
      <c r="CR191" s="241"/>
      <c r="CS191" s="232">
        <f t="shared" ref="CS191:CS200" si="363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>SUM(M191,AG191,BA191,BU191,DI191)-SUM(O191,AI191,BC191,BW191,CQ191)-L191</f>
        <v>-38</v>
      </c>
      <c r="DH191" s="30">
        <f t="shared" si="355"/>
        <v>54</v>
      </c>
      <c r="DI191" s="241"/>
      <c r="DJ191" s="31">
        <f t="shared" si="354"/>
        <v>-54</v>
      </c>
      <c r="DK191" s="284"/>
      <c r="DL191" s="241"/>
      <c r="DM191" s="232">
        <f t="shared" ref="DM191:DM200" si="364">DH191+DK191-DL191</f>
        <v>54</v>
      </c>
    </row>
    <row r="192" spans="1:117" ht="28.8" x14ac:dyDescent="0.3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>SUM(M192,AG192,BA192,BU192)-L192</f>
        <v>-1</v>
      </c>
      <c r="K192" s="397">
        <f t="shared" si="348"/>
        <v>-1</v>
      </c>
      <c r="L192" s="553">
        <v>1</v>
      </c>
      <c r="M192" s="285"/>
      <c r="N192" s="47">
        <f t="shared" si="349"/>
        <v>-1</v>
      </c>
      <c r="O192" s="285"/>
      <c r="P192" s="253"/>
      <c r="Q192" s="290">
        <f t="shared" si="359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>SUM(M192,AG192)-SUM(O192,AI192)-L192</f>
        <v>-1</v>
      </c>
      <c r="AF192" s="279">
        <f>Q192</f>
        <v>1</v>
      </c>
      <c r="AG192" s="285"/>
      <c r="AH192" s="47">
        <f t="shared" si="350"/>
        <v>-1</v>
      </c>
      <c r="AI192" s="285"/>
      <c r="AJ192" s="253"/>
      <c r="AK192" s="290">
        <f t="shared" si="360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>SUM(M192,AG192,BA192)-SUM(O192,AI192,BC192)-L192</f>
        <v>-1</v>
      </c>
      <c r="AZ192" s="279">
        <f t="shared" si="356"/>
        <v>1</v>
      </c>
      <c r="BA192" s="285"/>
      <c r="BB192" s="47">
        <f t="shared" si="351"/>
        <v>-1</v>
      </c>
      <c r="BC192" s="285"/>
      <c r="BD192" s="253"/>
      <c r="BE192" s="290">
        <f t="shared" si="361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>SUM(M192,AG192,BA192,BU192)-SUM(O192,AI192,BC192,BW192)-L192</f>
        <v>-1</v>
      </c>
      <c r="BT192" s="279">
        <f t="shared" si="357"/>
        <v>1</v>
      </c>
      <c r="BU192" s="285"/>
      <c r="BV192" s="47">
        <f t="shared" si="352"/>
        <v>-1</v>
      </c>
      <c r="BW192" s="253"/>
      <c r="BX192" s="253"/>
      <c r="BY192" s="290">
        <f t="shared" si="362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>SUM(M192,AG192,BA192,BU192,CO192)-SUM(O192,AI192,BC192,BW192,CQ192)-L192</f>
        <v>-1</v>
      </c>
      <c r="CN192" s="279">
        <f t="shared" si="358"/>
        <v>1</v>
      </c>
      <c r="CO192" s="285"/>
      <c r="CP192" s="47">
        <f t="shared" si="353"/>
        <v>-1</v>
      </c>
      <c r="CQ192" s="253"/>
      <c r="CR192" s="253"/>
      <c r="CS192" s="290">
        <f t="shared" si="363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>SUM(M192,AG192,BA192,BU192,DI192)-SUM(O192,AI192,BC192,BW192,CQ192)-L192</f>
        <v>-1</v>
      </c>
      <c r="DH192" s="279">
        <f>BY192</f>
        <v>1</v>
      </c>
      <c r="DI192" s="285"/>
      <c r="DJ192" s="47">
        <f t="shared" si="354"/>
        <v>-1</v>
      </c>
      <c r="DK192" s="253"/>
      <c r="DL192" s="253"/>
      <c r="DM192" s="290">
        <f t="shared" si="364"/>
        <v>1</v>
      </c>
    </row>
    <row r="193" spans="1:117" ht="15" thickBot="1" x14ac:dyDescent="0.35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>SUM(M193,AG193,BA193,BU193)-L193</f>
        <v>0</v>
      </c>
      <c r="K193" s="396">
        <f t="shared" si="348"/>
        <v>0</v>
      </c>
      <c r="L193" s="545">
        <v>0</v>
      </c>
      <c r="M193" s="284"/>
      <c r="N193" s="31">
        <f t="shared" si="349"/>
        <v>0</v>
      </c>
      <c r="O193" s="284"/>
      <c r="P193" s="241"/>
      <c r="Q193" s="232">
        <f t="shared" si="359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>SUM(M193,AG193)-SUM(O193,AI193)-L193</f>
        <v>0</v>
      </c>
      <c r="AF193" s="30">
        <f>Q193</f>
        <v>0</v>
      </c>
      <c r="AG193" s="284"/>
      <c r="AH193" s="31">
        <f t="shared" si="350"/>
        <v>0</v>
      </c>
      <c r="AI193" s="284"/>
      <c r="AJ193" s="241"/>
      <c r="AK193" s="232">
        <f t="shared" si="360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>SUM(M193,AG193,BA193)-SUM(O193,AI193,BC193)-L193</f>
        <v>0</v>
      </c>
      <c r="AZ193" s="30">
        <f t="shared" si="356"/>
        <v>0</v>
      </c>
      <c r="BA193" s="284"/>
      <c r="BB193" s="31">
        <f t="shared" si="351"/>
        <v>0</v>
      </c>
      <c r="BC193" s="284"/>
      <c r="BD193" s="241"/>
      <c r="BE193" s="232">
        <f t="shared" si="361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>SUM(M193,AG193,BA193,BU193)-SUM(O193,AI193,BC193,BW193)-L193</f>
        <v>0</v>
      </c>
      <c r="BT193" s="30">
        <f t="shared" si="357"/>
        <v>0</v>
      </c>
      <c r="BU193" s="284"/>
      <c r="BV193" s="31">
        <f t="shared" si="352"/>
        <v>0</v>
      </c>
      <c r="BW193" s="241"/>
      <c r="BX193" s="241"/>
      <c r="BY193" s="232">
        <f t="shared" si="362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>SUM(M193,AG193,BA193,BU193,CO193)-SUM(O193,AI193,BC193,BW193,CQ193)-L193</f>
        <v>0</v>
      </c>
      <c r="CN193" s="30">
        <f t="shared" si="358"/>
        <v>0</v>
      </c>
      <c r="CO193" s="284"/>
      <c r="CP193" s="31">
        <f t="shared" si="353"/>
        <v>0</v>
      </c>
      <c r="CQ193" s="241"/>
      <c r="CR193" s="241"/>
      <c r="CS193" s="232">
        <f t="shared" si="363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>SUM(M193,AG193,BA193,BU193,DI193)-SUM(O193,AI193,BC193,BW193,CQ193)-L193</f>
        <v>0</v>
      </c>
      <c r="DH193" s="30">
        <f>BY193</f>
        <v>0</v>
      </c>
      <c r="DI193" s="284"/>
      <c r="DJ193" s="31">
        <f t="shared" si="354"/>
        <v>0</v>
      </c>
      <c r="DK193" s="241"/>
      <c r="DL193" s="241"/>
      <c r="DM193" s="232">
        <f t="shared" si="364"/>
        <v>0</v>
      </c>
    </row>
    <row r="194" spans="1:117" ht="43.8" thickBot="1" x14ac:dyDescent="0.35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>SUM(M194,AG194,BA194,BU194)-L194</f>
        <v>-22</v>
      </c>
      <c r="K194" s="397">
        <f t="shared" si="348"/>
        <v>-139</v>
      </c>
      <c r="L194" s="553">
        <v>155</v>
      </c>
      <c r="M194" s="285">
        <f>12+16-12</f>
        <v>16</v>
      </c>
      <c r="N194" s="47">
        <f t="shared" si="349"/>
        <v>-139</v>
      </c>
      <c r="O194" s="427"/>
      <c r="P194" s="253">
        <f>11+2+2+1+1</f>
        <v>17</v>
      </c>
      <c r="Q194" s="290">
        <f t="shared" si="359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36"/>
      <c r="AD194" s="736"/>
      <c r="AE194" s="394">
        <f>SUM(M194,AG194)-SUM(O194,AI194)-L194</f>
        <v>-99</v>
      </c>
      <c r="AF194" s="279">
        <f>Q194</f>
        <v>138</v>
      </c>
      <c r="AG194" s="285">
        <f>23-23+10-10+40</f>
        <v>40</v>
      </c>
      <c r="AH194" s="47">
        <f t="shared" si="350"/>
        <v>-98</v>
      </c>
      <c r="AI194" s="256"/>
      <c r="AJ194" s="253">
        <f>1+39</f>
        <v>40</v>
      </c>
      <c r="AK194" s="290">
        <f t="shared" si="360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>SUM(M194,AG194,BA194)-SUM(O194,AI194,BC194)-L194</f>
        <v>-89</v>
      </c>
      <c r="AZ194" s="279">
        <f t="shared" si="356"/>
        <v>98</v>
      </c>
      <c r="BA194" s="285">
        <f>15-15+49-49+10</f>
        <v>10</v>
      </c>
      <c r="BB194" s="47">
        <f t="shared" si="351"/>
        <v>-88</v>
      </c>
      <c r="BC194" s="256"/>
      <c r="BD194" s="253"/>
      <c r="BE194" s="290">
        <f t="shared" si="361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>SUM(M194,AG194,BA194,BU194)-SUM(O194,AI194,BC194,BW194)-L194</f>
        <v>-52</v>
      </c>
      <c r="BT194" s="279">
        <f t="shared" si="357"/>
        <v>98</v>
      </c>
      <c r="BU194" s="285">
        <f>30-30+20-20+67</f>
        <v>67</v>
      </c>
      <c r="BV194" s="47">
        <f t="shared" si="352"/>
        <v>-31</v>
      </c>
      <c r="BW194" s="621">
        <v>30</v>
      </c>
      <c r="BX194" s="253">
        <f>15+15+20</f>
        <v>50</v>
      </c>
      <c r="BY194" s="290">
        <f t="shared" si="362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898</v>
      </c>
      <c r="CG194" s="829"/>
      <c r="CH194" s="132"/>
      <c r="CI194" s="289"/>
      <c r="CJ194" s="48"/>
      <c r="CK194" s="290"/>
      <c r="CL194" s="290"/>
      <c r="CM194" s="397">
        <f>SUM(M194,AG194,BA194,BU194,CO194)-SUM(O194,AI194,BC194,BW194,CQ194)-L194</f>
        <v>-52</v>
      </c>
      <c r="CN194" s="279">
        <f t="shared" si="358"/>
        <v>78</v>
      </c>
      <c r="CO194" s="253"/>
      <c r="CP194" s="47">
        <f t="shared" si="353"/>
        <v>-78</v>
      </c>
      <c r="CQ194" s="240"/>
      <c r="CR194" s="253"/>
      <c r="CS194" s="290">
        <f t="shared" si="363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55"/>
      <c r="DB194" s="132"/>
      <c r="DC194" s="289"/>
      <c r="DD194" s="48"/>
      <c r="DE194" s="290"/>
      <c r="DF194" s="290"/>
      <c r="DG194" s="397">
        <f>SUM(M194,AG194,BA194,BU194,DI194)-SUM(O194,AI194,BC194,BW194,CQ194)-L194</f>
        <v>-52</v>
      </c>
      <c r="DH194" s="279">
        <f>BY194</f>
        <v>78</v>
      </c>
      <c r="DI194" s="253"/>
      <c r="DJ194" s="47">
        <f t="shared" si="354"/>
        <v>-78</v>
      </c>
      <c r="DK194" s="253"/>
      <c r="DL194" s="253"/>
      <c r="DM194" s="290">
        <f t="shared" si="364"/>
        <v>78</v>
      </c>
    </row>
    <row r="195" spans="1:117" x14ac:dyDescent="0.3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>SUM(M195,AG195,BA195,BU195)-L195</f>
        <v>-12</v>
      </c>
      <c r="K195" s="395">
        <f t="shared" si="348"/>
        <v>-129</v>
      </c>
      <c r="L195" s="515">
        <v>145</v>
      </c>
      <c r="M195" s="258">
        <f>12+16-12</f>
        <v>16</v>
      </c>
      <c r="N195" s="7">
        <f t="shared" si="349"/>
        <v>-129</v>
      </c>
      <c r="O195" s="256"/>
      <c r="P195" s="242">
        <f>11+2+2+1+1</f>
        <v>17</v>
      </c>
      <c r="Q195" s="234">
        <f t="shared" si="359"/>
        <v>128</v>
      </c>
      <c r="R195" s="123"/>
      <c r="S195" s="8"/>
      <c r="T195" s="34"/>
      <c r="U195" s="736"/>
      <c r="V195" s="123"/>
      <c r="W195" s="8"/>
      <c r="X195" s="34"/>
      <c r="Y195" s="736"/>
      <c r="Z195" s="20"/>
      <c r="AA195" s="8"/>
      <c r="AB195" s="34"/>
      <c r="AC195" s="736"/>
      <c r="AD195" s="736"/>
      <c r="AE195" s="394">
        <f>SUM(M195,AG195)-SUM(O195,AI195)-L195</f>
        <v>-89</v>
      </c>
      <c r="AF195" s="32">
        <f>Q195</f>
        <v>128</v>
      </c>
      <c r="AG195" s="285">
        <f>23-23+10-10+40</f>
        <v>40</v>
      </c>
      <c r="AH195" s="7">
        <f t="shared" si="350"/>
        <v>-88</v>
      </c>
      <c r="AI195" s="256"/>
      <c r="AJ195" s="242">
        <f>1+39</f>
        <v>40</v>
      </c>
      <c r="AK195" s="234">
        <f t="shared" si="360"/>
        <v>88</v>
      </c>
      <c r="AL195" s="123"/>
      <c r="AM195" s="8"/>
      <c r="AN195" s="34"/>
      <c r="AO195" s="736"/>
      <c r="AP195" s="123"/>
      <c r="AQ195" s="8"/>
      <c r="AR195" s="34"/>
      <c r="AS195" s="736"/>
      <c r="AT195" s="20"/>
      <c r="AU195" s="8"/>
      <c r="AV195" s="34"/>
      <c r="AW195" s="234"/>
      <c r="AX195" s="234"/>
      <c r="AY195" s="395">
        <f>SUM(M195,AG195,BA195)-SUM(O195,AI195,BC195)-L195</f>
        <v>-79</v>
      </c>
      <c r="AZ195" s="32">
        <f t="shared" si="356"/>
        <v>88</v>
      </c>
      <c r="BA195" s="285">
        <f>15-15+49-49+10</f>
        <v>10</v>
      </c>
      <c r="BB195" s="7">
        <f t="shared" si="351"/>
        <v>-78</v>
      </c>
      <c r="BC195" s="256"/>
      <c r="BD195" s="242"/>
      <c r="BE195" s="234">
        <f t="shared" si="361"/>
        <v>88</v>
      </c>
      <c r="BF195" s="123"/>
      <c r="BG195" s="8"/>
      <c r="BH195" s="34"/>
      <c r="BI195" s="736"/>
      <c r="BJ195" s="123"/>
      <c r="BK195" s="8"/>
      <c r="BL195" s="34"/>
      <c r="BM195" s="736"/>
      <c r="BN195" s="20"/>
      <c r="BO195" s="8"/>
      <c r="BP195" s="34"/>
      <c r="BQ195" s="234"/>
      <c r="BR195" s="234"/>
      <c r="BS195" s="395">
        <f>SUM(M195,AG195,BA195,BU195)-SUM(O195,AI195,BC195,BW195)-L195</f>
        <v>-12</v>
      </c>
      <c r="BT195" s="32">
        <f t="shared" si="357"/>
        <v>88</v>
      </c>
      <c r="BU195" s="285">
        <f>30-30+20-20+67</f>
        <v>67</v>
      </c>
      <c r="BV195" s="7">
        <f t="shared" si="352"/>
        <v>-21</v>
      </c>
      <c r="BW195" s="242"/>
      <c r="BX195" s="242">
        <f>15+15+1+20</f>
        <v>51</v>
      </c>
      <c r="BY195" s="234">
        <f t="shared" si="362"/>
        <v>37</v>
      </c>
      <c r="BZ195" s="123"/>
      <c r="CA195" s="8"/>
      <c r="CB195" s="34"/>
      <c r="CC195" s="736"/>
      <c r="CD195" s="123"/>
      <c r="CE195" s="8"/>
      <c r="CF195" s="34"/>
      <c r="CG195" s="736"/>
      <c r="CH195" s="20"/>
      <c r="CI195" s="8"/>
      <c r="CJ195" s="34"/>
      <c r="CK195" s="234"/>
      <c r="CL195" s="234"/>
      <c r="CM195" s="395">
        <f>SUM(M195,AG195,BA195,BU195,CO195)-SUM(O195,AI195,BC195,BW195,CQ195)-L195</f>
        <v>-12</v>
      </c>
      <c r="CN195" s="32">
        <f t="shared" si="358"/>
        <v>37</v>
      </c>
      <c r="CO195" s="242"/>
      <c r="CP195" s="7">
        <f t="shared" si="353"/>
        <v>-37</v>
      </c>
      <c r="CQ195" s="242"/>
      <c r="CR195" s="242"/>
      <c r="CS195" s="234">
        <f t="shared" si="363"/>
        <v>37</v>
      </c>
      <c r="CT195" s="123"/>
      <c r="CU195" s="8"/>
      <c r="CV195" s="34"/>
      <c r="CW195" s="736"/>
      <c r="CX195" s="123"/>
      <c r="CY195" s="8"/>
      <c r="CZ195" s="34"/>
      <c r="DA195" s="736"/>
      <c r="DB195" s="20"/>
      <c r="DC195" s="8"/>
      <c r="DD195" s="34"/>
      <c r="DE195" s="234"/>
      <c r="DF195" s="234"/>
      <c r="DG195" s="395">
        <f>SUM(M195,AG195,BA195,BU195,DI195)-SUM(O195,AI195,BC195,BW195,CQ195)-L195</f>
        <v>-12</v>
      </c>
      <c r="DH195" s="29">
        <f t="shared" ref="DH195:DH197" si="365">BY195</f>
        <v>37</v>
      </c>
      <c r="DI195" s="242"/>
      <c r="DJ195" s="7">
        <f t="shared" si="354"/>
        <v>-37</v>
      </c>
      <c r="DK195" s="242"/>
      <c r="DL195" s="242"/>
      <c r="DM195" s="234">
        <f t="shared" si="364"/>
        <v>37</v>
      </c>
    </row>
    <row r="196" spans="1:117" ht="29.4" thickBot="1" x14ac:dyDescent="0.35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>SUM(M196,AG196,BA196,BU196)-L196</f>
        <v>-56</v>
      </c>
      <c r="K196" s="395">
        <f t="shared" si="348"/>
        <v>-193</v>
      </c>
      <c r="L196" s="515">
        <v>212</v>
      </c>
      <c r="M196" s="424">
        <f>SUM(M195,M346)</f>
        <v>19</v>
      </c>
      <c r="N196" s="7">
        <f t="shared" si="349"/>
        <v>-193</v>
      </c>
      <c r="O196" s="258"/>
      <c r="P196" s="242">
        <f>1</f>
        <v>1</v>
      </c>
      <c r="Q196" s="234">
        <f t="shared" si="359"/>
        <v>211</v>
      </c>
      <c r="R196" s="123"/>
      <c r="S196" s="8"/>
      <c r="T196" s="34"/>
      <c r="U196" s="736"/>
      <c r="V196" s="123"/>
      <c r="W196" s="8"/>
      <c r="X196" s="34"/>
      <c r="Y196" s="736"/>
      <c r="Z196" s="20"/>
      <c r="AA196" s="8"/>
      <c r="AB196" s="35"/>
      <c r="AC196" s="736"/>
      <c r="AD196" s="736"/>
      <c r="AE196" s="394">
        <f>SUM(M196,AG196)-SUM(O196,AI196)-L196</f>
        <v>-145</v>
      </c>
      <c r="AF196" s="32">
        <f>Q196</f>
        <v>211</v>
      </c>
      <c r="AG196" s="424">
        <f>SUM(AG195,AG346)</f>
        <v>48</v>
      </c>
      <c r="AH196" s="7">
        <f t="shared" si="350"/>
        <v>-163</v>
      </c>
      <c r="AI196" s="256"/>
      <c r="AJ196" s="242">
        <f>1+39</f>
        <v>40</v>
      </c>
      <c r="AK196" s="234">
        <f t="shared" si="360"/>
        <v>171</v>
      </c>
      <c r="AL196" s="129"/>
      <c r="AM196" s="130"/>
      <c r="AN196" s="79"/>
      <c r="AO196" s="750"/>
      <c r="AP196" s="123"/>
      <c r="AQ196" s="8"/>
      <c r="AR196" s="34"/>
      <c r="AS196" s="736"/>
      <c r="AT196" s="20"/>
      <c r="AU196" s="8"/>
      <c r="AV196" s="34"/>
      <c r="AW196" s="234"/>
      <c r="AX196" s="234"/>
      <c r="AY196" s="395">
        <f>SUM(M196,AG196,BA196)-SUM(O196,AI196,BC196)-L196</f>
        <v>-132</v>
      </c>
      <c r="AZ196" s="32">
        <f t="shared" si="356"/>
        <v>171</v>
      </c>
      <c r="BA196" s="424">
        <f>SUM(BA195,BA346)</f>
        <v>13</v>
      </c>
      <c r="BB196" s="7">
        <f t="shared" si="351"/>
        <v>-158</v>
      </c>
      <c r="BC196" s="258"/>
      <c r="BD196" s="242"/>
      <c r="BE196" s="234">
        <f t="shared" si="361"/>
        <v>171</v>
      </c>
      <c r="BF196" s="123"/>
      <c r="BG196" s="8"/>
      <c r="BH196" s="34"/>
      <c r="BI196" s="736"/>
      <c r="BJ196" s="123"/>
      <c r="BK196" s="8"/>
      <c r="BL196" s="34"/>
      <c r="BM196" s="736"/>
      <c r="BN196" s="20"/>
      <c r="BO196" s="8"/>
      <c r="BP196" s="34"/>
      <c r="BQ196" s="234"/>
      <c r="BR196" s="234"/>
      <c r="BS196" s="395">
        <f>SUM(M196,AG196,BA196,BU196)-SUM(O196,AI196,BC196,BW196)-L196</f>
        <v>-56</v>
      </c>
      <c r="BT196" s="32">
        <f t="shared" si="357"/>
        <v>171</v>
      </c>
      <c r="BU196" s="424">
        <f>SUM(BU195,BU346)</f>
        <v>76</v>
      </c>
      <c r="BV196" s="7">
        <f t="shared" si="352"/>
        <v>-95</v>
      </c>
      <c r="BW196" s="242"/>
      <c r="BX196" s="242">
        <f>15+15+1</f>
        <v>31</v>
      </c>
      <c r="BY196" s="234">
        <f t="shared" si="362"/>
        <v>140</v>
      </c>
      <c r="BZ196" s="123"/>
      <c r="CA196" s="8"/>
      <c r="CB196" s="34"/>
      <c r="CC196" s="736"/>
      <c r="CD196" s="123"/>
      <c r="CE196" s="8"/>
      <c r="CF196" s="34"/>
      <c r="CG196" s="736"/>
      <c r="CH196" s="20"/>
      <c r="CI196" s="8"/>
      <c r="CJ196" s="34"/>
      <c r="CK196" s="234"/>
      <c r="CL196" s="234"/>
      <c r="CM196" s="395">
        <f>SUM(M196,AG196,BA196,BU196,CO196)-SUM(O196,AI196,BC196,BW196,CQ196)-L196</f>
        <v>-56</v>
      </c>
      <c r="CN196" s="32">
        <f t="shared" si="358"/>
        <v>140</v>
      </c>
      <c r="CO196" s="304">
        <f>SUM(CO195,CO346)</f>
        <v>0</v>
      </c>
      <c r="CP196" s="7">
        <f t="shared" si="353"/>
        <v>-140</v>
      </c>
      <c r="CQ196" s="242"/>
      <c r="CR196" s="242"/>
      <c r="CS196" s="234">
        <f t="shared" si="363"/>
        <v>140</v>
      </c>
      <c r="CT196" s="123"/>
      <c r="CU196" s="8"/>
      <c r="CV196" s="34"/>
      <c r="CW196" s="736"/>
      <c r="CX196" s="123"/>
      <c r="CY196" s="8"/>
      <c r="CZ196" s="34"/>
      <c r="DA196" s="736"/>
      <c r="DB196" s="20"/>
      <c r="DC196" s="8"/>
      <c r="DD196" s="34"/>
      <c r="DE196" s="234"/>
      <c r="DF196" s="234"/>
      <c r="DG196" s="395">
        <f>SUM(M196,AG196,BA196,BU196,DI196)-SUM(O196,AI196,BC196,BW196,CQ196)-L196</f>
        <v>-56</v>
      </c>
      <c r="DH196" s="29">
        <f t="shared" si="365"/>
        <v>140</v>
      </c>
      <c r="DI196" s="304">
        <f>SUM(DI195,DI346)</f>
        <v>0</v>
      </c>
      <c r="DJ196" s="7">
        <f t="shared" si="354"/>
        <v>-140</v>
      </c>
      <c r="DK196" s="242"/>
      <c r="DL196" s="242"/>
      <c r="DM196" s="234">
        <f t="shared" si="364"/>
        <v>140</v>
      </c>
    </row>
    <row r="197" spans="1:117" ht="29.4" thickBot="1" x14ac:dyDescent="0.35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>SUM(M197,AG197,BA197,BU197)-L197</f>
        <v>-20</v>
      </c>
      <c r="K197" s="396">
        <f t="shared" si="348"/>
        <v>-137</v>
      </c>
      <c r="L197" s="545">
        <v>153</v>
      </c>
      <c r="M197" s="258">
        <f>12+16-12</f>
        <v>16</v>
      </c>
      <c r="N197" s="31">
        <f t="shared" si="349"/>
        <v>-137</v>
      </c>
      <c r="O197" s="284"/>
      <c r="P197" s="241">
        <f>11+2+2+1+1</f>
        <v>17</v>
      </c>
      <c r="Q197" s="232">
        <f t="shared" si="359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C197" s="750"/>
      <c r="AD197" s="750"/>
      <c r="AE197" s="407">
        <f>SUM(M197,AG197)-SUM(O197,AI197)-L197</f>
        <v>-97</v>
      </c>
      <c r="AF197" s="276">
        <f>Q197</f>
        <v>136</v>
      </c>
      <c r="AG197" s="285">
        <f>23-23+10-10+40</f>
        <v>40</v>
      </c>
      <c r="AH197" s="78">
        <f t="shared" si="350"/>
        <v>-96</v>
      </c>
      <c r="AI197" s="277"/>
      <c r="AJ197" s="244">
        <f>1+39</f>
        <v>40</v>
      </c>
      <c r="AK197" s="233">
        <f t="shared" si="360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>SUM(M197,AG197,BA197)-SUM(O197,AI197,BC197)-L197</f>
        <v>-87</v>
      </c>
      <c r="AZ197" s="276">
        <f t="shared" si="356"/>
        <v>96</v>
      </c>
      <c r="BA197" s="285">
        <f>15-15+49-49+10</f>
        <v>10</v>
      </c>
      <c r="BB197" s="78">
        <f t="shared" si="351"/>
        <v>-86</v>
      </c>
      <c r="BC197" s="256"/>
      <c r="BD197" s="244"/>
      <c r="BE197" s="233">
        <f t="shared" si="361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>SUM(M197,AG197,BA197,BU197)-SUM(O197,AI197,BC197,BW197)-L197</f>
        <v>-50</v>
      </c>
      <c r="BT197" s="276">
        <f t="shared" si="357"/>
        <v>96</v>
      </c>
      <c r="BU197" s="285">
        <f>30-30+20-20+67</f>
        <v>67</v>
      </c>
      <c r="BV197" s="78">
        <f t="shared" si="352"/>
        <v>-29</v>
      </c>
      <c r="BW197" s="644">
        <v>30</v>
      </c>
      <c r="BX197" s="244">
        <f>15+15+1+20</f>
        <v>51</v>
      </c>
      <c r="BY197" s="233">
        <f t="shared" si="362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>SUM(M197,AG197,BA197,BU197,CO197)-SUM(O197,AI197,BC197,BW197,CQ197)-L197</f>
        <v>-50</v>
      </c>
      <c r="CN197" s="276">
        <f t="shared" si="358"/>
        <v>75</v>
      </c>
      <c r="CO197" s="244"/>
      <c r="CP197" s="78">
        <f t="shared" si="353"/>
        <v>-75</v>
      </c>
      <c r="CQ197" s="244"/>
      <c r="CR197" s="244"/>
      <c r="CS197" s="233">
        <f t="shared" si="363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>SUM(M197,AG197,BA197,BU197,DI197)-SUM(O197,AI197,BC197,BW197,CQ197)-L197</f>
        <v>-50</v>
      </c>
      <c r="DH197" s="30">
        <f t="shared" si="365"/>
        <v>75</v>
      </c>
      <c r="DI197" s="241"/>
      <c r="DJ197" s="31">
        <f t="shared" si="354"/>
        <v>-75</v>
      </c>
      <c r="DK197" s="241"/>
      <c r="DL197" s="241"/>
      <c r="DM197" s="232">
        <f t="shared" si="364"/>
        <v>75</v>
      </c>
    </row>
    <row r="198" spans="1:117" ht="15" thickBot="1" x14ac:dyDescent="0.35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>SUM(M198,AG198,BA198,BU198)-L198</f>
        <v>136</v>
      </c>
      <c r="K198" s="397">
        <f t="shared" si="348"/>
        <v>-3</v>
      </c>
      <c r="L198" s="553">
        <v>12</v>
      </c>
      <c r="M198" s="285">
        <f>0+9</f>
        <v>9</v>
      </c>
      <c r="N198" s="47">
        <f t="shared" ref="N198" si="366">M198-L198</f>
        <v>-3</v>
      </c>
      <c r="O198" s="256"/>
      <c r="P198" s="253">
        <f>2+2+1+1+2+1+1</f>
        <v>10</v>
      </c>
      <c r="Q198" s="290">
        <f t="shared" ref="Q198" si="367">L198+O198-P198</f>
        <v>2</v>
      </c>
      <c r="R198" s="288"/>
      <c r="S198" s="289"/>
      <c r="T198" s="524"/>
      <c r="U198" s="744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>SUM(M198,AG198)-SUM(O198,AI198)-L198</f>
        <v>-3</v>
      </c>
      <c r="AF198" s="279">
        <f>Q198</f>
        <v>2</v>
      </c>
      <c r="AG198" s="285">
        <f>15-15+8-8+40</f>
        <v>40</v>
      </c>
      <c r="AH198" s="47">
        <f t="shared" ref="AH198" si="368">AG198-AF198</f>
        <v>38</v>
      </c>
      <c r="AI198" s="47">
        <v>40</v>
      </c>
      <c r="AJ198" s="253">
        <f>1+39</f>
        <v>40</v>
      </c>
      <c r="AK198" s="290">
        <f t="shared" ref="AK198" si="369">AF198+AI198-AJ198</f>
        <v>2</v>
      </c>
      <c r="AL198" s="288"/>
      <c r="AM198" s="289"/>
      <c r="AN198" s="524"/>
      <c r="AO198" s="744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>SUM(M198,AG198,BA198)-SUM(O198,AI198,BC198)-L198</f>
        <v>16</v>
      </c>
      <c r="AZ198" s="279">
        <f t="shared" ref="AZ198" si="370">AK198</f>
        <v>2</v>
      </c>
      <c r="BA198" s="285">
        <f>5-5+44-44+19</f>
        <v>19</v>
      </c>
      <c r="BB198" s="47">
        <f t="shared" ref="BB198" si="371">BA198-AZ198</f>
        <v>17</v>
      </c>
      <c r="BC198" s="253"/>
      <c r="BD198" s="253"/>
      <c r="BE198" s="290">
        <f t="shared" ref="BE198" si="372">AZ198+BC198-BD198</f>
        <v>2</v>
      </c>
      <c r="BF198" s="288"/>
      <c r="BG198" s="289"/>
      <c r="BH198" s="524"/>
      <c r="BI198" s="744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>SUM(M198,AG198,BA198,BU198)-SUM(O198,AI198,BC198,BW198)-L198</f>
        <v>71</v>
      </c>
      <c r="BT198" s="279">
        <f t="shared" ref="BT198" si="373">BE198</f>
        <v>2</v>
      </c>
      <c r="BU198" s="285">
        <f>20-20+15-15+80</f>
        <v>80</v>
      </c>
      <c r="BV198" s="47">
        <f t="shared" ref="BV198" si="374">BU198-BT198</f>
        <v>78</v>
      </c>
      <c r="BW198" s="646">
        <v>25</v>
      </c>
      <c r="BX198" s="253">
        <f>9+15+1+28</f>
        <v>53</v>
      </c>
      <c r="BY198" s="290">
        <f t="shared" ref="BY198:BY199" si="375">BT198+BW198-BX198</f>
        <v>-26</v>
      </c>
      <c r="BZ198" s="288"/>
      <c r="CA198" s="289"/>
      <c r="CB198" s="524" t="s">
        <v>848</v>
      </c>
      <c r="CC198" s="744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>SUM(M198,AG198,BA198,BU198,CO198)-SUM(O198,AI198,BC198,BW198,CQ198)-L198</f>
        <v>71</v>
      </c>
      <c r="CN198" s="279">
        <f t="shared" ref="CN198" si="376">BY198</f>
        <v>-26</v>
      </c>
      <c r="CO198" s="253"/>
      <c r="CP198" s="47">
        <f t="shared" ref="CP198" si="377">CO198-CN198</f>
        <v>26</v>
      </c>
      <c r="CQ198" s="253"/>
      <c r="CR198" s="253"/>
      <c r="CS198" s="290">
        <f t="shared" ref="CS198" si="378">CN198+CQ198-CR198</f>
        <v>-26</v>
      </c>
      <c r="CT198" s="288"/>
      <c r="CU198" s="289"/>
      <c r="CV198" s="524"/>
      <c r="CW198" s="744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>SUM(M198,AG198,BA198,BU198,DI198)-SUM(O198,AI198,BC198,BW198,CQ198)-L198</f>
        <v>71</v>
      </c>
      <c r="DH198" s="279">
        <f>BY198</f>
        <v>-26</v>
      </c>
      <c r="DI198" s="253"/>
      <c r="DJ198" s="47">
        <f t="shared" si="354"/>
        <v>26</v>
      </c>
      <c r="DK198" s="253"/>
      <c r="DL198" s="253"/>
      <c r="DM198" s="290">
        <f t="shared" si="364"/>
        <v>-26</v>
      </c>
    </row>
    <row r="199" spans="1:117" x14ac:dyDescent="0.3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745"/>
      <c r="V199" s="433"/>
      <c r="W199" s="416"/>
      <c r="X199" s="415"/>
      <c r="Y199" s="750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745"/>
      <c r="AP199" s="433"/>
      <c r="AQ199" s="416"/>
      <c r="AR199" s="415"/>
      <c r="AS199" s="750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745"/>
      <c r="BJ199" s="433"/>
      <c r="BK199" s="416"/>
      <c r="BL199" s="415"/>
      <c r="BM199" s="750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375"/>
        <v>-16</v>
      </c>
      <c r="BZ199" s="433"/>
      <c r="CA199" s="416"/>
      <c r="CB199" s="524" t="s">
        <v>848</v>
      </c>
      <c r="CC199" s="745"/>
      <c r="CD199" s="433"/>
      <c r="CE199" s="416"/>
      <c r="CF199" s="415"/>
      <c r="CG199" s="750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745"/>
      <c r="CX199" s="433"/>
      <c r="CY199" s="416"/>
      <c r="CZ199" s="415"/>
      <c r="DA199" s="750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" thickBot="1" x14ac:dyDescent="0.35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348"/>
        <v>-57</v>
      </c>
      <c r="L200" s="551">
        <v>66</v>
      </c>
      <c r="M200" s="547">
        <f>M198</f>
        <v>9</v>
      </c>
      <c r="N200" s="65">
        <f t="shared" si="349"/>
        <v>-57</v>
      </c>
      <c r="O200" s="286"/>
      <c r="P200" s="384">
        <f>P198</f>
        <v>10</v>
      </c>
      <c r="Q200" s="297">
        <f t="shared" si="359"/>
        <v>56</v>
      </c>
      <c r="R200" s="126"/>
      <c r="S200" s="127"/>
      <c r="T200" s="336"/>
      <c r="U200" s="746"/>
      <c r="V200" s="126"/>
      <c r="W200" s="127"/>
      <c r="X200" s="66"/>
      <c r="Y200" s="738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350"/>
        <v>-16</v>
      </c>
      <c r="AI200" s="250"/>
      <c r="AJ200" s="384">
        <f>AJ198</f>
        <v>40</v>
      </c>
      <c r="AK200" s="297">
        <f t="shared" si="360"/>
        <v>16</v>
      </c>
      <c r="AL200" s="126"/>
      <c r="AM200" s="127"/>
      <c r="AN200" s="336"/>
      <c r="AO200" s="746"/>
      <c r="AP200" s="126"/>
      <c r="AQ200" s="127"/>
      <c r="AR200" s="66"/>
      <c r="AS200" s="738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351"/>
        <v>14</v>
      </c>
      <c r="BC200" s="31">
        <v>100</v>
      </c>
      <c r="BD200" s="384">
        <f>BD198</f>
        <v>0</v>
      </c>
      <c r="BE200" s="297">
        <f t="shared" si="361"/>
        <v>105</v>
      </c>
      <c r="BF200" s="126"/>
      <c r="BG200" s="127"/>
      <c r="BH200" s="336"/>
      <c r="BI200" s="746"/>
      <c r="BJ200" s="470"/>
      <c r="BK200" s="127">
        <v>2500</v>
      </c>
      <c r="BL200" s="66" t="s">
        <v>789</v>
      </c>
      <c r="BM200" s="738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357"/>
        <v>105</v>
      </c>
      <c r="BU200" s="547">
        <f>BU198</f>
        <v>80</v>
      </c>
      <c r="BV200" s="65">
        <f t="shared" si="352"/>
        <v>-25</v>
      </c>
      <c r="BW200" s="286"/>
      <c r="BX200" s="384">
        <f>BX198</f>
        <v>53</v>
      </c>
      <c r="BY200" s="297">
        <f t="shared" si="362"/>
        <v>52</v>
      </c>
      <c r="BZ200" s="126"/>
      <c r="CA200" s="127"/>
      <c r="CB200" s="336"/>
      <c r="CC200" s="746"/>
      <c r="CD200" s="126"/>
      <c r="CE200" s="127"/>
      <c r="CF200" s="66"/>
      <c r="CG200" s="738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358"/>
        <v>52</v>
      </c>
      <c r="CO200" s="547">
        <f>CO198</f>
        <v>0</v>
      </c>
      <c r="CP200" s="65">
        <f t="shared" si="353"/>
        <v>-52</v>
      </c>
      <c r="CQ200" s="250"/>
      <c r="CR200" s="384">
        <f>CR198</f>
        <v>0</v>
      </c>
      <c r="CS200" s="297">
        <f t="shared" si="363"/>
        <v>52</v>
      </c>
      <c r="CT200" s="126"/>
      <c r="CU200" s="127"/>
      <c r="CV200" s="336"/>
      <c r="CW200" s="746"/>
      <c r="CX200" s="126"/>
      <c r="CY200" s="127"/>
      <c r="CZ200" s="66"/>
      <c r="DA200" s="738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354"/>
        <v>-52</v>
      </c>
      <c r="DK200" s="250"/>
      <c r="DL200" s="384">
        <f>DL198</f>
        <v>0</v>
      </c>
      <c r="DM200" s="297">
        <f t="shared" si="364"/>
        <v>52</v>
      </c>
    </row>
    <row r="201" spans="1:117" ht="15" thickBot="1" x14ac:dyDescent="0.35">
      <c r="P201" s="248"/>
      <c r="AJ201" s="248"/>
      <c r="BD201" s="248"/>
      <c r="BX201" s="248"/>
      <c r="CR201" s="248"/>
      <c r="DL201" s="248"/>
    </row>
    <row r="202" spans="1:117" ht="15" thickBot="1" x14ac:dyDescent="0.35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61"/>
      <c r="AD202" s="761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61"/>
      <c r="AX202" s="761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61"/>
      <c r="BR202" s="761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61"/>
      <c r="CL202" s="761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61"/>
      <c r="DF202" s="761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3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47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47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47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47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47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28.8" x14ac:dyDescent="0.3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379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380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3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35"/>
      <c r="V205" s="129"/>
      <c r="W205" s="130"/>
      <c r="X205" s="79"/>
      <c r="Y205" s="735"/>
      <c r="Z205" s="131"/>
      <c r="AA205" s="130"/>
      <c r="AB205" s="79"/>
      <c r="AC205" s="735"/>
      <c r="AD205" s="735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35"/>
      <c r="AP205" s="129"/>
      <c r="AQ205" s="130"/>
      <c r="AR205" s="79"/>
      <c r="AS205" s="735"/>
      <c r="AT205" s="131"/>
      <c r="AU205" s="130"/>
      <c r="AV205" s="79"/>
      <c r="AW205" s="735"/>
      <c r="AX205" s="735"/>
      <c r="AY205" s="25"/>
      <c r="AZ205" s="29">
        <f t="shared" ref="AZ205:AZ207" si="381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35"/>
      <c r="BJ205" s="129"/>
      <c r="BK205" s="130"/>
      <c r="BL205" s="79"/>
      <c r="BM205" s="735"/>
      <c r="BN205" s="131"/>
      <c r="BO205" s="130"/>
      <c r="BP205" s="79"/>
      <c r="BQ205" s="735"/>
      <c r="BR205" s="735"/>
      <c r="BS205" s="25"/>
      <c r="BT205" s="29">
        <f t="shared" ref="BT205:BT207" si="382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35"/>
      <c r="CD205" s="129"/>
      <c r="CE205" s="130"/>
      <c r="CF205" s="79"/>
      <c r="CG205" s="735"/>
      <c r="CH205" s="131"/>
      <c r="CI205" s="130"/>
      <c r="CJ205" s="79"/>
      <c r="CK205" s="735"/>
      <c r="CL205" s="735"/>
      <c r="CM205" s="25"/>
      <c r="CN205" s="29">
        <f t="shared" ref="CN205:CN207" si="383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35"/>
      <c r="CX205" s="129"/>
      <c r="CY205" s="130"/>
      <c r="CZ205" s="79"/>
      <c r="DA205" s="735"/>
      <c r="DB205" s="131"/>
      <c r="DC205" s="130"/>
      <c r="DD205" s="79"/>
      <c r="DE205" s="735"/>
      <c r="DF205" s="735"/>
      <c r="DG205" s="25"/>
      <c r="DH205" s="29">
        <f t="shared" si="380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3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41"/>
      <c r="V206" s="366"/>
      <c r="W206" s="367"/>
      <c r="X206" s="368"/>
      <c r="Y206" s="741"/>
      <c r="Z206" s="369"/>
      <c r="AA206" s="367"/>
      <c r="AB206" s="368"/>
      <c r="AC206" s="741"/>
      <c r="AD206" s="741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41"/>
      <c r="AP206" s="366"/>
      <c r="AQ206" s="367"/>
      <c r="AR206" s="368"/>
      <c r="AS206" s="741"/>
      <c r="AT206" s="369"/>
      <c r="AU206" s="367"/>
      <c r="AV206" s="368"/>
      <c r="AW206" s="741"/>
      <c r="AX206" s="741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41"/>
      <c r="BJ206" s="366"/>
      <c r="BK206" s="367"/>
      <c r="BL206" s="368"/>
      <c r="BM206" s="741"/>
      <c r="BN206" s="369"/>
      <c r="BO206" s="367"/>
      <c r="BP206" s="368"/>
      <c r="BQ206" s="741"/>
      <c r="BR206" s="741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41"/>
      <c r="CD206" s="366"/>
      <c r="CE206" s="367"/>
      <c r="CF206" s="368"/>
      <c r="CG206" s="741"/>
      <c r="CH206" s="369"/>
      <c r="CI206" s="367"/>
      <c r="CJ206" s="368"/>
      <c r="CK206" s="741"/>
      <c r="CL206" s="741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41"/>
      <c r="CX206" s="366"/>
      <c r="CY206" s="367"/>
      <c r="CZ206" s="368"/>
      <c r="DA206" s="741"/>
      <c r="DB206" s="369"/>
      <c r="DC206" s="367"/>
      <c r="DD206" s="368"/>
      <c r="DE206" s="741"/>
      <c r="DF206" s="741"/>
      <c r="DG206" s="363"/>
      <c r="DH206" s="364"/>
      <c r="DI206" s="374"/>
      <c r="DJ206" s="374"/>
      <c r="DK206" s="375"/>
      <c r="DL206" s="375"/>
      <c r="DM206" s="365"/>
    </row>
    <row r="207" spans="1:117" x14ac:dyDescent="0.3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384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35"/>
      <c r="V207" s="129"/>
      <c r="W207" s="130"/>
      <c r="X207" s="79"/>
      <c r="Y207" s="735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35"/>
      <c r="AP207" s="129"/>
      <c r="AQ207" s="130"/>
      <c r="AR207" s="79"/>
      <c r="AS207" s="735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381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35"/>
      <c r="BJ207" s="129"/>
      <c r="BK207" s="130"/>
      <c r="BL207" s="79"/>
      <c r="BM207" s="735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382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35"/>
      <c r="CD207" s="129"/>
      <c r="CE207" s="130"/>
      <c r="CF207" s="79"/>
      <c r="CG207" s="735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383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35"/>
      <c r="CX207" s="129"/>
      <c r="CY207" s="130"/>
      <c r="CZ207" s="79"/>
      <c r="DA207" s="735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3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384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35"/>
      <c r="V208" s="129"/>
      <c r="W208" s="130"/>
      <c r="X208" s="79"/>
      <c r="Y208" s="735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35"/>
      <c r="AP208" s="129"/>
      <c r="AQ208" s="130"/>
      <c r="AR208" s="79"/>
      <c r="AS208" s="735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385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35"/>
      <c r="BJ208" s="129"/>
      <c r="BK208" s="130"/>
      <c r="BL208" s="79"/>
      <c r="BM208" s="735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386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35"/>
      <c r="CD208" s="129"/>
      <c r="CE208" s="130"/>
      <c r="CF208" s="79"/>
      <c r="CG208" s="735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387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35"/>
      <c r="CX208" s="129"/>
      <c r="CY208" s="130"/>
      <c r="CZ208" s="79"/>
      <c r="DA208" s="735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388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3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384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35"/>
      <c r="V209" s="129"/>
      <c r="W209" s="130"/>
      <c r="X209" s="79"/>
      <c r="Y209" s="735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35"/>
      <c r="AP209" s="129"/>
      <c r="AQ209" s="130"/>
      <c r="AR209" s="79"/>
      <c r="AS209" s="735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385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35"/>
      <c r="BJ209" s="129"/>
      <c r="BK209" s="130"/>
      <c r="BL209" s="79"/>
      <c r="BM209" s="735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386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35"/>
      <c r="CD209" s="129"/>
      <c r="CE209" s="130"/>
      <c r="CF209" s="79"/>
      <c r="CG209" s="735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387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35"/>
      <c r="CX209" s="129"/>
      <c r="CY209" s="130"/>
      <c r="CZ209" s="79"/>
      <c r="DA209" s="735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388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" thickBot="1" x14ac:dyDescent="0.35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385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386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387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388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" thickBot="1" x14ac:dyDescent="0.35">
      <c r="P211" s="248"/>
      <c r="AJ211" s="248"/>
      <c r="BD211" s="248"/>
      <c r="BX211" s="248"/>
      <c r="CR211" s="248"/>
      <c r="DL211" s="248"/>
    </row>
    <row r="212" spans="1:117" ht="15" thickBot="1" x14ac:dyDescent="0.35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3">
      <c r="A213" s="17"/>
      <c r="B213" s="10" t="s">
        <v>568</v>
      </c>
      <c r="C213" s="24">
        <v>1</v>
      </c>
      <c r="D213" s="44"/>
      <c r="E213" s="769"/>
      <c r="F213" s="473">
        <v>3352.52</v>
      </c>
      <c r="G213" s="10" t="s">
        <v>211</v>
      </c>
      <c r="H213" s="382"/>
      <c r="I213" s="382"/>
      <c r="J213" s="530">
        <f>SUM(M213,AG213,BA213,BU213)-L213</f>
        <v>-1016</v>
      </c>
      <c r="K213" s="395">
        <f t="shared" ref="K213:K237" si="389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36"/>
      <c r="V213" s="312"/>
      <c r="W213" s="8"/>
      <c r="X213" s="34"/>
      <c r="Y213" s="736"/>
      <c r="Z213" s="20"/>
      <c r="AA213" s="8"/>
      <c r="AB213" s="34"/>
      <c r="AC213" s="234"/>
      <c r="AD213" s="234"/>
      <c r="AE213" s="395">
        <f>SUM(M213,AG213)-SUM(O213,AI213)-L213</f>
        <v>-1141</v>
      </c>
      <c r="AF213" s="29">
        <f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36"/>
      <c r="AP213" s="312"/>
      <c r="AQ213" s="8"/>
      <c r="AR213" s="34"/>
      <c r="AS213" s="736"/>
      <c r="AT213" s="20"/>
      <c r="AU213" s="8"/>
      <c r="AV213" s="34"/>
      <c r="AW213" s="234"/>
      <c r="AX213" s="234"/>
      <c r="AY213" s="395">
        <f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36"/>
      <c r="BJ213" s="20"/>
      <c r="BK213" s="8"/>
      <c r="BL213" s="34"/>
      <c r="BM213" s="736"/>
      <c r="BN213" s="20"/>
      <c r="BO213" s="8"/>
      <c r="BP213" s="34"/>
      <c r="BQ213" s="234"/>
      <c r="BR213" s="234"/>
      <c r="BS213" s="395">
        <f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36"/>
      <c r="CD213" s="20"/>
      <c r="CE213" s="8"/>
      <c r="CF213" s="34"/>
      <c r="CG213" s="736"/>
      <c r="CH213" s="20"/>
      <c r="CI213" s="8"/>
      <c r="CJ213" s="34"/>
      <c r="CK213" s="234"/>
      <c r="CL213" s="234"/>
      <c r="CM213" s="395">
        <f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36"/>
      <c r="CX213" s="312"/>
      <c r="CY213" s="8"/>
      <c r="CZ213" s="34"/>
      <c r="DA213" s="736"/>
      <c r="DB213" s="20"/>
      <c r="DC213" s="8"/>
      <c r="DD213" s="34"/>
      <c r="DE213" s="234"/>
      <c r="DF213" s="234"/>
      <c r="DG213" s="395">
        <f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3">
      <c r="A214" s="18"/>
      <c r="B214" s="11" t="s">
        <v>277</v>
      </c>
      <c r="C214" s="25">
        <v>1</v>
      </c>
      <c r="D214" s="274"/>
      <c r="E214" s="770"/>
      <c r="F214" s="466">
        <v>163.19999999999999</v>
      </c>
      <c r="G214" s="11" t="s">
        <v>335</v>
      </c>
      <c r="H214" s="25"/>
      <c r="I214" s="25"/>
      <c r="J214" s="530">
        <f>SUM(M214,AG214,BA214,BU214)-L214</f>
        <v>-1197</v>
      </c>
      <c r="K214" s="395">
        <f t="shared" si="389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>SUM(M214,AG214)-SUM(O214,AI214)-L214</f>
        <v>-1322</v>
      </c>
      <c r="AF214" s="29">
        <f>Q214</f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>SUM(M214,AG214,BA214)-SUM(O214,AI214,BC214)-L214</f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>SUM(M214,AG214,BA214,BU214)-SUM(O214,AI214,BC214,BW214)-L214</f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>SUM(M214,AG214,BA214,BU214,CO214)-SUM(O214,AI214,BC214,BW214,CQ214)-L214</f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>SUM(M214,AG214,BA214,BU214,DI214)-SUM(O214,AI214,BC214,BW214,CQ214)-L214</f>
        <v>-1197</v>
      </c>
      <c r="DH214" s="29">
        <f t="shared" ref="DH214:DH237" si="390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3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>SUM(M215,AG215,BA215,BU215)-L215</f>
        <v>-2854</v>
      </c>
      <c r="K215" s="395">
        <f t="shared" si="389"/>
        <v>-2979</v>
      </c>
      <c r="L215" s="147">
        <v>2979</v>
      </c>
      <c r="M215" s="298">
        <f t="shared" ref="M215:M223" si="391">M212</f>
        <v>0</v>
      </c>
      <c r="N215" s="5">
        <f>M215-L215</f>
        <v>-2979</v>
      </c>
      <c r="O215" s="256"/>
      <c r="P215" s="303">
        <f t="shared" ref="P215:P223" si="392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>SUM(M215,AG215)-SUM(O215,AI215)-L215</f>
        <v>-2979</v>
      </c>
      <c r="AF215" s="29">
        <f>Q215</f>
        <v>2979</v>
      </c>
      <c r="AG215" s="298">
        <f t="shared" ref="AG215:AG223" si="393">AG212</f>
        <v>0</v>
      </c>
      <c r="AH215" s="5">
        <f>AG215-AF215</f>
        <v>-2979</v>
      </c>
      <c r="AI215" s="256"/>
      <c r="AJ215" s="303">
        <f t="shared" ref="AJ215:AJ223" si="394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>SUM(M215,AG215,BA215)-SUM(O215,AI215,BC215)-L215</f>
        <v>-2929</v>
      </c>
      <c r="AZ215" s="29">
        <f>AK215</f>
        <v>2979</v>
      </c>
      <c r="BA215" s="298">
        <f t="shared" ref="BA215:BA223" si="395">BA212</f>
        <v>50</v>
      </c>
      <c r="BB215" s="5">
        <f>BA215-AZ215</f>
        <v>-2929</v>
      </c>
      <c r="BC215" s="240"/>
      <c r="BD215" s="303">
        <f t="shared" ref="BD215:BD223" si="396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>SUM(M215,AG215,BA215,BU215)-SUM(O215,AI215,BC215,BW215)-L215</f>
        <v>-2854</v>
      </c>
      <c r="BT215" s="29">
        <f>BE215</f>
        <v>2979</v>
      </c>
      <c r="BU215" s="298">
        <f t="shared" ref="BU215:BU223" si="397">BU212</f>
        <v>75</v>
      </c>
      <c r="BV215" s="5">
        <f>BU215-BT215</f>
        <v>-2904</v>
      </c>
      <c r="BW215" s="240"/>
      <c r="BX215" s="303">
        <f t="shared" ref="BX215:BX223" si="398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>SUM(M215,AG215,BA215,BU215,CO215)-SUM(O215,AI215,BC215,BW215,CQ215)-L215</f>
        <v>-2854</v>
      </c>
      <c r="CN215" s="29">
        <f>BY215</f>
        <v>2979</v>
      </c>
      <c r="CO215" s="298">
        <f t="shared" ref="CO215:CO223" si="399">CO212</f>
        <v>0</v>
      </c>
      <c r="CP215" s="5">
        <f>CO215-CN215</f>
        <v>-2979</v>
      </c>
      <c r="CQ215" s="256"/>
      <c r="CR215" s="303">
        <f t="shared" ref="CR215:CR223" si="400">CR212</f>
        <v>0</v>
      </c>
      <c r="CS215" s="35">
        <f>CN215+CQ215-CR215</f>
        <v>2979</v>
      </c>
      <c r="CT215" s="129"/>
      <c r="CU215" s="130"/>
      <c r="CV215" s="79"/>
      <c r="CW215" s="735"/>
      <c r="CX215" s="129"/>
      <c r="CY215" s="130"/>
      <c r="CZ215" s="79"/>
      <c r="DA215" s="735"/>
      <c r="DB215" s="131"/>
      <c r="DC215" s="130"/>
      <c r="DD215" s="79"/>
      <c r="DE215" s="619"/>
      <c r="DF215" s="619"/>
      <c r="DG215" s="395">
        <f>SUM(M215,AG215,BA215,BU215,DI215)-SUM(O215,AI215,BC215,BW215,CQ215)-L215</f>
        <v>-2854</v>
      </c>
      <c r="DH215" s="29">
        <f t="shared" si="390"/>
        <v>2979</v>
      </c>
      <c r="DI215" s="298">
        <f t="shared" ref="DI215:DI223" si="401">DI212</f>
        <v>0</v>
      </c>
      <c r="DJ215" s="5">
        <f>DI215-DH215</f>
        <v>-2979</v>
      </c>
      <c r="DK215" s="256"/>
      <c r="DL215" s="303">
        <f t="shared" ref="DL215:DL223" si="402">DL212</f>
        <v>0</v>
      </c>
      <c r="DM215" s="35">
        <f>DH215+DK215-DL215</f>
        <v>2979</v>
      </c>
    </row>
    <row r="216" spans="1:117" x14ac:dyDescent="0.3">
      <c r="A216" s="17"/>
      <c r="B216" s="10" t="s">
        <v>420</v>
      </c>
      <c r="C216" s="24">
        <v>1</v>
      </c>
      <c r="D216" s="419"/>
      <c r="E216" s="771"/>
      <c r="F216" s="473"/>
      <c r="G216" s="23" t="s">
        <v>317</v>
      </c>
      <c r="H216" s="24"/>
      <c r="I216" s="24"/>
      <c r="J216" s="530">
        <f>SUM(M216,AG216,BA216,BU216)-L216</f>
        <v>-2824</v>
      </c>
      <c r="K216" s="395">
        <f t="shared" si="389"/>
        <v>-2949</v>
      </c>
      <c r="L216" s="294">
        <v>2949</v>
      </c>
      <c r="M216" s="298">
        <f t="shared" si="391"/>
        <v>0</v>
      </c>
      <c r="N216" s="5">
        <f t="shared" ref="N216:N224" si="403">M216-L216</f>
        <v>-2949</v>
      </c>
      <c r="O216" s="258"/>
      <c r="P216" s="303">
        <f t="shared" si="392"/>
        <v>0</v>
      </c>
      <c r="Q216" s="35">
        <f t="shared" ref="Q216:Q224" si="404">L216+O216-P216</f>
        <v>2949</v>
      </c>
      <c r="R216" s="123"/>
      <c r="S216" s="8"/>
      <c r="T216" s="34"/>
      <c r="U216" s="736"/>
      <c r="V216" s="20"/>
      <c r="W216" s="8"/>
      <c r="X216" s="34"/>
      <c r="Y216" s="736"/>
      <c r="Z216" s="20"/>
      <c r="AA216" s="8"/>
      <c r="AB216" s="34"/>
      <c r="AC216" s="234"/>
      <c r="AD216" s="234"/>
      <c r="AE216" s="398">
        <f>SUM(M216,AG216)-SUM(O216,AI216)-L216</f>
        <v>-2949</v>
      </c>
      <c r="AF216" s="29">
        <f>Q216</f>
        <v>2949</v>
      </c>
      <c r="AG216" s="298">
        <f t="shared" si="393"/>
        <v>0</v>
      </c>
      <c r="AH216" s="5">
        <f t="shared" ref="AH216:AH224" si="405">AG216-AF216</f>
        <v>-2949</v>
      </c>
      <c r="AI216" s="258"/>
      <c r="AJ216" s="303">
        <f t="shared" si="394"/>
        <v>0</v>
      </c>
      <c r="AK216" s="35">
        <f t="shared" ref="AK216:AK224" si="406">AF216+AI216-AJ216</f>
        <v>2949</v>
      </c>
      <c r="AL216" s="123"/>
      <c r="AM216" s="8"/>
      <c r="AN216" s="34"/>
      <c r="AO216" s="736"/>
      <c r="AP216" s="20"/>
      <c r="AQ216" s="8"/>
      <c r="AR216" s="34"/>
      <c r="AS216" s="736"/>
      <c r="AT216" s="20"/>
      <c r="AU216" s="8"/>
      <c r="AV216" s="34"/>
      <c r="AW216" s="234"/>
      <c r="AX216" s="234"/>
      <c r="AY216" s="398">
        <f>SUM(M216,AG216,BA216)-SUM(O216,AI216,BC216)-L216</f>
        <v>-2899</v>
      </c>
      <c r="AZ216" s="29">
        <f t="shared" ref="AZ216:AZ224" si="407">AK216</f>
        <v>2949</v>
      </c>
      <c r="BA216" s="298">
        <f t="shared" si="395"/>
        <v>50</v>
      </c>
      <c r="BB216" s="5">
        <f t="shared" ref="BB216:BB224" si="408">BA216-AZ216</f>
        <v>-2899</v>
      </c>
      <c r="BC216" s="258"/>
      <c r="BD216" s="303">
        <f t="shared" si="396"/>
        <v>0</v>
      </c>
      <c r="BE216" s="35">
        <f t="shared" ref="BE216:BE224" si="409">AZ216+BC216-BD216</f>
        <v>2949</v>
      </c>
      <c r="BF216" s="20"/>
      <c r="BG216" s="8"/>
      <c r="BH216" s="34"/>
      <c r="BI216" s="736"/>
      <c r="BJ216" s="20"/>
      <c r="BK216" s="8"/>
      <c r="BL216" s="34"/>
      <c r="BM216" s="736"/>
      <c r="BN216" s="20"/>
      <c r="BO216" s="8"/>
      <c r="BP216" s="34"/>
      <c r="BQ216" s="234"/>
      <c r="BR216" s="234"/>
      <c r="BS216" s="398">
        <f>SUM(M216,AG216,BA216,BU216)-SUM(O216,AI216,BC216,BW216)-L216</f>
        <v>-2824</v>
      </c>
      <c r="BT216" s="29">
        <f t="shared" ref="BT216:BT224" si="410">BE216</f>
        <v>2949</v>
      </c>
      <c r="BU216" s="298">
        <f t="shared" si="397"/>
        <v>75</v>
      </c>
      <c r="BV216" s="5">
        <f t="shared" ref="BV216:BV224" si="411">BU216-BT216</f>
        <v>-2874</v>
      </c>
      <c r="BW216" s="258"/>
      <c r="BX216" s="303">
        <f t="shared" si="398"/>
        <v>0</v>
      </c>
      <c r="BY216" s="35">
        <f t="shared" ref="BY216:BY224" si="412">BT216+BW216-BX216</f>
        <v>2949</v>
      </c>
      <c r="BZ216" s="20"/>
      <c r="CA216" s="8"/>
      <c r="CB216" s="34"/>
      <c r="CC216" s="736"/>
      <c r="CD216" s="20"/>
      <c r="CE216" s="8"/>
      <c r="CF216" s="34"/>
      <c r="CG216" s="736"/>
      <c r="CH216" s="20"/>
      <c r="CI216" s="8"/>
      <c r="CJ216" s="34"/>
      <c r="CK216" s="234"/>
      <c r="CL216" s="234"/>
      <c r="CM216" s="395">
        <f>SUM(M216,AG216,BA216,BU216,CO216)-SUM(O216,AI216,BC216,BW216,CQ216)-L216</f>
        <v>-2824</v>
      </c>
      <c r="CN216" s="29">
        <f t="shared" ref="CN216:CN224" si="413">BY216</f>
        <v>2949</v>
      </c>
      <c r="CO216" s="298">
        <f t="shared" si="399"/>
        <v>0</v>
      </c>
      <c r="CP216" s="5">
        <f t="shared" ref="CP216:CP224" si="414">CO216-CN216</f>
        <v>-2949</v>
      </c>
      <c r="CQ216" s="258"/>
      <c r="CR216" s="303">
        <f t="shared" si="400"/>
        <v>0</v>
      </c>
      <c r="CS216" s="35">
        <f t="shared" ref="CS216:CS224" si="415">CN216+CQ216-CR216</f>
        <v>2949</v>
      </c>
      <c r="CT216" s="123"/>
      <c r="CU216" s="8"/>
      <c r="CV216" s="34"/>
      <c r="CW216" s="736"/>
      <c r="CX216" s="20"/>
      <c r="CY216" s="8"/>
      <c r="CZ216" s="34"/>
      <c r="DA216" s="736"/>
      <c r="DB216" s="20"/>
      <c r="DC216" s="8"/>
      <c r="DD216" s="34"/>
      <c r="DE216" s="234"/>
      <c r="DF216" s="234"/>
      <c r="DG216" s="395">
        <f>SUM(M216,AG216,BA216,BU216,DI216)-SUM(O216,AI216,BC216,BW216,CQ216)-L216</f>
        <v>-2824</v>
      </c>
      <c r="DH216" s="29">
        <f t="shared" si="390"/>
        <v>2949</v>
      </c>
      <c r="DI216" s="298">
        <f t="shared" si="401"/>
        <v>0</v>
      </c>
      <c r="DJ216" s="5">
        <f t="shared" ref="DJ216:DJ228" si="416">DI216-DH216</f>
        <v>-2949</v>
      </c>
      <c r="DK216" s="258"/>
      <c r="DL216" s="303">
        <f t="shared" si="402"/>
        <v>0</v>
      </c>
      <c r="DM216" s="35">
        <f t="shared" ref="DM216:DM228" si="417">DH216+DK216-DL216</f>
        <v>2949</v>
      </c>
    </row>
    <row r="217" spans="1:117" x14ac:dyDescent="0.3">
      <c r="A217" s="17"/>
      <c r="B217" s="10" t="s">
        <v>421</v>
      </c>
      <c r="C217" s="24">
        <v>1</v>
      </c>
      <c r="D217" s="274"/>
      <c r="E217" s="771"/>
      <c r="F217" s="473"/>
      <c r="G217" s="23" t="s">
        <v>317</v>
      </c>
      <c r="H217" s="24"/>
      <c r="I217" s="24"/>
      <c r="J217" s="530">
        <f>SUM(M217,AG217,BA217,BU217)-L217</f>
        <v>-2188</v>
      </c>
      <c r="K217" s="395">
        <f t="shared" si="389"/>
        <v>-2313</v>
      </c>
      <c r="L217" s="147">
        <v>2313</v>
      </c>
      <c r="M217" s="298">
        <f t="shared" si="391"/>
        <v>0</v>
      </c>
      <c r="N217" s="5">
        <f t="shared" si="403"/>
        <v>-2313</v>
      </c>
      <c r="O217" s="258"/>
      <c r="P217" s="303">
        <f t="shared" si="392"/>
        <v>0</v>
      </c>
      <c r="Q217" s="35">
        <f t="shared" si="404"/>
        <v>2313</v>
      </c>
      <c r="R217" s="123"/>
      <c r="S217" s="8"/>
      <c r="T217" s="34"/>
      <c r="U217" s="736"/>
      <c r="V217" s="20"/>
      <c r="W217" s="8"/>
      <c r="X217" s="34"/>
      <c r="Y217" s="736"/>
      <c r="Z217" s="20"/>
      <c r="AA217" s="8"/>
      <c r="AB217" s="34"/>
      <c r="AC217" s="234"/>
      <c r="AD217" s="234"/>
      <c r="AE217" s="398">
        <f>SUM(M217,AG217)-SUM(O217,AI217)-L217</f>
        <v>-2313</v>
      </c>
      <c r="AF217" s="29">
        <f>Q217</f>
        <v>2313</v>
      </c>
      <c r="AG217" s="298">
        <f t="shared" si="393"/>
        <v>0</v>
      </c>
      <c r="AH217" s="5">
        <f t="shared" si="405"/>
        <v>-2313</v>
      </c>
      <c r="AI217" s="258"/>
      <c r="AJ217" s="303">
        <f t="shared" si="394"/>
        <v>0</v>
      </c>
      <c r="AK217" s="35">
        <f t="shared" si="406"/>
        <v>2313</v>
      </c>
      <c r="AL217" s="123"/>
      <c r="AM217" s="8"/>
      <c r="AN217" s="34"/>
      <c r="AO217" s="736"/>
      <c r="AP217" s="20"/>
      <c r="AQ217" s="8"/>
      <c r="AR217" s="34"/>
      <c r="AS217" s="736"/>
      <c r="AT217" s="20"/>
      <c r="AU217" s="8"/>
      <c r="AV217" s="34"/>
      <c r="AW217" s="234"/>
      <c r="AX217" s="234"/>
      <c r="AY217" s="398">
        <f>SUM(M217,AG217,BA217)-SUM(O217,AI217,BC217)-L217</f>
        <v>-2263</v>
      </c>
      <c r="AZ217" s="29">
        <f t="shared" si="407"/>
        <v>2313</v>
      </c>
      <c r="BA217" s="298">
        <f t="shared" si="395"/>
        <v>50</v>
      </c>
      <c r="BB217" s="5">
        <f t="shared" si="408"/>
        <v>-2263</v>
      </c>
      <c r="BC217" s="258"/>
      <c r="BD217" s="303">
        <f t="shared" si="396"/>
        <v>0</v>
      </c>
      <c r="BE217" s="35">
        <f t="shared" si="409"/>
        <v>2313</v>
      </c>
      <c r="BF217" s="20"/>
      <c r="BG217" s="8"/>
      <c r="BH217" s="34"/>
      <c r="BI217" s="736"/>
      <c r="BJ217" s="20"/>
      <c r="BK217" s="8"/>
      <c r="BL217" s="34"/>
      <c r="BM217" s="736"/>
      <c r="BN217" s="20"/>
      <c r="BO217" s="8"/>
      <c r="BP217" s="34"/>
      <c r="BQ217" s="234"/>
      <c r="BR217" s="234"/>
      <c r="BS217" s="398">
        <f>SUM(M217,AG217,BA217,BU217)-SUM(O217,AI217,BC217,BW217)-L217</f>
        <v>-2188</v>
      </c>
      <c r="BT217" s="29">
        <f t="shared" si="410"/>
        <v>2313</v>
      </c>
      <c r="BU217" s="298">
        <f t="shared" si="397"/>
        <v>75</v>
      </c>
      <c r="BV217" s="5">
        <f t="shared" si="411"/>
        <v>-2238</v>
      </c>
      <c r="BW217" s="258"/>
      <c r="BX217" s="303">
        <f t="shared" si="398"/>
        <v>0</v>
      </c>
      <c r="BY217" s="35">
        <f t="shared" si="412"/>
        <v>2313</v>
      </c>
      <c r="BZ217" s="20"/>
      <c r="CA217" s="8"/>
      <c r="CB217" s="34"/>
      <c r="CC217" s="736"/>
      <c r="CD217" s="20"/>
      <c r="CE217" s="8"/>
      <c r="CF217" s="34"/>
      <c r="CG217" s="736"/>
      <c r="CH217" s="20"/>
      <c r="CI217" s="8"/>
      <c r="CJ217" s="34"/>
      <c r="CK217" s="234"/>
      <c r="CL217" s="234"/>
      <c r="CM217" s="395">
        <f>SUM(M217,AG217,BA217,BU217,CO217)-SUM(O217,AI217,BC217,BW217,CQ217)-L217</f>
        <v>-2188</v>
      </c>
      <c r="CN217" s="29">
        <f t="shared" si="413"/>
        <v>2313</v>
      </c>
      <c r="CO217" s="298">
        <f t="shared" si="399"/>
        <v>0</v>
      </c>
      <c r="CP217" s="5">
        <f t="shared" si="414"/>
        <v>-2313</v>
      </c>
      <c r="CQ217" s="258"/>
      <c r="CR217" s="303">
        <f t="shared" si="400"/>
        <v>0</v>
      </c>
      <c r="CS217" s="35">
        <f t="shared" si="415"/>
        <v>2313</v>
      </c>
      <c r="CT217" s="123"/>
      <c r="CU217" s="8"/>
      <c r="CV217" s="34"/>
      <c r="CW217" s="736"/>
      <c r="CX217" s="20"/>
      <c r="CY217" s="8"/>
      <c r="CZ217" s="34"/>
      <c r="DA217" s="736"/>
      <c r="DB217" s="20"/>
      <c r="DC217" s="8"/>
      <c r="DD217" s="34"/>
      <c r="DE217" s="234"/>
      <c r="DF217" s="234"/>
      <c r="DG217" s="395">
        <f>SUM(M217,AG217,BA217,BU217,DI217)-SUM(O217,AI217,BC217,BW217,CQ217)-L217</f>
        <v>-2188</v>
      </c>
      <c r="DH217" s="29">
        <f t="shared" si="390"/>
        <v>2313</v>
      </c>
      <c r="DI217" s="298">
        <f t="shared" si="401"/>
        <v>0</v>
      </c>
      <c r="DJ217" s="5">
        <f t="shared" si="416"/>
        <v>-2313</v>
      </c>
      <c r="DK217" s="258"/>
      <c r="DL217" s="303">
        <f t="shared" si="402"/>
        <v>0</v>
      </c>
      <c r="DM217" s="35">
        <f t="shared" si="417"/>
        <v>2313</v>
      </c>
    </row>
    <row r="218" spans="1:117" x14ac:dyDescent="0.3">
      <c r="A218" s="17"/>
      <c r="B218" s="10" t="s">
        <v>422</v>
      </c>
      <c r="C218" s="24">
        <v>1</v>
      </c>
      <c r="D218" s="274"/>
      <c r="E218" s="771"/>
      <c r="F218" s="473"/>
      <c r="G218" s="23" t="s">
        <v>317</v>
      </c>
      <c r="H218" s="24"/>
      <c r="I218" s="24"/>
      <c r="J218" s="530">
        <f>SUM(M218,AG218,BA218,BU218)-L218</f>
        <v>-3126</v>
      </c>
      <c r="K218" s="395">
        <f t="shared" si="389"/>
        <v>-3251</v>
      </c>
      <c r="L218" s="147">
        <v>3251</v>
      </c>
      <c r="M218" s="298">
        <f t="shared" si="391"/>
        <v>0</v>
      </c>
      <c r="N218" s="5">
        <f t="shared" si="403"/>
        <v>-3251</v>
      </c>
      <c r="O218" s="258"/>
      <c r="P218" s="303">
        <f t="shared" si="392"/>
        <v>0</v>
      </c>
      <c r="Q218" s="35">
        <f t="shared" si="404"/>
        <v>3251</v>
      </c>
      <c r="R218" s="123"/>
      <c r="S218" s="8"/>
      <c r="T218" s="34"/>
      <c r="U218" s="736"/>
      <c r="V218" s="20"/>
      <c r="W218" s="8"/>
      <c r="X218" s="34"/>
      <c r="Y218" s="736"/>
      <c r="Z218" s="20"/>
      <c r="AA218" s="8"/>
      <c r="AB218" s="34"/>
      <c r="AC218" s="234"/>
      <c r="AD218" s="234"/>
      <c r="AE218" s="398">
        <f>SUM(M218,AG218)-SUM(O218,AI218)-L218</f>
        <v>-3251</v>
      </c>
      <c r="AF218" s="29">
        <f>Q218</f>
        <v>3251</v>
      </c>
      <c r="AG218" s="298">
        <f t="shared" si="393"/>
        <v>0</v>
      </c>
      <c r="AH218" s="5">
        <f t="shared" si="405"/>
        <v>-3251</v>
      </c>
      <c r="AI218" s="258"/>
      <c r="AJ218" s="303">
        <f t="shared" si="394"/>
        <v>0</v>
      </c>
      <c r="AK218" s="35">
        <f t="shared" si="406"/>
        <v>3251</v>
      </c>
      <c r="AL218" s="123"/>
      <c r="AM218" s="8"/>
      <c r="AN218" s="34"/>
      <c r="AO218" s="736"/>
      <c r="AP218" s="20"/>
      <c r="AQ218" s="8"/>
      <c r="AR218" s="34"/>
      <c r="AS218" s="736"/>
      <c r="AT218" s="20"/>
      <c r="AU218" s="8"/>
      <c r="AV218" s="34"/>
      <c r="AW218" s="234"/>
      <c r="AX218" s="234"/>
      <c r="AY218" s="398">
        <f>SUM(M218,AG218,BA218)-SUM(O218,AI218,BC218)-L218</f>
        <v>-3201</v>
      </c>
      <c r="AZ218" s="29">
        <f t="shared" si="407"/>
        <v>3251</v>
      </c>
      <c r="BA218" s="298">
        <f t="shared" si="395"/>
        <v>50</v>
      </c>
      <c r="BB218" s="5">
        <f t="shared" si="408"/>
        <v>-3201</v>
      </c>
      <c r="BC218" s="258"/>
      <c r="BD218" s="303">
        <f t="shared" si="396"/>
        <v>0</v>
      </c>
      <c r="BE218" s="35">
        <f t="shared" si="409"/>
        <v>3251</v>
      </c>
      <c r="BF218" s="20"/>
      <c r="BG218" s="8"/>
      <c r="BH218" s="34"/>
      <c r="BI218" s="736"/>
      <c r="BJ218" s="20"/>
      <c r="BK218" s="8"/>
      <c r="BL218" s="34"/>
      <c r="BM218" s="736"/>
      <c r="BN218" s="20"/>
      <c r="BO218" s="8"/>
      <c r="BP218" s="34"/>
      <c r="BQ218" s="234"/>
      <c r="BR218" s="234"/>
      <c r="BS218" s="398">
        <f>SUM(M218,AG218,BA218,BU218)-SUM(O218,AI218,BC218,BW218)-L218</f>
        <v>-3126</v>
      </c>
      <c r="BT218" s="29">
        <f t="shared" si="410"/>
        <v>3251</v>
      </c>
      <c r="BU218" s="298">
        <f t="shared" si="397"/>
        <v>75</v>
      </c>
      <c r="BV218" s="5">
        <f t="shared" si="411"/>
        <v>-3176</v>
      </c>
      <c r="BW218" s="258"/>
      <c r="BX218" s="303">
        <f t="shared" si="398"/>
        <v>0</v>
      </c>
      <c r="BY218" s="35">
        <f t="shared" si="412"/>
        <v>3251</v>
      </c>
      <c r="BZ218" s="20"/>
      <c r="CA218" s="8"/>
      <c r="CB218" s="34"/>
      <c r="CC218" s="736"/>
      <c r="CD218" s="20"/>
      <c r="CE218" s="8"/>
      <c r="CF218" s="34"/>
      <c r="CG218" s="736"/>
      <c r="CH218" s="20"/>
      <c r="CI218" s="8"/>
      <c r="CJ218" s="34"/>
      <c r="CK218" s="234"/>
      <c r="CL218" s="234"/>
      <c r="CM218" s="395">
        <f>SUM(M218,AG218,BA218,BU218,CO218)-SUM(O218,AI218,BC218,BW218,CQ218)-L218</f>
        <v>-3126</v>
      </c>
      <c r="CN218" s="29">
        <f t="shared" si="413"/>
        <v>3251</v>
      </c>
      <c r="CO218" s="298">
        <f t="shared" si="399"/>
        <v>0</v>
      </c>
      <c r="CP218" s="5">
        <f t="shared" si="414"/>
        <v>-3251</v>
      </c>
      <c r="CQ218" s="258"/>
      <c r="CR218" s="303">
        <f t="shared" si="400"/>
        <v>0</v>
      </c>
      <c r="CS218" s="35">
        <f t="shared" si="415"/>
        <v>3251</v>
      </c>
      <c r="CT218" s="123"/>
      <c r="CU218" s="8"/>
      <c r="CV218" s="34"/>
      <c r="CW218" s="736"/>
      <c r="CX218" s="20"/>
      <c r="CY218" s="8"/>
      <c r="CZ218" s="34"/>
      <c r="DA218" s="736"/>
      <c r="DB218" s="20"/>
      <c r="DC218" s="8"/>
      <c r="DD218" s="34"/>
      <c r="DE218" s="234"/>
      <c r="DF218" s="234"/>
      <c r="DG218" s="395">
        <f>SUM(M218,AG218,BA218,BU218,DI218)-SUM(O218,AI218,BC218,BW218,CQ218)-L218</f>
        <v>-3126</v>
      </c>
      <c r="DH218" s="29">
        <f t="shared" si="390"/>
        <v>3251</v>
      </c>
      <c r="DI218" s="298">
        <f t="shared" si="401"/>
        <v>0</v>
      </c>
      <c r="DJ218" s="5">
        <f t="shared" si="416"/>
        <v>-3251</v>
      </c>
      <c r="DK218" s="258"/>
      <c r="DL218" s="303">
        <f t="shared" si="402"/>
        <v>0</v>
      </c>
      <c r="DM218" s="35">
        <f t="shared" si="417"/>
        <v>3251</v>
      </c>
    </row>
    <row r="219" spans="1:117" x14ac:dyDescent="0.3">
      <c r="A219" s="17"/>
      <c r="B219" s="10" t="s">
        <v>428</v>
      </c>
      <c r="C219" s="24">
        <v>1</v>
      </c>
      <c r="D219" s="274"/>
      <c r="E219" s="771"/>
      <c r="F219" s="473"/>
      <c r="G219" s="23" t="s">
        <v>317</v>
      </c>
      <c r="H219" s="24"/>
      <c r="I219" s="24"/>
      <c r="J219" s="530">
        <f>SUM(M219,AG219,BA219,BU219)-L219</f>
        <v>-2125</v>
      </c>
      <c r="K219" s="395">
        <f t="shared" si="389"/>
        <v>-2250</v>
      </c>
      <c r="L219" s="147">
        <v>2250</v>
      </c>
      <c r="M219" s="298">
        <f t="shared" si="391"/>
        <v>0</v>
      </c>
      <c r="N219" s="5">
        <f t="shared" si="403"/>
        <v>-2250</v>
      </c>
      <c r="O219" s="258"/>
      <c r="P219" s="303">
        <f t="shared" si="392"/>
        <v>0</v>
      </c>
      <c r="Q219" s="35">
        <f t="shared" si="404"/>
        <v>2250</v>
      </c>
      <c r="R219" s="123"/>
      <c r="S219" s="8"/>
      <c r="T219" s="34"/>
      <c r="U219" s="736"/>
      <c r="V219" s="20"/>
      <c r="W219" s="8"/>
      <c r="X219" s="34"/>
      <c r="Y219" s="736"/>
      <c r="Z219" s="20"/>
      <c r="AA219" s="8"/>
      <c r="AB219" s="34"/>
      <c r="AC219" s="234"/>
      <c r="AD219" s="234"/>
      <c r="AE219" s="398">
        <f>SUM(M219,AG219)-SUM(O219,AI219)-L219</f>
        <v>-2250</v>
      </c>
      <c r="AF219" s="29">
        <f>Q219</f>
        <v>2250</v>
      </c>
      <c r="AG219" s="298">
        <f t="shared" si="393"/>
        <v>0</v>
      </c>
      <c r="AH219" s="5">
        <f t="shared" si="405"/>
        <v>-2250</v>
      </c>
      <c r="AI219" s="258"/>
      <c r="AJ219" s="303">
        <f t="shared" si="394"/>
        <v>0</v>
      </c>
      <c r="AK219" s="35">
        <f t="shared" si="406"/>
        <v>2250</v>
      </c>
      <c r="AL219" s="123"/>
      <c r="AM219" s="8"/>
      <c r="AN219" s="34"/>
      <c r="AO219" s="736"/>
      <c r="AP219" s="20"/>
      <c r="AQ219" s="8"/>
      <c r="AR219" s="34"/>
      <c r="AS219" s="736"/>
      <c r="AT219" s="20"/>
      <c r="AU219" s="8"/>
      <c r="AV219" s="34"/>
      <c r="AW219" s="234"/>
      <c r="AX219" s="234"/>
      <c r="AY219" s="398">
        <f>SUM(M219,AG219,BA219)-SUM(O219,AI219,BC219)-L219</f>
        <v>-2200</v>
      </c>
      <c r="AZ219" s="29">
        <f t="shared" si="407"/>
        <v>2250</v>
      </c>
      <c r="BA219" s="298">
        <f t="shared" si="395"/>
        <v>50</v>
      </c>
      <c r="BB219" s="5">
        <f t="shared" si="408"/>
        <v>-2200</v>
      </c>
      <c r="BC219" s="258"/>
      <c r="BD219" s="303">
        <f t="shared" si="396"/>
        <v>0</v>
      </c>
      <c r="BE219" s="35">
        <f t="shared" si="409"/>
        <v>2250</v>
      </c>
      <c r="BF219" s="20"/>
      <c r="BG219" s="8"/>
      <c r="BH219" s="34"/>
      <c r="BI219" s="736"/>
      <c r="BJ219" s="20"/>
      <c r="BK219" s="8"/>
      <c r="BL219" s="34"/>
      <c r="BM219" s="736"/>
      <c r="BN219" s="20"/>
      <c r="BO219" s="8"/>
      <c r="BP219" s="34"/>
      <c r="BQ219" s="234"/>
      <c r="BR219" s="234"/>
      <c r="BS219" s="398">
        <f>SUM(M219,AG219,BA219,BU219)-SUM(O219,AI219,BC219,BW219)-L219</f>
        <v>-2125</v>
      </c>
      <c r="BT219" s="29">
        <f t="shared" si="410"/>
        <v>2250</v>
      </c>
      <c r="BU219" s="298">
        <f t="shared" si="397"/>
        <v>75</v>
      </c>
      <c r="BV219" s="5">
        <f t="shared" si="411"/>
        <v>-2175</v>
      </c>
      <c r="BW219" s="258"/>
      <c r="BX219" s="303">
        <f t="shared" si="398"/>
        <v>0</v>
      </c>
      <c r="BY219" s="35">
        <f t="shared" si="412"/>
        <v>2250</v>
      </c>
      <c r="BZ219" s="20"/>
      <c r="CA219" s="8"/>
      <c r="CB219" s="34"/>
      <c r="CC219" s="736"/>
      <c r="CD219" s="20"/>
      <c r="CE219" s="8"/>
      <c r="CF219" s="34"/>
      <c r="CG219" s="736"/>
      <c r="CH219" s="20"/>
      <c r="CI219" s="8"/>
      <c r="CJ219" s="34"/>
      <c r="CK219" s="234"/>
      <c r="CL219" s="234"/>
      <c r="CM219" s="395">
        <f>SUM(M219,AG219,BA219,BU219,CO219)-SUM(O219,AI219,BC219,BW219,CQ219)-L219</f>
        <v>-2125</v>
      </c>
      <c r="CN219" s="29">
        <f t="shared" si="413"/>
        <v>2250</v>
      </c>
      <c r="CO219" s="298">
        <f t="shared" si="399"/>
        <v>0</v>
      </c>
      <c r="CP219" s="5">
        <f t="shared" si="414"/>
        <v>-2250</v>
      </c>
      <c r="CQ219" s="258"/>
      <c r="CR219" s="303">
        <f t="shared" si="400"/>
        <v>0</v>
      </c>
      <c r="CS219" s="35">
        <f t="shared" si="415"/>
        <v>2250</v>
      </c>
      <c r="CT219" s="123"/>
      <c r="CU219" s="8"/>
      <c r="CV219" s="34"/>
      <c r="CW219" s="736"/>
      <c r="CX219" s="20"/>
      <c r="CY219" s="8"/>
      <c r="CZ219" s="34"/>
      <c r="DA219" s="736"/>
      <c r="DB219" s="20"/>
      <c r="DC219" s="8"/>
      <c r="DD219" s="34"/>
      <c r="DE219" s="234"/>
      <c r="DF219" s="234"/>
      <c r="DG219" s="395">
        <f>SUM(M219,AG219,BA219,BU219,DI219)-SUM(O219,AI219,BC219,BW219,CQ219)-L219</f>
        <v>-2125</v>
      </c>
      <c r="DH219" s="29">
        <f t="shared" si="390"/>
        <v>2250</v>
      </c>
      <c r="DI219" s="298">
        <f t="shared" si="401"/>
        <v>0</v>
      </c>
      <c r="DJ219" s="5">
        <f t="shared" si="416"/>
        <v>-2250</v>
      </c>
      <c r="DK219" s="258"/>
      <c r="DL219" s="303">
        <f t="shared" si="402"/>
        <v>0</v>
      </c>
      <c r="DM219" s="35">
        <f t="shared" si="417"/>
        <v>2250</v>
      </c>
    </row>
    <row r="220" spans="1:117" x14ac:dyDescent="0.3">
      <c r="A220" s="17"/>
      <c r="B220" s="10" t="s">
        <v>423</v>
      </c>
      <c r="C220" s="24">
        <v>1</v>
      </c>
      <c r="D220" s="274"/>
      <c r="E220" s="771"/>
      <c r="F220" s="473"/>
      <c r="G220" s="23" t="s">
        <v>317</v>
      </c>
      <c r="H220" s="24"/>
      <c r="I220" s="24"/>
      <c r="J220" s="530">
        <f>SUM(M220,AG220,BA220,BU220)-L220</f>
        <v>-2141</v>
      </c>
      <c r="K220" s="395">
        <f t="shared" si="389"/>
        <v>-2266</v>
      </c>
      <c r="L220" s="147">
        <v>2266</v>
      </c>
      <c r="M220" s="298">
        <f t="shared" si="391"/>
        <v>0</v>
      </c>
      <c r="N220" s="5">
        <f t="shared" si="403"/>
        <v>-2266</v>
      </c>
      <c r="O220" s="258"/>
      <c r="P220" s="303">
        <f t="shared" si="392"/>
        <v>0</v>
      </c>
      <c r="Q220" s="35">
        <f t="shared" si="404"/>
        <v>2266</v>
      </c>
      <c r="R220" s="123"/>
      <c r="S220" s="8"/>
      <c r="T220" s="34"/>
      <c r="U220" s="736"/>
      <c r="V220" s="20"/>
      <c r="W220" s="8"/>
      <c r="X220" s="34"/>
      <c r="Y220" s="736"/>
      <c r="Z220" s="20"/>
      <c r="AA220" s="8"/>
      <c r="AB220" s="34"/>
      <c r="AC220" s="234"/>
      <c r="AD220" s="234"/>
      <c r="AE220" s="398">
        <f>SUM(M220,AG220)-SUM(O220,AI220)-L220</f>
        <v>-2266</v>
      </c>
      <c r="AF220" s="29">
        <f>Q220</f>
        <v>2266</v>
      </c>
      <c r="AG220" s="298">
        <f t="shared" si="393"/>
        <v>0</v>
      </c>
      <c r="AH220" s="5">
        <f t="shared" si="405"/>
        <v>-2266</v>
      </c>
      <c r="AI220" s="258"/>
      <c r="AJ220" s="303">
        <f t="shared" si="394"/>
        <v>0</v>
      </c>
      <c r="AK220" s="35">
        <f t="shared" si="406"/>
        <v>2266</v>
      </c>
      <c r="AL220" s="123"/>
      <c r="AM220" s="8"/>
      <c r="AN220" s="34"/>
      <c r="AO220" s="736"/>
      <c r="AP220" s="20"/>
      <c r="AQ220" s="8"/>
      <c r="AR220" s="34"/>
      <c r="AS220" s="736"/>
      <c r="AT220" s="20"/>
      <c r="AU220" s="8"/>
      <c r="AV220" s="34"/>
      <c r="AW220" s="234"/>
      <c r="AX220" s="234"/>
      <c r="AY220" s="398">
        <f>SUM(M220,AG220,BA220)-SUM(O220,AI220,BC220)-L220</f>
        <v>-2216</v>
      </c>
      <c r="AZ220" s="29">
        <f t="shared" si="407"/>
        <v>2266</v>
      </c>
      <c r="BA220" s="298">
        <f t="shared" si="395"/>
        <v>50</v>
      </c>
      <c r="BB220" s="5">
        <f t="shared" si="408"/>
        <v>-2216</v>
      </c>
      <c r="BC220" s="258"/>
      <c r="BD220" s="303">
        <f t="shared" si="396"/>
        <v>0</v>
      </c>
      <c r="BE220" s="35">
        <f t="shared" si="409"/>
        <v>2266</v>
      </c>
      <c r="BF220" s="20"/>
      <c r="BG220" s="8"/>
      <c r="BH220" s="34"/>
      <c r="BI220" s="736"/>
      <c r="BJ220" s="20"/>
      <c r="BK220" s="8"/>
      <c r="BL220" s="34"/>
      <c r="BM220" s="736"/>
      <c r="BN220" s="20"/>
      <c r="BO220" s="8"/>
      <c r="BP220" s="34"/>
      <c r="BQ220" s="234"/>
      <c r="BR220" s="234"/>
      <c r="BS220" s="398">
        <f>SUM(M220,AG220,BA220,BU220)-SUM(O220,AI220,BC220,BW220)-L220</f>
        <v>-2141</v>
      </c>
      <c r="BT220" s="29">
        <f t="shared" si="410"/>
        <v>2266</v>
      </c>
      <c r="BU220" s="298">
        <f t="shared" si="397"/>
        <v>75</v>
      </c>
      <c r="BV220" s="5">
        <f t="shared" si="411"/>
        <v>-2191</v>
      </c>
      <c r="BW220" s="258"/>
      <c r="BX220" s="303">
        <f t="shared" si="398"/>
        <v>0</v>
      </c>
      <c r="BY220" s="35">
        <f t="shared" si="412"/>
        <v>2266</v>
      </c>
      <c r="BZ220" s="20"/>
      <c r="CA220" s="8"/>
      <c r="CB220" s="34"/>
      <c r="CC220" s="736"/>
      <c r="CD220" s="20"/>
      <c r="CE220" s="8"/>
      <c r="CF220" s="34"/>
      <c r="CG220" s="736"/>
      <c r="CH220" s="20"/>
      <c r="CI220" s="8"/>
      <c r="CJ220" s="34"/>
      <c r="CK220" s="234"/>
      <c r="CL220" s="234"/>
      <c r="CM220" s="395">
        <f>SUM(M220,AG220,BA220,BU220,CO220)-SUM(O220,AI220,BC220,BW220,CQ220)-L220</f>
        <v>-2141</v>
      </c>
      <c r="CN220" s="29">
        <f t="shared" si="413"/>
        <v>2266</v>
      </c>
      <c r="CO220" s="298">
        <f t="shared" si="399"/>
        <v>0</v>
      </c>
      <c r="CP220" s="5">
        <f t="shared" si="414"/>
        <v>-2266</v>
      </c>
      <c r="CQ220" s="258"/>
      <c r="CR220" s="303">
        <f t="shared" si="400"/>
        <v>0</v>
      </c>
      <c r="CS220" s="35">
        <f t="shared" si="415"/>
        <v>2266</v>
      </c>
      <c r="CT220" s="123"/>
      <c r="CU220" s="8"/>
      <c r="CV220" s="34"/>
      <c r="CW220" s="736"/>
      <c r="CX220" s="20"/>
      <c r="CY220" s="8"/>
      <c r="CZ220" s="34"/>
      <c r="DA220" s="736"/>
      <c r="DB220" s="20"/>
      <c r="DC220" s="8"/>
      <c r="DD220" s="34"/>
      <c r="DE220" s="234"/>
      <c r="DF220" s="234"/>
      <c r="DG220" s="395">
        <f>SUM(M220,AG220,BA220,BU220,DI220)-SUM(O220,AI220,BC220,BW220,CQ220)-L220</f>
        <v>-2141</v>
      </c>
      <c r="DH220" s="29">
        <f t="shared" si="390"/>
        <v>2266</v>
      </c>
      <c r="DI220" s="298">
        <f t="shared" si="401"/>
        <v>0</v>
      </c>
      <c r="DJ220" s="5">
        <f t="shared" si="416"/>
        <v>-2266</v>
      </c>
      <c r="DK220" s="258"/>
      <c r="DL220" s="303">
        <f t="shared" si="402"/>
        <v>0</v>
      </c>
      <c r="DM220" s="35">
        <f t="shared" si="417"/>
        <v>2266</v>
      </c>
    </row>
    <row r="221" spans="1:117" x14ac:dyDescent="0.3">
      <c r="A221" s="17"/>
      <c r="B221" s="10" t="s">
        <v>424</v>
      </c>
      <c r="C221" s="24">
        <v>1</v>
      </c>
      <c r="D221" s="274"/>
      <c r="E221" s="771"/>
      <c r="F221" s="473"/>
      <c r="G221" s="23" t="s">
        <v>317</v>
      </c>
      <c r="H221" s="24"/>
      <c r="I221" s="24"/>
      <c r="J221" s="530">
        <f>SUM(M221,AG221,BA221,BU221)-L221</f>
        <v>-2749</v>
      </c>
      <c r="K221" s="395">
        <f t="shared" si="389"/>
        <v>-2874</v>
      </c>
      <c r="L221" s="147">
        <v>2874</v>
      </c>
      <c r="M221" s="298">
        <f t="shared" si="391"/>
        <v>0</v>
      </c>
      <c r="N221" s="5">
        <f t="shared" si="403"/>
        <v>-2874</v>
      </c>
      <c r="O221" s="258"/>
      <c r="P221" s="303">
        <f t="shared" si="392"/>
        <v>0</v>
      </c>
      <c r="Q221" s="35">
        <f t="shared" si="404"/>
        <v>2874</v>
      </c>
      <c r="R221" s="123"/>
      <c r="S221" s="8"/>
      <c r="T221" s="34"/>
      <c r="U221" s="736"/>
      <c r="V221" s="20"/>
      <c r="W221" s="8"/>
      <c r="X221" s="34"/>
      <c r="Y221" s="736"/>
      <c r="Z221" s="20"/>
      <c r="AA221" s="8"/>
      <c r="AB221" s="34"/>
      <c r="AC221" s="234"/>
      <c r="AD221" s="234"/>
      <c r="AE221" s="398">
        <f>SUM(M221,AG221)-SUM(O221,AI221)-L221</f>
        <v>-2874</v>
      </c>
      <c r="AF221" s="29">
        <f>Q221</f>
        <v>2874</v>
      </c>
      <c r="AG221" s="298">
        <f t="shared" si="393"/>
        <v>0</v>
      </c>
      <c r="AH221" s="5">
        <f t="shared" si="405"/>
        <v>-2874</v>
      </c>
      <c r="AI221" s="258"/>
      <c r="AJ221" s="303">
        <f t="shared" si="394"/>
        <v>0</v>
      </c>
      <c r="AK221" s="35">
        <f t="shared" si="406"/>
        <v>2874</v>
      </c>
      <c r="AL221" s="123"/>
      <c r="AM221" s="8"/>
      <c r="AN221" s="34"/>
      <c r="AO221" s="736"/>
      <c r="AP221" s="20"/>
      <c r="AQ221" s="8"/>
      <c r="AR221" s="34"/>
      <c r="AS221" s="736"/>
      <c r="AT221" s="20"/>
      <c r="AU221" s="8"/>
      <c r="AV221" s="34"/>
      <c r="AW221" s="234"/>
      <c r="AX221" s="234"/>
      <c r="AY221" s="398">
        <f>SUM(M221,AG221,BA221)-SUM(O221,AI221,BC221)-L221</f>
        <v>-2824</v>
      </c>
      <c r="AZ221" s="29">
        <f t="shared" si="407"/>
        <v>2874</v>
      </c>
      <c r="BA221" s="298">
        <f t="shared" si="395"/>
        <v>50</v>
      </c>
      <c r="BB221" s="5">
        <f t="shared" si="408"/>
        <v>-2824</v>
      </c>
      <c r="BC221" s="258"/>
      <c r="BD221" s="303">
        <f t="shared" si="396"/>
        <v>0</v>
      </c>
      <c r="BE221" s="35">
        <f t="shared" si="409"/>
        <v>2874</v>
      </c>
      <c r="BF221" s="20"/>
      <c r="BG221" s="8"/>
      <c r="BH221" s="34"/>
      <c r="BI221" s="736"/>
      <c r="BJ221" s="20"/>
      <c r="BK221" s="8"/>
      <c r="BL221" s="34"/>
      <c r="BM221" s="736"/>
      <c r="BN221" s="20"/>
      <c r="BO221" s="8"/>
      <c r="BP221" s="34"/>
      <c r="BQ221" s="234"/>
      <c r="BR221" s="234"/>
      <c r="BS221" s="398">
        <f>SUM(M221,AG221,BA221,BU221)-SUM(O221,AI221,BC221,BW221)-L221</f>
        <v>-2749</v>
      </c>
      <c r="BT221" s="29">
        <f t="shared" si="410"/>
        <v>2874</v>
      </c>
      <c r="BU221" s="298">
        <f t="shared" si="397"/>
        <v>75</v>
      </c>
      <c r="BV221" s="5">
        <f t="shared" si="411"/>
        <v>-2799</v>
      </c>
      <c r="BW221" s="258"/>
      <c r="BX221" s="303">
        <f t="shared" si="398"/>
        <v>0</v>
      </c>
      <c r="BY221" s="35">
        <f t="shared" si="412"/>
        <v>2874</v>
      </c>
      <c r="BZ221" s="20"/>
      <c r="CA221" s="8"/>
      <c r="CB221" s="34"/>
      <c r="CC221" s="736"/>
      <c r="CD221" s="20"/>
      <c r="CE221" s="8"/>
      <c r="CF221" s="34"/>
      <c r="CG221" s="736"/>
      <c r="CH221" s="20"/>
      <c r="CI221" s="8"/>
      <c r="CJ221" s="34"/>
      <c r="CK221" s="234"/>
      <c r="CL221" s="234"/>
      <c r="CM221" s="395">
        <f>SUM(M221,AG221,BA221,BU221,CO221)-SUM(O221,AI221,BC221,BW221,CQ221)-L221</f>
        <v>-2749</v>
      </c>
      <c r="CN221" s="29">
        <f t="shared" si="413"/>
        <v>2874</v>
      </c>
      <c r="CO221" s="298">
        <f t="shared" si="399"/>
        <v>0</v>
      </c>
      <c r="CP221" s="5">
        <f t="shared" si="414"/>
        <v>-2874</v>
      </c>
      <c r="CQ221" s="258"/>
      <c r="CR221" s="303">
        <f t="shared" si="400"/>
        <v>0</v>
      </c>
      <c r="CS221" s="35">
        <f t="shared" si="415"/>
        <v>2874</v>
      </c>
      <c r="CT221" s="123"/>
      <c r="CU221" s="8"/>
      <c r="CV221" s="34"/>
      <c r="CW221" s="736"/>
      <c r="CX221" s="20"/>
      <c r="CY221" s="8"/>
      <c r="CZ221" s="34"/>
      <c r="DA221" s="736"/>
      <c r="DB221" s="20"/>
      <c r="DC221" s="8"/>
      <c r="DD221" s="34"/>
      <c r="DE221" s="234"/>
      <c r="DF221" s="234"/>
      <c r="DG221" s="395">
        <f>SUM(M221,AG221,BA221,BU221,DI221)-SUM(O221,AI221,BC221,BW221,CQ221)-L221</f>
        <v>-2749</v>
      </c>
      <c r="DH221" s="29">
        <f t="shared" si="390"/>
        <v>2874</v>
      </c>
      <c r="DI221" s="298">
        <f t="shared" si="401"/>
        <v>0</v>
      </c>
      <c r="DJ221" s="5">
        <f t="shared" si="416"/>
        <v>-2874</v>
      </c>
      <c r="DK221" s="258"/>
      <c r="DL221" s="303">
        <f t="shared" si="402"/>
        <v>0</v>
      </c>
      <c r="DM221" s="35">
        <f t="shared" si="417"/>
        <v>2874</v>
      </c>
    </row>
    <row r="222" spans="1:117" x14ac:dyDescent="0.3">
      <c r="A222" s="17"/>
      <c r="B222" s="10" t="s">
        <v>425</v>
      </c>
      <c r="C222" s="24">
        <v>1</v>
      </c>
      <c r="D222" s="274"/>
      <c r="E222" s="771"/>
      <c r="F222" s="473"/>
      <c r="G222" s="23" t="s">
        <v>317</v>
      </c>
      <c r="H222" s="24"/>
      <c r="I222" s="24"/>
      <c r="J222" s="530">
        <f>SUM(M222,AG222,BA222,BU222)-L222</f>
        <v>-4210</v>
      </c>
      <c r="K222" s="395">
        <f t="shared" si="389"/>
        <v>-4335</v>
      </c>
      <c r="L222" s="147">
        <v>4335</v>
      </c>
      <c r="M222" s="298">
        <f t="shared" si="391"/>
        <v>0</v>
      </c>
      <c r="N222" s="5">
        <f t="shared" si="403"/>
        <v>-4335</v>
      </c>
      <c r="O222" s="258"/>
      <c r="P222" s="303">
        <f t="shared" si="392"/>
        <v>0</v>
      </c>
      <c r="Q222" s="35">
        <f t="shared" si="404"/>
        <v>4335</v>
      </c>
      <c r="R222" s="123"/>
      <c r="S222" s="8"/>
      <c r="T222" s="34"/>
      <c r="U222" s="736"/>
      <c r="V222" s="20"/>
      <c r="W222" s="8"/>
      <c r="X222" s="34"/>
      <c r="Y222" s="736"/>
      <c r="Z222" s="20"/>
      <c r="AA222" s="8"/>
      <c r="AB222" s="34"/>
      <c r="AC222" s="234"/>
      <c r="AD222" s="234"/>
      <c r="AE222" s="398">
        <f>SUM(M222,AG222)-SUM(O222,AI222)-L222</f>
        <v>-4335</v>
      </c>
      <c r="AF222" s="29">
        <f>Q222</f>
        <v>4335</v>
      </c>
      <c r="AG222" s="298">
        <f t="shared" si="393"/>
        <v>0</v>
      </c>
      <c r="AH222" s="5">
        <f t="shared" si="405"/>
        <v>-4335</v>
      </c>
      <c r="AI222" s="258"/>
      <c r="AJ222" s="303">
        <f t="shared" si="394"/>
        <v>0</v>
      </c>
      <c r="AK222" s="35">
        <f t="shared" si="406"/>
        <v>4335</v>
      </c>
      <c r="AL222" s="123"/>
      <c r="AM222" s="8"/>
      <c r="AN222" s="34"/>
      <c r="AO222" s="736"/>
      <c r="AP222" s="20"/>
      <c r="AQ222" s="8"/>
      <c r="AR222" s="34"/>
      <c r="AS222" s="736"/>
      <c r="AT222" s="20"/>
      <c r="AU222" s="8"/>
      <c r="AV222" s="34"/>
      <c r="AW222" s="234"/>
      <c r="AX222" s="234"/>
      <c r="AY222" s="398">
        <f>SUM(M222,AG222,BA222)-SUM(O222,AI222,BC222)-L222</f>
        <v>-4285</v>
      </c>
      <c r="AZ222" s="29">
        <f t="shared" si="407"/>
        <v>4335</v>
      </c>
      <c r="BA222" s="298">
        <f t="shared" si="395"/>
        <v>50</v>
      </c>
      <c r="BB222" s="5">
        <f t="shared" si="408"/>
        <v>-4285</v>
      </c>
      <c r="BC222" s="258"/>
      <c r="BD222" s="303">
        <f t="shared" si="396"/>
        <v>0</v>
      </c>
      <c r="BE222" s="35">
        <f t="shared" si="409"/>
        <v>4335</v>
      </c>
      <c r="BF222" s="20"/>
      <c r="BG222" s="8"/>
      <c r="BH222" s="34"/>
      <c r="BI222" s="736"/>
      <c r="BJ222" s="20"/>
      <c r="BK222" s="8"/>
      <c r="BL222" s="34"/>
      <c r="BM222" s="736"/>
      <c r="BN222" s="20"/>
      <c r="BO222" s="8"/>
      <c r="BP222" s="34"/>
      <c r="BQ222" s="234"/>
      <c r="BR222" s="234"/>
      <c r="BS222" s="398">
        <f>SUM(M222,AG222,BA222,BU222)-SUM(O222,AI222,BC222,BW222)-L222</f>
        <v>-4210</v>
      </c>
      <c r="BT222" s="29">
        <f t="shared" si="410"/>
        <v>4335</v>
      </c>
      <c r="BU222" s="298">
        <f t="shared" si="397"/>
        <v>75</v>
      </c>
      <c r="BV222" s="5">
        <f t="shared" si="411"/>
        <v>-4260</v>
      </c>
      <c r="BW222" s="258"/>
      <c r="BX222" s="303">
        <f t="shared" si="398"/>
        <v>0</v>
      </c>
      <c r="BY222" s="35">
        <f t="shared" si="412"/>
        <v>4335</v>
      </c>
      <c r="BZ222" s="20"/>
      <c r="CA222" s="8"/>
      <c r="CB222" s="34"/>
      <c r="CC222" s="736"/>
      <c r="CD222" s="20"/>
      <c r="CE222" s="8"/>
      <c r="CF222" s="34"/>
      <c r="CG222" s="736"/>
      <c r="CH222" s="20"/>
      <c r="CI222" s="8"/>
      <c r="CJ222" s="34"/>
      <c r="CK222" s="234"/>
      <c r="CL222" s="234"/>
      <c r="CM222" s="395">
        <f>SUM(M222,AG222,BA222,BU222,CO222)-SUM(O222,AI222,BC222,BW222,CQ222)-L222</f>
        <v>-4210</v>
      </c>
      <c r="CN222" s="29">
        <f t="shared" si="413"/>
        <v>4335</v>
      </c>
      <c r="CO222" s="298">
        <f t="shared" si="399"/>
        <v>0</v>
      </c>
      <c r="CP222" s="5">
        <f t="shared" si="414"/>
        <v>-4335</v>
      </c>
      <c r="CQ222" s="258"/>
      <c r="CR222" s="303">
        <f t="shared" si="400"/>
        <v>0</v>
      </c>
      <c r="CS222" s="35">
        <f t="shared" si="415"/>
        <v>4335</v>
      </c>
      <c r="CT222" s="123"/>
      <c r="CU222" s="8"/>
      <c r="CV222" s="34"/>
      <c r="CW222" s="736"/>
      <c r="CX222" s="20"/>
      <c r="CY222" s="8"/>
      <c r="CZ222" s="34"/>
      <c r="DA222" s="736"/>
      <c r="DB222" s="20"/>
      <c r="DC222" s="8"/>
      <c r="DD222" s="34"/>
      <c r="DE222" s="234"/>
      <c r="DF222" s="234"/>
      <c r="DG222" s="395">
        <f>SUM(M222,AG222,BA222,BU222,DI222)-SUM(O222,AI222,BC222,BW222,CQ222)-L222</f>
        <v>-4210</v>
      </c>
      <c r="DH222" s="29">
        <f t="shared" si="390"/>
        <v>4335</v>
      </c>
      <c r="DI222" s="298">
        <f t="shared" si="401"/>
        <v>0</v>
      </c>
      <c r="DJ222" s="5">
        <f t="shared" si="416"/>
        <v>-4335</v>
      </c>
      <c r="DK222" s="258"/>
      <c r="DL222" s="303">
        <f t="shared" si="402"/>
        <v>0</v>
      </c>
      <c r="DM222" s="35">
        <f t="shared" si="417"/>
        <v>4335</v>
      </c>
    </row>
    <row r="223" spans="1:117" x14ac:dyDescent="0.3">
      <c r="A223" s="17"/>
      <c r="B223" s="10" t="s">
        <v>429</v>
      </c>
      <c r="C223" s="24"/>
      <c r="D223" s="274"/>
      <c r="E223" s="771"/>
      <c r="F223" s="473"/>
      <c r="G223" s="23" t="s">
        <v>317</v>
      </c>
      <c r="H223" s="24"/>
      <c r="I223" s="24"/>
      <c r="J223" s="530">
        <f>SUM(M223,AG223,BA223,BU223)-L223</f>
        <v>-1438</v>
      </c>
      <c r="K223" s="395">
        <f t="shared" si="389"/>
        <v>-1563</v>
      </c>
      <c r="L223" s="147">
        <v>1563</v>
      </c>
      <c r="M223" s="298">
        <f t="shared" si="391"/>
        <v>0</v>
      </c>
      <c r="N223" s="5">
        <f t="shared" si="403"/>
        <v>-1563</v>
      </c>
      <c r="O223" s="258"/>
      <c r="P223" s="303">
        <f t="shared" si="392"/>
        <v>0</v>
      </c>
      <c r="Q223" s="35">
        <f t="shared" si="404"/>
        <v>1563</v>
      </c>
      <c r="R223" s="123"/>
      <c r="S223" s="8"/>
      <c r="T223" s="34"/>
      <c r="U223" s="736"/>
      <c r="V223" s="20"/>
      <c r="W223" s="8"/>
      <c r="X223" s="34"/>
      <c r="Y223" s="736"/>
      <c r="Z223" s="20"/>
      <c r="AA223" s="8"/>
      <c r="AB223" s="34"/>
      <c r="AC223" s="234"/>
      <c r="AD223" s="234"/>
      <c r="AE223" s="398">
        <f>SUM(M223,AG223)-SUM(O223,AI223)-L223</f>
        <v>-1563</v>
      </c>
      <c r="AF223" s="29">
        <f>Q223</f>
        <v>1563</v>
      </c>
      <c r="AG223" s="298">
        <f t="shared" si="393"/>
        <v>0</v>
      </c>
      <c r="AH223" s="5">
        <f t="shared" si="405"/>
        <v>-1563</v>
      </c>
      <c r="AI223" s="258"/>
      <c r="AJ223" s="303">
        <f t="shared" si="394"/>
        <v>0</v>
      </c>
      <c r="AK223" s="35">
        <f t="shared" si="406"/>
        <v>1563</v>
      </c>
      <c r="AL223" s="123"/>
      <c r="AM223" s="8"/>
      <c r="AN223" s="34"/>
      <c r="AO223" s="736"/>
      <c r="AP223" s="20"/>
      <c r="AQ223" s="8"/>
      <c r="AR223" s="34"/>
      <c r="AS223" s="736"/>
      <c r="AT223" s="20"/>
      <c r="AU223" s="8"/>
      <c r="AV223" s="34"/>
      <c r="AW223" s="234"/>
      <c r="AX223" s="234"/>
      <c r="AY223" s="398">
        <f>SUM(M223,AG223,BA223)-SUM(O223,AI223,BC223)-L223</f>
        <v>-1513</v>
      </c>
      <c r="AZ223" s="29">
        <f t="shared" si="407"/>
        <v>1563</v>
      </c>
      <c r="BA223" s="298">
        <f t="shared" si="395"/>
        <v>50</v>
      </c>
      <c r="BB223" s="5">
        <f t="shared" si="408"/>
        <v>-1513</v>
      </c>
      <c r="BC223" s="258"/>
      <c r="BD223" s="303">
        <f t="shared" si="396"/>
        <v>0</v>
      </c>
      <c r="BE223" s="35">
        <f t="shared" si="409"/>
        <v>1563</v>
      </c>
      <c r="BF223" s="20"/>
      <c r="BG223" s="8"/>
      <c r="BH223" s="34"/>
      <c r="BI223" s="736"/>
      <c r="BJ223" s="20"/>
      <c r="BK223" s="8"/>
      <c r="BL223" s="34"/>
      <c r="BM223" s="736"/>
      <c r="BN223" s="20"/>
      <c r="BO223" s="8"/>
      <c r="BP223" s="34"/>
      <c r="BQ223" s="234"/>
      <c r="BR223" s="234"/>
      <c r="BS223" s="398">
        <f>SUM(M223,AG223,BA223,BU223)-SUM(O223,AI223,BC223,BW223)-L223</f>
        <v>-1438</v>
      </c>
      <c r="BT223" s="29">
        <f t="shared" si="410"/>
        <v>1563</v>
      </c>
      <c r="BU223" s="298">
        <f t="shared" si="397"/>
        <v>75</v>
      </c>
      <c r="BV223" s="5">
        <f t="shared" si="411"/>
        <v>-1488</v>
      </c>
      <c r="BW223" s="258"/>
      <c r="BX223" s="303">
        <f t="shared" si="398"/>
        <v>0</v>
      </c>
      <c r="BY223" s="35">
        <f t="shared" si="412"/>
        <v>1563</v>
      </c>
      <c r="BZ223" s="20"/>
      <c r="CA223" s="8"/>
      <c r="CB223" s="34"/>
      <c r="CC223" s="736"/>
      <c r="CD223" s="20"/>
      <c r="CE223" s="8"/>
      <c r="CF223" s="34"/>
      <c r="CG223" s="736"/>
      <c r="CH223" s="20"/>
      <c r="CI223" s="8"/>
      <c r="CJ223" s="34"/>
      <c r="CK223" s="234"/>
      <c r="CL223" s="234"/>
      <c r="CM223" s="395">
        <f>SUM(M223,AG223,BA223,BU223,CO223)-SUM(O223,AI223,BC223,BW223,CQ223)-L223</f>
        <v>-1438</v>
      </c>
      <c r="CN223" s="29">
        <f t="shared" si="413"/>
        <v>1563</v>
      </c>
      <c r="CO223" s="298">
        <f t="shared" si="399"/>
        <v>0</v>
      </c>
      <c r="CP223" s="5">
        <f t="shared" si="414"/>
        <v>-1563</v>
      </c>
      <c r="CQ223" s="258"/>
      <c r="CR223" s="303">
        <f t="shared" si="400"/>
        <v>0</v>
      </c>
      <c r="CS223" s="35">
        <f t="shared" si="415"/>
        <v>1563</v>
      </c>
      <c r="CT223" s="123"/>
      <c r="CU223" s="8"/>
      <c r="CV223" s="34"/>
      <c r="CW223" s="736"/>
      <c r="CX223" s="20"/>
      <c r="CY223" s="8"/>
      <c r="CZ223" s="34"/>
      <c r="DA223" s="736"/>
      <c r="DB223" s="20"/>
      <c r="DC223" s="8"/>
      <c r="DD223" s="34"/>
      <c r="DE223" s="234"/>
      <c r="DF223" s="234"/>
      <c r="DG223" s="395">
        <f>SUM(M223,AG223,BA223,BU223,DI223)-SUM(O223,AI223,BC223,BW223,CQ223)-L223</f>
        <v>-1438</v>
      </c>
      <c r="DH223" s="29">
        <f t="shared" si="390"/>
        <v>1563</v>
      </c>
      <c r="DI223" s="298">
        <f t="shared" si="401"/>
        <v>0</v>
      </c>
      <c r="DJ223" s="5">
        <f t="shared" si="416"/>
        <v>-1563</v>
      </c>
      <c r="DK223" s="258"/>
      <c r="DL223" s="303">
        <f t="shared" si="402"/>
        <v>0</v>
      </c>
      <c r="DM223" s="35">
        <f t="shared" si="417"/>
        <v>1563</v>
      </c>
    </row>
    <row r="224" spans="1:117" ht="28.8" x14ac:dyDescent="0.3">
      <c r="A224" s="17"/>
      <c r="B224" s="80" t="s">
        <v>430</v>
      </c>
      <c r="C224" s="24">
        <v>1</v>
      </c>
      <c r="D224" s="274"/>
      <c r="E224" s="771"/>
      <c r="F224" s="473"/>
      <c r="G224" s="23" t="s">
        <v>317</v>
      </c>
      <c r="H224" s="24"/>
      <c r="I224" s="24"/>
      <c r="J224" s="530">
        <f>SUM(M224,AG224,BA224,BU224)-L224</f>
        <v>-3725</v>
      </c>
      <c r="K224" s="395">
        <f t="shared" si="389"/>
        <v>-3850</v>
      </c>
      <c r="L224" s="147">
        <v>3850</v>
      </c>
      <c r="M224" s="298">
        <f>M220</f>
        <v>0</v>
      </c>
      <c r="N224" s="5">
        <f t="shared" si="403"/>
        <v>-3850</v>
      </c>
      <c r="O224" s="258"/>
      <c r="P224" s="303">
        <f>P220</f>
        <v>0</v>
      </c>
      <c r="Q224" s="35">
        <f t="shared" si="404"/>
        <v>3850</v>
      </c>
      <c r="R224" s="123"/>
      <c r="S224" s="8"/>
      <c r="T224" s="34"/>
      <c r="U224" s="736"/>
      <c r="V224" s="20"/>
      <c r="W224" s="8"/>
      <c r="X224" s="34"/>
      <c r="Y224" s="736"/>
      <c r="Z224" s="20"/>
      <c r="AA224" s="8"/>
      <c r="AB224" s="34"/>
      <c r="AC224" s="234"/>
      <c r="AD224" s="234"/>
      <c r="AE224" s="398">
        <f>SUM(M224,AG224)-SUM(O224,AI224)-L224</f>
        <v>-3850</v>
      </c>
      <c r="AF224" s="29">
        <f>Q224</f>
        <v>3850</v>
      </c>
      <c r="AG224" s="298">
        <f>AG220</f>
        <v>0</v>
      </c>
      <c r="AH224" s="5">
        <f t="shared" si="405"/>
        <v>-3850</v>
      </c>
      <c r="AI224" s="258"/>
      <c r="AJ224" s="303">
        <f>AJ220</f>
        <v>0</v>
      </c>
      <c r="AK224" s="35">
        <f t="shared" si="406"/>
        <v>3850</v>
      </c>
      <c r="AL224" s="123"/>
      <c r="AM224" s="8"/>
      <c r="AN224" s="34"/>
      <c r="AO224" s="736"/>
      <c r="AP224" s="20"/>
      <c r="AQ224" s="8"/>
      <c r="AR224" s="34"/>
      <c r="AS224" s="736"/>
      <c r="AT224" s="20"/>
      <c r="AU224" s="8"/>
      <c r="AV224" s="34"/>
      <c r="AW224" s="234"/>
      <c r="AX224" s="234"/>
      <c r="AY224" s="398">
        <f>SUM(M224,AG224,BA224)-SUM(O224,AI224,BC224)-L224</f>
        <v>-3800</v>
      </c>
      <c r="AZ224" s="29">
        <f t="shared" si="407"/>
        <v>3850</v>
      </c>
      <c r="BA224" s="298">
        <f>BA220</f>
        <v>50</v>
      </c>
      <c r="BB224" s="5">
        <f t="shared" si="408"/>
        <v>-3800</v>
      </c>
      <c r="BC224" s="258"/>
      <c r="BD224" s="303">
        <f>BD220</f>
        <v>0</v>
      </c>
      <c r="BE224" s="35">
        <f t="shared" si="409"/>
        <v>3850</v>
      </c>
      <c r="BF224" s="20"/>
      <c r="BG224" s="8"/>
      <c r="BH224" s="34"/>
      <c r="BI224" s="736"/>
      <c r="BJ224" s="20"/>
      <c r="BK224" s="8"/>
      <c r="BL224" s="34"/>
      <c r="BM224" s="736"/>
      <c r="BN224" s="20"/>
      <c r="BO224" s="8"/>
      <c r="BP224" s="34"/>
      <c r="BQ224" s="234"/>
      <c r="BR224" s="234"/>
      <c r="BS224" s="398">
        <f>SUM(M224,AG224,BA224,BU224)-SUM(O224,AI224,BC224,BW224)-L224</f>
        <v>-3725</v>
      </c>
      <c r="BT224" s="29">
        <f t="shared" si="410"/>
        <v>3850</v>
      </c>
      <c r="BU224" s="298">
        <f>BU220</f>
        <v>75</v>
      </c>
      <c r="BV224" s="5">
        <f t="shared" si="411"/>
        <v>-3775</v>
      </c>
      <c r="BW224" s="258"/>
      <c r="BX224" s="303">
        <f>BX220</f>
        <v>0</v>
      </c>
      <c r="BY224" s="35">
        <f t="shared" si="412"/>
        <v>3850</v>
      </c>
      <c r="BZ224" s="20"/>
      <c r="CA224" s="8"/>
      <c r="CB224" s="34"/>
      <c r="CC224" s="736"/>
      <c r="CD224" s="20"/>
      <c r="CE224" s="8"/>
      <c r="CF224" s="34"/>
      <c r="CG224" s="736"/>
      <c r="CH224" s="20"/>
      <c r="CI224" s="8"/>
      <c r="CJ224" s="34"/>
      <c r="CK224" s="234"/>
      <c r="CL224" s="234"/>
      <c r="CM224" s="395">
        <f>SUM(M224,AG224,BA224,BU224,CO224)-SUM(O224,AI224,BC224,BW224,CQ224)-L224</f>
        <v>-3725</v>
      </c>
      <c r="CN224" s="29">
        <f t="shared" si="413"/>
        <v>3850</v>
      </c>
      <c r="CO224" s="298">
        <f>CO220</f>
        <v>0</v>
      </c>
      <c r="CP224" s="5">
        <f t="shared" si="414"/>
        <v>-3850</v>
      </c>
      <c r="CQ224" s="258"/>
      <c r="CR224" s="303">
        <f>CR220</f>
        <v>0</v>
      </c>
      <c r="CS224" s="35">
        <f t="shared" si="415"/>
        <v>3850</v>
      </c>
      <c r="CT224" s="123"/>
      <c r="CU224" s="8"/>
      <c r="CV224" s="34"/>
      <c r="CW224" s="736"/>
      <c r="CX224" s="20"/>
      <c r="CY224" s="8"/>
      <c r="CZ224" s="34"/>
      <c r="DA224" s="736"/>
      <c r="DB224" s="20"/>
      <c r="DC224" s="8"/>
      <c r="DD224" s="34"/>
      <c r="DE224" s="234"/>
      <c r="DF224" s="234"/>
      <c r="DG224" s="395">
        <f>SUM(M224,AG224,BA224,BU224,DI224)-SUM(O224,AI224,BC224,BW224,CQ224)-L224</f>
        <v>-3725</v>
      </c>
      <c r="DH224" s="29">
        <f t="shared" si="390"/>
        <v>3850</v>
      </c>
      <c r="DI224" s="298">
        <f>DI220</f>
        <v>0</v>
      </c>
      <c r="DJ224" s="5">
        <f t="shared" si="416"/>
        <v>-3850</v>
      </c>
      <c r="DK224" s="258"/>
      <c r="DL224" s="303">
        <f>DL220</f>
        <v>0</v>
      </c>
      <c r="DM224" s="35">
        <f t="shared" si="417"/>
        <v>3850</v>
      </c>
    </row>
    <row r="225" spans="1:117" x14ac:dyDescent="0.3">
      <c r="A225" s="75"/>
      <c r="B225" s="74" t="s">
        <v>355</v>
      </c>
      <c r="C225" s="77">
        <v>1</v>
      </c>
      <c r="D225" s="274"/>
      <c r="E225" s="770"/>
      <c r="F225" s="430">
        <v>39.299999999999997</v>
      </c>
      <c r="G225" s="11" t="s">
        <v>356</v>
      </c>
      <c r="H225" s="25"/>
      <c r="I225" s="25"/>
      <c r="J225" s="530">
        <f>SUM(M225,AG225,BA225,BU225)-L225</f>
        <v>-4880</v>
      </c>
      <c r="K225" s="395">
        <f t="shared" si="389"/>
        <v>-5005</v>
      </c>
      <c r="L225" s="147">
        <v>5005</v>
      </c>
      <c r="M225" s="299">
        <f>M212</f>
        <v>0</v>
      </c>
      <c r="N225" s="5">
        <f t="shared" ref="N225:N236" si="418">M225-L225</f>
        <v>-5005</v>
      </c>
      <c r="O225" s="277"/>
      <c r="P225" s="304">
        <f>P212</f>
        <v>0</v>
      </c>
      <c r="Q225" s="35">
        <f t="shared" ref="Q225:Q236" si="419">L225+O225-P225</f>
        <v>5005</v>
      </c>
      <c r="R225" s="129"/>
      <c r="S225" s="130"/>
      <c r="T225" s="79"/>
      <c r="U225" s="735"/>
      <c r="V225" s="129"/>
      <c r="W225" s="130"/>
      <c r="X225" s="79"/>
      <c r="Y225" s="735"/>
      <c r="Z225" s="131"/>
      <c r="AA225" s="130"/>
      <c r="AB225" s="79"/>
      <c r="AC225" s="619"/>
      <c r="AD225" s="619"/>
      <c r="AE225" s="395">
        <f>SUM(M225,AG225)-SUM(O225,AI225)-L225</f>
        <v>-5005</v>
      </c>
      <c r="AF225" s="29">
        <f>Q225</f>
        <v>5005</v>
      </c>
      <c r="AG225" s="299">
        <f>AG212</f>
        <v>0</v>
      </c>
      <c r="AH225" s="5">
        <f t="shared" ref="AH225:AH237" si="420">AG225-AF225</f>
        <v>-5005</v>
      </c>
      <c r="AI225" s="277"/>
      <c r="AJ225" s="304">
        <f>AJ212</f>
        <v>0</v>
      </c>
      <c r="AK225" s="35">
        <f t="shared" ref="AK225:AK237" si="421">AF225+AI225-AJ225</f>
        <v>5005</v>
      </c>
      <c r="AL225" s="129"/>
      <c r="AM225" s="130"/>
      <c r="AN225" s="79"/>
      <c r="AO225" s="735"/>
      <c r="AP225" s="129"/>
      <c r="AQ225" s="130"/>
      <c r="AR225" s="79"/>
      <c r="AS225" s="735"/>
      <c r="AT225" s="131"/>
      <c r="AU225" s="130"/>
      <c r="AV225" s="79"/>
      <c r="AW225" s="619"/>
      <c r="AX225" s="619"/>
      <c r="AY225" s="395">
        <f>SUM(M225,AG225,BA225)-SUM(O225,AI225,BC225)-L225</f>
        <v>-4955</v>
      </c>
      <c r="AZ225" s="29">
        <f t="shared" ref="AZ225:AZ237" si="422">AK225</f>
        <v>5005</v>
      </c>
      <c r="BA225" s="299">
        <f>BA212</f>
        <v>50</v>
      </c>
      <c r="BB225" s="5">
        <f t="shared" ref="BB225:BB237" si="423">BA225-AZ225</f>
        <v>-4955</v>
      </c>
      <c r="BC225" s="277"/>
      <c r="BD225" s="304">
        <f>BD212</f>
        <v>0</v>
      </c>
      <c r="BE225" s="35">
        <f t="shared" ref="BE225:BE237" si="424">AZ225+BC225-BD225</f>
        <v>5005</v>
      </c>
      <c r="BF225" s="129"/>
      <c r="BG225" s="130"/>
      <c r="BH225" s="79"/>
      <c r="BI225" s="735"/>
      <c r="BJ225" s="129"/>
      <c r="BK225" s="130"/>
      <c r="BL225" s="79"/>
      <c r="BM225" s="735"/>
      <c r="BN225" s="131"/>
      <c r="BO225" s="130"/>
      <c r="BP225" s="79"/>
      <c r="BQ225" s="619"/>
      <c r="BR225" s="619"/>
      <c r="BS225" s="395">
        <f>SUM(M225,AG225,BA225,BU225)-SUM(O225,AI225,BC225,BW225)-L225</f>
        <v>-4880</v>
      </c>
      <c r="BT225" s="29">
        <f t="shared" ref="BT225:BT237" si="425">BE225</f>
        <v>5005</v>
      </c>
      <c r="BU225" s="299">
        <f>BU212</f>
        <v>75</v>
      </c>
      <c r="BV225" s="5">
        <f t="shared" ref="BV225:BV237" si="426">BU225-BT225</f>
        <v>-4930</v>
      </c>
      <c r="BW225" s="277"/>
      <c r="BX225" s="304">
        <f>BX212</f>
        <v>0</v>
      </c>
      <c r="BY225" s="35">
        <f t="shared" ref="BY225:BY237" si="427">BT225+BW225-BX225</f>
        <v>5005</v>
      </c>
      <c r="BZ225" s="129"/>
      <c r="CA225" s="130"/>
      <c r="CB225" s="79"/>
      <c r="CC225" s="735"/>
      <c r="CD225" s="129"/>
      <c r="CE225" s="130"/>
      <c r="CF225" s="79"/>
      <c r="CG225" s="735"/>
      <c r="CH225" s="129"/>
      <c r="CI225" s="130"/>
      <c r="CJ225" s="79"/>
      <c r="CK225" s="619"/>
      <c r="CL225" s="619"/>
      <c r="CM225" s="395">
        <f>SUM(M225,AG225,BA225,BU225,CO225)-SUM(O225,AI225,BC225,BW225,CQ225)-L225</f>
        <v>-4880</v>
      </c>
      <c r="CN225" s="29">
        <f t="shared" ref="CN225:CN237" si="428">BY225</f>
        <v>5005</v>
      </c>
      <c r="CO225" s="299">
        <f>CO212</f>
        <v>0</v>
      </c>
      <c r="CP225" s="5">
        <f t="shared" ref="CP225:CP237" si="429">CO225-CN225</f>
        <v>-5005</v>
      </c>
      <c r="CQ225" s="277"/>
      <c r="CR225" s="304">
        <f>CR212</f>
        <v>0</v>
      </c>
      <c r="CS225" s="35">
        <f t="shared" ref="CS225:CS237" si="430">CN225+CQ225-CR225</f>
        <v>5005</v>
      </c>
      <c r="CT225" s="129"/>
      <c r="CU225" s="130"/>
      <c r="CV225" s="79"/>
      <c r="CW225" s="735"/>
      <c r="CX225" s="129"/>
      <c r="CY225" s="130"/>
      <c r="CZ225" s="79"/>
      <c r="DA225" s="735"/>
      <c r="DB225" s="131"/>
      <c r="DC225" s="130"/>
      <c r="DD225" s="79"/>
      <c r="DE225" s="619"/>
      <c r="DF225" s="619"/>
      <c r="DG225" s="395">
        <f>SUM(M225,AG225,BA225,BU225,DI225)-SUM(O225,AI225,BC225,BW225,CQ225)-L225</f>
        <v>-4880</v>
      </c>
      <c r="DH225" s="29">
        <f t="shared" si="390"/>
        <v>5005</v>
      </c>
      <c r="DI225" s="299">
        <f>DI212</f>
        <v>0</v>
      </c>
      <c r="DJ225" s="5">
        <f t="shared" si="416"/>
        <v>-5005</v>
      </c>
      <c r="DK225" s="277"/>
      <c r="DL225" s="304">
        <f>DL212</f>
        <v>0</v>
      </c>
      <c r="DM225" s="35">
        <f t="shared" si="417"/>
        <v>5005</v>
      </c>
    </row>
    <row r="226" spans="1:117" ht="28.8" x14ac:dyDescent="0.3">
      <c r="A226" s="75"/>
      <c r="B226" s="74" t="s">
        <v>590</v>
      </c>
      <c r="C226" s="77">
        <v>1</v>
      </c>
      <c r="D226" s="525" t="s">
        <v>633</v>
      </c>
      <c r="E226" s="772"/>
      <c r="F226" s="430">
        <v>6.21</v>
      </c>
      <c r="G226" s="23" t="s">
        <v>757</v>
      </c>
      <c r="H226" s="25"/>
      <c r="I226" s="25"/>
      <c r="J226" s="530">
        <f>SUM(M226,AG226,BA226,BU226)-L226</f>
        <v>-529</v>
      </c>
      <c r="K226" s="395">
        <f t="shared" si="389"/>
        <v>-654</v>
      </c>
      <c r="L226" s="147">
        <v>654</v>
      </c>
      <c r="M226" s="299">
        <f>M212</f>
        <v>0</v>
      </c>
      <c r="N226" s="5">
        <f t="shared" si="418"/>
        <v>-654</v>
      </c>
      <c r="O226" s="240"/>
      <c r="P226" s="304">
        <f>P212</f>
        <v>0</v>
      </c>
      <c r="Q226" s="35">
        <f t="shared" si="419"/>
        <v>654</v>
      </c>
      <c r="R226" s="129"/>
      <c r="S226" s="130"/>
      <c r="T226" s="79"/>
      <c r="U226" s="735"/>
      <c r="V226" s="129"/>
      <c r="W226" s="130"/>
      <c r="X226" s="79"/>
      <c r="Y226" s="735"/>
      <c r="Z226" s="131"/>
      <c r="AA226" s="130"/>
      <c r="AB226" s="79"/>
      <c r="AC226" s="619"/>
      <c r="AD226" s="619"/>
      <c r="AE226" s="395">
        <f>SUM(M226,AG226)-SUM(O226,AI226)-L226</f>
        <v>-654</v>
      </c>
      <c r="AF226" s="29">
        <f>Q226</f>
        <v>654</v>
      </c>
      <c r="AG226" s="299">
        <f>AG212</f>
        <v>0</v>
      </c>
      <c r="AH226" s="5">
        <f t="shared" si="420"/>
        <v>-654</v>
      </c>
      <c r="AI226" s="256"/>
      <c r="AJ226" s="304">
        <f>AJ212</f>
        <v>0</v>
      </c>
      <c r="AK226" s="35">
        <f t="shared" si="421"/>
        <v>654</v>
      </c>
      <c r="AL226" s="131"/>
      <c r="AM226" s="130"/>
      <c r="AN226" s="79"/>
      <c r="AO226" s="735"/>
      <c r="AP226" s="129"/>
      <c r="AQ226" s="130"/>
      <c r="AR226" s="79"/>
      <c r="AS226" s="735"/>
      <c r="AT226" s="131"/>
      <c r="AU226" s="130"/>
      <c r="AV226" s="79"/>
      <c r="AW226" s="619"/>
      <c r="AX226" s="619"/>
      <c r="AY226" s="395">
        <f>SUM(M226,AG226,BA226)-SUM(O226,AI226,BC226)-L226</f>
        <v>-604</v>
      </c>
      <c r="AZ226" s="29">
        <f t="shared" si="422"/>
        <v>654</v>
      </c>
      <c r="BA226" s="299">
        <f>BA212</f>
        <v>50</v>
      </c>
      <c r="BB226" s="5">
        <f t="shared" si="423"/>
        <v>-604</v>
      </c>
      <c r="BC226" s="244"/>
      <c r="BD226" s="304">
        <f>BD212</f>
        <v>0</v>
      </c>
      <c r="BE226" s="35">
        <f t="shared" si="424"/>
        <v>654</v>
      </c>
      <c r="BF226" s="129"/>
      <c r="BG226" s="130"/>
      <c r="BH226" s="79"/>
      <c r="BI226" s="735"/>
      <c r="BJ226" s="129"/>
      <c r="BK226" s="130"/>
      <c r="BL226" s="79"/>
      <c r="BM226" s="735"/>
      <c r="BN226" s="131"/>
      <c r="BO226" s="130"/>
      <c r="BP226" s="79"/>
      <c r="BQ226" s="619"/>
      <c r="BR226" s="619"/>
      <c r="BS226" s="395">
        <f>SUM(M226,AG226,BA226,BU226)-SUM(O226,AI226,BC226,BW226)-L226</f>
        <v>-529</v>
      </c>
      <c r="BT226" s="29">
        <f t="shared" si="425"/>
        <v>654</v>
      </c>
      <c r="BU226" s="299">
        <f>BU212</f>
        <v>75</v>
      </c>
      <c r="BV226" s="5">
        <f t="shared" si="426"/>
        <v>-579</v>
      </c>
      <c r="BW226" s="244"/>
      <c r="BX226" s="304">
        <f>BX212</f>
        <v>0</v>
      </c>
      <c r="BY226" s="35">
        <f t="shared" si="427"/>
        <v>654</v>
      </c>
      <c r="BZ226" s="129"/>
      <c r="CA226" s="130"/>
      <c r="CB226" s="79"/>
      <c r="CC226" s="735"/>
      <c r="CD226" s="129"/>
      <c r="CE226" s="130"/>
      <c r="CF226" s="79"/>
      <c r="CG226" s="735"/>
      <c r="CH226" s="129"/>
      <c r="CI226" s="130"/>
      <c r="CJ226" s="79"/>
      <c r="CK226" s="619"/>
      <c r="CL226" s="619"/>
      <c r="CM226" s="395">
        <f>SUM(M226,AG226,BA226,BU226,CO226)-SUM(O226,AI226,BC226,BW226,CQ226)-L226</f>
        <v>-529</v>
      </c>
      <c r="CN226" s="29">
        <f t="shared" si="428"/>
        <v>654</v>
      </c>
      <c r="CO226" s="299">
        <f>CO212</f>
        <v>0</v>
      </c>
      <c r="CP226" s="5">
        <f t="shared" si="429"/>
        <v>-654</v>
      </c>
      <c r="CQ226" s="277"/>
      <c r="CR226" s="304">
        <f>CR212</f>
        <v>0</v>
      </c>
      <c r="CS226" s="35">
        <f t="shared" si="430"/>
        <v>654</v>
      </c>
      <c r="CT226" s="129"/>
      <c r="CU226" s="130"/>
      <c r="CV226" s="79"/>
      <c r="CW226" s="735"/>
      <c r="CX226" s="129"/>
      <c r="CY226" s="130"/>
      <c r="CZ226" s="79"/>
      <c r="DA226" s="735"/>
      <c r="DB226" s="131"/>
      <c r="DC226" s="130"/>
      <c r="DD226" s="79"/>
      <c r="DE226" s="619"/>
      <c r="DF226" s="619"/>
      <c r="DG226" s="395">
        <f>SUM(M226,AG226,BA226,BU226,DI226)-SUM(O226,AI226,BC226,BW226,CQ226)-L226</f>
        <v>-529</v>
      </c>
      <c r="DH226" s="29">
        <f t="shared" si="390"/>
        <v>654</v>
      </c>
      <c r="DI226" s="299">
        <f>DI212</f>
        <v>0</v>
      </c>
      <c r="DJ226" s="5">
        <f t="shared" si="416"/>
        <v>-654</v>
      </c>
      <c r="DK226" s="277"/>
      <c r="DL226" s="304">
        <f>DL212</f>
        <v>0</v>
      </c>
      <c r="DM226" s="35">
        <f t="shared" si="417"/>
        <v>654</v>
      </c>
    </row>
    <row r="227" spans="1:117" x14ac:dyDescent="0.3">
      <c r="A227" s="75"/>
      <c r="B227" s="74" t="s">
        <v>344</v>
      </c>
      <c r="C227" s="77">
        <v>1</v>
      </c>
      <c r="D227" s="274"/>
      <c r="E227" s="770"/>
      <c r="F227" s="430">
        <v>1</v>
      </c>
      <c r="G227" s="23" t="s">
        <v>317</v>
      </c>
      <c r="H227" s="25"/>
      <c r="I227" s="25"/>
      <c r="J227" s="530">
        <f>SUM(M227,AG227,BA227,BU227)-L227</f>
        <v>-4575</v>
      </c>
      <c r="K227" s="395">
        <f t="shared" si="389"/>
        <v>-4700</v>
      </c>
      <c r="L227" s="147">
        <v>4700</v>
      </c>
      <c r="M227" s="299">
        <f>M212</f>
        <v>0</v>
      </c>
      <c r="N227" s="5">
        <f t="shared" si="418"/>
        <v>-4700</v>
      </c>
      <c r="O227" s="277"/>
      <c r="P227" s="304">
        <f>P212</f>
        <v>0</v>
      </c>
      <c r="Q227" s="35">
        <f t="shared" si="419"/>
        <v>4700</v>
      </c>
      <c r="R227" s="129"/>
      <c r="S227" s="130"/>
      <c r="T227" s="79"/>
      <c r="U227" s="735"/>
      <c r="V227" s="129"/>
      <c r="W227" s="130"/>
      <c r="X227" s="79"/>
      <c r="Y227" s="735"/>
      <c r="Z227" s="131"/>
      <c r="AA227" s="130"/>
      <c r="AB227" s="79"/>
      <c r="AC227" s="619"/>
      <c r="AD227" s="619"/>
      <c r="AE227" s="395">
        <f>SUM(M227,AG227)-SUM(O227,AI227)-L227</f>
        <v>-4700</v>
      </c>
      <c r="AF227" s="29">
        <f>Q227</f>
        <v>4700</v>
      </c>
      <c r="AG227" s="299">
        <f>AG212</f>
        <v>0</v>
      </c>
      <c r="AH227" s="5">
        <f t="shared" si="420"/>
        <v>-4700</v>
      </c>
      <c r="AI227" s="277"/>
      <c r="AJ227" s="304">
        <f>AJ212</f>
        <v>0</v>
      </c>
      <c r="AK227" s="35">
        <f t="shared" si="421"/>
        <v>4700</v>
      </c>
      <c r="AL227" s="129"/>
      <c r="AM227" s="130"/>
      <c r="AN227" s="79"/>
      <c r="AO227" s="735"/>
      <c r="AP227" s="129"/>
      <c r="AQ227" s="130"/>
      <c r="AR227" s="79"/>
      <c r="AS227" s="735"/>
      <c r="AT227" s="131"/>
      <c r="AU227" s="130"/>
      <c r="AV227" s="79"/>
      <c r="AW227" s="619"/>
      <c r="AX227" s="619"/>
      <c r="AY227" s="395">
        <f>SUM(M227,AG227,BA227)-SUM(O227,AI227,BC227)-L227</f>
        <v>-4650</v>
      </c>
      <c r="AZ227" s="29">
        <f t="shared" si="422"/>
        <v>4700</v>
      </c>
      <c r="BA227" s="299">
        <f>BA212</f>
        <v>50</v>
      </c>
      <c r="BB227" s="5">
        <f t="shared" si="423"/>
        <v>-4650</v>
      </c>
      <c r="BC227" s="240"/>
      <c r="BD227" s="304">
        <f>BD212</f>
        <v>0</v>
      </c>
      <c r="BE227" s="35">
        <f t="shared" si="424"/>
        <v>4700</v>
      </c>
      <c r="BF227" s="129"/>
      <c r="BG227" s="130"/>
      <c r="BH227" s="79"/>
      <c r="BI227" s="735"/>
      <c r="BJ227" s="129"/>
      <c r="BK227" s="130"/>
      <c r="BL227" s="79"/>
      <c r="BM227" s="735"/>
      <c r="BN227" s="131"/>
      <c r="BO227" s="130"/>
      <c r="BP227" s="79"/>
      <c r="BQ227" s="619"/>
      <c r="BR227" s="619"/>
      <c r="BS227" s="395">
        <f>SUM(M227,AG227,BA227,BU227)-SUM(O227,AI227,BC227,BW227)-L227</f>
        <v>-4575</v>
      </c>
      <c r="BT227" s="29">
        <f t="shared" si="425"/>
        <v>4700</v>
      </c>
      <c r="BU227" s="299">
        <f>BU212</f>
        <v>75</v>
      </c>
      <c r="BV227" s="5">
        <f t="shared" si="426"/>
        <v>-4625</v>
      </c>
      <c r="BW227" s="78"/>
      <c r="BX227" s="304">
        <f>BX212</f>
        <v>0</v>
      </c>
      <c r="BY227" s="35">
        <f t="shared" si="427"/>
        <v>4700</v>
      </c>
      <c r="BZ227" s="129"/>
      <c r="CA227" s="130"/>
      <c r="CB227" s="79"/>
      <c r="CC227" s="735"/>
      <c r="CD227" s="129"/>
      <c r="CE227" s="130"/>
      <c r="CF227" s="79"/>
      <c r="CG227" s="735"/>
      <c r="CH227" s="129"/>
      <c r="CI227" s="130"/>
      <c r="CJ227" s="79"/>
      <c r="CK227" s="619"/>
      <c r="CL227" s="619"/>
      <c r="CM227" s="395">
        <f>SUM(M227,AG227,BA227,BU227,CO227)-SUM(O227,AI227,BC227,BW227,CQ227)-L227</f>
        <v>-4575</v>
      </c>
      <c r="CN227" s="29">
        <f t="shared" si="428"/>
        <v>4700</v>
      </c>
      <c r="CO227" s="299">
        <f>CO212</f>
        <v>0</v>
      </c>
      <c r="CP227" s="5">
        <f t="shared" si="429"/>
        <v>-4700</v>
      </c>
      <c r="CQ227" s="277"/>
      <c r="CR227" s="304">
        <f>CR212</f>
        <v>0</v>
      </c>
      <c r="CS227" s="35">
        <f t="shared" si="430"/>
        <v>4700</v>
      </c>
      <c r="CT227" s="129"/>
      <c r="CU227" s="130"/>
      <c r="CV227" s="79"/>
      <c r="CW227" s="735"/>
      <c r="CX227" s="129"/>
      <c r="CY227" s="130"/>
      <c r="CZ227" s="79"/>
      <c r="DA227" s="735"/>
      <c r="DB227" s="131"/>
      <c r="DC227" s="130"/>
      <c r="DD227" s="79"/>
      <c r="DE227" s="619"/>
      <c r="DF227" s="619"/>
      <c r="DG227" s="395">
        <f>SUM(M227,AG227,BA227,BU227,DI227)-SUM(O227,AI227,BC227,BW227,CQ227)-L227</f>
        <v>-4575</v>
      </c>
      <c r="DH227" s="29">
        <f t="shared" si="390"/>
        <v>4700</v>
      </c>
      <c r="DI227" s="299">
        <f>DI212</f>
        <v>0</v>
      </c>
      <c r="DJ227" s="5">
        <f t="shared" si="416"/>
        <v>-4700</v>
      </c>
      <c r="DK227" s="277"/>
      <c r="DL227" s="304">
        <f>DL212</f>
        <v>0</v>
      </c>
      <c r="DM227" s="35">
        <f t="shared" si="417"/>
        <v>4700</v>
      </c>
    </row>
    <row r="228" spans="1:117" x14ac:dyDescent="0.3">
      <c r="A228" s="18"/>
      <c r="B228" s="11" t="s">
        <v>357</v>
      </c>
      <c r="C228" s="25">
        <v>2</v>
      </c>
      <c r="D228" s="15"/>
      <c r="E228" s="773"/>
      <c r="F228" s="577">
        <v>6</v>
      </c>
      <c r="G228" s="23" t="s">
        <v>763</v>
      </c>
      <c r="H228" s="25"/>
      <c r="I228" s="25"/>
      <c r="J228" s="530">
        <f>SUM(M228,AG228,BA228,BU228)-L228</f>
        <v>-6689</v>
      </c>
      <c r="K228" s="395">
        <f t="shared" si="389"/>
        <v>-9939</v>
      </c>
      <c r="L228" s="147">
        <v>6939</v>
      </c>
      <c r="M228" s="298">
        <f>M212*2</f>
        <v>0</v>
      </c>
      <c r="N228" s="5">
        <f t="shared" si="418"/>
        <v>-6939</v>
      </c>
      <c r="O228" s="256">
        <v>3000</v>
      </c>
      <c r="P228" s="303">
        <f>P212*2</f>
        <v>0</v>
      </c>
      <c r="Q228" s="35">
        <f t="shared" si="419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>SUM(M228,AG228)-SUM(O228,AI228)-L228</f>
        <v>-9939</v>
      </c>
      <c r="AF228" s="29">
        <f>Q228</f>
        <v>9939</v>
      </c>
      <c r="AG228" s="298">
        <f>AG212*2</f>
        <v>0</v>
      </c>
      <c r="AH228" s="5">
        <f t="shared" si="420"/>
        <v>-9939</v>
      </c>
      <c r="AI228" s="256"/>
      <c r="AJ228" s="303">
        <f>AJ212*2</f>
        <v>0</v>
      </c>
      <c r="AK228" s="35">
        <f t="shared" si="421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>SUM(M228,AG228,BA228)-SUM(O228,AI228,BC228)-L228</f>
        <v>-9839</v>
      </c>
      <c r="AZ228" s="29">
        <f t="shared" si="422"/>
        <v>9939</v>
      </c>
      <c r="BA228" s="298">
        <f>BA212*2</f>
        <v>100</v>
      </c>
      <c r="BB228" s="5">
        <f t="shared" si="423"/>
        <v>-9839</v>
      </c>
      <c r="BC228" s="240"/>
      <c r="BD228" s="303">
        <f>BD212*2</f>
        <v>0</v>
      </c>
      <c r="BE228" s="35">
        <f t="shared" si="424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>SUM(M228,AG228,BA228,BU228)-SUM(O228,AI228,BC228,BW228)-L228</f>
        <v>-9689</v>
      </c>
      <c r="BT228" s="29">
        <f t="shared" si="425"/>
        <v>9939</v>
      </c>
      <c r="BU228" s="298">
        <f>BU212*2</f>
        <v>150</v>
      </c>
      <c r="BV228" s="5">
        <f t="shared" si="426"/>
        <v>-9789</v>
      </c>
      <c r="BW228" s="240"/>
      <c r="BX228" s="303">
        <f>BX212*2</f>
        <v>0</v>
      </c>
      <c r="BY228" s="35">
        <f t="shared" si="427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>SUM(M228,AG228,BA228,BU228,CO228)-SUM(O228,AI228,BC228,BW228,CQ228)-L228</f>
        <v>-9689</v>
      </c>
      <c r="CN228" s="29">
        <f t="shared" si="428"/>
        <v>9939</v>
      </c>
      <c r="CO228" s="298">
        <f>CO212*2</f>
        <v>0</v>
      </c>
      <c r="CP228" s="5">
        <f t="shared" si="429"/>
        <v>-9939</v>
      </c>
      <c r="CQ228" s="256"/>
      <c r="CR228" s="303">
        <f>CR212*2</f>
        <v>0</v>
      </c>
      <c r="CS228" s="35">
        <f t="shared" si="430"/>
        <v>9939</v>
      </c>
      <c r="CT228" s="129"/>
      <c r="CU228" s="130"/>
      <c r="CV228" s="79"/>
      <c r="CW228" s="735"/>
      <c r="CX228" s="129"/>
      <c r="CY228" s="130"/>
      <c r="CZ228" s="79"/>
      <c r="DA228" s="735"/>
      <c r="DB228" s="131"/>
      <c r="DC228" s="130"/>
      <c r="DD228" s="79"/>
      <c r="DE228" s="619"/>
      <c r="DF228" s="619"/>
      <c r="DG228" s="395">
        <f>SUM(M228,AG228,BA228,BU228,DI228)-SUM(O228,AI228,BC228,BW228,CQ228)-L228</f>
        <v>-9689</v>
      </c>
      <c r="DH228" s="29">
        <f t="shared" si="390"/>
        <v>9939</v>
      </c>
      <c r="DI228" s="298">
        <f>DI212*2</f>
        <v>0</v>
      </c>
      <c r="DJ228" s="5">
        <f t="shared" si="416"/>
        <v>-9939</v>
      </c>
      <c r="DK228" s="256"/>
      <c r="DL228" s="303">
        <f>DL212*2</f>
        <v>0</v>
      </c>
      <c r="DM228" s="35">
        <f t="shared" si="417"/>
        <v>9939</v>
      </c>
    </row>
    <row r="229" spans="1:117" x14ac:dyDescent="0.3">
      <c r="A229" s="17"/>
      <c r="B229" s="10" t="s">
        <v>426</v>
      </c>
      <c r="C229" s="24">
        <v>1</v>
      </c>
      <c r="D229" s="10"/>
      <c r="E229" s="769"/>
      <c r="F229" s="473"/>
      <c r="G229" s="10" t="s">
        <v>317</v>
      </c>
      <c r="H229" s="382"/>
      <c r="I229" s="382"/>
      <c r="J229" s="534">
        <f>SUM(M229,AG229,BA229,BU229)-L229</f>
        <v>-4371</v>
      </c>
      <c r="K229" s="395">
        <f t="shared" si="389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36"/>
      <c r="V229" s="312"/>
      <c r="W229" s="8"/>
      <c r="X229" s="34"/>
      <c r="Y229" s="736"/>
      <c r="Z229" s="20"/>
      <c r="AA229" s="8"/>
      <c r="AB229" s="34"/>
      <c r="AC229" s="234"/>
      <c r="AD229" s="234"/>
      <c r="AE229" s="395">
        <f>SUM(M229,AG229)-SUM(O229,AI229)-L229</f>
        <v>-4495</v>
      </c>
      <c r="AF229" s="32">
        <f>Q229</f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36"/>
      <c r="AP229" s="312"/>
      <c r="AQ229" s="8"/>
      <c r="AR229" s="34"/>
      <c r="AS229" s="736"/>
      <c r="AT229" s="20"/>
      <c r="AU229" s="8"/>
      <c r="AV229" s="34"/>
      <c r="AW229" s="234"/>
      <c r="AX229" s="234"/>
      <c r="AY229" s="395">
        <f>SUM(M229,AG229,BA229)-SUM(O229,AI229,BC229)-L229</f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36"/>
      <c r="BJ229" s="312"/>
      <c r="BK229" s="8"/>
      <c r="BL229" s="34"/>
      <c r="BM229" s="736"/>
      <c r="BN229" s="20"/>
      <c r="BO229" s="8"/>
      <c r="BP229" s="34"/>
      <c r="BQ229" s="234"/>
      <c r="BR229" s="234"/>
      <c r="BS229" s="395">
        <f>SUM(M229,AG229,BA229,BU229)-SUM(O229,AI229,BC229,BW229)-L229</f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36"/>
      <c r="CD229" s="123"/>
      <c r="CE229" s="213"/>
      <c r="CF229" s="34"/>
      <c r="CG229" s="736"/>
      <c r="CH229" s="123"/>
      <c r="CI229" s="213"/>
      <c r="CJ229" s="34"/>
      <c r="CK229" s="234"/>
      <c r="CL229" s="234"/>
      <c r="CM229" s="395">
        <f>SUM(M229,AG229,BA229,BU229,CO229)-SUM(O229,AI229,BC229,BW229,CQ229)-L229</f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36"/>
      <c r="CX229" s="312"/>
      <c r="CY229" s="8"/>
      <c r="CZ229" s="34"/>
      <c r="DA229" s="736"/>
      <c r="DB229" s="20"/>
      <c r="DC229" s="8"/>
      <c r="DD229" s="34"/>
      <c r="DE229" s="234"/>
      <c r="DF229" s="234"/>
      <c r="DG229" s="395">
        <f>SUM(M229,AG229,BA229,BU229,DI229)-SUM(O229,AI229,BC229,BW229,CQ229)-L229</f>
        <v>-4370</v>
      </c>
      <c r="DH229" s="29">
        <f t="shared" si="390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3">
      <c r="A230" s="17"/>
      <c r="B230" s="10" t="s">
        <v>453</v>
      </c>
      <c r="C230" s="24">
        <v>1</v>
      </c>
      <c r="D230" s="11"/>
      <c r="E230" s="769"/>
      <c r="F230" s="473"/>
      <c r="G230" s="10" t="s">
        <v>198</v>
      </c>
      <c r="H230" s="382"/>
      <c r="I230" s="382"/>
      <c r="J230" s="530">
        <f>SUM(M230,AG230,BA230,BU230)-L230</f>
        <v>-951</v>
      </c>
      <c r="K230" s="395">
        <f t="shared" si="389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36"/>
      <c r="V230" s="312"/>
      <c r="W230" s="8"/>
      <c r="X230" s="34"/>
      <c r="Y230" s="736"/>
      <c r="Z230" s="20"/>
      <c r="AA230" s="8"/>
      <c r="AB230" s="34"/>
      <c r="AC230" s="234"/>
      <c r="AD230" s="234"/>
      <c r="AE230" s="395">
        <f>SUM(M230,AG230)-SUM(O230,AI230)-L230</f>
        <v>-1076</v>
      </c>
      <c r="AF230" s="29">
        <f>Q230</f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36"/>
      <c r="AP230" s="312"/>
      <c r="AQ230" s="8"/>
      <c r="AR230" s="34"/>
      <c r="AS230" s="736"/>
      <c r="AT230" s="20"/>
      <c r="AU230" s="8"/>
      <c r="AV230" s="34"/>
      <c r="AW230" s="234"/>
      <c r="AX230" s="234"/>
      <c r="AY230" s="395">
        <f>SUM(M230,AG230,BA230)-SUM(O230,AI230,BC230)-L230</f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36"/>
      <c r="BJ230" s="312"/>
      <c r="BK230" s="8"/>
      <c r="BL230" s="34"/>
      <c r="BM230" s="736"/>
      <c r="BN230" s="20"/>
      <c r="BO230" s="8"/>
      <c r="BP230" s="34"/>
      <c r="BQ230" s="234"/>
      <c r="BR230" s="234"/>
      <c r="BS230" s="395">
        <f>SUM(M230,AG230,BA230,BU230)-SUM(O230,AI230,BC230,BW230)-L230</f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36"/>
      <c r="CD230" s="123"/>
      <c r="CE230" s="213"/>
      <c r="CF230" s="34"/>
      <c r="CG230" s="736"/>
      <c r="CH230" s="123"/>
      <c r="CI230" s="213"/>
      <c r="CJ230" s="34"/>
      <c r="CK230" s="234"/>
      <c r="CL230" s="234"/>
      <c r="CM230" s="395">
        <f>SUM(M230,AG230,BA230,BU230,CO230)-SUM(O230,AI230,BC230,BW230,CQ230)-L230</f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36"/>
      <c r="CX230" s="312"/>
      <c r="CY230" s="8"/>
      <c r="CZ230" s="34"/>
      <c r="DA230" s="736"/>
      <c r="DB230" s="20"/>
      <c r="DC230" s="8"/>
      <c r="DD230" s="34"/>
      <c r="DE230" s="234"/>
      <c r="DF230" s="234"/>
      <c r="DG230" s="395">
        <f>SUM(M230,AG230,BA230,BU230,DI230)-SUM(O230,AI230,BC230,BW230,CQ230)-L230</f>
        <v>-951</v>
      </c>
      <c r="DH230" s="29">
        <f t="shared" si="390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3">
      <c r="A231" s="75"/>
      <c r="B231" s="74" t="s">
        <v>346</v>
      </c>
      <c r="C231" s="77">
        <v>1</v>
      </c>
      <c r="D231" s="274"/>
      <c r="E231" s="770"/>
      <c r="F231" s="430">
        <v>18</v>
      </c>
      <c r="G231" s="11" t="s">
        <v>33</v>
      </c>
      <c r="H231" s="25"/>
      <c r="I231" s="25"/>
      <c r="J231" s="530">
        <f>SUM(M231,AG231,BA231,BU231)-L231</f>
        <v>-799</v>
      </c>
      <c r="K231" s="395">
        <f t="shared" si="389"/>
        <v>-924</v>
      </c>
      <c r="L231" s="147">
        <v>924</v>
      </c>
      <c r="M231" s="299">
        <f>M212</f>
        <v>0</v>
      </c>
      <c r="N231" s="5">
        <f t="shared" si="418"/>
        <v>-924</v>
      </c>
      <c r="O231" s="277"/>
      <c r="P231" s="304">
        <f>P212</f>
        <v>0</v>
      </c>
      <c r="Q231" s="35">
        <f t="shared" si="419"/>
        <v>924</v>
      </c>
      <c r="R231" s="129"/>
      <c r="S231" s="130"/>
      <c r="T231" s="79"/>
      <c r="U231" s="735"/>
      <c r="V231" s="129"/>
      <c r="W231" s="130"/>
      <c r="X231" s="79"/>
      <c r="Y231" s="735"/>
      <c r="Z231" s="131"/>
      <c r="AA231" s="130"/>
      <c r="AB231" s="79"/>
      <c r="AC231" s="619"/>
      <c r="AD231" s="619"/>
      <c r="AE231" s="395">
        <f>SUM(M231,AG231)-SUM(O231,AI231)-L231</f>
        <v>-924</v>
      </c>
      <c r="AF231" s="29">
        <f>Q231</f>
        <v>924</v>
      </c>
      <c r="AG231" s="299">
        <f>AG212</f>
        <v>0</v>
      </c>
      <c r="AH231" s="5">
        <f t="shared" si="420"/>
        <v>-924</v>
      </c>
      <c r="AI231" s="240"/>
      <c r="AJ231" s="304">
        <f>AJ212</f>
        <v>0</v>
      </c>
      <c r="AK231" s="35">
        <f t="shared" si="421"/>
        <v>924</v>
      </c>
      <c r="AL231" s="131"/>
      <c r="AM231" s="130"/>
      <c r="AN231" s="79"/>
      <c r="AO231" s="735"/>
      <c r="AP231" s="131"/>
      <c r="AQ231" s="130"/>
      <c r="AR231" s="79"/>
      <c r="AS231" s="735"/>
      <c r="AT231" s="131"/>
      <c r="AU231" s="130"/>
      <c r="AV231" s="79"/>
      <c r="AW231" s="619"/>
      <c r="AX231" s="619"/>
      <c r="AY231" s="395">
        <f>SUM(M231,AG231,BA231)-SUM(O231,AI231,BC231)-L231</f>
        <v>-874</v>
      </c>
      <c r="AZ231" s="29">
        <f t="shared" si="422"/>
        <v>924</v>
      </c>
      <c r="BA231" s="299">
        <f>BA212</f>
        <v>50</v>
      </c>
      <c r="BB231" s="5">
        <f t="shared" si="423"/>
        <v>-874</v>
      </c>
      <c r="BC231" s="242"/>
      <c r="BD231" s="304">
        <f>BD212</f>
        <v>0</v>
      </c>
      <c r="BE231" s="35">
        <f t="shared" si="424"/>
        <v>924</v>
      </c>
      <c r="BF231" s="131"/>
      <c r="BG231" s="130"/>
      <c r="BH231" s="79"/>
      <c r="BI231" s="735"/>
      <c r="BJ231" s="129"/>
      <c r="BK231" s="130"/>
      <c r="BL231" s="467"/>
      <c r="BM231" s="798"/>
      <c r="BN231" s="131"/>
      <c r="BO231" s="130"/>
      <c r="BP231" s="79"/>
      <c r="BQ231" s="619"/>
      <c r="BR231" s="619"/>
      <c r="BS231" s="395">
        <f>SUM(M231,AG231,BA231,BU231)-SUM(O231,AI231,BC231,BW231)-L231</f>
        <v>-799</v>
      </c>
      <c r="BT231" s="29">
        <f t="shared" si="425"/>
        <v>924</v>
      </c>
      <c r="BU231" s="299">
        <f>BU212</f>
        <v>75</v>
      </c>
      <c r="BV231" s="5">
        <f t="shared" si="426"/>
        <v>-849</v>
      </c>
      <c r="BW231" s="242"/>
      <c r="BX231" s="304">
        <f>BX212</f>
        <v>0</v>
      </c>
      <c r="BY231" s="35">
        <f t="shared" si="427"/>
        <v>924</v>
      </c>
      <c r="BZ231" s="131"/>
      <c r="CA231" s="130"/>
      <c r="CB231" s="79"/>
      <c r="CC231" s="735"/>
      <c r="CD231" s="131"/>
      <c r="CE231" s="130"/>
      <c r="CF231" s="79"/>
      <c r="CG231" s="735"/>
      <c r="CH231" s="131"/>
      <c r="CI231" s="130"/>
      <c r="CJ231" s="79"/>
      <c r="CK231" s="619"/>
      <c r="CL231" s="619"/>
      <c r="CM231" s="395">
        <f>SUM(M231,AG231,BA231,BU231,CO231)-SUM(O231,AI231,BC231,BW231,CQ231)-L231</f>
        <v>-799</v>
      </c>
      <c r="CN231" s="29">
        <f t="shared" si="428"/>
        <v>924</v>
      </c>
      <c r="CO231" s="299">
        <f>CO212</f>
        <v>0</v>
      </c>
      <c r="CP231" s="5">
        <f t="shared" si="429"/>
        <v>-924</v>
      </c>
      <c r="CQ231" s="277"/>
      <c r="CR231" s="304">
        <f>CR212</f>
        <v>0</v>
      </c>
      <c r="CS231" s="35">
        <f t="shared" si="430"/>
        <v>924</v>
      </c>
      <c r="CT231" s="129"/>
      <c r="CU231" s="130"/>
      <c r="CV231" s="79"/>
      <c r="CW231" s="735"/>
      <c r="CX231" s="129"/>
      <c r="CY231" s="130"/>
      <c r="CZ231" s="79"/>
      <c r="DA231" s="735"/>
      <c r="DB231" s="131"/>
      <c r="DC231" s="130"/>
      <c r="DD231" s="79"/>
      <c r="DE231" s="619"/>
      <c r="DF231" s="619"/>
      <c r="DG231" s="395">
        <f>SUM(M231,AG231,BA231,BU231,DI231)-SUM(O231,AI231,BC231,BW231,CQ231)-L231</f>
        <v>-799</v>
      </c>
      <c r="DH231" s="29">
        <f t="shared" si="390"/>
        <v>924</v>
      </c>
      <c r="DI231" s="299">
        <f>DI212</f>
        <v>0</v>
      </c>
      <c r="DJ231" s="5">
        <f t="shared" ref="DJ231:DJ237" si="431">DI231-DH231</f>
        <v>-924</v>
      </c>
      <c r="DK231" s="277"/>
      <c r="DL231" s="304">
        <f>DL212</f>
        <v>0</v>
      </c>
      <c r="DM231" s="35">
        <f t="shared" ref="DM231:DM237" si="432">DH231+DK231-DL231</f>
        <v>924</v>
      </c>
    </row>
    <row r="232" spans="1:117" x14ac:dyDescent="0.3">
      <c r="A232" s="75"/>
      <c r="B232" s="74" t="s">
        <v>360</v>
      </c>
      <c r="C232" s="77">
        <v>1</v>
      </c>
      <c r="D232" s="274"/>
      <c r="E232" s="770"/>
      <c r="F232" s="430">
        <v>32.130000000000003</v>
      </c>
      <c r="G232" s="381" t="s">
        <v>334</v>
      </c>
      <c r="H232" s="25"/>
      <c r="I232" s="25"/>
      <c r="J232" s="530">
        <f>SUM(M232,AG232,BA232,BU232)-L232</f>
        <v>-1184</v>
      </c>
      <c r="K232" s="395">
        <f t="shared" si="389"/>
        <v>-1309</v>
      </c>
      <c r="L232" s="147">
        <v>1309</v>
      </c>
      <c r="M232" s="298">
        <f>M212</f>
        <v>0</v>
      </c>
      <c r="N232" s="5">
        <f t="shared" si="418"/>
        <v>-1309</v>
      </c>
      <c r="O232" s="256"/>
      <c r="P232" s="304">
        <f>P212</f>
        <v>0</v>
      </c>
      <c r="Q232" s="35">
        <f t="shared" si="419"/>
        <v>1309</v>
      </c>
      <c r="R232" s="129"/>
      <c r="S232" s="130"/>
      <c r="T232" s="79"/>
      <c r="U232" s="735"/>
      <c r="V232" s="129"/>
      <c r="W232" s="130"/>
      <c r="X232" s="79"/>
      <c r="Y232" s="735"/>
      <c r="Z232" s="131"/>
      <c r="AA232" s="130"/>
      <c r="AB232" s="79"/>
      <c r="AC232" s="619"/>
      <c r="AD232" s="619"/>
      <c r="AE232" s="395">
        <f>SUM(M232,AG232)-SUM(O232,AI232)-L232</f>
        <v>-1309</v>
      </c>
      <c r="AF232" s="29">
        <f>Q232</f>
        <v>1309</v>
      </c>
      <c r="AG232" s="298">
        <f>AG212</f>
        <v>0</v>
      </c>
      <c r="AH232" s="5">
        <f t="shared" si="420"/>
        <v>-1309</v>
      </c>
      <c r="AI232" s="256"/>
      <c r="AJ232" s="304">
        <f>AJ212</f>
        <v>0</v>
      </c>
      <c r="AK232" s="35">
        <f t="shared" si="421"/>
        <v>1309</v>
      </c>
      <c r="AL232" s="129"/>
      <c r="AM232" s="130"/>
      <c r="AN232" s="79"/>
      <c r="AO232" s="735"/>
      <c r="AP232" s="129"/>
      <c r="AQ232" s="130"/>
      <c r="AR232" s="79"/>
      <c r="AS232" s="735"/>
      <c r="AT232" s="131"/>
      <c r="AU232" s="130"/>
      <c r="AV232" s="79"/>
      <c r="AW232" s="619"/>
      <c r="AX232" s="619"/>
      <c r="AY232" s="395">
        <f>SUM(M232,AG232,BA232)-SUM(O232,AI232,BC232)-L232</f>
        <v>-1259</v>
      </c>
      <c r="AZ232" s="29">
        <f t="shared" si="422"/>
        <v>1309</v>
      </c>
      <c r="BA232" s="298">
        <f>BA212</f>
        <v>50</v>
      </c>
      <c r="BB232" s="5">
        <f t="shared" si="423"/>
        <v>-1259</v>
      </c>
      <c r="BC232" s="258"/>
      <c r="BD232" s="304">
        <f>BD212</f>
        <v>0</v>
      </c>
      <c r="BE232" s="35">
        <f t="shared" si="424"/>
        <v>1309</v>
      </c>
      <c r="BF232" s="129"/>
      <c r="BG232" s="130"/>
      <c r="BH232" s="79"/>
      <c r="BI232" s="735"/>
      <c r="BJ232" s="129"/>
      <c r="BK232" s="130"/>
      <c r="BL232" s="79"/>
      <c r="BM232" s="735"/>
      <c r="BN232" s="131"/>
      <c r="BO232" s="130"/>
      <c r="BP232" s="79"/>
      <c r="BQ232" s="619"/>
      <c r="BR232" s="619"/>
      <c r="BS232" s="395">
        <f>SUM(M232,AG232,BA232,BU232)-SUM(O232,AI232,BC232,BW232)-L232</f>
        <v>-1184</v>
      </c>
      <c r="BT232" s="29">
        <f t="shared" si="425"/>
        <v>1309</v>
      </c>
      <c r="BU232" s="298">
        <f>BU212</f>
        <v>75</v>
      </c>
      <c r="BV232" s="5">
        <f t="shared" si="426"/>
        <v>-1234</v>
      </c>
      <c r="BW232" s="240"/>
      <c r="BX232" s="304">
        <f>BX212</f>
        <v>0</v>
      </c>
      <c r="BY232" s="35">
        <f t="shared" si="427"/>
        <v>1309</v>
      </c>
      <c r="BZ232" s="131"/>
      <c r="CA232" s="130"/>
      <c r="CB232" s="79"/>
      <c r="CC232" s="735"/>
      <c r="CD232" s="131"/>
      <c r="CE232" s="130"/>
      <c r="CF232" s="79"/>
      <c r="CG232" s="735"/>
      <c r="CH232" s="131"/>
      <c r="CI232" s="130"/>
      <c r="CJ232" s="79"/>
      <c r="CK232" s="619"/>
      <c r="CL232" s="619"/>
      <c r="CM232" s="395">
        <f>SUM(M232,AG232,BA232,BU232,CO232)-SUM(O232,AI232,BC232,BW232,CQ232)-L232</f>
        <v>-1184</v>
      </c>
      <c r="CN232" s="29">
        <f t="shared" si="428"/>
        <v>1309</v>
      </c>
      <c r="CO232" s="298">
        <f>CO212</f>
        <v>0</v>
      </c>
      <c r="CP232" s="5">
        <f t="shared" si="429"/>
        <v>-1309</v>
      </c>
      <c r="CQ232" s="256"/>
      <c r="CR232" s="304">
        <f>CR212</f>
        <v>0</v>
      </c>
      <c r="CS232" s="35">
        <f t="shared" si="430"/>
        <v>1309</v>
      </c>
      <c r="CT232" s="129"/>
      <c r="CU232" s="130"/>
      <c r="CV232" s="79"/>
      <c r="CW232" s="735"/>
      <c r="CX232" s="129"/>
      <c r="CY232" s="130"/>
      <c r="CZ232" s="79"/>
      <c r="DA232" s="735"/>
      <c r="DB232" s="131"/>
      <c r="DC232" s="130"/>
      <c r="DD232" s="79"/>
      <c r="DE232" s="619"/>
      <c r="DF232" s="619"/>
      <c r="DG232" s="395">
        <f>SUM(M232,AG232,BA232,BU232,DI232)-SUM(O232,AI232,BC232,BW232,CQ232)-L232</f>
        <v>-1184</v>
      </c>
      <c r="DH232" s="29">
        <f t="shared" si="390"/>
        <v>1309</v>
      </c>
      <c r="DI232" s="298">
        <f>DI212</f>
        <v>0</v>
      </c>
      <c r="DJ232" s="5">
        <f t="shared" si="431"/>
        <v>-1309</v>
      </c>
      <c r="DK232" s="256"/>
      <c r="DL232" s="304">
        <f>DL212</f>
        <v>0</v>
      </c>
      <c r="DM232" s="35">
        <f t="shared" si="432"/>
        <v>1309</v>
      </c>
    </row>
    <row r="233" spans="1:117" x14ac:dyDescent="0.3">
      <c r="A233" s="75"/>
      <c r="B233" s="74" t="s">
        <v>358</v>
      </c>
      <c r="C233" s="77" t="s">
        <v>51</v>
      </c>
      <c r="D233" s="274"/>
      <c r="E233" s="770"/>
      <c r="F233" s="430">
        <v>22.5</v>
      </c>
      <c r="G233" s="74" t="s">
        <v>761</v>
      </c>
      <c r="H233" s="77"/>
      <c r="I233" s="77"/>
      <c r="J233" s="530">
        <f>SUM(M233,AG233,BA233,BU233)-L233</f>
        <v>-1252</v>
      </c>
      <c r="K233" s="395">
        <f t="shared" si="389"/>
        <v>-1377</v>
      </c>
      <c r="L233" s="147">
        <v>1377</v>
      </c>
      <c r="M233" s="299">
        <f>M212</f>
        <v>0</v>
      </c>
      <c r="N233" s="5">
        <f t="shared" si="418"/>
        <v>-1377</v>
      </c>
      <c r="O233" s="258"/>
      <c r="P233" s="304">
        <f>P212</f>
        <v>0</v>
      </c>
      <c r="Q233" s="35">
        <f t="shared" si="419"/>
        <v>1377</v>
      </c>
      <c r="R233" s="129"/>
      <c r="S233" s="130"/>
      <c r="T233" s="79"/>
      <c r="U233" s="735"/>
      <c r="V233" s="129"/>
      <c r="W233" s="130"/>
      <c r="X233" s="79"/>
      <c r="Y233" s="735"/>
      <c r="Z233" s="131"/>
      <c r="AA233" s="130"/>
      <c r="AB233" s="79"/>
      <c r="AC233" s="619"/>
      <c r="AD233" s="619"/>
      <c r="AE233" s="395">
        <f>SUM(M233,AG233)-SUM(O233,AI233)-L233</f>
        <v>-1377</v>
      </c>
      <c r="AF233" s="29">
        <f>Q233</f>
        <v>1377</v>
      </c>
      <c r="AG233" s="299">
        <f>AG212</f>
        <v>0</v>
      </c>
      <c r="AH233" s="5">
        <f t="shared" si="420"/>
        <v>-1377</v>
      </c>
      <c r="AI233" s="277"/>
      <c r="AJ233" s="304">
        <f>AJ212</f>
        <v>0</v>
      </c>
      <c r="AK233" s="35">
        <f t="shared" si="421"/>
        <v>1377</v>
      </c>
      <c r="AL233" s="129"/>
      <c r="AM233" s="130"/>
      <c r="AN233" s="79"/>
      <c r="AO233" s="735"/>
      <c r="AP233" s="129"/>
      <c r="AQ233" s="130"/>
      <c r="AR233" s="79"/>
      <c r="AS233" s="735"/>
      <c r="AT233" s="131"/>
      <c r="AU233" s="130"/>
      <c r="AV233" s="79"/>
      <c r="AW233" s="619"/>
      <c r="AX233" s="619"/>
      <c r="AY233" s="395">
        <f>SUM(M233,AG233,BA233)-SUM(O233,AI233,BC233)-L233</f>
        <v>-1327</v>
      </c>
      <c r="AZ233" s="29">
        <f t="shared" si="422"/>
        <v>1377</v>
      </c>
      <c r="BA233" s="299">
        <f>BA212</f>
        <v>50</v>
      </c>
      <c r="BB233" s="5">
        <f t="shared" si="423"/>
        <v>-1327</v>
      </c>
      <c r="BC233" s="244"/>
      <c r="BD233" s="304">
        <f>BD212</f>
        <v>0</v>
      </c>
      <c r="BE233" s="35">
        <f t="shared" si="424"/>
        <v>1377</v>
      </c>
      <c r="BF233" s="129"/>
      <c r="BG233" s="130"/>
      <c r="BH233" s="79"/>
      <c r="BI233" s="735"/>
      <c r="BJ233" s="129"/>
      <c r="BK233" s="130"/>
      <c r="BL233" s="79"/>
      <c r="BM233" s="735"/>
      <c r="BN233" s="131"/>
      <c r="BO233" s="130"/>
      <c r="BP233" s="79"/>
      <c r="BQ233" s="619"/>
      <c r="BR233" s="619"/>
      <c r="BS233" s="395">
        <f>SUM(M233,AG233,BA233,BU233)-SUM(O233,AI233,BC233,BW233)-L233</f>
        <v>-1252</v>
      </c>
      <c r="BT233" s="29">
        <f t="shared" si="425"/>
        <v>1377</v>
      </c>
      <c r="BU233" s="299">
        <f>BU212</f>
        <v>75</v>
      </c>
      <c r="BV233" s="5">
        <f t="shared" si="426"/>
        <v>-1302</v>
      </c>
      <c r="BW233" s="256"/>
      <c r="BX233" s="304">
        <f>BX212</f>
        <v>0</v>
      </c>
      <c r="BY233" s="35">
        <f t="shared" si="427"/>
        <v>1377</v>
      </c>
      <c r="BZ233" s="129"/>
      <c r="CA233" s="130"/>
      <c r="CB233" s="79"/>
      <c r="CC233" s="735"/>
      <c r="CD233" s="129"/>
      <c r="CE233" s="130"/>
      <c r="CF233" s="79"/>
      <c r="CG233" s="735"/>
      <c r="CH233" s="129"/>
      <c r="CI233" s="130"/>
      <c r="CJ233" s="79"/>
      <c r="CK233" s="619"/>
      <c r="CL233" s="619"/>
      <c r="CM233" s="395">
        <f>SUM(M233,AG233,BA233,BU233,CO233)-SUM(O233,AI233,BC233,BW233,CQ233)-L233</f>
        <v>-1252</v>
      </c>
      <c r="CN233" s="29">
        <f t="shared" si="428"/>
        <v>1377</v>
      </c>
      <c r="CO233" s="299">
        <f>CO212</f>
        <v>0</v>
      </c>
      <c r="CP233" s="5">
        <f t="shared" si="429"/>
        <v>-1377</v>
      </c>
      <c r="CQ233" s="277"/>
      <c r="CR233" s="304">
        <f>CR212</f>
        <v>0</v>
      </c>
      <c r="CS233" s="35">
        <f t="shared" si="430"/>
        <v>1377</v>
      </c>
      <c r="CT233" s="129"/>
      <c r="CU233" s="130"/>
      <c r="CV233" s="79"/>
      <c r="CW233" s="735"/>
      <c r="CX233" s="129"/>
      <c r="CY233" s="130"/>
      <c r="CZ233" s="79"/>
      <c r="DA233" s="735"/>
      <c r="DB233" s="131"/>
      <c r="DC233" s="130"/>
      <c r="DD233" s="79"/>
      <c r="DE233" s="619"/>
      <c r="DF233" s="619"/>
      <c r="DG233" s="395">
        <f>SUM(M233,AG233,BA233,BU233,DI233)-SUM(O233,AI233,BC233,BW233,CQ233)-L233</f>
        <v>-1252</v>
      </c>
      <c r="DH233" s="29">
        <f t="shared" si="390"/>
        <v>1377</v>
      </c>
      <c r="DI233" s="299">
        <f>DI212</f>
        <v>0</v>
      </c>
      <c r="DJ233" s="5">
        <f t="shared" si="431"/>
        <v>-1377</v>
      </c>
      <c r="DK233" s="277"/>
      <c r="DL233" s="304">
        <f>DL212</f>
        <v>0</v>
      </c>
      <c r="DM233" s="35">
        <f t="shared" si="432"/>
        <v>1377</v>
      </c>
    </row>
    <row r="234" spans="1:117" x14ac:dyDescent="0.3">
      <c r="A234" s="75"/>
      <c r="B234" s="74" t="s">
        <v>417</v>
      </c>
      <c r="C234" s="77">
        <v>1</v>
      </c>
      <c r="D234" s="525" t="s">
        <v>493</v>
      </c>
      <c r="E234" s="772"/>
      <c r="F234" s="430">
        <v>2.5</v>
      </c>
      <c r="G234" s="74" t="s">
        <v>761</v>
      </c>
      <c r="H234" s="77"/>
      <c r="I234" s="77"/>
      <c r="J234" s="530">
        <f>SUM(M234,AG234,BA234,BU234)-L234</f>
        <v>-1088</v>
      </c>
      <c r="K234" s="395">
        <f t="shared" si="389"/>
        <v>-1213</v>
      </c>
      <c r="L234" s="147">
        <v>1213</v>
      </c>
      <c r="M234" s="299">
        <f>M212</f>
        <v>0</v>
      </c>
      <c r="N234" s="5">
        <f t="shared" si="418"/>
        <v>-1213</v>
      </c>
      <c r="O234" s="256"/>
      <c r="P234" s="304">
        <f>P212</f>
        <v>0</v>
      </c>
      <c r="Q234" s="35">
        <f t="shared" si="419"/>
        <v>1213</v>
      </c>
      <c r="R234" s="129"/>
      <c r="S234" s="130"/>
      <c r="T234" s="79"/>
      <c r="U234" s="735"/>
      <c r="V234" s="129"/>
      <c r="W234" s="130"/>
      <c r="X234" s="79"/>
      <c r="Y234" s="735"/>
      <c r="Z234" s="131"/>
      <c r="AA234" s="130"/>
      <c r="AB234" s="79"/>
      <c r="AC234" s="619"/>
      <c r="AD234" s="619"/>
      <c r="AE234" s="395">
        <f>SUM(M234,AG234)-SUM(O234,AI234)-L234</f>
        <v>-1213</v>
      </c>
      <c r="AF234" s="29">
        <f>Q234</f>
        <v>1213</v>
      </c>
      <c r="AG234" s="299">
        <f>AG212</f>
        <v>0</v>
      </c>
      <c r="AH234" s="5">
        <f t="shared" si="420"/>
        <v>-1213</v>
      </c>
      <c r="AI234" s="277"/>
      <c r="AJ234" s="304">
        <f>AJ212</f>
        <v>0</v>
      </c>
      <c r="AK234" s="35">
        <f t="shared" si="421"/>
        <v>1213</v>
      </c>
      <c r="AL234" s="129"/>
      <c r="AM234" s="130"/>
      <c r="AN234" s="79"/>
      <c r="AO234" s="735"/>
      <c r="AP234" s="129"/>
      <c r="AQ234" s="130"/>
      <c r="AR234" s="79"/>
      <c r="AS234" s="735"/>
      <c r="AT234" s="131"/>
      <c r="AU234" s="130"/>
      <c r="AV234" s="79"/>
      <c r="AW234" s="619"/>
      <c r="AX234" s="619"/>
      <c r="AY234" s="395">
        <f>SUM(M234,AG234,BA234)-SUM(O234,AI234,BC234)-L234</f>
        <v>-1163</v>
      </c>
      <c r="AZ234" s="29">
        <f t="shared" si="422"/>
        <v>1213</v>
      </c>
      <c r="BA234" s="299">
        <f>BA212</f>
        <v>50</v>
      </c>
      <c r="BB234" s="5">
        <f t="shared" si="423"/>
        <v>-1163</v>
      </c>
      <c r="BC234" s="244"/>
      <c r="BD234" s="304">
        <f>BD212</f>
        <v>0</v>
      </c>
      <c r="BE234" s="35">
        <f t="shared" si="424"/>
        <v>1213</v>
      </c>
      <c r="BF234" s="129"/>
      <c r="BG234" s="130"/>
      <c r="BH234" s="79"/>
      <c r="BI234" s="735"/>
      <c r="BJ234" s="129"/>
      <c r="BK234" s="130"/>
      <c r="BL234" s="79"/>
      <c r="BM234" s="735"/>
      <c r="BN234" s="129"/>
      <c r="BO234" s="130"/>
      <c r="BP234" s="79"/>
      <c r="BQ234" s="619"/>
      <c r="BR234" s="619"/>
      <c r="BS234" s="395">
        <f>SUM(M234,AG234,BA234,BU234)-SUM(O234,AI234,BC234,BW234)-L234</f>
        <v>-1088</v>
      </c>
      <c r="BT234" s="29">
        <f t="shared" si="425"/>
        <v>1213</v>
      </c>
      <c r="BU234" s="299">
        <f>BU212</f>
        <v>75</v>
      </c>
      <c r="BV234" s="5">
        <f t="shared" si="426"/>
        <v>-1138</v>
      </c>
      <c r="BW234" s="244"/>
      <c r="BX234" s="304">
        <f>BX212</f>
        <v>0</v>
      </c>
      <c r="BY234" s="35">
        <f t="shared" si="427"/>
        <v>1213</v>
      </c>
      <c r="BZ234" s="129"/>
      <c r="CA234" s="130"/>
      <c r="CB234" s="79"/>
      <c r="CC234" s="735"/>
      <c r="CD234" s="129"/>
      <c r="CE234" s="130"/>
      <c r="CF234" s="79"/>
      <c r="CG234" s="735"/>
      <c r="CH234" s="129"/>
      <c r="CI234" s="130"/>
      <c r="CJ234" s="79"/>
      <c r="CK234" s="619"/>
      <c r="CL234" s="619"/>
      <c r="CM234" s="395">
        <f>SUM(M234,AG234,BA234,BU234,CO234)-SUM(O234,AI234,BC234,BW234,CQ234)-L234</f>
        <v>-1088</v>
      </c>
      <c r="CN234" s="29">
        <f t="shared" si="428"/>
        <v>1213</v>
      </c>
      <c r="CO234" s="299">
        <f>CO212</f>
        <v>0</v>
      </c>
      <c r="CP234" s="5">
        <f t="shared" si="429"/>
        <v>-1213</v>
      </c>
      <c r="CQ234" s="277"/>
      <c r="CR234" s="304">
        <f>CR212</f>
        <v>0</v>
      </c>
      <c r="CS234" s="35">
        <f t="shared" si="430"/>
        <v>1213</v>
      </c>
      <c r="CT234" s="129"/>
      <c r="CU234" s="130"/>
      <c r="CV234" s="79"/>
      <c r="CW234" s="735"/>
      <c r="CX234" s="129"/>
      <c r="CY234" s="130"/>
      <c r="CZ234" s="79"/>
      <c r="DA234" s="735"/>
      <c r="DB234" s="131"/>
      <c r="DC234" s="130"/>
      <c r="DD234" s="79"/>
      <c r="DE234" s="619"/>
      <c r="DF234" s="619"/>
      <c r="DG234" s="395">
        <f>SUM(M234,AG234,BA234,BU234,DI234)-SUM(O234,AI234,BC234,BW234,CQ234)-L234</f>
        <v>-1088</v>
      </c>
      <c r="DH234" s="29">
        <f t="shared" si="390"/>
        <v>1213</v>
      </c>
      <c r="DI234" s="299">
        <f>DI212</f>
        <v>0</v>
      </c>
      <c r="DJ234" s="5">
        <f t="shared" si="431"/>
        <v>-1213</v>
      </c>
      <c r="DK234" s="277"/>
      <c r="DL234" s="304">
        <f>DL212</f>
        <v>0</v>
      </c>
      <c r="DM234" s="35">
        <f t="shared" si="432"/>
        <v>1213</v>
      </c>
    </row>
    <row r="235" spans="1:117" x14ac:dyDescent="0.3">
      <c r="A235" s="75"/>
      <c r="B235" s="74" t="s">
        <v>418</v>
      </c>
      <c r="C235" s="77">
        <v>1</v>
      </c>
      <c r="D235" s="274"/>
      <c r="E235" s="770"/>
      <c r="F235" s="430">
        <v>2.5</v>
      </c>
      <c r="G235" s="74" t="s">
        <v>761</v>
      </c>
      <c r="H235" s="77"/>
      <c r="I235" s="77"/>
      <c r="J235" s="530">
        <f>SUM(M235,AG235,BA235,BU235)-L235</f>
        <v>-1138</v>
      </c>
      <c r="K235" s="395">
        <f t="shared" si="389"/>
        <v>-1263</v>
      </c>
      <c r="L235" s="147">
        <v>1263</v>
      </c>
      <c r="M235" s="299">
        <f>M213</f>
        <v>0</v>
      </c>
      <c r="N235" s="5">
        <f t="shared" ref="N235" si="433">M235-L235</f>
        <v>-1263</v>
      </c>
      <c r="O235" s="256"/>
      <c r="P235" s="304">
        <f>P212</f>
        <v>0</v>
      </c>
      <c r="Q235" s="35">
        <f t="shared" ref="Q235" si="434">L235+O235-P235</f>
        <v>1263</v>
      </c>
      <c r="R235" s="129"/>
      <c r="S235" s="130"/>
      <c r="T235" s="79"/>
      <c r="U235" s="735"/>
      <c r="V235" s="129"/>
      <c r="W235" s="130"/>
      <c r="X235" s="79"/>
      <c r="Y235" s="735"/>
      <c r="Z235" s="131"/>
      <c r="AA235" s="130"/>
      <c r="AB235" s="79"/>
      <c r="AC235" s="619"/>
      <c r="AD235" s="619"/>
      <c r="AE235" s="395">
        <f>SUM(M235,AG235)-SUM(O235,AI235)-L235</f>
        <v>-1263</v>
      </c>
      <c r="AF235" s="29">
        <f>Q235</f>
        <v>1263</v>
      </c>
      <c r="AG235" s="299">
        <f>AG213</f>
        <v>0</v>
      </c>
      <c r="AH235" s="5">
        <f t="shared" ref="AH235" si="435">AG235-AF235</f>
        <v>-1263</v>
      </c>
      <c r="AI235" s="277"/>
      <c r="AJ235" s="304">
        <f>AJ212</f>
        <v>0</v>
      </c>
      <c r="AK235" s="35">
        <f t="shared" ref="AK235" si="436">AF235+AI235-AJ235</f>
        <v>1263</v>
      </c>
      <c r="AL235" s="129"/>
      <c r="AM235" s="130"/>
      <c r="AN235" s="79"/>
      <c r="AO235" s="735"/>
      <c r="AP235" s="129"/>
      <c r="AQ235" s="130"/>
      <c r="AR235" s="79"/>
      <c r="AS235" s="735"/>
      <c r="AT235" s="131"/>
      <c r="AU235" s="130"/>
      <c r="AV235" s="79"/>
      <c r="AW235" s="619"/>
      <c r="AX235" s="619"/>
      <c r="AY235" s="395">
        <f>SUM(M235,AG235,BA235)-SUM(O235,AI235,BC235)-L235</f>
        <v>-1213</v>
      </c>
      <c r="AZ235" s="29">
        <f t="shared" ref="AZ235" si="437">AK235</f>
        <v>1263</v>
      </c>
      <c r="BA235" s="299">
        <f>BA213</f>
        <v>50</v>
      </c>
      <c r="BB235" s="5">
        <f t="shared" ref="BB235" si="438">BA235-AZ235</f>
        <v>-1213</v>
      </c>
      <c r="BC235" s="244"/>
      <c r="BD235" s="304">
        <f>BD212</f>
        <v>0</v>
      </c>
      <c r="BE235" s="35">
        <f t="shared" ref="BE235" si="439">AZ235+BC235-BD235</f>
        <v>1263</v>
      </c>
      <c r="BF235" s="129"/>
      <c r="BG235" s="130"/>
      <c r="BH235" s="79"/>
      <c r="BI235" s="735"/>
      <c r="BJ235" s="129"/>
      <c r="BK235" s="130"/>
      <c r="BL235" s="79"/>
      <c r="BM235" s="735"/>
      <c r="BN235" s="129"/>
      <c r="BO235" s="130"/>
      <c r="BP235" s="79"/>
      <c r="BQ235" s="619"/>
      <c r="BR235" s="619"/>
      <c r="BS235" s="395">
        <f>SUM(M235,AG235,BA235,BU235)-SUM(O235,AI235,BC235,BW235)-L235</f>
        <v>-1138</v>
      </c>
      <c r="BT235" s="29">
        <f t="shared" ref="BT235" si="440">BE235</f>
        <v>1263</v>
      </c>
      <c r="BU235" s="299">
        <f>BU213</f>
        <v>75</v>
      </c>
      <c r="BV235" s="5">
        <f t="shared" ref="BV235" si="441">BU235-BT235</f>
        <v>-1188</v>
      </c>
      <c r="BW235" s="244"/>
      <c r="BX235" s="304">
        <f>BX212</f>
        <v>0</v>
      </c>
      <c r="BY235" s="35">
        <f t="shared" ref="BY235" si="442">BT235+BW235-BX235</f>
        <v>1263</v>
      </c>
      <c r="BZ235" s="129"/>
      <c r="CA235" s="130"/>
      <c r="CB235" s="79"/>
      <c r="CC235" s="735"/>
      <c r="CD235" s="129"/>
      <c r="CE235" s="130"/>
      <c r="CF235" s="79"/>
      <c r="CG235" s="735"/>
      <c r="CH235" s="129"/>
      <c r="CI235" s="130"/>
      <c r="CJ235" s="79"/>
      <c r="CK235" s="619"/>
      <c r="CL235" s="619"/>
      <c r="CM235" s="395">
        <f>SUM(M235,AG235,BA235,BU235,CO235)-SUM(O235,AI235,BC235,BW235,CQ235)-L235</f>
        <v>-1138</v>
      </c>
      <c r="CN235" s="29">
        <f t="shared" ref="CN235" si="443">BY235</f>
        <v>1263</v>
      </c>
      <c r="CO235" s="299">
        <f>CO213</f>
        <v>0</v>
      </c>
      <c r="CP235" s="5">
        <f t="shared" ref="CP235" si="444">CO235-CN235</f>
        <v>-1263</v>
      </c>
      <c r="CQ235" s="277"/>
      <c r="CR235" s="304">
        <f>CR212</f>
        <v>0</v>
      </c>
      <c r="CS235" s="35">
        <f t="shared" ref="CS235" si="445">CN235+CQ235-CR235</f>
        <v>1263</v>
      </c>
      <c r="CT235" s="129"/>
      <c r="CU235" s="130"/>
      <c r="CV235" s="79"/>
      <c r="CW235" s="735"/>
      <c r="CX235" s="129"/>
      <c r="CY235" s="130"/>
      <c r="CZ235" s="79"/>
      <c r="DA235" s="735"/>
      <c r="DB235" s="131"/>
      <c r="DC235" s="130"/>
      <c r="DD235" s="79"/>
      <c r="DE235" s="619"/>
      <c r="DF235" s="619"/>
      <c r="DG235" s="395">
        <f>SUM(M235,AG235,BA235,BU235,DI235)-SUM(O235,AI235,BC235,BW235,CQ235)-L235</f>
        <v>-1138</v>
      </c>
      <c r="DH235" s="29">
        <f t="shared" si="390"/>
        <v>1263</v>
      </c>
      <c r="DI235" s="299">
        <f>DI213</f>
        <v>0</v>
      </c>
      <c r="DJ235" s="5">
        <f t="shared" si="431"/>
        <v>-1263</v>
      </c>
      <c r="DK235" s="277"/>
      <c r="DL235" s="304">
        <f>DL212</f>
        <v>0</v>
      </c>
      <c r="DM235" s="35">
        <f t="shared" si="432"/>
        <v>1263</v>
      </c>
    </row>
    <row r="236" spans="1:117" x14ac:dyDescent="0.3">
      <c r="A236" s="75"/>
      <c r="B236" s="453" t="s">
        <v>347</v>
      </c>
      <c r="C236" s="77">
        <v>1</v>
      </c>
      <c r="D236" s="74"/>
      <c r="E236" s="774"/>
      <c r="F236" s="430"/>
      <c r="G236" s="74" t="s">
        <v>359</v>
      </c>
      <c r="H236" s="77"/>
      <c r="I236" s="77"/>
      <c r="J236" s="530">
        <f>SUM(M236,AG236,BA236,BU236)-L236</f>
        <v>125</v>
      </c>
      <c r="K236" s="395">
        <f t="shared" si="389"/>
        <v>0</v>
      </c>
      <c r="L236" s="147">
        <v>0</v>
      </c>
      <c r="M236" s="299">
        <f>M212</f>
        <v>0</v>
      </c>
      <c r="N236" s="5">
        <f t="shared" si="418"/>
        <v>0</v>
      </c>
      <c r="O236" s="277"/>
      <c r="P236" s="240"/>
      <c r="Q236" s="35">
        <f t="shared" si="419"/>
        <v>0</v>
      </c>
      <c r="R236" s="129"/>
      <c r="S236" s="130"/>
      <c r="T236" s="79"/>
      <c r="U236" s="735"/>
      <c r="V236" s="129"/>
      <c r="W236" s="130"/>
      <c r="X236" s="79"/>
      <c r="Y236" s="735"/>
      <c r="Z236" s="131"/>
      <c r="AA236" s="130"/>
      <c r="AB236" s="79"/>
      <c r="AC236" s="619"/>
      <c r="AD236" s="619"/>
      <c r="AE236" s="395">
        <f>SUM(M236,AG236)-SUM(O236,AI236)-L236</f>
        <v>0</v>
      </c>
      <c r="AF236" s="29">
        <f>Q236</f>
        <v>0</v>
      </c>
      <c r="AG236" s="299">
        <f>AG212</f>
        <v>0</v>
      </c>
      <c r="AH236" s="5">
        <f t="shared" si="420"/>
        <v>0</v>
      </c>
      <c r="AI236" s="277"/>
      <c r="AJ236" s="240"/>
      <c r="AK236" s="35">
        <f t="shared" si="421"/>
        <v>0</v>
      </c>
      <c r="AL236" s="129"/>
      <c r="AM236" s="130"/>
      <c r="AN236" s="79"/>
      <c r="AO236" s="735"/>
      <c r="AP236" s="129"/>
      <c r="AQ236" s="130"/>
      <c r="AR236" s="79"/>
      <c r="AS236" s="735"/>
      <c r="AT236" s="131"/>
      <c r="AU236" s="130"/>
      <c r="AV236" s="79"/>
      <c r="AW236" s="619"/>
      <c r="AX236" s="619"/>
      <c r="AY236" s="395">
        <f>SUM(M236,AG236,BA236)-SUM(O236,AI236,BC236)-L236</f>
        <v>50</v>
      </c>
      <c r="AZ236" s="29">
        <f t="shared" si="422"/>
        <v>0</v>
      </c>
      <c r="BA236" s="299">
        <f>BA212</f>
        <v>50</v>
      </c>
      <c r="BB236" s="5">
        <f t="shared" si="423"/>
        <v>50</v>
      </c>
      <c r="BC236" s="277"/>
      <c r="BD236" s="240"/>
      <c r="BE236" s="35">
        <f t="shared" si="424"/>
        <v>0</v>
      </c>
      <c r="BF236" s="129"/>
      <c r="BG236" s="130"/>
      <c r="BH236" s="79"/>
      <c r="BI236" s="735"/>
      <c r="BJ236" s="129"/>
      <c r="BK236" s="130"/>
      <c r="BL236" s="79"/>
      <c r="BM236" s="735"/>
      <c r="BN236" s="131"/>
      <c r="BO236" s="130"/>
      <c r="BP236" s="79"/>
      <c r="BQ236" s="619"/>
      <c r="BR236" s="619"/>
      <c r="BS236" s="395">
        <f>SUM(M236,AG236,BA236,BU236)-SUM(O236,AI236,BC236,BW236)-L236</f>
        <v>125</v>
      </c>
      <c r="BT236" s="29">
        <f t="shared" si="425"/>
        <v>0</v>
      </c>
      <c r="BU236" s="299">
        <f>BU212</f>
        <v>75</v>
      </c>
      <c r="BV236" s="5">
        <f t="shared" si="426"/>
        <v>75</v>
      </c>
      <c r="BW236" s="277"/>
      <c r="BX236" s="240"/>
      <c r="BY236" s="35">
        <f t="shared" si="427"/>
        <v>0</v>
      </c>
      <c r="BZ236" s="129"/>
      <c r="CA236" s="130"/>
      <c r="CB236" s="79"/>
      <c r="CC236" s="735"/>
      <c r="CD236" s="129"/>
      <c r="CE236" s="130"/>
      <c r="CF236" s="79"/>
      <c r="CG236" s="735"/>
      <c r="CH236" s="129"/>
      <c r="CI236" s="130"/>
      <c r="CJ236" s="79"/>
      <c r="CK236" s="619"/>
      <c r="CL236" s="619"/>
      <c r="CM236" s="395">
        <f>SUM(M236,AG236,BA236,BU236,CO236)-SUM(O236,AI236,BC236,BW236,CQ236)-L236</f>
        <v>125</v>
      </c>
      <c r="CN236" s="29">
        <f t="shared" si="428"/>
        <v>0</v>
      </c>
      <c r="CO236" s="299">
        <f>CO212</f>
        <v>0</v>
      </c>
      <c r="CP236" s="5">
        <f t="shared" si="429"/>
        <v>0</v>
      </c>
      <c r="CQ236" s="277"/>
      <c r="CR236" s="240"/>
      <c r="CS236" s="35">
        <f t="shared" si="430"/>
        <v>0</v>
      </c>
      <c r="CT236" s="129"/>
      <c r="CU236" s="130"/>
      <c r="CV236" s="79"/>
      <c r="CW236" s="735"/>
      <c r="CX236" s="129"/>
      <c r="CY236" s="130"/>
      <c r="CZ236" s="79"/>
      <c r="DA236" s="735"/>
      <c r="DB236" s="131"/>
      <c r="DC236" s="130"/>
      <c r="DD236" s="79"/>
      <c r="DE236" s="619"/>
      <c r="DF236" s="619"/>
      <c r="DG236" s="395">
        <f>SUM(M236,AG236,BA236,BU236,DI236)-SUM(O236,AI236,BC236,BW236,CQ236)-L236</f>
        <v>125</v>
      </c>
      <c r="DH236" s="29">
        <f t="shared" si="390"/>
        <v>0</v>
      </c>
      <c r="DI236" s="299">
        <f>DI212</f>
        <v>0</v>
      </c>
      <c r="DJ236" s="5">
        <f t="shared" si="431"/>
        <v>0</v>
      </c>
      <c r="DK236" s="277"/>
      <c r="DL236" s="240"/>
      <c r="DM236" s="35">
        <f t="shared" si="432"/>
        <v>0</v>
      </c>
    </row>
    <row r="237" spans="1:117" ht="15" thickBot="1" x14ac:dyDescent="0.35">
      <c r="A237" s="19"/>
      <c r="B237" s="12" t="s">
        <v>348</v>
      </c>
      <c r="C237" s="28">
        <v>1</v>
      </c>
      <c r="D237" s="12"/>
      <c r="E237" s="775"/>
      <c r="F237" s="452">
        <v>0.55000000000000004</v>
      </c>
      <c r="G237" s="12" t="s">
        <v>359</v>
      </c>
      <c r="H237" s="28"/>
      <c r="I237" s="28"/>
      <c r="J237" s="531">
        <f>SUM(M237,AG237,BA237,BU237)-L237</f>
        <v>125</v>
      </c>
      <c r="K237" s="396">
        <f t="shared" si="389"/>
        <v>0</v>
      </c>
      <c r="L237" s="552">
        <v>0</v>
      </c>
      <c r="M237" s="301">
        <f>M213</f>
        <v>0</v>
      </c>
      <c r="N237" s="31">
        <f t="shared" ref="N237" si="446">M237-L237</f>
        <v>0</v>
      </c>
      <c r="O237" s="284"/>
      <c r="P237" s="241"/>
      <c r="Q237" s="36">
        <f t="shared" ref="Q237" si="447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>SUM(M237,AG237)-SUM(O237,AI237)-L237</f>
        <v>0</v>
      </c>
      <c r="AF237" s="30">
        <f>Q237</f>
        <v>0</v>
      </c>
      <c r="AG237" s="301">
        <f>AG212</f>
        <v>0</v>
      </c>
      <c r="AH237" s="31">
        <f t="shared" si="420"/>
        <v>0</v>
      </c>
      <c r="AI237" s="284"/>
      <c r="AJ237" s="305">
        <f>AJ212</f>
        <v>0</v>
      </c>
      <c r="AK237" s="36">
        <f t="shared" si="421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>SUM(M237,AG237,BA237)-SUM(O237,AI237,BC237)-L237</f>
        <v>50</v>
      </c>
      <c r="AZ237" s="30">
        <f t="shared" si="422"/>
        <v>0</v>
      </c>
      <c r="BA237" s="301">
        <f>BA212</f>
        <v>50</v>
      </c>
      <c r="BB237" s="31">
        <f t="shared" si="423"/>
        <v>50</v>
      </c>
      <c r="BC237" s="284"/>
      <c r="BD237" s="305">
        <f>BD212</f>
        <v>0</v>
      </c>
      <c r="BE237" s="36">
        <f t="shared" si="424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>SUM(M237,AG237,BA237,BU237)-SUM(O237,AI237,BC237,BW237)-L237</f>
        <v>125</v>
      </c>
      <c r="BT237" s="30">
        <f t="shared" si="425"/>
        <v>0</v>
      </c>
      <c r="BU237" s="301">
        <f>BU212</f>
        <v>75</v>
      </c>
      <c r="BV237" s="31">
        <f t="shared" si="426"/>
        <v>75</v>
      </c>
      <c r="BW237" s="241"/>
      <c r="BX237" s="305">
        <f>BX212</f>
        <v>0</v>
      </c>
      <c r="BY237" s="36">
        <f t="shared" si="427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>SUM(M237,AG237,BA237,BU237,CO237)-SUM(O237,AI237,BC237,BW237,CQ237)-L237</f>
        <v>125</v>
      </c>
      <c r="CN237" s="30">
        <f t="shared" si="428"/>
        <v>0</v>
      </c>
      <c r="CO237" s="301">
        <f>CO212</f>
        <v>0</v>
      </c>
      <c r="CP237" s="31">
        <f t="shared" si="429"/>
        <v>0</v>
      </c>
      <c r="CQ237" s="284"/>
      <c r="CR237" s="305">
        <f>CR212</f>
        <v>0</v>
      </c>
      <c r="CS237" s="36">
        <f t="shared" si="430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>SUM(M237,AG237,BA237,BU237,DI237)-SUM(O237,AI237,BC237,BW237,CQ237)-L237</f>
        <v>125</v>
      </c>
      <c r="DH237" s="30">
        <f t="shared" si="390"/>
        <v>0</v>
      </c>
      <c r="DI237" s="301">
        <f>DI212</f>
        <v>0</v>
      </c>
      <c r="DJ237" s="31">
        <f t="shared" si="431"/>
        <v>0</v>
      </c>
      <c r="DK237" s="284"/>
      <c r="DL237" s="305">
        <f>DL212</f>
        <v>0</v>
      </c>
      <c r="DM237" s="36">
        <f t="shared" si="432"/>
        <v>0</v>
      </c>
    </row>
    <row r="238" spans="1:117" ht="15" thickBot="1" x14ac:dyDescent="0.35">
      <c r="P238" s="248"/>
      <c r="AJ238" s="248"/>
      <c r="BD238" s="248"/>
      <c r="BX238" s="248"/>
      <c r="CR238" s="248"/>
      <c r="DL238" s="248"/>
    </row>
    <row r="239" spans="1:117" ht="15" thickBot="1" x14ac:dyDescent="0.35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61"/>
      <c r="AD239" s="761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61"/>
      <c r="AX239" s="761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61"/>
      <c r="BR239" s="761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61"/>
      <c r="CL239" s="761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61"/>
      <c r="DF239" s="761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3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47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47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47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47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47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3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448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449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3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35"/>
      <c r="V242" s="129"/>
      <c r="W242" s="130"/>
      <c r="X242" s="79"/>
      <c r="Y242" s="735"/>
      <c r="Z242" s="131"/>
      <c r="AA242" s="130"/>
      <c r="AB242" s="79"/>
      <c r="AC242" s="735"/>
      <c r="AD242" s="735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35"/>
      <c r="AP242" s="129"/>
      <c r="AQ242" s="130"/>
      <c r="AR242" s="79"/>
      <c r="AS242" s="735"/>
      <c r="AT242" s="131"/>
      <c r="AU242" s="130"/>
      <c r="AV242" s="79"/>
      <c r="AW242" s="735"/>
      <c r="AX242" s="735"/>
      <c r="AY242" s="25"/>
      <c r="AZ242" s="29">
        <f t="shared" ref="AZ242:AZ244" si="450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35"/>
      <c r="BJ242" s="129"/>
      <c r="BK242" s="130"/>
      <c r="BL242" s="79"/>
      <c r="BM242" s="735"/>
      <c r="BN242" s="131"/>
      <c r="BO242" s="130"/>
      <c r="BP242" s="79"/>
      <c r="BQ242" s="735"/>
      <c r="BR242" s="735"/>
      <c r="BS242" s="25"/>
      <c r="BT242" s="29">
        <f t="shared" ref="BT242:BT244" si="451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35"/>
      <c r="CD242" s="129"/>
      <c r="CE242" s="130"/>
      <c r="CF242" s="79"/>
      <c r="CG242" s="735"/>
      <c r="CH242" s="131"/>
      <c r="CI242" s="130"/>
      <c r="CJ242" s="79"/>
      <c r="CK242" s="735"/>
      <c r="CL242" s="735"/>
      <c r="CM242" s="25"/>
      <c r="CN242" s="29">
        <f t="shared" ref="CN242:CN244" si="452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35"/>
      <c r="CX242" s="129"/>
      <c r="CY242" s="130"/>
      <c r="CZ242" s="79"/>
      <c r="DA242" s="735"/>
      <c r="DB242" s="131"/>
      <c r="DC242" s="130"/>
      <c r="DD242" s="79"/>
      <c r="DE242" s="735"/>
      <c r="DF242" s="735"/>
      <c r="DG242" s="25"/>
      <c r="DH242" s="29">
        <f t="shared" si="449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3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35"/>
      <c r="V243" s="129"/>
      <c r="W243" s="130"/>
      <c r="X243" s="79"/>
      <c r="Y243" s="735"/>
      <c r="Z243" s="131"/>
      <c r="AA243" s="130"/>
      <c r="AB243" s="79"/>
      <c r="AC243" s="735"/>
      <c r="AD243" s="735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35"/>
      <c r="AP243" s="129"/>
      <c r="AQ243" s="130"/>
      <c r="AR243" s="79"/>
      <c r="AS243" s="735"/>
      <c r="AT243" s="131"/>
      <c r="AU243" s="130"/>
      <c r="AV243" s="79"/>
      <c r="AW243" s="735"/>
      <c r="AX243" s="735"/>
      <c r="AY243" s="77"/>
      <c r="AZ243" s="29">
        <f t="shared" si="450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35"/>
      <c r="BJ243" s="129"/>
      <c r="BK243" s="130"/>
      <c r="BL243" s="79"/>
      <c r="BM243" s="735"/>
      <c r="BN243" s="131"/>
      <c r="BO243" s="130"/>
      <c r="BP243" s="79"/>
      <c r="BQ243" s="735"/>
      <c r="BR243" s="735"/>
      <c r="BS243" s="77"/>
      <c r="BT243" s="29">
        <f t="shared" si="451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35"/>
      <c r="CD243" s="129"/>
      <c r="CE243" s="130"/>
      <c r="CF243" s="79"/>
      <c r="CG243" s="735"/>
      <c r="CH243" s="131"/>
      <c r="CI243" s="130"/>
      <c r="CJ243" s="79"/>
      <c r="CK243" s="735"/>
      <c r="CL243" s="735"/>
      <c r="CM243" s="77"/>
      <c r="CN243" s="29">
        <f t="shared" si="452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35"/>
      <c r="CX243" s="129"/>
      <c r="CY243" s="130"/>
      <c r="CZ243" s="79"/>
      <c r="DA243" s="735"/>
      <c r="DB243" s="131"/>
      <c r="DC243" s="130"/>
      <c r="DD243" s="79"/>
      <c r="DE243" s="735"/>
      <c r="DF243" s="735"/>
      <c r="DG243" s="77"/>
      <c r="DH243" s="29">
        <f t="shared" si="449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" thickBot="1" x14ac:dyDescent="0.35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450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451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452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449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" thickBot="1" x14ac:dyDescent="0.35">
      <c r="P245" s="248"/>
      <c r="AJ245" s="248"/>
      <c r="BD245" s="248"/>
      <c r="BX245" s="248"/>
      <c r="CR245" s="248"/>
      <c r="DL245" s="248"/>
    </row>
    <row r="246" spans="1:117" ht="15" thickBot="1" x14ac:dyDescent="0.35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3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>SUM(M247,AG247,BA247,BU247)-L247</f>
        <v>0</v>
      </c>
      <c r="K247" s="395">
        <f t="shared" ref="K247:K264" si="453">M247-O247-L247</f>
        <v>0</v>
      </c>
      <c r="L247" s="29">
        <v>0</v>
      </c>
      <c r="M247" s="7"/>
      <c r="N247" s="7">
        <f t="shared" ref="N247:N260" si="45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36"/>
      <c r="V247" s="123"/>
      <c r="W247" s="8"/>
      <c r="X247" s="34"/>
      <c r="Y247" s="736"/>
      <c r="Z247" s="20"/>
      <c r="AA247" s="8"/>
      <c r="AB247" s="34"/>
      <c r="AC247" s="234"/>
      <c r="AD247" s="234"/>
      <c r="AE247" s="395">
        <f>SUM(M247,AG247)-SUM(O247,AI247)-L247</f>
        <v>0</v>
      </c>
      <c r="AF247" s="29">
        <f>Q247</f>
        <v>0</v>
      </c>
      <c r="AG247" s="7"/>
      <c r="AH247" s="7">
        <f t="shared" ref="AH247:AH260" si="455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36"/>
      <c r="AP247" s="123"/>
      <c r="AQ247" s="8"/>
      <c r="AR247" s="34"/>
      <c r="AS247" s="736"/>
      <c r="AT247" s="20"/>
      <c r="AU247" s="8"/>
      <c r="AV247" s="34"/>
      <c r="AW247" s="234"/>
      <c r="AX247" s="234"/>
      <c r="AY247" s="395">
        <f>SUM(M247,AG247,BA247)-SUM(O247,AI247,BC247)-L247</f>
        <v>0</v>
      </c>
      <c r="AZ247" s="29">
        <f>AK247</f>
        <v>0</v>
      </c>
      <c r="BA247" s="7"/>
      <c r="BB247" s="7">
        <f t="shared" ref="BB247:BB260" si="456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36"/>
      <c r="BJ247" s="123"/>
      <c r="BK247" s="8"/>
      <c r="BL247" s="34"/>
      <c r="BM247" s="736"/>
      <c r="BN247" s="20"/>
      <c r="BO247" s="8"/>
      <c r="BP247" s="34"/>
      <c r="BQ247" s="234"/>
      <c r="BR247" s="234"/>
      <c r="BS247" s="395">
        <f>SUM(M247,AG247,BA247,BU247)-SUM(O247,AI247,BC247,BW247)-L247</f>
        <v>0</v>
      </c>
      <c r="BT247" s="29">
        <f>BE247</f>
        <v>0</v>
      </c>
      <c r="BU247" s="7"/>
      <c r="BV247" s="7">
        <f t="shared" ref="BV247:BV260" si="457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36"/>
      <c r="CD247" s="123"/>
      <c r="CE247" s="8"/>
      <c r="CF247" s="34"/>
      <c r="CG247" s="736"/>
      <c r="CH247" s="20"/>
      <c r="CI247" s="8"/>
      <c r="CJ247" s="34"/>
      <c r="CK247" s="234"/>
      <c r="CL247" s="234"/>
      <c r="CM247" s="395">
        <f>SUM(M247,AG247,BA247,BU247,CO247)-SUM(O247,AI247,BC247,BW247,CQ247)-L247</f>
        <v>0</v>
      </c>
      <c r="CN247" s="29">
        <f>BY247</f>
        <v>0</v>
      </c>
      <c r="CO247" s="7"/>
      <c r="CP247" s="7">
        <f t="shared" ref="CP247:CP260" si="458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36"/>
      <c r="CX247" s="123"/>
      <c r="CY247" s="8"/>
      <c r="CZ247" s="34"/>
      <c r="DA247" s="736"/>
      <c r="DB247" s="20"/>
      <c r="DC247" s="8"/>
      <c r="DD247" s="34"/>
      <c r="DE247" s="234"/>
      <c r="DF247" s="234"/>
      <c r="DG247" s="395"/>
      <c r="DH247" s="29">
        <f t="shared" ref="DH247:DH264" si="459">BY247</f>
        <v>0</v>
      </c>
      <c r="DI247" s="7"/>
      <c r="DJ247" s="7">
        <f t="shared" ref="DJ247:DJ260" si="460">DI247-DH247</f>
        <v>0</v>
      </c>
      <c r="DK247" s="242"/>
      <c r="DL247" s="242"/>
      <c r="DM247" s="231">
        <f>DH247+DK247-DL247</f>
        <v>0</v>
      </c>
    </row>
    <row r="248" spans="1:117" x14ac:dyDescent="0.3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>SUM(M248,AG248,BA248,BU248)-L248</f>
        <v>0</v>
      </c>
      <c r="K248" s="395">
        <f t="shared" si="453"/>
        <v>0</v>
      </c>
      <c r="L248" s="29">
        <v>0</v>
      </c>
      <c r="M248" s="302">
        <f>M246</f>
        <v>0</v>
      </c>
      <c r="N248" s="7">
        <f t="shared" si="45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36"/>
      <c r="V248" s="123"/>
      <c r="W248" s="8"/>
      <c r="X248" s="34"/>
      <c r="Y248" s="736"/>
      <c r="Z248" s="20"/>
      <c r="AA248" s="8"/>
      <c r="AB248" s="34"/>
      <c r="AC248" s="234"/>
      <c r="AD248" s="234"/>
      <c r="AE248" s="395">
        <f>SUM(M248,AG248)-SUM(O248,AI248)-L248</f>
        <v>0</v>
      </c>
      <c r="AF248" s="29">
        <f>Q248</f>
        <v>0</v>
      </c>
      <c r="AG248" s="302">
        <f>AG246</f>
        <v>0</v>
      </c>
      <c r="AH248" s="7">
        <f t="shared" si="455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36"/>
      <c r="AP248" s="123"/>
      <c r="AQ248" s="8"/>
      <c r="AR248" s="34"/>
      <c r="AS248" s="736"/>
      <c r="AT248" s="20"/>
      <c r="AU248" s="8"/>
      <c r="AV248" s="34"/>
      <c r="AW248" s="234"/>
      <c r="AX248" s="234"/>
      <c r="AY248" s="395">
        <f>SUM(M248,AG248,BA248)-SUM(O248,AI248,BC248)-L248</f>
        <v>0</v>
      </c>
      <c r="AZ248" s="29">
        <f>AK248</f>
        <v>0</v>
      </c>
      <c r="BA248" s="302">
        <f>BA246</f>
        <v>0</v>
      </c>
      <c r="BB248" s="7">
        <f t="shared" si="456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36"/>
      <c r="BJ248" s="123"/>
      <c r="BK248" s="8"/>
      <c r="BL248" s="34"/>
      <c r="BM248" s="736"/>
      <c r="BN248" s="20"/>
      <c r="BO248" s="8"/>
      <c r="BP248" s="34"/>
      <c r="BQ248" s="234"/>
      <c r="BR248" s="234"/>
      <c r="BS248" s="395">
        <f>SUM(M248,AG248,BA248,BU248)-SUM(O248,AI248,BC248,BW248)-L248</f>
        <v>0</v>
      </c>
      <c r="BT248" s="29">
        <f>BE248</f>
        <v>0</v>
      </c>
      <c r="BU248" s="302">
        <f>BU246</f>
        <v>0</v>
      </c>
      <c r="BV248" s="7">
        <f t="shared" si="457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36"/>
      <c r="CD248" s="123"/>
      <c r="CE248" s="8"/>
      <c r="CF248" s="34"/>
      <c r="CG248" s="736"/>
      <c r="CH248" s="20"/>
      <c r="CI248" s="8"/>
      <c r="CJ248" s="34"/>
      <c r="CK248" s="234"/>
      <c r="CL248" s="234"/>
      <c r="CM248" s="395">
        <f>SUM(M248,AG248,BA248,BU248,CO248)-SUM(O248,AI248,BC248,BW248,CQ248)-L248</f>
        <v>0</v>
      </c>
      <c r="CN248" s="29">
        <f>BY248</f>
        <v>0</v>
      </c>
      <c r="CO248" s="302">
        <f>CO246</f>
        <v>0</v>
      </c>
      <c r="CP248" s="7">
        <f t="shared" si="458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36"/>
      <c r="CX248" s="123"/>
      <c r="CY248" s="8"/>
      <c r="CZ248" s="34"/>
      <c r="DA248" s="736"/>
      <c r="DB248" s="20"/>
      <c r="DC248" s="8"/>
      <c r="DD248" s="34"/>
      <c r="DE248" s="234"/>
      <c r="DF248" s="234"/>
      <c r="DG248" s="395"/>
      <c r="DH248" s="29">
        <f t="shared" si="459"/>
        <v>0</v>
      </c>
      <c r="DI248" s="302">
        <f>DI246</f>
        <v>0</v>
      </c>
      <c r="DJ248" s="7">
        <f t="shared" si="460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3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>SUM(M249,AG249,BA249,BU249)-L249</f>
        <v>-1</v>
      </c>
      <c r="K249" s="395">
        <f t="shared" si="453"/>
        <v>-1</v>
      </c>
      <c r="L249" s="29">
        <v>1</v>
      </c>
      <c r="M249" s="298">
        <f>M246</f>
        <v>0</v>
      </c>
      <c r="N249" s="7">
        <f t="shared" si="454"/>
        <v>-1</v>
      </c>
      <c r="O249" s="258"/>
      <c r="P249" s="304">
        <f>P246</f>
        <v>0</v>
      </c>
      <c r="Q249" s="231">
        <f t="shared" ref="Q249:Q260" si="461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>SUM(M249,AG249)-SUM(O249,AI249)-L249</f>
        <v>-1</v>
      </c>
      <c r="AF249" s="29">
        <f>Q249</f>
        <v>1</v>
      </c>
      <c r="AG249" s="298">
        <f>AG246</f>
        <v>0</v>
      </c>
      <c r="AH249" s="7">
        <f t="shared" si="455"/>
        <v>-1</v>
      </c>
      <c r="AI249" s="258"/>
      <c r="AJ249" s="304">
        <f>AJ246</f>
        <v>0</v>
      </c>
      <c r="AK249" s="231">
        <f t="shared" ref="AK249:AK260" si="462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>SUM(M249,AG249,BA249)-SUM(O249,AI249,BC249)-L249</f>
        <v>-1</v>
      </c>
      <c r="AZ249" s="29">
        <f>AK249</f>
        <v>1</v>
      </c>
      <c r="BA249" s="298">
        <f>BA246</f>
        <v>0</v>
      </c>
      <c r="BB249" s="7">
        <f t="shared" si="456"/>
        <v>-1</v>
      </c>
      <c r="BC249" s="258"/>
      <c r="BD249" s="304">
        <f>BD246</f>
        <v>0</v>
      </c>
      <c r="BE249" s="231">
        <f t="shared" ref="BE249:BE260" si="463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>SUM(M249,AG249,BA249,BU249)-SUM(O249,AI249,BC249,BW249)-L249</f>
        <v>-1</v>
      </c>
      <c r="BT249" s="29">
        <f>BE249</f>
        <v>1</v>
      </c>
      <c r="BU249" s="298">
        <f>BU246</f>
        <v>0</v>
      </c>
      <c r="BV249" s="7">
        <f t="shared" si="457"/>
        <v>-1</v>
      </c>
      <c r="BW249" s="258"/>
      <c r="BX249" s="304">
        <f>BX246</f>
        <v>0</v>
      </c>
      <c r="BY249" s="231">
        <f t="shared" ref="BY249:BY260" si="464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>SUM(M249,AG249,BA249,BU249,CO249)-SUM(O249,AI249,BC249,BW249,CQ249)-L249</f>
        <v>-1</v>
      </c>
      <c r="CN249" s="29">
        <f>BY249</f>
        <v>1</v>
      </c>
      <c r="CO249" s="298">
        <f>CO246</f>
        <v>0</v>
      </c>
      <c r="CP249" s="7">
        <f t="shared" si="458"/>
        <v>-1</v>
      </c>
      <c r="CQ249" s="242"/>
      <c r="CR249" s="304">
        <f>CR246</f>
        <v>0</v>
      </c>
      <c r="CS249" s="231">
        <f t="shared" ref="CS249:CS260" si="465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459"/>
        <v>1</v>
      </c>
      <c r="DI249" s="298">
        <f>DI246</f>
        <v>0</v>
      </c>
      <c r="DJ249" s="7">
        <f t="shared" si="460"/>
        <v>-1</v>
      </c>
      <c r="DK249" s="242"/>
      <c r="DL249" s="304">
        <f>DL246</f>
        <v>0</v>
      </c>
      <c r="DM249" s="231">
        <f t="shared" ref="DM249:DM260" si="466">DH249+DK249-DL249</f>
        <v>1</v>
      </c>
    </row>
    <row r="250" spans="1:117" x14ac:dyDescent="0.3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>SUM(M250,AG250,BA250,BU250)-L250</f>
        <v>-12</v>
      </c>
      <c r="K250" s="395">
        <f t="shared" si="453"/>
        <v>-12</v>
      </c>
      <c r="L250" s="29">
        <v>12</v>
      </c>
      <c r="M250" s="298">
        <f>M246</f>
        <v>0</v>
      </c>
      <c r="N250" s="7">
        <f t="shared" si="454"/>
        <v>-12</v>
      </c>
      <c r="O250" s="258"/>
      <c r="P250" s="304">
        <f>P246</f>
        <v>0</v>
      </c>
      <c r="Q250" s="231">
        <f t="shared" si="461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>SUM(M250,AG250)-SUM(O250,AI250)-L250</f>
        <v>-12</v>
      </c>
      <c r="AF250" s="29">
        <f>Q250</f>
        <v>12</v>
      </c>
      <c r="AG250" s="298">
        <f>AG246</f>
        <v>0</v>
      </c>
      <c r="AH250" s="7">
        <f t="shared" si="455"/>
        <v>-12</v>
      </c>
      <c r="AI250" s="258"/>
      <c r="AJ250" s="304">
        <f>AJ246</f>
        <v>0</v>
      </c>
      <c r="AK250" s="231">
        <f t="shared" si="462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>SUM(M250,AG250,BA250)-SUM(O250,AI250,BC250)-L250</f>
        <v>-12</v>
      </c>
      <c r="AZ250" s="29">
        <f>AK250</f>
        <v>12</v>
      </c>
      <c r="BA250" s="298">
        <f>BA246</f>
        <v>0</v>
      </c>
      <c r="BB250" s="7">
        <f t="shared" si="456"/>
        <v>-12</v>
      </c>
      <c r="BC250" s="258"/>
      <c r="BD250" s="304">
        <f>BD246</f>
        <v>0</v>
      </c>
      <c r="BE250" s="231">
        <f t="shared" si="463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>SUM(M250,AG250,BA250,BU250)-SUM(O250,AI250,BC250,BW250)-L250</f>
        <v>-12</v>
      </c>
      <c r="BT250" s="29">
        <f>BE250</f>
        <v>12</v>
      </c>
      <c r="BU250" s="298">
        <f>BU246</f>
        <v>0</v>
      </c>
      <c r="BV250" s="7">
        <f t="shared" si="457"/>
        <v>-12</v>
      </c>
      <c r="BW250" s="258"/>
      <c r="BX250" s="304">
        <f>BX246</f>
        <v>0</v>
      </c>
      <c r="BY250" s="231">
        <f t="shared" si="464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>SUM(M250,AG250,BA250,BU250,CO250)-SUM(O250,AI250,BC250,BW250,CQ250)-L250</f>
        <v>-12</v>
      </c>
      <c r="CN250" s="29">
        <f>BY250</f>
        <v>12</v>
      </c>
      <c r="CO250" s="298">
        <f>CO246</f>
        <v>0</v>
      </c>
      <c r="CP250" s="7">
        <f t="shared" si="458"/>
        <v>-12</v>
      </c>
      <c r="CQ250" s="242"/>
      <c r="CR250" s="304">
        <f>CR246</f>
        <v>0</v>
      </c>
      <c r="CS250" s="231">
        <f t="shared" si="465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459"/>
        <v>12</v>
      </c>
      <c r="DI250" s="298">
        <f>DI246</f>
        <v>0</v>
      </c>
      <c r="DJ250" s="7">
        <f t="shared" si="460"/>
        <v>-12</v>
      </c>
      <c r="DK250" s="242"/>
      <c r="DL250" s="304">
        <f>DL246</f>
        <v>0</v>
      </c>
      <c r="DM250" s="231">
        <f t="shared" si="466"/>
        <v>12</v>
      </c>
    </row>
    <row r="251" spans="1:117" x14ac:dyDescent="0.3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>SUM(M251,AG251,BA251,BU251)-L251</f>
        <v>0</v>
      </c>
      <c r="K251" s="395">
        <f t="shared" si="453"/>
        <v>0</v>
      </c>
      <c r="L251" s="29">
        <v>0</v>
      </c>
      <c r="M251" s="298">
        <f>M246*40</f>
        <v>0</v>
      </c>
      <c r="N251" s="7">
        <f t="shared" si="454"/>
        <v>0</v>
      </c>
      <c r="O251" s="258"/>
      <c r="P251" s="304">
        <f>P246*40</f>
        <v>0</v>
      </c>
      <c r="Q251" s="231">
        <f t="shared" si="461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>SUM(M251,AG251)-SUM(O251,AI251)-L251</f>
        <v>0</v>
      </c>
      <c r="AF251" s="29">
        <f>Q251</f>
        <v>0</v>
      </c>
      <c r="AG251" s="298">
        <f>AG246*40</f>
        <v>0</v>
      </c>
      <c r="AH251" s="7">
        <f t="shared" si="455"/>
        <v>0</v>
      </c>
      <c r="AI251" s="258"/>
      <c r="AJ251" s="304">
        <f>AJ246*40</f>
        <v>0</v>
      </c>
      <c r="AK251" s="231">
        <f t="shared" si="462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>SUM(M251,AG251,BA251)-SUM(O251,AI251,BC251)-L251</f>
        <v>0</v>
      </c>
      <c r="AZ251" s="29">
        <f t="shared" ref="AZ251:AZ254" si="467">AK251</f>
        <v>0</v>
      </c>
      <c r="BA251" s="298">
        <f>BA246*40</f>
        <v>0</v>
      </c>
      <c r="BB251" s="7">
        <f t="shared" si="456"/>
        <v>0</v>
      </c>
      <c r="BC251" s="258"/>
      <c r="BD251" s="304">
        <f>BD246*40</f>
        <v>0</v>
      </c>
      <c r="BE251" s="231">
        <f t="shared" si="463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>SUM(M251,AG251,BA251,BU251)-SUM(O251,AI251,BC251,BW251)-L251</f>
        <v>0</v>
      </c>
      <c r="BT251" s="29">
        <f t="shared" ref="BT251:BT254" si="468">BE251</f>
        <v>0</v>
      </c>
      <c r="BU251" s="298">
        <f>BU246*40</f>
        <v>0</v>
      </c>
      <c r="BV251" s="7">
        <f t="shared" si="457"/>
        <v>0</v>
      </c>
      <c r="BW251" s="258"/>
      <c r="BX251" s="304">
        <f>BX246*40</f>
        <v>0</v>
      </c>
      <c r="BY251" s="231">
        <f t="shared" si="464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>SUM(M251,AG251,BA251,BU251,CO251)-SUM(O251,AI251,BC251,BW251,CQ251)-L251</f>
        <v>0</v>
      </c>
      <c r="CN251" s="29">
        <f t="shared" ref="CN251:CN254" si="469">BY251</f>
        <v>0</v>
      </c>
      <c r="CO251" s="298">
        <f>CO246*40</f>
        <v>0</v>
      </c>
      <c r="CP251" s="7">
        <f t="shared" si="458"/>
        <v>0</v>
      </c>
      <c r="CQ251" s="242"/>
      <c r="CR251" s="304">
        <f>CR246*40</f>
        <v>0</v>
      </c>
      <c r="CS251" s="231">
        <f t="shared" si="465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459"/>
        <v>0</v>
      </c>
      <c r="DI251" s="298">
        <f>DI246*40</f>
        <v>0</v>
      </c>
      <c r="DJ251" s="7">
        <f t="shared" si="460"/>
        <v>0</v>
      </c>
      <c r="DK251" s="242"/>
      <c r="DL251" s="304">
        <f>DL246*40</f>
        <v>0</v>
      </c>
      <c r="DM251" s="231">
        <f t="shared" si="466"/>
        <v>0</v>
      </c>
    </row>
    <row r="252" spans="1:117" x14ac:dyDescent="0.3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>SUM(M252,AG252,BA252,BU252)-L252</f>
        <v>0</v>
      </c>
      <c r="K252" s="395">
        <f t="shared" si="453"/>
        <v>0</v>
      </c>
      <c r="L252" s="29">
        <v>0</v>
      </c>
      <c r="M252" s="5">
        <v>0</v>
      </c>
      <c r="N252" s="7">
        <f t="shared" si="454"/>
        <v>0</v>
      </c>
      <c r="O252" s="258"/>
      <c r="P252" s="242"/>
      <c r="Q252" s="231">
        <f t="shared" si="461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>SUM(M252,AG252)-SUM(O252,AI252)-L252</f>
        <v>0</v>
      </c>
      <c r="AF252" s="29">
        <f>Q252</f>
        <v>0</v>
      </c>
      <c r="AG252" s="5"/>
      <c r="AH252" s="7">
        <f t="shared" si="455"/>
        <v>0</v>
      </c>
      <c r="AI252" s="258"/>
      <c r="AJ252" s="242"/>
      <c r="AK252" s="231">
        <f t="shared" si="462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>SUM(M252,AG252,BA252)-SUM(O252,AI252,BC252)-L252</f>
        <v>0</v>
      </c>
      <c r="AZ252" s="29">
        <f t="shared" si="467"/>
        <v>0</v>
      </c>
      <c r="BA252" s="5">
        <v>0</v>
      </c>
      <c r="BB252" s="7">
        <f t="shared" si="456"/>
        <v>0</v>
      </c>
      <c r="BC252" s="258"/>
      <c r="BD252" s="242"/>
      <c r="BE252" s="231">
        <f t="shared" si="463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>SUM(M252,AG252,BA252,BU252)-SUM(O252,AI252,BC252,BW252)-L252</f>
        <v>0</v>
      </c>
      <c r="BT252" s="29">
        <f t="shared" si="468"/>
        <v>0</v>
      </c>
      <c r="BU252" s="5">
        <v>0</v>
      </c>
      <c r="BV252" s="7">
        <f t="shared" si="457"/>
        <v>0</v>
      </c>
      <c r="BW252" s="258"/>
      <c r="BX252" s="242"/>
      <c r="BY252" s="231">
        <f t="shared" si="464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>SUM(M252,AG252,BA252,BU252,CO252)-SUM(O252,AI252,BC252,BW252,CQ252)-L252</f>
        <v>0</v>
      </c>
      <c r="CN252" s="29">
        <f t="shared" si="469"/>
        <v>0</v>
      </c>
      <c r="CO252" s="5">
        <v>0</v>
      </c>
      <c r="CP252" s="7">
        <f t="shared" si="458"/>
        <v>0</v>
      </c>
      <c r="CQ252" s="242"/>
      <c r="CR252" s="242"/>
      <c r="CS252" s="231">
        <f t="shared" si="465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459"/>
        <v>0</v>
      </c>
      <c r="DI252" s="5">
        <v>0</v>
      </c>
      <c r="DJ252" s="7">
        <f t="shared" si="460"/>
        <v>0</v>
      </c>
      <c r="DK252" s="242"/>
      <c r="DL252" s="242"/>
      <c r="DM252" s="231">
        <f t="shared" si="466"/>
        <v>0</v>
      </c>
    </row>
    <row r="253" spans="1:117" x14ac:dyDescent="0.3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>SUM(M253,AG253,BA253,BU253)-L253</f>
        <v>-1</v>
      </c>
      <c r="K253" s="395">
        <f t="shared" si="453"/>
        <v>-1</v>
      </c>
      <c r="L253" s="29">
        <v>1</v>
      </c>
      <c r="M253" s="5">
        <v>0</v>
      </c>
      <c r="N253" s="7">
        <f t="shared" si="454"/>
        <v>-1</v>
      </c>
      <c r="O253" s="258"/>
      <c r="P253" s="242"/>
      <c r="Q253" s="231">
        <f t="shared" si="461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>SUM(M253,AG253)-SUM(O253,AI253)-L253</f>
        <v>-1</v>
      </c>
      <c r="AF253" s="29">
        <f>Q253</f>
        <v>1</v>
      </c>
      <c r="AG253" s="5">
        <v>0</v>
      </c>
      <c r="AH253" s="7">
        <f t="shared" si="455"/>
        <v>-1</v>
      </c>
      <c r="AI253" s="258"/>
      <c r="AJ253" s="242"/>
      <c r="AK253" s="231">
        <f t="shared" si="462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>SUM(M253,AG253,BA253)-SUM(O253,AI253,BC253)-L253</f>
        <v>-1</v>
      </c>
      <c r="AZ253" s="29">
        <f t="shared" si="467"/>
        <v>1</v>
      </c>
      <c r="BA253" s="5">
        <v>0</v>
      </c>
      <c r="BB253" s="7">
        <f t="shared" si="456"/>
        <v>-1</v>
      </c>
      <c r="BC253" s="258"/>
      <c r="BD253" s="242"/>
      <c r="BE253" s="231">
        <f t="shared" si="463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>SUM(M253,AG253,BA253,BU253)-SUM(O253,AI253,BC253,BW253)-L253</f>
        <v>-1</v>
      </c>
      <c r="BT253" s="29">
        <f t="shared" si="468"/>
        <v>1</v>
      </c>
      <c r="BU253" s="5">
        <v>0</v>
      </c>
      <c r="BV253" s="7">
        <f t="shared" si="457"/>
        <v>-1</v>
      </c>
      <c r="BW253" s="258"/>
      <c r="BX253" s="242"/>
      <c r="BY253" s="231">
        <f t="shared" si="464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>SUM(M253,AG253,BA253,BU253,CO253)-SUM(O253,AI253,BC253,BW253,CQ253)-L253</f>
        <v>-1</v>
      </c>
      <c r="CN253" s="29">
        <f t="shared" si="469"/>
        <v>1</v>
      </c>
      <c r="CO253" s="5">
        <v>0</v>
      </c>
      <c r="CP253" s="7">
        <f t="shared" si="458"/>
        <v>-1</v>
      </c>
      <c r="CQ253" s="242"/>
      <c r="CR253" s="242"/>
      <c r="CS253" s="231">
        <f t="shared" si="465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459"/>
        <v>1</v>
      </c>
      <c r="DI253" s="5">
        <v>0</v>
      </c>
      <c r="DJ253" s="7">
        <f t="shared" si="460"/>
        <v>-1</v>
      </c>
      <c r="DK253" s="242"/>
      <c r="DL253" s="242"/>
      <c r="DM253" s="231">
        <f t="shared" si="466"/>
        <v>1</v>
      </c>
    </row>
    <row r="254" spans="1:117" ht="15" thickBot="1" x14ac:dyDescent="0.35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>SUM(M254,AG254,BA254,BU254)-L254</f>
        <v>0</v>
      </c>
      <c r="K254" s="395">
        <f t="shared" si="453"/>
        <v>0</v>
      </c>
      <c r="L254" s="29">
        <v>0</v>
      </c>
      <c r="M254" s="78"/>
      <c r="N254" s="78">
        <f t="shared" si="454"/>
        <v>0</v>
      </c>
      <c r="O254" s="78"/>
      <c r="P254" s="244"/>
      <c r="Q254" s="231">
        <f t="shared" si="461"/>
        <v>0</v>
      </c>
      <c r="R254" s="129"/>
      <c r="S254" s="130"/>
      <c r="T254" s="79"/>
      <c r="U254" s="735"/>
      <c r="V254" s="129"/>
      <c r="W254" s="130"/>
      <c r="X254" s="79"/>
      <c r="Y254" s="735"/>
      <c r="Z254" s="131"/>
      <c r="AA254" s="130"/>
      <c r="AB254" s="79"/>
      <c r="AC254" s="619"/>
      <c r="AD254" s="619"/>
      <c r="AE254" s="395">
        <f>SUM(M254,AG254)-SUM(O254,AI254)-L254</f>
        <v>0</v>
      </c>
      <c r="AF254" s="29">
        <f>Q254</f>
        <v>0</v>
      </c>
      <c r="AG254" s="78"/>
      <c r="AH254" s="78">
        <f t="shared" si="455"/>
        <v>0</v>
      </c>
      <c r="AI254" s="78"/>
      <c r="AJ254" s="244"/>
      <c r="AK254" s="231">
        <f t="shared" si="462"/>
        <v>0</v>
      </c>
      <c r="AL254" s="129"/>
      <c r="AM254" s="130"/>
      <c r="AN254" s="79"/>
      <c r="AO254" s="735"/>
      <c r="AP254" s="129"/>
      <c r="AQ254" s="130"/>
      <c r="AR254" s="79"/>
      <c r="AS254" s="735"/>
      <c r="AT254" s="131"/>
      <c r="AU254" s="130"/>
      <c r="AV254" s="79"/>
      <c r="AW254" s="619"/>
      <c r="AX254" s="619"/>
      <c r="AY254" s="395">
        <f>SUM(M254,AG254,BA254)-SUM(O254,AI254,BC254)-L254</f>
        <v>0</v>
      </c>
      <c r="AZ254" s="29">
        <f t="shared" si="467"/>
        <v>0</v>
      </c>
      <c r="BA254" s="78"/>
      <c r="BB254" s="78">
        <f t="shared" si="456"/>
        <v>0</v>
      </c>
      <c r="BC254" s="78"/>
      <c r="BD254" s="244"/>
      <c r="BE254" s="231">
        <f t="shared" si="463"/>
        <v>0</v>
      </c>
      <c r="BF254" s="129"/>
      <c r="BG254" s="130"/>
      <c r="BH254" s="79"/>
      <c r="BI254" s="735"/>
      <c r="BJ254" s="129"/>
      <c r="BK254" s="130"/>
      <c r="BL254" s="79"/>
      <c r="BM254" s="735"/>
      <c r="BN254" s="131"/>
      <c r="BO254" s="130"/>
      <c r="BP254" s="79"/>
      <c r="BQ254" s="619"/>
      <c r="BR254" s="619"/>
      <c r="BS254" s="395">
        <f>SUM(M254,AG254,BA254,BU254)-SUM(O254,AI254,BC254,BW254)-L254</f>
        <v>0</v>
      </c>
      <c r="BT254" s="29">
        <f t="shared" si="468"/>
        <v>0</v>
      </c>
      <c r="BU254" s="78"/>
      <c r="BV254" s="78">
        <f t="shared" si="457"/>
        <v>0</v>
      </c>
      <c r="BW254" s="78"/>
      <c r="BX254" s="244"/>
      <c r="BY254" s="231">
        <f t="shared" si="464"/>
        <v>0</v>
      </c>
      <c r="BZ254" s="129"/>
      <c r="CA254" s="130"/>
      <c r="CB254" s="79"/>
      <c r="CC254" s="735"/>
      <c r="CD254" s="129"/>
      <c r="CE254" s="130"/>
      <c r="CF254" s="79"/>
      <c r="CG254" s="735"/>
      <c r="CH254" s="131"/>
      <c r="CI254" s="130"/>
      <c r="CJ254" s="79"/>
      <c r="CK254" s="619"/>
      <c r="CL254" s="619"/>
      <c r="CM254" s="395">
        <f>SUM(M254,AG254,BA254,BU254,CO254)-SUM(O254,AI254,BC254,BW254,CQ254)-L254</f>
        <v>0</v>
      </c>
      <c r="CN254" s="29">
        <f t="shared" si="469"/>
        <v>0</v>
      </c>
      <c r="CO254" s="78"/>
      <c r="CP254" s="78">
        <f t="shared" si="458"/>
        <v>0</v>
      </c>
      <c r="CQ254" s="78"/>
      <c r="CR254" s="244"/>
      <c r="CS254" s="231">
        <f t="shared" si="465"/>
        <v>0</v>
      </c>
      <c r="CT254" s="129"/>
      <c r="CU254" s="130"/>
      <c r="CV254" s="79"/>
      <c r="CW254" s="735"/>
      <c r="CX254" s="129"/>
      <c r="CY254" s="130"/>
      <c r="CZ254" s="79"/>
      <c r="DA254" s="735"/>
      <c r="DB254" s="131"/>
      <c r="DC254" s="130"/>
      <c r="DD254" s="79"/>
      <c r="DE254" s="619"/>
      <c r="DF254" s="619"/>
      <c r="DG254" s="395"/>
      <c r="DH254" s="29">
        <f t="shared" si="459"/>
        <v>0</v>
      </c>
      <c r="DI254" s="78"/>
      <c r="DJ254" s="78">
        <f t="shared" si="460"/>
        <v>0</v>
      </c>
      <c r="DK254" s="78"/>
      <c r="DL254" s="244"/>
      <c r="DM254" s="231">
        <f t="shared" si="466"/>
        <v>0</v>
      </c>
    </row>
    <row r="255" spans="1:117" x14ac:dyDescent="0.3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454"/>
        <v>0</v>
      </c>
      <c r="O255" s="56"/>
      <c r="P255" s="377">
        <f>P246</f>
        <v>0</v>
      </c>
      <c r="Q255" s="219">
        <f t="shared" si="461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>Q255</f>
        <v>0</v>
      </c>
      <c r="AG255" s="306">
        <f>AG246</f>
        <v>0</v>
      </c>
      <c r="AH255" s="56">
        <f t="shared" si="455"/>
        <v>0</v>
      </c>
      <c r="AI255" s="56"/>
      <c r="AJ255" s="377">
        <f>AJ246</f>
        <v>0</v>
      </c>
      <c r="AK255" s="219">
        <f t="shared" si="462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456"/>
        <v>0</v>
      </c>
      <c r="BC255" s="56"/>
      <c r="BD255" s="377">
        <f>BD246</f>
        <v>0</v>
      </c>
      <c r="BE255" s="219">
        <f t="shared" si="463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457"/>
        <v>0</v>
      </c>
      <c r="BW255" s="56"/>
      <c r="BX255" s="377">
        <f>BX246</f>
        <v>0</v>
      </c>
      <c r="BY255" s="219">
        <f t="shared" si="464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458"/>
        <v>0</v>
      </c>
      <c r="CQ255" s="56">
        <v>0</v>
      </c>
      <c r="CR255" s="377">
        <f>CR246</f>
        <v>0</v>
      </c>
      <c r="CS255" s="230">
        <f t="shared" si="465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460"/>
        <v>0</v>
      </c>
      <c r="DK255" s="56">
        <v>0</v>
      </c>
      <c r="DL255" s="377">
        <f>DL246</f>
        <v>0</v>
      </c>
      <c r="DM255" s="230">
        <f t="shared" si="466"/>
        <v>0</v>
      </c>
    </row>
    <row r="256" spans="1:117" x14ac:dyDescent="0.3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453"/>
        <v>0</v>
      </c>
      <c r="L256" s="32">
        <v>0</v>
      </c>
      <c r="M256" s="302">
        <f>M255</f>
        <v>0</v>
      </c>
      <c r="N256" s="5">
        <f t="shared" si="454"/>
        <v>0</v>
      </c>
      <c r="O256" s="256"/>
      <c r="P256" s="240"/>
      <c r="Q256" s="231">
        <f t="shared" si="461"/>
        <v>0</v>
      </c>
      <c r="R256" s="123"/>
      <c r="S256" s="8"/>
      <c r="T256" s="34"/>
      <c r="U256" s="736"/>
      <c r="V256" s="123"/>
      <c r="W256" s="8"/>
      <c r="X256" s="34"/>
      <c r="Y256" s="736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>Q256</f>
        <v>0</v>
      </c>
      <c r="AG256" s="302">
        <f>AG255</f>
        <v>0</v>
      </c>
      <c r="AH256" s="5">
        <f t="shared" si="455"/>
        <v>0</v>
      </c>
      <c r="AI256" s="256"/>
      <c r="AJ256" s="240"/>
      <c r="AK256" s="231">
        <f t="shared" si="462"/>
        <v>0</v>
      </c>
      <c r="AL256" s="123"/>
      <c r="AM256" s="8"/>
      <c r="AN256" s="34"/>
      <c r="AO256" s="736"/>
      <c r="AP256" s="123"/>
      <c r="AQ256" s="8"/>
      <c r="AR256" s="34"/>
      <c r="AS256" s="736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456"/>
        <v>0</v>
      </c>
      <c r="BC256" s="256"/>
      <c r="BD256" s="240"/>
      <c r="BE256" s="231">
        <f t="shared" si="463"/>
        <v>0</v>
      </c>
      <c r="BF256" s="123"/>
      <c r="BG256" s="8"/>
      <c r="BH256" s="34"/>
      <c r="BI256" s="736"/>
      <c r="BJ256" s="123"/>
      <c r="BK256" s="8"/>
      <c r="BL256" s="34"/>
      <c r="BM256" s="736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457"/>
        <v>0</v>
      </c>
      <c r="BW256" s="256"/>
      <c r="BX256" s="240"/>
      <c r="BY256" s="231">
        <f t="shared" si="464"/>
        <v>0</v>
      </c>
      <c r="BZ256" s="123"/>
      <c r="CA256" s="8"/>
      <c r="CB256" s="34"/>
      <c r="CC256" s="736"/>
      <c r="CD256" s="123"/>
      <c r="CE256" s="8"/>
      <c r="CF256" s="34"/>
      <c r="CG256" s="736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458"/>
        <v>0</v>
      </c>
      <c r="CQ256" s="258"/>
      <c r="CR256" s="242"/>
      <c r="CS256" s="234">
        <f t="shared" si="465"/>
        <v>0</v>
      </c>
      <c r="CT256" s="123"/>
      <c r="CU256" s="8"/>
      <c r="CV256" s="34"/>
      <c r="CW256" s="736"/>
      <c r="CX256" s="123"/>
      <c r="CY256" s="8"/>
      <c r="CZ256" s="34"/>
      <c r="DA256" s="736"/>
      <c r="DB256" s="20"/>
      <c r="DC256" s="8"/>
      <c r="DD256" s="34"/>
      <c r="DE256" s="234"/>
      <c r="DF256" s="234"/>
      <c r="DG256" s="395"/>
      <c r="DH256" s="32">
        <f t="shared" si="459"/>
        <v>0</v>
      </c>
      <c r="DI256" s="302">
        <f>DI255</f>
        <v>0</v>
      </c>
      <c r="DJ256" s="7">
        <f t="shared" si="460"/>
        <v>0</v>
      </c>
      <c r="DK256" s="258"/>
      <c r="DL256" s="242"/>
      <c r="DM256" s="234">
        <f t="shared" si="466"/>
        <v>0</v>
      </c>
    </row>
    <row r="257" spans="1:117" x14ac:dyDescent="0.3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453"/>
        <v>0</v>
      </c>
      <c r="L257" s="32">
        <v>0</v>
      </c>
      <c r="M257" s="302">
        <f>M255</f>
        <v>0</v>
      </c>
      <c r="N257" s="5">
        <f t="shared" si="454"/>
        <v>0</v>
      </c>
      <c r="O257" s="256"/>
      <c r="P257" s="303">
        <f>P255</f>
        <v>0</v>
      </c>
      <c r="Q257" s="231">
        <f t="shared" si="461"/>
        <v>0</v>
      </c>
      <c r="R257" s="123"/>
      <c r="S257" s="8"/>
      <c r="T257" s="34"/>
      <c r="U257" s="736"/>
      <c r="V257" s="123"/>
      <c r="W257" s="8"/>
      <c r="X257" s="34"/>
      <c r="Y257" s="736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>Q257</f>
        <v>0</v>
      </c>
      <c r="AG257" s="302">
        <f>AG255</f>
        <v>0</v>
      </c>
      <c r="AH257" s="5">
        <f t="shared" si="455"/>
        <v>0</v>
      </c>
      <c r="AI257" s="256"/>
      <c r="AJ257" s="303">
        <f>AJ255</f>
        <v>0</v>
      </c>
      <c r="AK257" s="231">
        <f t="shared" si="462"/>
        <v>0</v>
      </c>
      <c r="AL257" s="123"/>
      <c r="AM257" s="8"/>
      <c r="AN257" s="34"/>
      <c r="AO257" s="736"/>
      <c r="AP257" s="123"/>
      <c r="AQ257" s="8"/>
      <c r="AR257" s="34"/>
      <c r="AS257" s="736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470">AK257</f>
        <v>0</v>
      </c>
      <c r="BA257" s="302">
        <f>BA255</f>
        <v>0</v>
      </c>
      <c r="BB257" s="5">
        <f t="shared" si="456"/>
        <v>0</v>
      </c>
      <c r="BC257" s="256"/>
      <c r="BD257" s="303">
        <f>BD255</f>
        <v>0</v>
      </c>
      <c r="BE257" s="231">
        <f t="shared" si="463"/>
        <v>0</v>
      </c>
      <c r="BF257" s="123"/>
      <c r="BG257" s="8"/>
      <c r="BH257" s="34"/>
      <c r="BI257" s="736"/>
      <c r="BJ257" s="123"/>
      <c r="BK257" s="8"/>
      <c r="BL257" s="34"/>
      <c r="BM257" s="736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471">BE257</f>
        <v>0</v>
      </c>
      <c r="BU257" s="302">
        <f>BU255</f>
        <v>0</v>
      </c>
      <c r="BV257" s="5">
        <f t="shared" si="457"/>
        <v>0</v>
      </c>
      <c r="BW257" s="256"/>
      <c r="BX257" s="303">
        <f>BX255</f>
        <v>0</v>
      </c>
      <c r="BY257" s="231">
        <f t="shared" si="464"/>
        <v>0</v>
      </c>
      <c r="BZ257" s="123"/>
      <c r="CA257" s="8"/>
      <c r="CB257" s="34"/>
      <c r="CC257" s="736"/>
      <c r="CD257" s="123"/>
      <c r="CE257" s="8"/>
      <c r="CF257" s="34"/>
      <c r="CG257" s="736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472">BY257</f>
        <v>0</v>
      </c>
      <c r="CO257" s="302">
        <f>CO255</f>
        <v>0</v>
      </c>
      <c r="CP257" s="5">
        <f t="shared" si="458"/>
        <v>0</v>
      </c>
      <c r="CQ257" s="240"/>
      <c r="CR257" s="303">
        <f>CR255</f>
        <v>0</v>
      </c>
      <c r="CS257" s="231">
        <f t="shared" si="465"/>
        <v>0</v>
      </c>
      <c r="CT257" s="123"/>
      <c r="CU257" s="8"/>
      <c r="CV257" s="34"/>
      <c r="CW257" s="736"/>
      <c r="CX257" s="123"/>
      <c r="CY257" s="8"/>
      <c r="CZ257" s="34"/>
      <c r="DA257" s="736"/>
      <c r="DB257" s="20"/>
      <c r="DC257" s="8"/>
      <c r="DD257" s="34"/>
      <c r="DE257" s="234"/>
      <c r="DF257" s="234"/>
      <c r="DG257" s="395"/>
      <c r="DH257" s="29">
        <f t="shared" si="459"/>
        <v>0</v>
      </c>
      <c r="DI257" s="302">
        <f>DI255</f>
        <v>0</v>
      </c>
      <c r="DJ257" s="5">
        <f t="shared" si="460"/>
        <v>0</v>
      </c>
      <c r="DK257" s="240"/>
      <c r="DL257" s="303">
        <f>DL255</f>
        <v>0</v>
      </c>
      <c r="DM257" s="231">
        <f t="shared" si="466"/>
        <v>0</v>
      </c>
    </row>
    <row r="258" spans="1:117" x14ac:dyDescent="0.3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453"/>
        <v>0</v>
      </c>
      <c r="L258" s="32">
        <v>0</v>
      </c>
      <c r="M258" s="302">
        <f>M255</f>
        <v>0</v>
      </c>
      <c r="N258" s="5">
        <f t="shared" si="454"/>
        <v>0</v>
      </c>
      <c r="O258" s="256"/>
      <c r="P258" s="303">
        <f>P255</f>
        <v>0</v>
      </c>
      <c r="Q258" s="231">
        <f t="shared" si="461"/>
        <v>0</v>
      </c>
      <c r="R258" s="123"/>
      <c r="S258" s="8"/>
      <c r="T258" s="34"/>
      <c r="U258" s="736"/>
      <c r="V258" s="123"/>
      <c r="W258" s="8"/>
      <c r="X258" s="34"/>
      <c r="Y258" s="736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>Q258</f>
        <v>0</v>
      </c>
      <c r="AG258" s="302">
        <f>AG255</f>
        <v>0</v>
      </c>
      <c r="AH258" s="5">
        <f t="shared" si="455"/>
        <v>0</v>
      </c>
      <c r="AI258" s="256"/>
      <c r="AJ258" s="303">
        <f>AJ255</f>
        <v>0</v>
      </c>
      <c r="AK258" s="231">
        <f t="shared" si="462"/>
        <v>0</v>
      </c>
      <c r="AL258" s="123"/>
      <c r="AM258" s="8"/>
      <c r="AN258" s="34"/>
      <c r="AO258" s="736"/>
      <c r="AP258" s="123"/>
      <c r="AQ258" s="8"/>
      <c r="AR258" s="34"/>
      <c r="AS258" s="736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470"/>
        <v>0</v>
      </c>
      <c r="BA258" s="302">
        <f>BA255</f>
        <v>0</v>
      </c>
      <c r="BB258" s="5">
        <f t="shared" si="456"/>
        <v>0</v>
      </c>
      <c r="BC258" s="256"/>
      <c r="BD258" s="303">
        <f>BD255</f>
        <v>0</v>
      </c>
      <c r="BE258" s="231">
        <f t="shared" si="463"/>
        <v>0</v>
      </c>
      <c r="BF258" s="123"/>
      <c r="BG258" s="8"/>
      <c r="BH258" s="34"/>
      <c r="BI258" s="736"/>
      <c r="BJ258" s="123"/>
      <c r="BK258" s="8"/>
      <c r="BL258" s="34"/>
      <c r="BM258" s="736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471"/>
        <v>0</v>
      </c>
      <c r="BU258" s="302">
        <f>BU255</f>
        <v>0</v>
      </c>
      <c r="BV258" s="5">
        <f t="shared" si="457"/>
        <v>0</v>
      </c>
      <c r="BW258" s="256"/>
      <c r="BX258" s="303">
        <f>BX255</f>
        <v>0</v>
      </c>
      <c r="BY258" s="231">
        <f t="shared" si="464"/>
        <v>0</v>
      </c>
      <c r="BZ258" s="123"/>
      <c r="CA258" s="8"/>
      <c r="CB258" s="34"/>
      <c r="CC258" s="736"/>
      <c r="CD258" s="123"/>
      <c r="CE258" s="8"/>
      <c r="CF258" s="34"/>
      <c r="CG258" s="736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472"/>
        <v>0</v>
      </c>
      <c r="CO258" s="302">
        <f>CO255</f>
        <v>0</v>
      </c>
      <c r="CP258" s="5">
        <f t="shared" si="458"/>
        <v>0</v>
      </c>
      <c r="CQ258" s="240"/>
      <c r="CR258" s="303">
        <f>CR255</f>
        <v>0</v>
      </c>
      <c r="CS258" s="231">
        <f t="shared" si="465"/>
        <v>0</v>
      </c>
      <c r="CT258" s="123"/>
      <c r="CU258" s="8"/>
      <c r="CV258" s="34"/>
      <c r="CW258" s="736"/>
      <c r="CX258" s="123"/>
      <c r="CY258" s="8"/>
      <c r="CZ258" s="34"/>
      <c r="DA258" s="736"/>
      <c r="DB258" s="20"/>
      <c r="DC258" s="8"/>
      <c r="DD258" s="34"/>
      <c r="DE258" s="234"/>
      <c r="DF258" s="234"/>
      <c r="DG258" s="395"/>
      <c r="DH258" s="29">
        <f t="shared" si="459"/>
        <v>0</v>
      </c>
      <c r="DI258" s="302">
        <f>DI255</f>
        <v>0</v>
      </c>
      <c r="DJ258" s="5">
        <f t="shared" si="460"/>
        <v>0</v>
      </c>
      <c r="DK258" s="240"/>
      <c r="DL258" s="303">
        <f>DL255</f>
        <v>0</v>
      </c>
      <c r="DM258" s="231">
        <f t="shared" si="466"/>
        <v>0</v>
      </c>
    </row>
    <row r="259" spans="1:117" x14ac:dyDescent="0.3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453"/>
        <v>-14</v>
      </c>
      <c r="L259" s="32">
        <v>14</v>
      </c>
      <c r="M259" s="302">
        <f>M255</f>
        <v>0</v>
      </c>
      <c r="N259" s="5">
        <f t="shared" si="454"/>
        <v>-14</v>
      </c>
      <c r="O259" s="256"/>
      <c r="P259" s="303">
        <f>P255</f>
        <v>0</v>
      </c>
      <c r="Q259" s="231">
        <f t="shared" si="461"/>
        <v>14</v>
      </c>
      <c r="R259" s="123"/>
      <c r="S259" s="8"/>
      <c r="T259" s="34"/>
      <c r="U259" s="736"/>
      <c r="V259" s="123"/>
      <c r="W259" s="8"/>
      <c r="X259" s="34"/>
      <c r="Y259" s="736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>Q259</f>
        <v>14</v>
      </c>
      <c r="AG259" s="302">
        <f>AG255</f>
        <v>0</v>
      </c>
      <c r="AH259" s="5">
        <f t="shared" si="455"/>
        <v>-14</v>
      </c>
      <c r="AI259" s="256"/>
      <c r="AJ259" s="303">
        <f>AJ255</f>
        <v>0</v>
      </c>
      <c r="AK259" s="231">
        <f t="shared" si="462"/>
        <v>14</v>
      </c>
      <c r="AL259" s="123"/>
      <c r="AM259" s="8"/>
      <c r="AN259" s="34"/>
      <c r="AO259" s="736"/>
      <c r="AP259" s="123"/>
      <c r="AQ259" s="8"/>
      <c r="AR259" s="34"/>
      <c r="AS259" s="736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470"/>
        <v>14</v>
      </c>
      <c r="BA259" s="302">
        <f>BA255</f>
        <v>0</v>
      </c>
      <c r="BB259" s="5">
        <f t="shared" si="456"/>
        <v>-14</v>
      </c>
      <c r="BC259" s="256"/>
      <c r="BD259" s="303">
        <f>BD255</f>
        <v>0</v>
      </c>
      <c r="BE259" s="231">
        <f t="shared" si="463"/>
        <v>14</v>
      </c>
      <c r="BF259" s="123"/>
      <c r="BG259" s="8"/>
      <c r="BH259" s="34"/>
      <c r="BI259" s="736"/>
      <c r="BJ259" s="123"/>
      <c r="BK259" s="8"/>
      <c r="BL259" s="34"/>
      <c r="BM259" s="736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471"/>
        <v>14</v>
      </c>
      <c r="BU259" s="302">
        <f>BU255</f>
        <v>0</v>
      </c>
      <c r="BV259" s="5">
        <f t="shared" si="457"/>
        <v>-14</v>
      </c>
      <c r="BW259" s="256"/>
      <c r="BX259" s="303">
        <f>BX255</f>
        <v>0</v>
      </c>
      <c r="BY259" s="231">
        <f t="shared" si="464"/>
        <v>14</v>
      </c>
      <c r="BZ259" s="123"/>
      <c r="CA259" s="8"/>
      <c r="CB259" s="34"/>
      <c r="CC259" s="736"/>
      <c r="CD259" s="123"/>
      <c r="CE259" s="8"/>
      <c r="CF259" s="34"/>
      <c r="CG259" s="736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472"/>
        <v>14</v>
      </c>
      <c r="CO259" s="302">
        <f>CO255</f>
        <v>0</v>
      </c>
      <c r="CP259" s="5">
        <f t="shared" si="458"/>
        <v>-14</v>
      </c>
      <c r="CQ259" s="240"/>
      <c r="CR259" s="303">
        <f>CR255</f>
        <v>0</v>
      </c>
      <c r="CS259" s="231">
        <f t="shared" si="465"/>
        <v>14</v>
      </c>
      <c r="CT259" s="123"/>
      <c r="CU259" s="8"/>
      <c r="CV259" s="34"/>
      <c r="CW259" s="736"/>
      <c r="CX259" s="123"/>
      <c r="CY259" s="8"/>
      <c r="CZ259" s="34"/>
      <c r="DA259" s="736"/>
      <c r="DB259" s="20"/>
      <c r="DC259" s="8"/>
      <c r="DD259" s="34"/>
      <c r="DE259" s="234"/>
      <c r="DF259" s="234"/>
      <c r="DG259" s="395"/>
      <c r="DH259" s="29">
        <f t="shared" si="459"/>
        <v>14</v>
      </c>
      <c r="DI259" s="302">
        <f>DI255</f>
        <v>0</v>
      </c>
      <c r="DJ259" s="5">
        <f t="shared" si="460"/>
        <v>-14</v>
      </c>
      <c r="DK259" s="240"/>
      <c r="DL259" s="303">
        <f>DL255</f>
        <v>0</v>
      </c>
      <c r="DM259" s="231">
        <f t="shared" si="466"/>
        <v>14</v>
      </c>
    </row>
    <row r="260" spans="1:117" ht="15" thickBot="1" x14ac:dyDescent="0.35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453"/>
        <v>0</v>
      </c>
      <c r="L260" s="32">
        <v>0</v>
      </c>
      <c r="M260" s="7"/>
      <c r="N260" s="5">
        <f t="shared" si="454"/>
        <v>0</v>
      </c>
      <c r="O260" s="256"/>
      <c r="P260" s="240"/>
      <c r="Q260" s="231">
        <f t="shared" si="461"/>
        <v>0</v>
      </c>
      <c r="R260" s="123"/>
      <c r="S260" s="8"/>
      <c r="T260" s="34"/>
      <c r="U260" s="736"/>
      <c r="V260" s="123"/>
      <c r="W260" s="8"/>
      <c r="X260" s="34"/>
      <c r="Y260" s="736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>Q260</f>
        <v>0</v>
      </c>
      <c r="AG260" s="7"/>
      <c r="AH260" s="5">
        <f t="shared" si="455"/>
        <v>0</v>
      </c>
      <c r="AI260" s="256"/>
      <c r="AJ260" s="240"/>
      <c r="AK260" s="231">
        <f t="shared" si="462"/>
        <v>0</v>
      </c>
      <c r="AL260" s="123"/>
      <c r="AM260" s="8"/>
      <c r="AN260" s="34"/>
      <c r="AO260" s="736"/>
      <c r="AP260" s="123"/>
      <c r="AQ260" s="8"/>
      <c r="AR260" s="34"/>
      <c r="AS260" s="736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470"/>
        <v>0</v>
      </c>
      <c r="BA260" s="7"/>
      <c r="BB260" s="5">
        <f t="shared" si="456"/>
        <v>0</v>
      </c>
      <c r="BC260" s="256"/>
      <c r="BD260" s="240"/>
      <c r="BE260" s="231">
        <f t="shared" si="463"/>
        <v>0</v>
      </c>
      <c r="BF260" s="123"/>
      <c r="BG260" s="8"/>
      <c r="BH260" s="34"/>
      <c r="BI260" s="736"/>
      <c r="BJ260" s="123"/>
      <c r="BK260" s="8"/>
      <c r="BL260" s="34"/>
      <c r="BM260" s="736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471"/>
        <v>0</v>
      </c>
      <c r="BU260" s="7"/>
      <c r="BV260" s="5">
        <f t="shared" si="457"/>
        <v>0</v>
      </c>
      <c r="BW260" s="256"/>
      <c r="BX260" s="240"/>
      <c r="BY260" s="231">
        <f t="shared" si="464"/>
        <v>0</v>
      </c>
      <c r="BZ260" s="123"/>
      <c r="CA260" s="8"/>
      <c r="CB260" s="34"/>
      <c r="CC260" s="736"/>
      <c r="CD260" s="123"/>
      <c r="CE260" s="8"/>
      <c r="CF260" s="34"/>
      <c r="CG260" s="736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472"/>
        <v>0</v>
      </c>
      <c r="CO260" s="7"/>
      <c r="CP260" s="5">
        <f t="shared" si="458"/>
        <v>0</v>
      </c>
      <c r="CQ260" s="256"/>
      <c r="CR260" s="240"/>
      <c r="CS260" s="231">
        <f t="shared" si="465"/>
        <v>0</v>
      </c>
      <c r="CT260" s="123"/>
      <c r="CU260" s="8"/>
      <c r="CV260" s="34"/>
      <c r="CW260" s="736"/>
      <c r="CX260" s="123"/>
      <c r="CY260" s="8"/>
      <c r="CZ260" s="34"/>
      <c r="DA260" s="736"/>
      <c r="DB260" s="20"/>
      <c r="DC260" s="8"/>
      <c r="DD260" s="34"/>
      <c r="DE260" s="619"/>
      <c r="DF260" s="619"/>
      <c r="DG260" s="396"/>
      <c r="DH260" s="29">
        <f t="shared" si="459"/>
        <v>0</v>
      </c>
      <c r="DI260" s="7"/>
      <c r="DJ260" s="5">
        <f t="shared" si="460"/>
        <v>0</v>
      </c>
      <c r="DK260" s="256"/>
      <c r="DL260" s="240"/>
      <c r="DM260" s="231">
        <f t="shared" si="466"/>
        <v>0</v>
      </c>
    </row>
    <row r="261" spans="1:117" ht="28.8" x14ac:dyDescent="0.3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3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45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36"/>
      <c r="V262" s="123"/>
      <c r="W262" s="8"/>
      <c r="X262" s="34"/>
      <c r="Y262" s="736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36"/>
      <c r="AP262" s="123"/>
      <c r="AQ262" s="8"/>
      <c r="AR262" s="34"/>
      <c r="AS262" s="736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36"/>
      <c r="BJ262" s="123"/>
      <c r="BK262" s="8"/>
      <c r="BL262" s="34"/>
      <c r="BM262" s="736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36"/>
      <c r="CD262" s="123"/>
      <c r="CE262" s="8"/>
      <c r="CF262" s="34"/>
      <c r="CG262" s="736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36"/>
      <c r="CX262" s="123"/>
      <c r="CY262" s="8"/>
      <c r="CZ262" s="34"/>
      <c r="DA262" s="736"/>
      <c r="DB262" s="20"/>
      <c r="DC262" s="8"/>
      <c r="DD262" s="34"/>
      <c r="DE262" s="234"/>
      <c r="DF262" s="234"/>
      <c r="DG262" s="395"/>
      <c r="DH262" s="32">
        <f t="shared" si="459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3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45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459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" thickBot="1" x14ac:dyDescent="0.35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45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459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" thickBot="1" x14ac:dyDescent="0.35">
      <c r="P265" s="248"/>
      <c r="AJ265" s="248"/>
      <c r="BD265" s="248"/>
      <c r="BX265" s="248"/>
      <c r="CR265" s="248"/>
      <c r="DL265" s="248"/>
    </row>
    <row r="266" spans="1:117" ht="15" thickBot="1" x14ac:dyDescent="0.35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3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473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474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3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473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36"/>
      <c r="V268" s="123"/>
      <c r="W268" s="8"/>
      <c r="X268" s="34"/>
      <c r="Y268" s="736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36"/>
      <c r="AP268" s="123"/>
      <c r="AQ268" s="8"/>
      <c r="AR268" s="34"/>
      <c r="AS268" s="736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36"/>
      <c r="BJ268" s="123"/>
      <c r="BK268" s="8"/>
      <c r="BL268" s="34"/>
      <c r="BM268" s="736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36"/>
      <c r="CD268" s="123"/>
      <c r="CE268" s="8"/>
      <c r="CF268" s="34"/>
      <c r="CG268" s="736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36"/>
      <c r="CX268" s="123"/>
      <c r="CY268" s="8"/>
      <c r="CZ268" s="34"/>
      <c r="DA268" s="736"/>
      <c r="DB268" s="123"/>
      <c r="DC268" s="8"/>
      <c r="DD268" s="34"/>
      <c r="DE268" s="234"/>
      <c r="DF268" s="234"/>
      <c r="DG268" s="395"/>
      <c r="DH268" s="29">
        <f t="shared" si="474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3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473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36"/>
      <c r="V269" s="123"/>
      <c r="W269" s="8"/>
      <c r="X269" s="34"/>
      <c r="Y269" s="736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36"/>
      <c r="AP269" s="123"/>
      <c r="AQ269" s="8"/>
      <c r="AR269" s="34"/>
      <c r="AS269" s="736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36"/>
      <c r="BJ269" s="123"/>
      <c r="BK269" s="8"/>
      <c r="BL269" s="34"/>
      <c r="BM269" s="736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36"/>
      <c r="CD269" s="123"/>
      <c r="CE269" s="8"/>
      <c r="CF269" s="34"/>
      <c r="CG269" s="736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36"/>
      <c r="CX269" s="123"/>
      <c r="CY269" s="8"/>
      <c r="CZ269" s="34"/>
      <c r="DA269" s="736"/>
      <c r="DB269" s="123"/>
      <c r="DC269" s="8"/>
      <c r="DD269" s="34"/>
      <c r="DE269" s="234"/>
      <c r="DF269" s="234"/>
      <c r="DG269" s="395"/>
      <c r="DH269" s="29">
        <f t="shared" si="474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" thickBot="1" x14ac:dyDescent="0.35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38"/>
      <c r="V270" s="126"/>
      <c r="W270" s="127"/>
      <c r="X270" s="66"/>
      <c r="Y270" s="738"/>
      <c r="Z270" s="126"/>
      <c r="AA270" s="127"/>
      <c r="AB270" s="66"/>
      <c r="AC270" s="738"/>
      <c r="AD270" s="738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38"/>
      <c r="AP270" s="126"/>
      <c r="AQ270" s="127"/>
      <c r="AR270" s="66"/>
      <c r="AS270" s="738"/>
      <c r="AT270" s="126"/>
      <c r="AU270" s="127"/>
      <c r="AV270" s="66"/>
      <c r="AW270" s="738"/>
      <c r="AX270" s="738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38"/>
      <c r="BJ270" s="126"/>
      <c r="BK270" s="127"/>
      <c r="BL270" s="66"/>
      <c r="BM270" s="738"/>
      <c r="BN270" s="126"/>
      <c r="BO270" s="127"/>
      <c r="BP270" s="66"/>
      <c r="BQ270" s="738"/>
      <c r="BR270" s="738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38"/>
      <c r="CD270" s="126"/>
      <c r="CE270" s="127"/>
      <c r="CF270" s="66"/>
      <c r="CG270" s="738"/>
      <c r="CH270" s="126"/>
      <c r="CI270" s="127"/>
      <c r="CJ270" s="66"/>
      <c r="CK270" s="738"/>
      <c r="CL270" s="738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38"/>
      <c r="CX270" s="126"/>
      <c r="CY270" s="127"/>
      <c r="CZ270" s="66"/>
      <c r="DA270" s="738"/>
      <c r="DB270" s="126"/>
      <c r="DC270" s="127"/>
      <c r="DD270" s="66"/>
      <c r="DE270" s="738"/>
      <c r="DF270" s="738"/>
      <c r="DG270" s="311"/>
      <c r="DH270" s="30"/>
      <c r="DI270" s="65"/>
      <c r="DJ270" s="65"/>
      <c r="DK270" s="286"/>
      <c r="DL270" s="250"/>
      <c r="DM270" s="232"/>
    </row>
    <row r="271" spans="1:117" ht="15" thickBot="1" x14ac:dyDescent="0.35">
      <c r="P271" s="248"/>
      <c r="AJ271" s="248"/>
      <c r="BD271" s="248"/>
      <c r="BX271" s="248"/>
      <c r="CR271" s="248"/>
      <c r="DL271" s="248"/>
    </row>
    <row r="272" spans="1:117" ht="15" thickBot="1" x14ac:dyDescent="0.35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61"/>
      <c r="AD272" s="761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61"/>
      <c r="AX272" s="761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61"/>
      <c r="BR272" s="761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61"/>
      <c r="CL272" s="761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61"/>
      <c r="DF272" s="761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" thickBot="1" x14ac:dyDescent="0.35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61"/>
      <c r="AD273" s="761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61"/>
      <c r="AX273" s="761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61"/>
      <c r="BR273" s="761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61"/>
      <c r="CL273" s="761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61"/>
      <c r="DF273" s="761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" thickBot="1" x14ac:dyDescent="0.35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61"/>
      <c r="AD274" s="761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61"/>
      <c r="AX274" s="761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61"/>
      <c r="BR274" s="761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61"/>
      <c r="CL274" s="761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61"/>
      <c r="DF274" s="761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" customHeight="1" thickBot="1" x14ac:dyDescent="0.35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61"/>
      <c r="AD275" s="761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3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475">M276-L276</f>
        <v>0</v>
      </c>
      <c r="O276" s="258"/>
      <c r="P276" s="242"/>
      <c r="Q276" s="231">
        <f t="shared" ref="Q276:Q288" si="476">L276+O276-P276</f>
        <v>0</v>
      </c>
      <c r="R276" s="123"/>
      <c r="S276" s="8"/>
      <c r="T276" s="34"/>
      <c r="U276" s="736"/>
      <c r="V276" s="123"/>
      <c r="W276" s="8"/>
      <c r="X276" s="34"/>
      <c r="Y276" s="736"/>
      <c r="Z276" s="20"/>
      <c r="AA276" s="8"/>
      <c r="AB276" s="34"/>
      <c r="AC276" s="736"/>
      <c r="AD276" s="736"/>
      <c r="AE276" s="24"/>
      <c r="AF276" s="29"/>
      <c r="AG276" s="7"/>
      <c r="AH276" s="7">
        <f t="shared" ref="AH276:AH288" si="477">AG276-AF276</f>
        <v>0</v>
      </c>
      <c r="AI276" s="258"/>
      <c r="AJ276" s="242"/>
      <c r="AK276" s="231">
        <f t="shared" ref="AK276:AK288" si="478">AF276+AI276-AJ276</f>
        <v>0</v>
      </c>
      <c r="AL276" s="123"/>
      <c r="AM276" s="8"/>
      <c r="AN276" s="34"/>
      <c r="AO276" s="736"/>
      <c r="AP276" s="123"/>
      <c r="AQ276" s="8"/>
      <c r="AR276" s="34"/>
      <c r="AS276" s="736"/>
      <c r="AT276" s="20"/>
      <c r="AU276" s="8"/>
      <c r="AV276" s="34"/>
      <c r="AW276" s="736"/>
      <c r="AX276" s="736"/>
      <c r="AY276" s="24"/>
      <c r="AZ276" s="29"/>
      <c r="BA276" s="7"/>
      <c r="BB276" s="7">
        <f t="shared" ref="BB276:BB288" si="479">BA276-AZ276</f>
        <v>0</v>
      </c>
      <c r="BC276" s="258"/>
      <c r="BD276" s="242"/>
      <c r="BE276" s="231">
        <f t="shared" ref="BE276:BE288" si="480">AZ276+BC276-BD276</f>
        <v>0</v>
      </c>
      <c r="BF276" s="123"/>
      <c r="BG276" s="8"/>
      <c r="BH276" s="34"/>
      <c r="BI276" s="736"/>
      <c r="BJ276" s="123"/>
      <c r="BK276" s="8"/>
      <c r="BL276" s="34"/>
      <c r="BM276" s="736"/>
      <c r="BN276" s="20"/>
      <c r="BO276" s="8"/>
      <c r="BP276" s="34"/>
      <c r="BQ276" s="736"/>
      <c r="BR276" s="736"/>
      <c r="BS276" s="24"/>
      <c r="BT276" s="29"/>
      <c r="BU276" s="7"/>
      <c r="BV276" s="7">
        <f t="shared" ref="BV276:BV288" si="481">BU276-BT276</f>
        <v>0</v>
      </c>
      <c r="BW276" s="623">
        <v>5</v>
      </c>
      <c r="BX276" s="242"/>
      <c r="BY276" s="231">
        <f t="shared" ref="BY276:BY288" si="482">BT276+BW276-BX276</f>
        <v>5</v>
      </c>
      <c r="BZ276" s="123"/>
      <c r="CA276" s="8"/>
      <c r="CB276" s="34"/>
      <c r="CC276" s="736"/>
      <c r="CD276" s="123"/>
      <c r="CE276" s="8"/>
      <c r="CF276" s="642" t="s">
        <v>947</v>
      </c>
      <c r="CG276" s="818"/>
      <c r="CH276" s="20"/>
      <c r="CI276" s="8"/>
      <c r="CJ276" s="34"/>
      <c r="CK276" s="736"/>
      <c r="CL276" s="736"/>
      <c r="CM276" s="24"/>
      <c r="CN276" s="29"/>
      <c r="CO276" s="7"/>
      <c r="CP276" s="7">
        <f t="shared" ref="CP276:CP288" si="483">CO276-CN276</f>
        <v>0</v>
      </c>
      <c r="CQ276" s="258"/>
      <c r="CR276" s="242"/>
      <c r="CS276" s="231">
        <f t="shared" ref="CS276:CS288" si="484">CN276+CQ276-CR276</f>
        <v>0</v>
      </c>
      <c r="CT276" s="123"/>
      <c r="CU276" s="8"/>
      <c r="CV276" s="34"/>
      <c r="CW276" s="736"/>
      <c r="CX276" s="123"/>
      <c r="CY276" s="8"/>
      <c r="CZ276" s="34"/>
      <c r="DA276" s="736"/>
      <c r="DB276" s="20"/>
      <c r="DC276" s="8"/>
      <c r="DD276" s="34"/>
      <c r="DE276" s="736"/>
      <c r="DF276" s="736"/>
      <c r="DG276" s="24"/>
      <c r="DH276" s="29"/>
      <c r="DI276" s="7"/>
      <c r="DJ276" s="7">
        <f t="shared" ref="DJ276:DJ288" si="485">DI276-DH276</f>
        <v>0</v>
      </c>
      <c r="DK276" s="258"/>
      <c r="DL276" s="242"/>
      <c r="DM276" s="231">
        <f t="shared" ref="DM276:DM288" si="486">DH276+DK276-DL276</f>
        <v>0</v>
      </c>
    </row>
    <row r="277" spans="1:117" ht="43.2" x14ac:dyDescent="0.3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>SUM(M277,AG277,BA277,BU277)-L277</f>
        <v>0</v>
      </c>
      <c r="K277" s="395">
        <f t="shared" ref="K277:K288" si="487">M277-O277-L277</f>
        <v>-36</v>
      </c>
      <c r="L277" s="544">
        <v>40</v>
      </c>
      <c r="M277" s="298">
        <f>SUM(M272:M275)*4</f>
        <v>4</v>
      </c>
      <c r="N277" s="7">
        <f t="shared" si="475"/>
        <v>-36</v>
      </c>
      <c r="O277" s="240"/>
      <c r="P277" s="303">
        <f>SUM(P272:P275)*4</f>
        <v>4</v>
      </c>
      <c r="Q277" s="231">
        <f t="shared" si="476"/>
        <v>36</v>
      </c>
      <c r="R277" s="310"/>
      <c r="S277" s="210"/>
      <c r="T277" s="211"/>
      <c r="U277" s="731"/>
      <c r="V277" s="310"/>
      <c r="W277" s="210"/>
      <c r="X277" s="211"/>
      <c r="Y277" s="731"/>
      <c r="Z277" s="121"/>
      <c r="AA277" s="199"/>
      <c r="AB277" s="79"/>
      <c r="AC277" s="619"/>
      <c r="AD277" s="619"/>
      <c r="AE277" s="395">
        <f>SUM(M277,AG277)-SUM(O277,AI277)-L277</f>
        <v>-32</v>
      </c>
      <c r="AF277" s="29">
        <f>Q277</f>
        <v>36</v>
      </c>
      <c r="AG277" s="298">
        <f>SUM(AG272:AG275)*4</f>
        <v>4</v>
      </c>
      <c r="AH277" s="7">
        <f t="shared" si="477"/>
        <v>-32</v>
      </c>
      <c r="AI277" s="258"/>
      <c r="AJ277" s="303">
        <f>SUM(AJ272:AJ275)*4</f>
        <v>4</v>
      </c>
      <c r="AK277" s="231">
        <f t="shared" si="478"/>
        <v>32</v>
      </c>
      <c r="AL277" s="121"/>
      <c r="AM277" s="210"/>
      <c r="AN277" s="467"/>
      <c r="AO277" s="798"/>
      <c r="AP277" s="215"/>
      <c r="AQ277" s="413"/>
      <c r="AR277" s="414"/>
      <c r="AS277" s="732"/>
      <c r="AT277" s="121"/>
      <c r="AU277" s="210"/>
      <c r="AV277" s="257"/>
      <c r="AW277" s="803"/>
      <c r="AX277" s="803"/>
      <c r="AY277" s="395">
        <f>SUM(M277,AG277,BA277)-SUM(O277,AI277,BC277)-L277</f>
        <v>-61</v>
      </c>
      <c r="AZ277" s="29">
        <f t="shared" ref="AZ277:AZ288" si="488">AK277</f>
        <v>32</v>
      </c>
      <c r="BA277" s="298">
        <f>SUM(BA272:BA275)*4</f>
        <v>8</v>
      </c>
      <c r="BB277" s="7">
        <f t="shared" si="479"/>
        <v>-24</v>
      </c>
      <c r="BC277" s="5">
        <f>17+4*5</f>
        <v>37</v>
      </c>
      <c r="BD277" s="303">
        <f>SUM(BD272:BD275)*4</f>
        <v>12</v>
      </c>
      <c r="BE277" s="231">
        <f t="shared" si="480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55"/>
      <c r="BN277" s="310">
        <f>20*F277/2</f>
        <v>43030</v>
      </c>
      <c r="BO277" s="121">
        <f>73152/2+43030</f>
        <v>79606</v>
      </c>
      <c r="BP277" s="257" t="s">
        <v>830</v>
      </c>
      <c r="BQ277" s="803"/>
      <c r="BR277" s="803"/>
      <c r="BS277" s="395">
        <f>SUM(M277,AG277,BA277,BU277)-SUM(O277,AI277,BC277,BW277)-L277</f>
        <v>-57</v>
      </c>
      <c r="BT277" s="29">
        <f t="shared" ref="BT277:BT288" si="489">BE277</f>
        <v>57</v>
      </c>
      <c r="BU277" s="298">
        <f>SUM(BU272:BU275)*4</f>
        <v>24</v>
      </c>
      <c r="BV277" s="7">
        <f t="shared" si="481"/>
        <v>-33</v>
      </c>
      <c r="BW277" s="256">
        <v>20</v>
      </c>
      <c r="BX277" s="303">
        <f>SUM(BX272:BX275)*4</f>
        <v>8</v>
      </c>
      <c r="BY277" s="231">
        <f t="shared" si="482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814"/>
      <c r="CH277" s="121"/>
      <c r="CI277" s="199"/>
      <c r="CJ277" s="35"/>
      <c r="CK277" s="234"/>
      <c r="CL277" s="234"/>
      <c r="CM277" s="395">
        <f>SUM(M277,AG277,BA277,BU277,CO277)-SUM(O277,AI277,BC277,BW277,CQ277)-L277</f>
        <v>-57</v>
      </c>
      <c r="CN277" s="29">
        <f t="shared" ref="CN277:CN288" si="490">BY277</f>
        <v>69</v>
      </c>
      <c r="CO277" s="298">
        <f>SUM(CO272:CO275)*4</f>
        <v>0</v>
      </c>
      <c r="CP277" s="7">
        <f t="shared" si="483"/>
        <v>-69</v>
      </c>
      <c r="CQ277" s="242"/>
      <c r="CR277" s="303">
        <f>SUM(CR272:CR275)*4</f>
        <v>0</v>
      </c>
      <c r="CS277" s="231">
        <f t="shared" si="484"/>
        <v>69</v>
      </c>
      <c r="CT277" s="215"/>
      <c r="CU277" s="199"/>
      <c r="CV277" s="271"/>
      <c r="CW277" s="814"/>
      <c r="CX277" s="215"/>
      <c r="CY277" s="199"/>
      <c r="CZ277" s="271"/>
      <c r="DA277" s="814"/>
      <c r="DB277" s="121"/>
      <c r="DC277" s="199"/>
      <c r="DD277" s="35"/>
      <c r="DE277" s="234"/>
      <c r="DF277" s="234"/>
      <c r="DG277" s="395">
        <f>SUM(M277,AG277,BA277,BU277,DI277)-SUM(O277,AI277,BC277,BW277,CQ277)-L277</f>
        <v>-57</v>
      </c>
      <c r="DH277" s="29">
        <f t="shared" ref="DH277:DH288" si="491">BY277</f>
        <v>69</v>
      </c>
      <c r="DI277" s="298">
        <f>SUM(DI272:DI275)*4</f>
        <v>0</v>
      </c>
      <c r="DJ277" s="7">
        <f t="shared" si="485"/>
        <v>-69</v>
      </c>
      <c r="DK277" s="242"/>
      <c r="DL277" s="303">
        <f>SUM(DL272:DL275)*4</f>
        <v>0</v>
      </c>
      <c r="DM277" s="231">
        <f t="shared" si="486"/>
        <v>69</v>
      </c>
    </row>
    <row r="278" spans="1:117" ht="43.2" x14ac:dyDescent="0.3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>SUM(M278,AG278,BA278,BU278)-L278</f>
        <v>-1</v>
      </c>
      <c r="K278" s="395">
        <f t="shared" si="487"/>
        <v>-10</v>
      </c>
      <c r="L278" s="544">
        <v>11</v>
      </c>
      <c r="M278" s="298">
        <f>SUM(M272:M275)</f>
        <v>1</v>
      </c>
      <c r="N278" s="7">
        <f t="shared" si="475"/>
        <v>-10</v>
      </c>
      <c r="O278" s="258"/>
      <c r="P278" s="303">
        <f>SUM(P272:P275)</f>
        <v>1</v>
      </c>
      <c r="Q278" s="231">
        <f t="shared" si="476"/>
        <v>10</v>
      </c>
      <c r="R278" s="448"/>
      <c r="S278" s="413"/>
      <c r="T278" s="414"/>
      <c r="U278" s="732"/>
      <c r="V278" s="448"/>
      <c r="W278" s="413"/>
      <c r="X278" s="414"/>
      <c r="Y278" s="732"/>
      <c r="Z278" s="129"/>
      <c r="AA278" s="292"/>
      <c r="AB278" s="79"/>
      <c r="AC278" s="619"/>
      <c r="AD278" s="619"/>
      <c r="AE278" s="395">
        <f>SUM(M278,AG278)-SUM(O278,AI278)-L278</f>
        <v>-9</v>
      </c>
      <c r="AF278" s="29">
        <f>Q278</f>
        <v>10</v>
      </c>
      <c r="AG278" s="298">
        <f>SUM(AG272:AG275)</f>
        <v>1</v>
      </c>
      <c r="AH278" s="7">
        <f t="shared" si="477"/>
        <v>-9</v>
      </c>
      <c r="AI278" s="258"/>
      <c r="AJ278" s="303">
        <f>SUM(AJ272:AJ275)</f>
        <v>1</v>
      </c>
      <c r="AK278" s="231">
        <f t="shared" si="478"/>
        <v>9</v>
      </c>
      <c r="AL278" s="129"/>
      <c r="AM278" s="413"/>
      <c r="AN278" s="467"/>
      <c r="AO278" s="798"/>
      <c r="AP278" s="291"/>
      <c r="AQ278" s="413"/>
      <c r="AR278" s="414"/>
      <c r="AS278" s="732"/>
      <c r="AT278" s="129"/>
      <c r="AU278" s="413"/>
      <c r="AV278" s="467"/>
      <c r="AW278" s="804"/>
      <c r="AX278" s="804"/>
      <c r="AY278" s="395">
        <f>SUM(M278,AG278,BA278)-SUM(O278,AI278,BC278)-L278</f>
        <v>-7</v>
      </c>
      <c r="AZ278" s="29">
        <f t="shared" si="488"/>
        <v>9</v>
      </c>
      <c r="BA278" s="298">
        <f>SUM(BA272:BA275)</f>
        <v>2</v>
      </c>
      <c r="BB278" s="7">
        <f t="shared" si="479"/>
        <v>-7</v>
      </c>
      <c r="BC278" s="256"/>
      <c r="BD278" s="303">
        <f>SUM(BD272:BD275)</f>
        <v>3</v>
      </c>
      <c r="BE278" s="231">
        <f t="shared" si="480"/>
        <v>6</v>
      </c>
      <c r="BF278" s="129"/>
      <c r="BG278" s="292"/>
      <c r="BH278" s="79"/>
      <c r="BI278" s="735"/>
      <c r="BJ278" s="129"/>
      <c r="BK278" s="413"/>
      <c r="BL278" s="467"/>
      <c r="BM278" s="798"/>
      <c r="BN278" s="448"/>
      <c r="BO278" s="413"/>
      <c r="BP278" s="79"/>
      <c r="BQ278" s="619"/>
      <c r="BR278" s="619"/>
      <c r="BS278" s="395">
        <f>SUM(M278,AG278,BA278,BU278)-SUM(O278,AI278,BC278,BW278)-L278</f>
        <v>-6</v>
      </c>
      <c r="BT278" s="29">
        <f t="shared" si="489"/>
        <v>6</v>
      </c>
      <c r="BU278" s="298">
        <f>SUM(BU272:BU275)</f>
        <v>6</v>
      </c>
      <c r="BV278" s="7">
        <f t="shared" si="481"/>
        <v>0</v>
      </c>
      <c r="BW278" s="621">
        <v>5</v>
      </c>
      <c r="BX278" s="303">
        <f>SUM(BX272:BX275)</f>
        <v>2</v>
      </c>
      <c r="BY278" s="231">
        <f t="shared" si="482"/>
        <v>9</v>
      </c>
      <c r="BZ278" s="291"/>
      <c r="CA278" s="413"/>
      <c r="CB278" s="79"/>
      <c r="CC278" s="735"/>
      <c r="CD278" s="291"/>
      <c r="CE278" s="292"/>
      <c r="CF278" s="642" t="s">
        <v>947</v>
      </c>
      <c r="CG278" s="830"/>
      <c r="CH278" s="129"/>
      <c r="CI278" s="292"/>
      <c r="CJ278" s="79"/>
      <c r="CK278" s="619"/>
      <c r="CL278" s="619"/>
      <c r="CM278" s="395">
        <f>SUM(M278,AG278,BA278,BU278,CO278)-SUM(O278,AI278,BC278,BW278,CQ278)-L278</f>
        <v>-6</v>
      </c>
      <c r="CN278" s="29">
        <f t="shared" si="490"/>
        <v>9</v>
      </c>
      <c r="CO278" s="298">
        <f>SUM(CO272:CO275)</f>
        <v>0</v>
      </c>
      <c r="CP278" s="7">
        <f t="shared" si="483"/>
        <v>-9</v>
      </c>
      <c r="CQ278" s="256"/>
      <c r="CR278" s="303">
        <f>SUM(CR272:CR275)</f>
        <v>0</v>
      </c>
      <c r="CS278" s="231">
        <f t="shared" si="484"/>
        <v>9</v>
      </c>
      <c r="CT278" s="291"/>
      <c r="CU278" s="292"/>
      <c r="CV278" s="293"/>
      <c r="CW278" s="748"/>
      <c r="CX278" s="291"/>
      <c r="CY278" s="292"/>
      <c r="CZ278" s="293"/>
      <c r="DA278" s="748"/>
      <c r="DB278" s="129"/>
      <c r="DC278" s="292"/>
      <c r="DD278" s="79"/>
      <c r="DE278" s="619"/>
      <c r="DF278" s="619"/>
      <c r="DG278" s="395">
        <f>SUM(M278,AG278,BA278,BU278,DI278)-SUM(O278,AI278,BC278,BW278,CQ278)-L278</f>
        <v>-6</v>
      </c>
      <c r="DH278" s="29">
        <f t="shared" si="491"/>
        <v>9</v>
      </c>
      <c r="DI278" s="298">
        <f>SUM(DI272:DI275)</f>
        <v>0</v>
      </c>
      <c r="DJ278" s="7">
        <f t="shared" si="485"/>
        <v>-9</v>
      </c>
      <c r="DK278" s="256"/>
      <c r="DL278" s="303">
        <f>SUM(DL272:DL275)</f>
        <v>0</v>
      </c>
      <c r="DM278" s="231">
        <f t="shared" si="486"/>
        <v>9</v>
      </c>
    </row>
    <row r="279" spans="1:117" ht="28.8" x14ac:dyDescent="0.3">
      <c r="A279" s="75"/>
      <c r="B279" s="274" t="s">
        <v>604</v>
      </c>
      <c r="C279" s="75">
        <v>1</v>
      </c>
      <c r="D279" s="476" t="s">
        <v>463</v>
      </c>
      <c r="E279" s="776"/>
      <c r="F279" s="275">
        <v>32.5</v>
      </c>
      <c r="G279" s="76" t="s">
        <v>757</v>
      </c>
      <c r="H279" s="77"/>
      <c r="I279" s="77"/>
      <c r="J279" s="530">
        <f>SUM(M279,AG279,BA279,BU279)-L279</f>
        <v>-1</v>
      </c>
      <c r="K279" s="395">
        <f t="shared" si="487"/>
        <v>-10</v>
      </c>
      <c r="L279" s="544">
        <v>11</v>
      </c>
      <c r="M279" s="298">
        <f>SUM(M272:M275)</f>
        <v>1</v>
      </c>
      <c r="N279" s="7">
        <f t="shared" si="475"/>
        <v>-10</v>
      </c>
      <c r="O279" s="258"/>
      <c r="P279" s="303">
        <f>SUM(P272:P275)</f>
        <v>1</v>
      </c>
      <c r="Q279" s="231">
        <f t="shared" si="476"/>
        <v>10</v>
      </c>
      <c r="R279" s="448"/>
      <c r="S279" s="413"/>
      <c r="T279" s="414"/>
      <c r="U279" s="732"/>
      <c r="V279" s="448"/>
      <c r="W279" s="413"/>
      <c r="X279" s="414"/>
      <c r="Y279" s="732"/>
      <c r="Z279" s="129"/>
      <c r="AA279" s="292"/>
      <c r="AB279" s="79"/>
      <c r="AC279" s="619"/>
      <c r="AD279" s="619"/>
      <c r="AE279" s="395">
        <f>SUM(M279,AG279)-SUM(O279,AI279)-L279</f>
        <v>-9</v>
      </c>
      <c r="AF279" s="29">
        <f>Q279</f>
        <v>10</v>
      </c>
      <c r="AG279" s="298">
        <f>SUM(AG272:AG275)</f>
        <v>1</v>
      </c>
      <c r="AH279" s="7">
        <f t="shared" si="477"/>
        <v>-9</v>
      </c>
      <c r="AI279" s="258"/>
      <c r="AJ279" s="303">
        <f>SUM(AJ272:AJ275)</f>
        <v>1</v>
      </c>
      <c r="AK279" s="231">
        <f t="shared" si="478"/>
        <v>9</v>
      </c>
      <c r="AL279" s="129"/>
      <c r="AM279" s="413"/>
      <c r="AN279" s="467"/>
      <c r="AO279" s="798"/>
      <c r="AP279" s="291"/>
      <c r="AQ279" s="413"/>
      <c r="AR279" s="414"/>
      <c r="AS279" s="732"/>
      <c r="AT279" s="129"/>
      <c r="AU279" s="413"/>
      <c r="AV279" s="467"/>
      <c r="AW279" s="804"/>
      <c r="AX279" s="804"/>
      <c r="AY279" s="395">
        <f>SUM(M279,AG279,BA279)-SUM(O279,AI279,BC279)-L279</f>
        <v>-7</v>
      </c>
      <c r="AZ279" s="29">
        <f t="shared" si="488"/>
        <v>9</v>
      </c>
      <c r="BA279" s="298">
        <f>SUM(BA272:BA275)</f>
        <v>2</v>
      </c>
      <c r="BB279" s="7">
        <f t="shared" si="479"/>
        <v>-7</v>
      </c>
      <c r="BC279" s="256"/>
      <c r="BD279" s="303">
        <f>SUM(BD272:BD275)</f>
        <v>3</v>
      </c>
      <c r="BE279" s="231">
        <f t="shared" si="480"/>
        <v>6</v>
      </c>
      <c r="BF279" s="129"/>
      <c r="BG279" s="292"/>
      <c r="BH279" s="79"/>
      <c r="BI279" s="735"/>
      <c r="BJ279" s="129"/>
      <c r="BK279" s="413"/>
      <c r="BL279" s="467"/>
      <c r="BM279" s="798"/>
      <c r="BN279" s="448"/>
      <c r="BO279" s="413"/>
      <c r="BP279" s="79"/>
      <c r="BQ279" s="619"/>
      <c r="BR279" s="619"/>
      <c r="BS279" s="395">
        <f>SUM(M279,AG279,BA279,BU279)-SUM(O279,AI279,BC279,BW279)-L279</f>
        <v>-6</v>
      </c>
      <c r="BT279" s="29">
        <f t="shared" si="489"/>
        <v>6</v>
      </c>
      <c r="BU279" s="298">
        <f>SUM(BU272:BU275)</f>
        <v>6</v>
      </c>
      <c r="BV279" s="7">
        <f t="shared" si="481"/>
        <v>0</v>
      </c>
      <c r="BW279" s="240">
        <v>5</v>
      </c>
      <c r="BX279" s="303">
        <f>SUM(BX272:BX275)</f>
        <v>2</v>
      </c>
      <c r="BY279" s="231">
        <f t="shared" si="482"/>
        <v>9</v>
      </c>
      <c r="BZ279" s="291"/>
      <c r="CA279" s="413"/>
      <c r="CB279" s="79"/>
      <c r="CC279" s="735"/>
      <c r="CD279" s="291"/>
      <c r="CE279" s="292"/>
      <c r="CF279" s="293"/>
      <c r="CG279" s="748"/>
      <c r="CH279" s="129"/>
      <c r="CI279" s="292"/>
      <c r="CJ279" s="79"/>
      <c r="CK279" s="619"/>
      <c r="CL279" s="619"/>
      <c r="CM279" s="395">
        <f>SUM(M279,AG279,BA279,BU279,CO279)-SUM(O279,AI279,BC279,BW279,CQ279)-L279</f>
        <v>-6</v>
      </c>
      <c r="CN279" s="29">
        <f t="shared" si="490"/>
        <v>9</v>
      </c>
      <c r="CO279" s="298">
        <f>SUM(CO272:CO275)</f>
        <v>0</v>
      </c>
      <c r="CP279" s="7">
        <f t="shared" si="483"/>
        <v>-9</v>
      </c>
      <c r="CQ279" s="256"/>
      <c r="CR279" s="303">
        <f>SUM(CR272:CR275)</f>
        <v>0</v>
      </c>
      <c r="CS279" s="231">
        <f t="shared" si="484"/>
        <v>9</v>
      </c>
      <c r="CT279" s="291"/>
      <c r="CU279" s="292"/>
      <c r="CV279" s="293"/>
      <c r="CW279" s="748"/>
      <c r="CX279" s="291"/>
      <c r="CY279" s="292"/>
      <c r="CZ279" s="293"/>
      <c r="DA279" s="748"/>
      <c r="DB279" s="129"/>
      <c r="DC279" s="292"/>
      <c r="DD279" s="79"/>
      <c r="DE279" s="619"/>
      <c r="DF279" s="619"/>
      <c r="DG279" s="395">
        <f>SUM(M279,AG279,BA279,BU279,DI279)-SUM(O279,AI279,BC279,BW279,CQ279)-L279</f>
        <v>-6</v>
      </c>
      <c r="DH279" s="29">
        <f t="shared" si="491"/>
        <v>9</v>
      </c>
      <c r="DI279" s="298">
        <f>SUM(DI272:DI275)</f>
        <v>0</v>
      </c>
      <c r="DJ279" s="7">
        <f t="shared" si="485"/>
        <v>-9</v>
      </c>
      <c r="DK279" s="256"/>
      <c r="DL279" s="303">
        <f>SUM(DL272:DL275)</f>
        <v>0</v>
      </c>
      <c r="DM279" s="231">
        <f t="shared" si="486"/>
        <v>9</v>
      </c>
    </row>
    <row r="280" spans="1:117" ht="28.8" x14ac:dyDescent="0.3">
      <c r="A280" s="75"/>
      <c r="B280" s="274" t="s">
        <v>462</v>
      </c>
      <c r="C280" s="75">
        <v>1</v>
      </c>
      <c r="D280" s="476" t="s">
        <v>463</v>
      </c>
      <c r="E280" s="776"/>
      <c r="F280" s="275"/>
      <c r="G280" s="74" t="s">
        <v>198</v>
      </c>
      <c r="H280" s="77"/>
      <c r="I280" s="77"/>
      <c r="J280" s="530">
        <f>SUM(M280,AG280,BA280,BU280)-L280</f>
        <v>-1</v>
      </c>
      <c r="K280" s="395">
        <f t="shared" si="487"/>
        <v>-10</v>
      </c>
      <c r="L280" s="544">
        <v>11</v>
      </c>
      <c r="M280" s="298">
        <f>SUM(M274:M275)</f>
        <v>1</v>
      </c>
      <c r="N280" s="7">
        <f t="shared" ref="N280" si="492">M280-L280</f>
        <v>-10</v>
      </c>
      <c r="O280" s="258"/>
      <c r="P280" s="303">
        <f>SUM(P274:P275)</f>
        <v>1</v>
      </c>
      <c r="Q280" s="231">
        <f t="shared" ref="Q280" si="493">L280+O280-P280</f>
        <v>10</v>
      </c>
      <c r="R280" s="448"/>
      <c r="S280" s="413"/>
      <c r="T280" s="414"/>
      <c r="U280" s="732"/>
      <c r="V280" s="448"/>
      <c r="W280" s="413"/>
      <c r="X280" s="414"/>
      <c r="Y280" s="732"/>
      <c r="Z280" s="129"/>
      <c r="AA280" s="292"/>
      <c r="AB280" s="79"/>
      <c r="AC280" s="619"/>
      <c r="AD280" s="619"/>
      <c r="AE280" s="395">
        <f>SUM(M280,AG280)-SUM(O280,AI280)-L280</f>
        <v>-9</v>
      </c>
      <c r="AF280" s="29">
        <f>Q280</f>
        <v>10</v>
      </c>
      <c r="AG280" s="298">
        <f>SUM(AG274:AG275)</f>
        <v>1</v>
      </c>
      <c r="AH280" s="7">
        <f t="shared" si="477"/>
        <v>-9</v>
      </c>
      <c r="AI280" s="258"/>
      <c r="AJ280" s="303">
        <f>SUM(AJ274:AJ275)</f>
        <v>1</v>
      </c>
      <c r="AK280" s="231">
        <f t="shared" si="478"/>
        <v>9</v>
      </c>
      <c r="AL280" s="129"/>
      <c r="AM280" s="413"/>
      <c r="AN280" s="467"/>
      <c r="AO280" s="798"/>
      <c r="AP280" s="291"/>
      <c r="AQ280" s="413"/>
      <c r="AR280" s="414"/>
      <c r="AS280" s="732"/>
      <c r="AT280" s="129"/>
      <c r="AU280" s="413"/>
      <c r="AV280" s="467"/>
      <c r="AW280" s="804"/>
      <c r="AX280" s="804"/>
      <c r="AY280" s="395">
        <f>SUM(M280,AG280,BA280)-SUM(O280,AI280,BC280)-L280</f>
        <v>-7</v>
      </c>
      <c r="AZ280" s="29">
        <f t="shared" si="488"/>
        <v>9</v>
      </c>
      <c r="BA280" s="298">
        <f>SUM(BA274:BA275)</f>
        <v>2</v>
      </c>
      <c r="BB280" s="7">
        <f t="shared" si="479"/>
        <v>-7</v>
      </c>
      <c r="BC280" s="256"/>
      <c r="BD280" s="303">
        <f>SUM(BD274:BD275)</f>
        <v>3</v>
      </c>
      <c r="BE280" s="231">
        <f t="shared" si="480"/>
        <v>6</v>
      </c>
      <c r="BF280" s="129"/>
      <c r="BG280" s="292"/>
      <c r="BH280" s="79"/>
      <c r="BI280" s="735"/>
      <c r="BJ280" s="129"/>
      <c r="BK280" s="413"/>
      <c r="BL280" s="467"/>
      <c r="BM280" s="798"/>
      <c r="BN280" s="448"/>
      <c r="BO280" s="413"/>
      <c r="BP280" s="79"/>
      <c r="BQ280" s="619"/>
      <c r="BR280" s="619"/>
      <c r="BS280" s="395">
        <f>SUM(M280,AG280,BA280,BU280)-SUM(O280,AI280,BC280,BW280)-L280</f>
        <v>-6</v>
      </c>
      <c r="BT280" s="29">
        <f t="shared" si="489"/>
        <v>6</v>
      </c>
      <c r="BU280" s="298">
        <f>SUM(BU274:BU275)</f>
        <v>6</v>
      </c>
      <c r="BV280" s="7">
        <f t="shared" si="481"/>
        <v>0</v>
      </c>
      <c r="BW280" s="621">
        <v>5</v>
      </c>
      <c r="BX280" s="303">
        <f>SUM(BX274:BX275)</f>
        <v>2</v>
      </c>
      <c r="BY280" s="231">
        <f t="shared" si="482"/>
        <v>9</v>
      </c>
      <c r="BZ280" s="291"/>
      <c r="CA280" s="413"/>
      <c r="CB280" s="79"/>
      <c r="CC280" s="735"/>
      <c r="CD280" s="291"/>
      <c r="CE280" s="292"/>
      <c r="CF280" s="642" t="s">
        <v>947</v>
      </c>
      <c r="CG280" s="830"/>
      <c r="CH280" s="129"/>
      <c r="CI280" s="292"/>
      <c r="CJ280" s="79"/>
      <c r="CK280" s="619"/>
      <c r="CL280" s="619"/>
      <c r="CM280" s="395">
        <f>SUM(M280,AG280,BA280,BU280,CO280)-SUM(O280,AI280,BC280,BW280,CQ280)-L280</f>
        <v>-6</v>
      </c>
      <c r="CN280" s="29">
        <f t="shared" si="490"/>
        <v>9</v>
      </c>
      <c r="CO280" s="298">
        <f>SUM(CO274:CO275)</f>
        <v>0</v>
      </c>
      <c r="CP280" s="7">
        <f t="shared" si="483"/>
        <v>-9</v>
      </c>
      <c r="CQ280" s="256"/>
      <c r="CR280" s="303">
        <f>SUM(CR274:CR275)</f>
        <v>0</v>
      </c>
      <c r="CS280" s="231">
        <f t="shared" si="484"/>
        <v>9</v>
      </c>
      <c r="CT280" s="291"/>
      <c r="CU280" s="292"/>
      <c r="CV280" s="293"/>
      <c r="CW280" s="748"/>
      <c r="CX280" s="291"/>
      <c r="CY280" s="292"/>
      <c r="CZ280" s="293"/>
      <c r="DA280" s="748"/>
      <c r="DB280" s="129"/>
      <c r="DC280" s="292"/>
      <c r="DD280" s="79"/>
      <c r="DE280" s="619"/>
      <c r="DF280" s="619"/>
      <c r="DG280" s="395">
        <f>SUM(M280,AG280,BA280,BU280,DI280)-SUM(O280,AI280,BC280,BW280,CQ280)-L280</f>
        <v>-6</v>
      </c>
      <c r="DH280" s="29">
        <f t="shared" si="491"/>
        <v>9</v>
      </c>
      <c r="DI280" s="298">
        <f>SUM(DI274:DI275)</f>
        <v>0</v>
      </c>
      <c r="DJ280" s="7">
        <f t="shared" si="485"/>
        <v>-9</v>
      </c>
      <c r="DK280" s="256"/>
      <c r="DL280" s="303">
        <f>SUM(DL274:DL275)</f>
        <v>0</v>
      </c>
      <c r="DM280" s="231">
        <f t="shared" si="486"/>
        <v>9</v>
      </c>
    </row>
    <row r="281" spans="1:117" ht="28.8" x14ac:dyDescent="0.3">
      <c r="A281" s="75"/>
      <c r="B281" s="274" t="s">
        <v>465</v>
      </c>
      <c r="C281" s="75">
        <v>1</v>
      </c>
      <c r="D281" s="476" t="s">
        <v>463</v>
      </c>
      <c r="E281" s="776"/>
      <c r="F281" s="275"/>
      <c r="G281" s="74" t="s">
        <v>198</v>
      </c>
      <c r="H281" s="77"/>
      <c r="I281" s="77"/>
      <c r="J281" s="530">
        <f>SUM(M281,AG281,BA281,BU281)-L281</f>
        <v>-5</v>
      </c>
      <c r="K281" s="395">
        <f t="shared" si="487"/>
        <v>-14</v>
      </c>
      <c r="L281" s="544">
        <v>15</v>
      </c>
      <c r="M281" s="298">
        <f>SUM(M274:M275)</f>
        <v>1</v>
      </c>
      <c r="N281" s="7">
        <f t="shared" ref="N281" si="494">M281-L281</f>
        <v>-14</v>
      </c>
      <c r="O281" s="256"/>
      <c r="P281" s="303">
        <f>SUM(P274:P275)</f>
        <v>1</v>
      </c>
      <c r="Q281" s="231">
        <f t="shared" ref="Q281" si="495">L281+O281-P281</f>
        <v>14</v>
      </c>
      <c r="R281" s="448"/>
      <c r="S281" s="413"/>
      <c r="T281" s="414"/>
      <c r="U281" s="732"/>
      <c r="V281" s="448"/>
      <c r="W281" s="413"/>
      <c r="X281" s="414"/>
      <c r="Y281" s="732"/>
      <c r="Z281" s="129"/>
      <c r="AA281" s="292"/>
      <c r="AB281" s="79"/>
      <c r="AC281" s="619"/>
      <c r="AD281" s="619"/>
      <c r="AE281" s="395">
        <f>SUM(M281,AG281)-SUM(O281,AI281)-L281</f>
        <v>-13</v>
      </c>
      <c r="AF281" s="29">
        <f>Q281</f>
        <v>14</v>
      </c>
      <c r="AG281" s="298">
        <f>SUM(AG274:AG275)</f>
        <v>1</v>
      </c>
      <c r="AH281" s="7">
        <f t="shared" si="477"/>
        <v>-13</v>
      </c>
      <c r="AI281" s="256"/>
      <c r="AJ281" s="303">
        <f>SUM(AJ274:AJ275)</f>
        <v>1</v>
      </c>
      <c r="AK281" s="231">
        <f t="shared" si="478"/>
        <v>13</v>
      </c>
      <c r="AL281" s="129"/>
      <c r="AM281" s="413"/>
      <c r="AN281" s="467"/>
      <c r="AO281" s="798"/>
      <c r="AP281" s="291"/>
      <c r="AQ281" s="413"/>
      <c r="AR281" s="414"/>
      <c r="AS281" s="732"/>
      <c r="AT281" s="129"/>
      <c r="AU281" s="413"/>
      <c r="AV281" s="467"/>
      <c r="AW281" s="804"/>
      <c r="AX281" s="804"/>
      <c r="AY281" s="395">
        <f>SUM(M281,AG281,BA281)-SUM(O281,AI281,BC281)-L281</f>
        <v>-11</v>
      </c>
      <c r="AZ281" s="29">
        <f t="shared" si="488"/>
        <v>13</v>
      </c>
      <c r="BA281" s="298">
        <f>SUM(BA274:BA275)</f>
        <v>2</v>
      </c>
      <c r="BB281" s="7">
        <f t="shared" si="479"/>
        <v>-11</v>
      </c>
      <c r="BC281" s="256"/>
      <c r="BD281" s="303">
        <f>SUM(BD274:BD275)</f>
        <v>3</v>
      </c>
      <c r="BE281" s="231">
        <f t="shared" si="480"/>
        <v>10</v>
      </c>
      <c r="BF281" s="129"/>
      <c r="BG281" s="292"/>
      <c r="BH281" s="79"/>
      <c r="BI281" s="735"/>
      <c r="BJ281" s="129"/>
      <c r="BK281" s="413"/>
      <c r="BL281" s="467"/>
      <c r="BM281" s="798"/>
      <c r="BN281" s="448"/>
      <c r="BO281" s="413"/>
      <c r="BP281" s="79"/>
      <c r="BQ281" s="619"/>
      <c r="BR281" s="619"/>
      <c r="BS281" s="395">
        <f>SUM(M281,AG281,BA281,BU281)-SUM(O281,AI281,BC281,BW281)-L281</f>
        <v>-10</v>
      </c>
      <c r="BT281" s="29">
        <f t="shared" si="489"/>
        <v>10</v>
      </c>
      <c r="BU281" s="298">
        <f>SUM(BU274:BU275)</f>
        <v>6</v>
      </c>
      <c r="BV281" s="7">
        <f t="shared" si="481"/>
        <v>-4</v>
      </c>
      <c r="BW281" s="621">
        <v>5</v>
      </c>
      <c r="BX281" s="303">
        <f>SUM(BX274:BX275)</f>
        <v>2</v>
      </c>
      <c r="BY281" s="231">
        <f t="shared" si="482"/>
        <v>13</v>
      </c>
      <c r="BZ281" s="291"/>
      <c r="CA281" s="413"/>
      <c r="CB281" s="79"/>
      <c r="CC281" s="735"/>
      <c r="CD281" s="291"/>
      <c r="CE281" s="292"/>
      <c r="CF281" s="642" t="s">
        <v>947</v>
      </c>
      <c r="CG281" s="830"/>
      <c r="CH281" s="129"/>
      <c r="CI281" s="292"/>
      <c r="CJ281" s="79"/>
      <c r="CK281" s="619"/>
      <c r="CL281" s="619"/>
      <c r="CM281" s="395">
        <f>SUM(M281,AG281,BA281,BU281,CO281)-SUM(O281,AI281,BC281,BW281,CQ281)-L281</f>
        <v>-10</v>
      </c>
      <c r="CN281" s="29">
        <f t="shared" si="490"/>
        <v>13</v>
      </c>
      <c r="CO281" s="298">
        <f>SUM(CO274:CO275)</f>
        <v>0</v>
      </c>
      <c r="CP281" s="7">
        <f t="shared" si="483"/>
        <v>-13</v>
      </c>
      <c r="CQ281" s="256"/>
      <c r="CR281" s="303">
        <f>SUM(CR274:CR275)</f>
        <v>0</v>
      </c>
      <c r="CS281" s="231">
        <f t="shared" si="484"/>
        <v>13</v>
      </c>
      <c r="CT281" s="291"/>
      <c r="CU281" s="292"/>
      <c r="CV281" s="293"/>
      <c r="CW281" s="748"/>
      <c r="CX281" s="291"/>
      <c r="CY281" s="292"/>
      <c r="CZ281" s="293"/>
      <c r="DA281" s="748"/>
      <c r="DB281" s="129"/>
      <c r="DC281" s="292"/>
      <c r="DD281" s="79"/>
      <c r="DE281" s="619"/>
      <c r="DF281" s="619"/>
      <c r="DG281" s="395">
        <f>SUM(M281,AG281,BA281,BU281,DI281)-SUM(O281,AI281,BC281,BW281,CQ281)-L281</f>
        <v>-10</v>
      </c>
      <c r="DH281" s="29">
        <f t="shared" si="491"/>
        <v>13</v>
      </c>
      <c r="DI281" s="298">
        <f>SUM(DI274:DI275)</f>
        <v>0</v>
      </c>
      <c r="DJ281" s="7">
        <f t="shared" si="485"/>
        <v>-13</v>
      </c>
      <c r="DK281" s="256"/>
      <c r="DL281" s="303">
        <f>SUM(DL274:DL275)</f>
        <v>0</v>
      </c>
      <c r="DM281" s="231">
        <f t="shared" si="486"/>
        <v>13</v>
      </c>
    </row>
    <row r="282" spans="1:117" x14ac:dyDescent="0.3">
      <c r="A282" s="75"/>
      <c r="B282" s="74" t="s">
        <v>466</v>
      </c>
      <c r="C282" s="75">
        <v>1</v>
      </c>
      <c r="D282" s="476" t="s">
        <v>463</v>
      </c>
      <c r="E282" s="776"/>
      <c r="F282" s="275"/>
      <c r="G282" s="74" t="s">
        <v>198</v>
      </c>
      <c r="H282" s="77"/>
      <c r="I282" s="77"/>
      <c r="J282" s="530">
        <f>SUM(M282,AG282,BA282,BU282)-L282</f>
        <v>-46</v>
      </c>
      <c r="K282" s="395">
        <f t="shared" si="487"/>
        <v>-55</v>
      </c>
      <c r="L282" s="544">
        <v>56</v>
      </c>
      <c r="M282" s="298">
        <f>SUM(M274:M275)</f>
        <v>1</v>
      </c>
      <c r="N282" s="7">
        <f t="shared" ref="N282" si="496">M282-L282</f>
        <v>-55</v>
      </c>
      <c r="O282" s="256"/>
      <c r="P282" s="303">
        <f>SUM(P274:P275)</f>
        <v>1</v>
      </c>
      <c r="Q282" s="231">
        <f t="shared" ref="Q282" si="497">L282+O282-P282</f>
        <v>55</v>
      </c>
      <c r="R282" s="448"/>
      <c r="S282" s="413"/>
      <c r="T282" s="414"/>
      <c r="U282" s="732"/>
      <c r="V282" s="448"/>
      <c r="W282" s="413"/>
      <c r="X282" s="414"/>
      <c r="Y282" s="732"/>
      <c r="Z282" s="129"/>
      <c r="AA282" s="292"/>
      <c r="AB282" s="79"/>
      <c r="AC282" s="619"/>
      <c r="AD282" s="619"/>
      <c r="AE282" s="395">
        <f>SUM(M282,AG282)-SUM(O282,AI282)-L282</f>
        <v>-54</v>
      </c>
      <c r="AF282" s="29">
        <f>Q282</f>
        <v>55</v>
      </c>
      <c r="AG282" s="298">
        <f>SUM(AG274:AG275)</f>
        <v>1</v>
      </c>
      <c r="AH282" s="7">
        <f t="shared" si="477"/>
        <v>-54</v>
      </c>
      <c r="AI282" s="256"/>
      <c r="AJ282" s="303">
        <f>SUM(AJ274:AJ275)</f>
        <v>1</v>
      </c>
      <c r="AK282" s="231">
        <f t="shared" si="478"/>
        <v>54</v>
      </c>
      <c r="AL282" s="129"/>
      <c r="AM282" s="413"/>
      <c r="AN282" s="467"/>
      <c r="AO282" s="798"/>
      <c r="AP282" s="291"/>
      <c r="AQ282" s="413"/>
      <c r="AR282" s="414"/>
      <c r="AS282" s="732"/>
      <c r="AT282" s="129"/>
      <c r="AU282" s="413"/>
      <c r="AV282" s="467"/>
      <c r="AW282" s="804"/>
      <c r="AX282" s="804"/>
      <c r="AY282" s="395">
        <f>SUM(M282,AG282,BA282)-SUM(O282,AI282,BC282)-L282</f>
        <v>-52</v>
      </c>
      <c r="AZ282" s="29">
        <f t="shared" si="488"/>
        <v>54</v>
      </c>
      <c r="BA282" s="298">
        <f>SUM(BA274:BA275)</f>
        <v>2</v>
      </c>
      <c r="BB282" s="7">
        <f t="shared" si="479"/>
        <v>-52</v>
      </c>
      <c r="BC282" s="256"/>
      <c r="BD282" s="303">
        <f>SUM(BD274:BD275)</f>
        <v>3</v>
      </c>
      <c r="BE282" s="231">
        <f t="shared" si="480"/>
        <v>51</v>
      </c>
      <c r="BF282" s="129"/>
      <c r="BG282" s="292"/>
      <c r="BH282" s="79"/>
      <c r="BI282" s="735"/>
      <c r="BJ282" s="129"/>
      <c r="BK282" s="413"/>
      <c r="BL282" s="467"/>
      <c r="BM282" s="798"/>
      <c r="BN282" s="448"/>
      <c r="BO282" s="413"/>
      <c r="BP282" s="79"/>
      <c r="BQ282" s="619"/>
      <c r="BR282" s="619"/>
      <c r="BS282" s="395">
        <f>SUM(M282,AG282,BA282,BU282)-SUM(O282,AI282,BC282,BW282)-L282</f>
        <v>-51</v>
      </c>
      <c r="BT282" s="29">
        <f t="shared" si="489"/>
        <v>51</v>
      </c>
      <c r="BU282" s="298">
        <f>SUM(BU274:BU275)</f>
        <v>6</v>
      </c>
      <c r="BV282" s="7">
        <f t="shared" si="481"/>
        <v>-45</v>
      </c>
      <c r="BW282" s="621">
        <v>5</v>
      </c>
      <c r="BX282" s="303">
        <f>SUM(BX274:BX275)</f>
        <v>2</v>
      </c>
      <c r="BY282" s="231">
        <f t="shared" si="482"/>
        <v>54</v>
      </c>
      <c r="BZ282" s="291"/>
      <c r="CA282" s="413"/>
      <c r="CB282" s="79"/>
      <c r="CC282" s="735"/>
      <c r="CD282" s="291"/>
      <c r="CE282" s="292"/>
      <c r="CF282" s="642" t="s">
        <v>947</v>
      </c>
      <c r="CG282" s="830"/>
      <c r="CH282" s="129"/>
      <c r="CI282" s="292"/>
      <c r="CJ282" s="79"/>
      <c r="CK282" s="619"/>
      <c r="CL282" s="619"/>
      <c r="CM282" s="395">
        <f>SUM(M282,AG282,BA282,BU282,CO282)-SUM(O282,AI282,BC282,BW282,CQ282)-L282</f>
        <v>-51</v>
      </c>
      <c r="CN282" s="29">
        <f t="shared" si="490"/>
        <v>54</v>
      </c>
      <c r="CO282" s="298">
        <f>SUM(CO274:CO275)</f>
        <v>0</v>
      </c>
      <c r="CP282" s="7">
        <f t="shared" si="483"/>
        <v>-54</v>
      </c>
      <c r="CQ282" s="256"/>
      <c r="CR282" s="303">
        <f>SUM(CR274:CR275)</f>
        <v>0</v>
      </c>
      <c r="CS282" s="231">
        <f t="shared" si="484"/>
        <v>54</v>
      </c>
      <c r="CT282" s="291"/>
      <c r="CU282" s="292"/>
      <c r="CV282" s="293"/>
      <c r="CW282" s="748"/>
      <c r="CX282" s="291"/>
      <c r="CY282" s="292"/>
      <c r="CZ282" s="293"/>
      <c r="DA282" s="748"/>
      <c r="DB282" s="129"/>
      <c r="DC282" s="292"/>
      <c r="DD282" s="79"/>
      <c r="DE282" s="619"/>
      <c r="DF282" s="619"/>
      <c r="DG282" s="395">
        <f>SUM(M282,AG282,BA282,BU282,DI282)-SUM(O282,AI282,BC282,BW282,CQ282)-L282</f>
        <v>-51</v>
      </c>
      <c r="DH282" s="29">
        <f t="shared" si="491"/>
        <v>54</v>
      </c>
      <c r="DI282" s="298">
        <f>SUM(DI274:DI275)</f>
        <v>0</v>
      </c>
      <c r="DJ282" s="7">
        <f t="shared" si="485"/>
        <v>-54</v>
      </c>
      <c r="DK282" s="256"/>
      <c r="DL282" s="303">
        <f>SUM(DL274:DL275)</f>
        <v>0</v>
      </c>
      <c r="DM282" s="231">
        <f t="shared" si="486"/>
        <v>54</v>
      </c>
    </row>
    <row r="283" spans="1:117" ht="28.8" x14ac:dyDescent="0.3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>SUM(M283,AG283,BA283,BU283)-L283</f>
        <v>-26</v>
      </c>
      <c r="K283" s="395">
        <f t="shared" si="487"/>
        <v>-35</v>
      </c>
      <c r="L283" s="544">
        <v>36</v>
      </c>
      <c r="M283" s="298">
        <f>SUM(M273:M275)</f>
        <v>1</v>
      </c>
      <c r="N283" s="7">
        <f t="shared" ref="N283" si="498">M283-L283</f>
        <v>-35</v>
      </c>
      <c r="O283" s="256"/>
      <c r="P283" s="303">
        <f>SUM(P273:P275)</f>
        <v>1</v>
      </c>
      <c r="Q283" s="231">
        <f t="shared" ref="Q283" si="499">L283+O283-P283</f>
        <v>35</v>
      </c>
      <c r="R283" s="448"/>
      <c r="S283" s="413"/>
      <c r="T283" s="414"/>
      <c r="U283" s="732"/>
      <c r="V283" s="448"/>
      <c r="W283" s="413"/>
      <c r="X283" s="414"/>
      <c r="Y283" s="732"/>
      <c r="Z283" s="129"/>
      <c r="AA283" s="292"/>
      <c r="AB283" s="79"/>
      <c r="AC283" s="619"/>
      <c r="AD283" s="619"/>
      <c r="AE283" s="395">
        <f>SUM(M283,AG283)-SUM(O283,AI283)-L283</f>
        <v>-34</v>
      </c>
      <c r="AF283" s="29">
        <f>Q283</f>
        <v>35</v>
      </c>
      <c r="AG283" s="298">
        <f>SUM(AG273:AG275)</f>
        <v>1</v>
      </c>
      <c r="AH283" s="7">
        <f t="shared" si="477"/>
        <v>-34</v>
      </c>
      <c r="AI283" s="256"/>
      <c r="AJ283" s="303">
        <f>SUM(AJ273:AJ275)</f>
        <v>1</v>
      </c>
      <c r="AK283" s="231">
        <f t="shared" si="478"/>
        <v>34</v>
      </c>
      <c r="AL283" s="129"/>
      <c r="AM283" s="413"/>
      <c r="AN283" s="467"/>
      <c r="AO283" s="798"/>
      <c r="AP283" s="291"/>
      <c r="AQ283" s="413"/>
      <c r="AR283" s="414"/>
      <c r="AS283" s="732"/>
      <c r="AT283" s="129"/>
      <c r="AU283" s="413"/>
      <c r="AV283" s="467"/>
      <c r="AW283" s="804"/>
      <c r="AX283" s="804"/>
      <c r="AY283" s="395">
        <f>SUM(M283,AG283,BA283)-SUM(O283,AI283,BC283)-L283</f>
        <v>-32</v>
      </c>
      <c r="AZ283" s="29">
        <f t="shared" si="488"/>
        <v>34</v>
      </c>
      <c r="BA283" s="298">
        <f>SUM(BA273:BA275)</f>
        <v>2</v>
      </c>
      <c r="BB283" s="7">
        <f t="shared" si="479"/>
        <v>-32</v>
      </c>
      <c r="BC283" s="256"/>
      <c r="BD283" s="303">
        <f>SUM(BD273:BD275)</f>
        <v>3</v>
      </c>
      <c r="BE283" s="231">
        <f t="shared" si="480"/>
        <v>31</v>
      </c>
      <c r="BF283" s="129"/>
      <c r="BG283" s="292"/>
      <c r="BH283" s="79"/>
      <c r="BI283" s="735"/>
      <c r="BJ283" s="129"/>
      <c r="BK283" s="413"/>
      <c r="BL283" s="467"/>
      <c r="BM283" s="798"/>
      <c r="BN283" s="448"/>
      <c r="BO283" s="413"/>
      <c r="BP283" s="79"/>
      <c r="BQ283" s="619"/>
      <c r="BR283" s="619"/>
      <c r="BS283" s="395">
        <f>SUM(M283,AG283,BA283,BU283)-SUM(O283,AI283,BC283,BW283)-L283</f>
        <v>-31</v>
      </c>
      <c r="BT283" s="29">
        <f t="shared" si="489"/>
        <v>31</v>
      </c>
      <c r="BU283" s="298">
        <f>SUM(BU273:BU275)</f>
        <v>6</v>
      </c>
      <c r="BV283" s="7">
        <f t="shared" si="481"/>
        <v>-25</v>
      </c>
      <c r="BW283" s="621">
        <v>5</v>
      </c>
      <c r="BX283" s="303">
        <f>SUM(BX273:BX275)</f>
        <v>2</v>
      </c>
      <c r="BY283" s="231">
        <f t="shared" si="482"/>
        <v>34</v>
      </c>
      <c r="BZ283" s="291"/>
      <c r="CA283" s="413"/>
      <c r="CB283" s="79"/>
      <c r="CC283" s="735"/>
      <c r="CD283" s="291"/>
      <c r="CE283" s="292"/>
      <c r="CF283" s="642" t="s">
        <v>947</v>
      </c>
      <c r="CG283" s="830"/>
      <c r="CH283" s="129"/>
      <c r="CI283" s="292"/>
      <c r="CJ283" s="79"/>
      <c r="CK283" s="619"/>
      <c r="CL283" s="619"/>
      <c r="CM283" s="395">
        <f>SUM(M283,AG283,BA283,BU283,CO283)-SUM(O283,AI283,BC283,BW283,CQ283)-L283</f>
        <v>-31</v>
      </c>
      <c r="CN283" s="29">
        <f t="shared" si="490"/>
        <v>34</v>
      </c>
      <c r="CO283" s="298">
        <f>SUM(CO273:CO275)</f>
        <v>0</v>
      </c>
      <c r="CP283" s="7">
        <f t="shared" si="483"/>
        <v>-34</v>
      </c>
      <c r="CQ283" s="256"/>
      <c r="CR283" s="303">
        <f>SUM(CR273:CR275)</f>
        <v>0</v>
      </c>
      <c r="CS283" s="231">
        <f t="shared" si="484"/>
        <v>34</v>
      </c>
      <c r="CT283" s="291"/>
      <c r="CU283" s="292"/>
      <c r="CV283" s="293"/>
      <c r="CW283" s="748"/>
      <c r="CX283" s="291"/>
      <c r="CY283" s="292"/>
      <c r="CZ283" s="293"/>
      <c r="DA283" s="748"/>
      <c r="DB283" s="129"/>
      <c r="DC283" s="292"/>
      <c r="DD283" s="79"/>
      <c r="DE283" s="619"/>
      <c r="DF283" s="619"/>
      <c r="DG283" s="395">
        <f>SUM(M283,AG283,BA283,BU283,DI283)-SUM(O283,AI283,BC283,BW283,CQ283)-L283</f>
        <v>-31</v>
      </c>
      <c r="DH283" s="29">
        <f t="shared" si="491"/>
        <v>34</v>
      </c>
      <c r="DI283" s="298">
        <f>SUM(DI273:DI275)</f>
        <v>0</v>
      </c>
      <c r="DJ283" s="7">
        <f t="shared" si="485"/>
        <v>-34</v>
      </c>
      <c r="DK283" s="256"/>
      <c r="DL283" s="303">
        <f>SUM(DL273:DL275)</f>
        <v>0</v>
      </c>
      <c r="DM283" s="231">
        <f t="shared" si="486"/>
        <v>34</v>
      </c>
    </row>
    <row r="284" spans="1:117" ht="28.8" x14ac:dyDescent="0.3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>SUM(M284,AG284,BA284,BU284)-L284</f>
        <v>1</v>
      </c>
      <c r="K284" s="395">
        <f t="shared" si="487"/>
        <v>-8</v>
      </c>
      <c r="L284" s="544">
        <v>9</v>
      </c>
      <c r="M284" s="298">
        <f>SUM(M273,M275)</f>
        <v>1</v>
      </c>
      <c r="N284" s="7">
        <f t="shared" ref="N284" si="500">M284-L284</f>
        <v>-8</v>
      </c>
      <c r="O284" s="258"/>
      <c r="P284" s="303">
        <f>SUM(P273,P275)</f>
        <v>1</v>
      </c>
      <c r="Q284" s="231">
        <f t="shared" ref="Q284" si="501">L284+O284-P284</f>
        <v>8</v>
      </c>
      <c r="R284" s="448"/>
      <c r="S284" s="413"/>
      <c r="T284" s="414"/>
      <c r="U284" s="732"/>
      <c r="V284" s="448"/>
      <c r="W284" s="413"/>
      <c r="X284" s="414"/>
      <c r="Y284" s="732"/>
      <c r="Z284" s="129"/>
      <c r="AA284" s="292"/>
      <c r="AB284" s="79"/>
      <c r="AC284" s="619"/>
      <c r="AD284" s="619"/>
      <c r="AE284" s="395">
        <f>SUM(M284,AG284)-SUM(O284,AI284)-L284</f>
        <v>-7</v>
      </c>
      <c r="AF284" s="29">
        <f>Q284</f>
        <v>8</v>
      </c>
      <c r="AG284" s="298">
        <f>SUM(AG273,AG275)</f>
        <v>1</v>
      </c>
      <c r="AH284" s="7">
        <f t="shared" si="477"/>
        <v>-7</v>
      </c>
      <c r="AI284" s="258"/>
      <c r="AJ284" s="303">
        <f>SUM(AJ273,AJ275)</f>
        <v>1</v>
      </c>
      <c r="AK284" s="231">
        <f t="shared" si="478"/>
        <v>7</v>
      </c>
      <c r="AL284" s="129"/>
      <c r="AM284" s="413"/>
      <c r="AN284" s="467"/>
      <c r="AO284" s="798"/>
      <c r="AP284" s="291"/>
      <c r="AQ284" s="413"/>
      <c r="AR284" s="414"/>
      <c r="AS284" s="732"/>
      <c r="AT284" s="129"/>
      <c r="AU284" s="413"/>
      <c r="AV284" s="467"/>
      <c r="AW284" s="804"/>
      <c r="AX284" s="804"/>
      <c r="AY284" s="395">
        <f>SUM(M284,AG284,BA284)-SUM(O284,AI284,BC284)-L284</f>
        <v>-5</v>
      </c>
      <c r="AZ284" s="29">
        <f t="shared" si="488"/>
        <v>7</v>
      </c>
      <c r="BA284" s="298">
        <f>SUM(BA273,BA275)</f>
        <v>2</v>
      </c>
      <c r="BB284" s="7">
        <f t="shared" si="479"/>
        <v>-5</v>
      </c>
      <c r="BC284" s="256"/>
      <c r="BD284" s="303">
        <f>SUM(BD273,BD275)</f>
        <v>3</v>
      </c>
      <c r="BE284" s="231">
        <f t="shared" si="480"/>
        <v>4</v>
      </c>
      <c r="BF284" s="129"/>
      <c r="BG284" s="292"/>
      <c r="BH284" s="79"/>
      <c r="BI284" s="735"/>
      <c r="BJ284" s="129"/>
      <c r="BK284" s="413"/>
      <c r="BL284" s="467"/>
      <c r="BM284" s="798"/>
      <c r="BN284" s="448"/>
      <c r="BO284" s="413"/>
      <c r="BP284" s="79"/>
      <c r="BQ284" s="619"/>
      <c r="BR284" s="619"/>
      <c r="BS284" s="395">
        <f>SUM(M284,AG284,BA284,BU284)-SUM(O284,AI284,BC284,BW284)-L284</f>
        <v>-4</v>
      </c>
      <c r="BT284" s="29">
        <f t="shared" si="489"/>
        <v>4</v>
      </c>
      <c r="BU284" s="298">
        <f>SUM(BU273,BU275)</f>
        <v>6</v>
      </c>
      <c r="BV284" s="7">
        <f t="shared" si="481"/>
        <v>2</v>
      </c>
      <c r="BW284" s="621">
        <v>5</v>
      </c>
      <c r="BX284" s="303">
        <f>SUM(BX273,BX275)</f>
        <v>2</v>
      </c>
      <c r="BY284" s="231">
        <f t="shared" si="482"/>
        <v>7</v>
      </c>
      <c r="BZ284" s="291"/>
      <c r="CA284" s="413"/>
      <c r="CB284" s="79"/>
      <c r="CC284" s="735"/>
      <c r="CD284" s="291"/>
      <c r="CE284" s="292"/>
      <c r="CF284" s="642" t="s">
        <v>947</v>
      </c>
      <c r="CG284" s="830"/>
      <c r="CH284" s="129"/>
      <c r="CI284" s="292"/>
      <c r="CJ284" s="79"/>
      <c r="CK284" s="619"/>
      <c r="CL284" s="619"/>
      <c r="CM284" s="395">
        <f>SUM(M284,AG284,BA284,BU284,CO284)-SUM(O284,AI284,BC284,BW284,CQ284)-L284</f>
        <v>-4</v>
      </c>
      <c r="CN284" s="29">
        <f t="shared" si="490"/>
        <v>7</v>
      </c>
      <c r="CO284" s="298">
        <f>SUM(CO273,CO275)</f>
        <v>0</v>
      </c>
      <c r="CP284" s="7">
        <f t="shared" si="483"/>
        <v>-7</v>
      </c>
      <c r="CQ284" s="256"/>
      <c r="CR284" s="303">
        <f>SUM(CR273,CR275)</f>
        <v>0</v>
      </c>
      <c r="CS284" s="231">
        <f t="shared" si="484"/>
        <v>7</v>
      </c>
      <c r="CT284" s="291"/>
      <c r="CU284" s="292"/>
      <c r="CV284" s="293"/>
      <c r="CW284" s="748"/>
      <c r="CX284" s="291"/>
      <c r="CY284" s="292"/>
      <c r="CZ284" s="293"/>
      <c r="DA284" s="748"/>
      <c r="DB284" s="129"/>
      <c r="DC284" s="292"/>
      <c r="DD284" s="79"/>
      <c r="DE284" s="619"/>
      <c r="DF284" s="619"/>
      <c r="DG284" s="395">
        <f>SUM(M284,AG284,BA284,BU284,DI284)-SUM(O284,AI284,BC284,BW284,CQ284)-L284</f>
        <v>-4</v>
      </c>
      <c r="DH284" s="29">
        <f t="shared" si="491"/>
        <v>7</v>
      </c>
      <c r="DI284" s="298">
        <f>SUM(DI273,DI275)</f>
        <v>0</v>
      </c>
      <c r="DJ284" s="7">
        <f t="shared" si="485"/>
        <v>-7</v>
      </c>
      <c r="DK284" s="256"/>
      <c r="DL284" s="303">
        <f>SUM(DL273,DL275)</f>
        <v>0</v>
      </c>
      <c r="DM284" s="231">
        <f t="shared" si="486"/>
        <v>7</v>
      </c>
    </row>
    <row r="285" spans="1:117" ht="43.2" x14ac:dyDescent="0.3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>SUM(M285,AG285,BA285,BU285)-L285</f>
        <v>1</v>
      </c>
      <c r="K285" s="395">
        <f t="shared" si="487"/>
        <v>-8</v>
      </c>
      <c r="L285" s="544">
        <v>9</v>
      </c>
      <c r="M285" s="299">
        <f>SUM(M272,M273,M275)</f>
        <v>1</v>
      </c>
      <c r="N285" s="7">
        <f t="shared" si="475"/>
        <v>-8</v>
      </c>
      <c r="O285" s="258"/>
      <c r="P285" s="303">
        <f>SUM(P272,P273,P275)</f>
        <v>1</v>
      </c>
      <c r="Q285" s="231">
        <f t="shared" si="476"/>
        <v>8</v>
      </c>
      <c r="R285" s="291"/>
      <c r="S285" s="292"/>
      <c r="T285" s="293"/>
      <c r="U285" s="748"/>
      <c r="V285" s="291"/>
      <c r="W285" s="292"/>
      <c r="X285" s="293"/>
      <c r="Y285" s="748"/>
      <c r="Z285" s="129"/>
      <c r="AA285" s="292"/>
      <c r="AB285" s="79"/>
      <c r="AC285" s="619"/>
      <c r="AD285" s="619"/>
      <c r="AE285" s="395">
        <f>SUM(M285,AG285)-SUM(O285,AI285)-L285</f>
        <v>-7</v>
      </c>
      <c r="AF285" s="29">
        <f>Q285</f>
        <v>8</v>
      </c>
      <c r="AG285" s="299">
        <f>SUM(AG272,AG273,AG275)</f>
        <v>1</v>
      </c>
      <c r="AH285" s="7">
        <f t="shared" si="477"/>
        <v>-7</v>
      </c>
      <c r="AI285" s="258"/>
      <c r="AJ285" s="303">
        <f>SUM(AJ272,AJ273,AJ275)</f>
        <v>1</v>
      </c>
      <c r="AK285" s="231">
        <f t="shared" si="478"/>
        <v>7</v>
      </c>
      <c r="AL285" s="291"/>
      <c r="AM285" s="292"/>
      <c r="AN285" s="293"/>
      <c r="AO285" s="748"/>
      <c r="AP285" s="291"/>
      <c r="AQ285" s="292"/>
      <c r="AR285" s="293"/>
      <c r="AS285" s="748"/>
      <c r="AT285" s="129"/>
      <c r="AU285" s="292"/>
      <c r="AV285" s="79"/>
      <c r="AW285" s="619"/>
      <c r="AX285" s="619"/>
      <c r="AY285" s="395">
        <f>SUM(M285,AG285,BA285)-SUM(O285,AI285,BC285)-L285</f>
        <v>-5</v>
      </c>
      <c r="AZ285" s="29">
        <f t="shared" si="488"/>
        <v>7</v>
      </c>
      <c r="BA285" s="299">
        <f>SUM(BA272,BA273,BA275)</f>
        <v>2</v>
      </c>
      <c r="BB285" s="7">
        <f t="shared" si="479"/>
        <v>-5</v>
      </c>
      <c r="BC285" s="256"/>
      <c r="BD285" s="303">
        <f>SUM(BD272,BD273,BD275)</f>
        <v>3</v>
      </c>
      <c r="BE285" s="231">
        <f t="shared" si="480"/>
        <v>4</v>
      </c>
      <c r="BF285" s="291"/>
      <c r="BG285" s="292"/>
      <c r="BH285" s="293"/>
      <c r="BI285" s="748"/>
      <c r="BJ285" s="291"/>
      <c r="BK285" s="292"/>
      <c r="BL285" s="293"/>
      <c r="BM285" s="748"/>
      <c r="BN285" s="129"/>
      <c r="BO285" s="292"/>
      <c r="BP285" s="79"/>
      <c r="BQ285" s="619"/>
      <c r="BR285" s="619"/>
      <c r="BS285" s="395">
        <f>SUM(M285,AG285,BA285,BU285)-SUM(O285,AI285,BC285,BW285)-L285</f>
        <v>-4</v>
      </c>
      <c r="BT285" s="29">
        <f t="shared" si="489"/>
        <v>4</v>
      </c>
      <c r="BU285" s="299">
        <f>SUM(BU272,BU273,BU275)</f>
        <v>6</v>
      </c>
      <c r="BV285" s="7">
        <f t="shared" si="481"/>
        <v>2</v>
      </c>
      <c r="BW285" s="621">
        <v>5</v>
      </c>
      <c r="BX285" s="303">
        <f>SUM(BX272,BX273,BX275)</f>
        <v>2</v>
      </c>
      <c r="BY285" s="231">
        <f t="shared" si="482"/>
        <v>7</v>
      </c>
      <c r="BZ285" s="291"/>
      <c r="CA285" s="292"/>
      <c r="CB285" s="293"/>
      <c r="CC285" s="748"/>
      <c r="CD285" s="291"/>
      <c r="CE285" s="292"/>
      <c r="CF285" s="642" t="s">
        <v>947</v>
      </c>
      <c r="CG285" s="830"/>
      <c r="CH285" s="129"/>
      <c r="CI285" s="292"/>
      <c r="CJ285" s="79"/>
      <c r="CK285" s="619"/>
      <c r="CL285" s="619"/>
      <c r="CM285" s="395">
        <f>SUM(M285,AG285,BA285,BU285,CO285)-SUM(O285,AI285,BC285,BW285,CQ285)-L285</f>
        <v>-4</v>
      </c>
      <c r="CN285" s="29">
        <f t="shared" si="490"/>
        <v>7</v>
      </c>
      <c r="CO285" s="299">
        <f>SUM(CO272,CO273,CO275)</f>
        <v>0</v>
      </c>
      <c r="CP285" s="7">
        <f t="shared" si="483"/>
        <v>-7</v>
      </c>
      <c r="CQ285" s="240"/>
      <c r="CR285" s="303">
        <f>SUM(CR272,CR273,CR275)</f>
        <v>0</v>
      </c>
      <c r="CS285" s="231">
        <f t="shared" si="484"/>
        <v>7</v>
      </c>
      <c r="CT285" s="291"/>
      <c r="CU285" s="292"/>
      <c r="CV285" s="293"/>
      <c r="CW285" s="748"/>
      <c r="CX285" s="291"/>
      <c r="CY285" s="292"/>
      <c r="CZ285" s="293"/>
      <c r="DA285" s="748"/>
      <c r="DB285" s="129"/>
      <c r="DC285" s="292"/>
      <c r="DD285" s="79"/>
      <c r="DE285" s="619"/>
      <c r="DF285" s="619"/>
      <c r="DG285" s="395">
        <f>SUM(M285,AG285,BA285,BU285,DI285)-SUM(O285,AI285,BC285,BW285,CQ285)-L285</f>
        <v>-4</v>
      </c>
      <c r="DH285" s="29">
        <f t="shared" si="491"/>
        <v>7</v>
      </c>
      <c r="DI285" s="299">
        <f>SUM(DI272,DI273,DI275)</f>
        <v>0</v>
      </c>
      <c r="DJ285" s="7">
        <f t="shared" si="485"/>
        <v>-7</v>
      </c>
      <c r="DK285" s="240"/>
      <c r="DL285" s="303">
        <f>SUM(DL272,DL273,DL275)</f>
        <v>0</v>
      </c>
      <c r="DM285" s="231">
        <f t="shared" si="486"/>
        <v>7</v>
      </c>
    </row>
    <row r="286" spans="1:117" ht="28.8" x14ac:dyDescent="0.3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>SUM(M286,AG286,BA286,BU286)-L286</f>
        <v>-1</v>
      </c>
      <c r="K286" s="395">
        <f t="shared" si="487"/>
        <v>-1</v>
      </c>
      <c r="L286" s="544">
        <v>1</v>
      </c>
      <c r="M286" s="299">
        <f>M273</f>
        <v>0</v>
      </c>
      <c r="N286" s="7">
        <f t="shared" si="475"/>
        <v>-1</v>
      </c>
      <c r="O286" s="256"/>
      <c r="P286" s="303">
        <f>P273</f>
        <v>0</v>
      </c>
      <c r="Q286" s="231">
        <f t="shared" si="476"/>
        <v>1</v>
      </c>
      <c r="R286" s="291"/>
      <c r="S286" s="292"/>
      <c r="T286" s="293"/>
      <c r="U286" s="748"/>
      <c r="V286" s="291"/>
      <c r="W286" s="292"/>
      <c r="X286" s="293"/>
      <c r="Y286" s="748"/>
      <c r="Z286" s="129"/>
      <c r="AA286" s="292"/>
      <c r="AB286" s="79"/>
      <c r="AC286" s="619"/>
      <c r="AD286" s="619"/>
      <c r="AE286" s="395">
        <f>SUM(M286,AG286)-SUM(O286,AI286)-L286</f>
        <v>-1</v>
      </c>
      <c r="AF286" s="29">
        <f>Q286</f>
        <v>1</v>
      </c>
      <c r="AG286" s="299">
        <f>AG273</f>
        <v>0</v>
      </c>
      <c r="AH286" s="7">
        <f t="shared" si="477"/>
        <v>-1</v>
      </c>
      <c r="AI286" s="256"/>
      <c r="AJ286" s="303">
        <f>AJ273</f>
        <v>0</v>
      </c>
      <c r="AK286" s="231">
        <f t="shared" si="478"/>
        <v>1</v>
      </c>
      <c r="AL286" s="291"/>
      <c r="AM286" s="292"/>
      <c r="AN286" s="293"/>
      <c r="AO286" s="748"/>
      <c r="AP286" s="291"/>
      <c r="AQ286" s="292"/>
      <c r="AR286" s="293"/>
      <c r="AS286" s="748"/>
      <c r="AT286" s="129"/>
      <c r="AU286" s="292"/>
      <c r="AV286" s="79"/>
      <c r="AW286" s="619"/>
      <c r="AX286" s="619"/>
      <c r="AY286" s="395">
        <f>SUM(M286,AG286,BA286)-SUM(O286,AI286,BC286)-L286</f>
        <v>-1</v>
      </c>
      <c r="AZ286" s="29">
        <f t="shared" si="488"/>
        <v>1</v>
      </c>
      <c r="BA286" s="299">
        <f>BA273</f>
        <v>0</v>
      </c>
      <c r="BB286" s="7">
        <f t="shared" si="479"/>
        <v>-1</v>
      </c>
      <c r="BC286" s="256"/>
      <c r="BD286" s="303">
        <f>BD273</f>
        <v>0</v>
      </c>
      <c r="BE286" s="231">
        <f t="shared" si="480"/>
        <v>1</v>
      </c>
      <c r="BF286" s="291"/>
      <c r="BG286" s="292"/>
      <c r="BH286" s="293"/>
      <c r="BI286" s="748"/>
      <c r="BJ286" s="291"/>
      <c r="BK286" s="292"/>
      <c r="BL286" s="293"/>
      <c r="BM286" s="748"/>
      <c r="BN286" s="129"/>
      <c r="BO286" s="292"/>
      <c r="BP286" s="79"/>
      <c r="BQ286" s="619"/>
      <c r="BR286" s="619"/>
      <c r="BS286" s="395">
        <f>SUM(M286,AG286,BA286,BU286)-SUM(O286,AI286,BC286,BW286)-L286</f>
        <v>-1</v>
      </c>
      <c r="BT286" s="29">
        <f t="shared" si="489"/>
        <v>1</v>
      </c>
      <c r="BU286" s="299">
        <f>BU273</f>
        <v>0</v>
      </c>
      <c r="BV286" s="7">
        <f t="shared" si="481"/>
        <v>-1</v>
      </c>
      <c r="BW286" s="240"/>
      <c r="BX286" s="303">
        <f>BX273</f>
        <v>0</v>
      </c>
      <c r="BY286" s="231">
        <f t="shared" si="482"/>
        <v>1</v>
      </c>
      <c r="BZ286" s="291"/>
      <c r="CA286" s="292"/>
      <c r="CB286" s="293"/>
      <c r="CC286" s="748"/>
      <c r="CD286" s="291"/>
      <c r="CE286" s="292"/>
      <c r="CF286" s="293"/>
      <c r="CG286" s="748"/>
      <c r="CH286" s="129"/>
      <c r="CI286" s="292"/>
      <c r="CJ286" s="79"/>
      <c r="CK286" s="619"/>
      <c r="CL286" s="619"/>
      <c r="CM286" s="395">
        <f>SUM(M286,AG286,BA286,BU286,CO286)-SUM(O286,AI286,BC286,BW286,CQ286)-L286</f>
        <v>-1</v>
      </c>
      <c r="CN286" s="29">
        <f t="shared" si="490"/>
        <v>1</v>
      </c>
      <c r="CO286" s="299">
        <f>CO273</f>
        <v>0</v>
      </c>
      <c r="CP286" s="7">
        <f t="shared" si="483"/>
        <v>-1</v>
      </c>
      <c r="CQ286" s="240"/>
      <c r="CR286" s="303">
        <f>CR273</f>
        <v>0</v>
      </c>
      <c r="CS286" s="231">
        <f t="shared" si="484"/>
        <v>1</v>
      </c>
      <c r="CT286" s="291"/>
      <c r="CU286" s="292"/>
      <c r="CV286" s="293"/>
      <c r="CW286" s="748"/>
      <c r="CX286" s="291"/>
      <c r="CY286" s="292"/>
      <c r="CZ286" s="293"/>
      <c r="DA286" s="748"/>
      <c r="DB286" s="129"/>
      <c r="DC286" s="292"/>
      <c r="DD286" s="79"/>
      <c r="DE286" s="619"/>
      <c r="DF286" s="619"/>
      <c r="DG286" s="395">
        <f>SUM(M286,AG286,BA286,BU286,DI286)-SUM(O286,AI286,BC286,BW286,CQ286)-L286</f>
        <v>-1</v>
      </c>
      <c r="DH286" s="29">
        <f t="shared" si="491"/>
        <v>1</v>
      </c>
      <c r="DI286" s="299">
        <f>DI273</f>
        <v>0</v>
      </c>
      <c r="DJ286" s="7">
        <f t="shared" si="485"/>
        <v>-1</v>
      </c>
      <c r="DK286" s="240"/>
      <c r="DL286" s="303">
        <f>DL273</f>
        <v>0</v>
      </c>
      <c r="DM286" s="231">
        <f t="shared" si="486"/>
        <v>1</v>
      </c>
    </row>
    <row r="287" spans="1:117" ht="43.2" x14ac:dyDescent="0.3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>SUM(M287,AG287,BA287,BU287)-L287</f>
        <v>-17</v>
      </c>
      <c r="K287" s="395">
        <f t="shared" si="487"/>
        <v>-26</v>
      </c>
      <c r="L287" s="544">
        <v>27</v>
      </c>
      <c r="M287" s="299">
        <f>M274+M275</f>
        <v>1</v>
      </c>
      <c r="N287" s="7">
        <f t="shared" si="475"/>
        <v>-26</v>
      </c>
      <c r="O287" s="256"/>
      <c r="P287" s="303">
        <f>SUM(P274,P275)</f>
        <v>1</v>
      </c>
      <c r="Q287" s="231">
        <f t="shared" si="476"/>
        <v>26</v>
      </c>
      <c r="R287" s="291"/>
      <c r="S287" s="292"/>
      <c r="T287" s="293"/>
      <c r="U287" s="748"/>
      <c r="V287" s="291"/>
      <c r="W287" s="292"/>
      <c r="X287" s="293"/>
      <c r="Y287" s="748"/>
      <c r="Z287" s="129"/>
      <c r="AA287" s="292"/>
      <c r="AB287" s="79"/>
      <c r="AC287" s="619"/>
      <c r="AD287" s="619"/>
      <c r="AE287" s="395">
        <f>SUM(M287,AG287)-SUM(O287,AI287)-L287</f>
        <v>-25</v>
      </c>
      <c r="AF287" s="29">
        <f>Q287</f>
        <v>26</v>
      </c>
      <c r="AG287" s="299">
        <f>AG274+AG275</f>
        <v>1</v>
      </c>
      <c r="AH287" s="7">
        <f t="shared" si="477"/>
        <v>-25</v>
      </c>
      <c r="AI287" s="258"/>
      <c r="AJ287" s="303">
        <f>SUM(AJ274,AJ275)</f>
        <v>1</v>
      </c>
      <c r="AK287" s="231">
        <f t="shared" si="478"/>
        <v>25</v>
      </c>
      <c r="AL287" s="291"/>
      <c r="AM287" s="292"/>
      <c r="AN287" s="293"/>
      <c r="AO287" s="748"/>
      <c r="AP287" s="448"/>
      <c r="AQ287" s="292"/>
      <c r="AR287" s="414"/>
      <c r="AS287" s="732"/>
      <c r="AT287" s="129"/>
      <c r="AU287" s="292"/>
      <c r="AV287" s="79"/>
      <c r="AW287" s="619"/>
      <c r="AX287" s="619"/>
      <c r="AY287" s="395">
        <f>SUM(M287,AG287,BA287)-SUM(O287,AI287,BC287)-L287</f>
        <v>-23</v>
      </c>
      <c r="AZ287" s="29">
        <f t="shared" si="488"/>
        <v>25</v>
      </c>
      <c r="BA287" s="299">
        <f>BA274+BA275</f>
        <v>2</v>
      </c>
      <c r="BB287" s="7">
        <f t="shared" si="479"/>
        <v>-23</v>
      </c>
      <c r="BC287" s="256"/>
      <c r="BD287" s="303">
        <f>SUM(BD274,BD275)</f>
        <v>3</v>
      </c>
      <c r="BE287" s="231">
        <f t="shared" si="480"/>
        <v>22</v>
      </c>
      <c r="BF287" s="448"/>
      <c r="BG287" s="413"/>
      <c r="BH287" s="414"/>
      <c r="BI287" s="732"/>
      <c r="BJ287" s="448"/>
      <c r="BK287" s="413"/>
      <c r="BL287" s="414"/>
      <c r="BM287" s="732"/>
      <c r="BN287" s="129"/>
      <c r="BO287" s="292"/>
      <c r="BP287" s="79"/>
      <c r="BQ287" s="619"/>
      <c r="BR287" s="619"/>
      <c r="BS287" s="395">
        <f>SUM(M287,AG287,BA287,BU287)-SUM(O287,AI287,BC287,BW287)-L287</f>
        <v>-22</v>
      </c>
      <c r="BT287" s="29">
        <f t="shared" si="489"/>
        <v>22</v>
      </c>
      <c r="BU287" s="299">
        <f>BU274+BU275</f>
        <v>6</v>
      </c>
      <c r="BV287" s="7">
        <f t="shared" si="481"/>
        <v>-16</v>
      </c>
      <c r="BW287" s="240">
        <v>5</v>
      </c>
      <c r="BX287" s="303">
        <f>SUM(BX274,BX275)</f>
        <v>2</v>
      </c>
      <c r="BY287" s="231">
        <f t="shared" si="482"/>
        <v>25</v>
      </c>
      <c r="BZ287" s="291"/>
      <c r="CA287" s="292"/>
      <c r="CB287" s="293"/>
      <c r="CC287" s="748"/>
      <c r="CD287" s="291"/>
      <c r="CE287" s="292"/>
      <c r="CF287" s="293"/>
      <c r="CG287" s="748"/>
      <c r="CH287" s="129"/>
      <c r="CI287" s="292"/>
      <c r="CJ287" s="79"/>
      <c r="CK287" s="619"/>
      <c r="CL287" s="619"/>
      <c r="CM287" s="395">
        <f>SUM(M287,AG287,BA287,BU287,CO287)-SUM(O287,AI287,BC287,BW287,CQ287)-L287</f>
        <v>-22</v>
      </c>
      <c r="CN287" s="29">
        <f t="shared" si="490"/>
        <v>25</v>
      </c>
      <c r="CO287" s="299">
        <f>CO274+CO275</f>
        <v>0</v>
      </c>
      <c r="CP287" s="7">
        <f t="shared" si="483"/>
        <v>-25</v>
      </c>
      <c r="CQ287" s="240"/>
      <c r="CR287" s="303">
        <f>SUM(CR274,CR275)</f>
        <v>0</v>
      </c>
      <c r="CS287" s="231">
        <f t="shared" si="484"/>
        <v>25</v>
      </c>
      <c r="CT287" s="291"/>
      <c r="CU287" s="292"/>
      <c r="CV287" s="293"/>
      <c r="CW287" s="748"/>
      <c r="CX287" s="291"/>
      <c r="CY287" s="292"/>
      <c r="CZ287" s="293"/>
      <c r="DA287" s="748"/>
      <c r="DB287" s="129"/>
      <c r="DC287" s="292"/>
      <c r="DD287" s="79"/>
      <c r="DE287" s="619"/>
      <c r="DF287" s="619"/>
      <c r="DG287" s="395">
        <f>SUM(M287,AG287,BA287,BU287,DI287)-SUM(O287,AI287,BC287,BW287,CQ287)-L287</f>
        <v>-22</v>
      </c>
      <c r="DH287" s="29">
        <f t="shared" si="491"/>
        <v>25</v>
      </c>
      <c r="DI287" s="299">
        <f>DI274+DI275</f>
        <v>0</v>
      </c>
      <c r="DJ287" s="7">
        <f t="shared" si="485"/>
        <v>-25</v>
      </c>
      <c r="DK287" s="240"/>
      <c r="DL287" s="303">
        <f>SUM(DL274,DL275)</f>
        <v>0</v>
      </c>
      <c r="DM287" s="231">
        <f t="shared" si="486"/>
        <v>25</v>
      </c>
    </row>
    <row r="288" spans="1:117" ht="43.8" thickBot="1" x14ac:dyDescent="0.35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>SUM(M288,AG288,BA288,BU288)-L288</f>
        <v>0</v>
      </c>
      <c r="K288" s="395">
        <f t="shared" si="487"/>
        <v>-9</v>
      </c>
      <c r="L288" s="544">
        <v>10</v>
      </c>
      <c r="M288" s="299">
        <f>SUM(M272:M275)</f>
        <v>1</v>
      </c>
      <c r="N288" s="7">
        <f t="shared" si="475"/>
        <v>-9</v>
      </c>
      <c r="O288" s="240"/>
      <c r="P288" s="378">
        <f>SUM(P272:P275)</f>
        <v>1</v>
      </c>
      <c r="Q288" s="231">
        <f t="shared" si="476"/>
        <v>9</v>
      </c>
      <c r="R288" s="448"/>
      <c r="S288" s="413"/>
      <c r="T288" s="414"/>
      <c r="U288" s="732"/>
      <c r="V288" s="448"/>
      <c r="W288" s="413"/>
      <c r="X288" s="211"/>
      <c r="Y288" s="732"/>
      <c r="Z288" s="448"/>
      <c r="AA288" s="413"/>
      <c r="AB288" s="211"/>
      <c r="AC288" s="760"/>
      <c r="AD288" s="760"/>
      <c r="AE288" s="395">
        <f>SUM(M288,AG288)-SUM(O288,AI288)-L288</f>
        <v>-8</v>
      </c>
      <c r="AF288" s="29">
        <f>Q288</f>
        <v>9</v>
      </c>
      <c r="AG288" s="299">
        <f>SUM(AG272:AG275)</f>
        <v>1</v>
      </c>
      <c r="AH288" s="7">
        <f t="shared" si="477"/>
        <v>-8</v>
      </c>
      <c r="AI288" s="258"/>
      <c r="AJ288" s="378">
        <f>SUM(AJ272:AJ275)</f>
        <v>1</v>
      </c>
      <c r="AK288" s="231">
        <f t="shared" si="478"/>
        <v>8</v>
      </c>
      <c r="AL288" s="448"/>
      <c r="AM288" s="413"/>
      <c r="AN288" s="211"/>
      <c r="AO288" s="732"/>
      <c r="AP288" s="291"/>
      <c r="AQ288" s="413"/>
      <c r="AR288" s="414"/>
      <c r="AS288" s="732"/>
      <c r="AT288" s="129"/>
      <c r="AU288" s="292"/>
      <c r="AV288" s="79"/>
      <c r="AW288" s="619"/>
      <c r="AX288" s="619"/>
      <c r="AY288" s="395">
        <f>SUM(M288,AG288,BA288)-SUM(O288,AI288,BC288)-L288</f>
        <v>-6</v>
      </c>
      <c r="AZ288" s="29">
        <f t="shared" si="488"/>
        <v>8</v>
      </c>
      <c r="BA288" s="299">
        <f>SUM(BA272:BA275)</f>
        <v>2</v>
      </c>
      <c r="BB288" s="7">
        <f t="shared" si="479"/>
        <v>-6</v>
      </c>
      <c r="BC288" s="240"/>
      <c r="BD288" s="378">
        <f>SUM(BD272:BD275)</f>
        <v>3</v>
      </c>
      <c r="BE288" s="231">
        <f t="shared" si="480"/>
        <v>5</v>
      </c>
      <c r="BF288" s="129"/>
      <c r="BG288" s="292"/>
      <c r="BH288" s="79"/>
      <c r="BI288" s="735"/>
      <c r="BJ288" s="129"/>
      <c r="BK288" s="413"/>
      <c r="BL288" s="467"/>
      <c r="BM288" s="798"/>
      <c r="BN288" s="129"/>
      <c r="BO288" s="413"/>
      <c r="BP288" s="79"/>
      <c r="BQ288" s="619"/>
      <c r="BR288" s="619"/>
      <c r="BS288" s="395">
        <f>SUM(M288,AG288,BA288,BU288)-SUM(O288,AI288,BC288,BW288)-L288</f>
        <v>-5</v>
      </c>
      <c r="BT288" s="29">
        <f t="shared" si="489"/>
        <v>5</v>
      </c>
      <c r="BU288" s="299">
        <f>SUM(BU272:BU275)</f>
        <v>6</v>
      </c>
      <c r="BV288" s="7">
        <f t="shared" si="481"/>
        <v>1</v>
      </c>
      <c r="BW288" s="621">
        <v>5</v>
      </c>
      <c r="BX288" s="378">
        <f>SUM(BX272:BX275)</f>
        <v>2</v>
      </c>
      <c r="BY288" s="231">
        <f t="shared" si="482"/>
        <v>8</v>
      </c>
      <c r="BZ288" s="291"/>
      <c r="CA288" s="292"/>
      <c r="CB288" s="79"/>
      <c r="CC288" s="735"/>
      <c r="CD288" s="156">
        <f>F288*BW288/2</f>
        <v>34035</v>
      </c>
      <c r="CE288" s="157"/>
      <c r="CF288" s="688" t="s">
        <v>813</v>
      </c>
      <c r="CG288" s="831"/>
      <c r="CH288" s="292"/>
      <c r="CI288" s="660">
        <v>34035</v>
      </c>
      <c r="CJ288" s="654" t="s">
        <v>903</v>
      </c>
      <c r="CK288" s="847"/>
      <c r="CL288" s="847"/>
      <c r="CM288" s="395">
        <f>SUM(M288,AG288,BA288,BU288,CO288)-SUM(O288,AI288,BC288,BW288,CQ288)-L288</f>
        <v>-5</v>
      </c>
      <c r="CN288" s="29">
        <f t="shared" si="490"/>
        <v>8</v>
      </c>
      <c r="CO288" s="299">
        <f>SUM(CO272:CO275)</f>
        <v>0</v>
      </c>
      <c r="CP288" s="7">
        <f t="shared" si="483"/>
        <v>-8</v>
      </c>
      <c r="CQ288" s="315"/>
      <c r="CR288" s="378">
        <f>SUM(CR272:CR275)</f>
        <v>0</v>
      </c>
      <c r="CS288" s="231">
        <f t="shared" si="484"/>
        <v>8</v>
      </c>
      <c r="CT288" s="291"/>
      <c r="CU288" s="292"/>
      <c r="CV288" s="293"/>
      <c r="CW288" s="748"/>
      <c r="CX288" s="291"/>
      <c r="CY288" s="292"/>
      <c r="CZ288" s="293"/>
      <c r="DA288" s="748"/>
      <c r="DB288" s="129"/>
      <c r="DC288" s="292"/>
      <c r="DD288" s="79"/>
      <c r="DE288" s="619"/>
      <c r="DF288" s="619"/>
      <c r="DG288" s="395">
        <f>SUM(M288,AG288,BA288,BU288,DI288)-SUM(O288,AI288,BC288,BW288,CQ288)-L288</f>
        <v>-5</v>
      </c>
      <c r="DH288" s="29">
        <f t="shared" si="491"/>
        <v>8</v>
      </c>
      <c r="DI288" s="299">
        <f>SUM(DI272:DI275)</f>
        <v>0</v>
      </c>
      <c r="DJ288" s="7">
        <f t="shared" si="485"/>
        <v>-8</v>
      </c>
      <c r="DK288" s="315"/>
      <c r="DL288" s="378">
        <f>SUM(DL272:DL275)</f>
        <v>0</v>
      </c>
      <c r="DM288" s="231">
        <f t="shared" si="486"/>
        <v>8</v>
      </c>
    </row>
    <row r="289" spans="1:117" ht="15" thickBot="1" x14ac:dyDescent="0.35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3.2" x14ac:dyDescent="0.3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29.4" thickBot="1" x14ac:dyDescent="0.35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>SUM(M291,AG291,BA291,BU291)-L291</f>
        <v>0</v>
      </c>
      <c r="K291" s="395">
        <f t="shared" ref="K291:K338" si="502">M291-O291-L291</f>
        <v>-9</v>
      </c>
      <c r="L291" s="544">
        <v>10</v>
      </c>
      <c r="M291" s="298">
        <f>M290</f>
        <v>1</v>
      </c>
      <c r="N291" s="5">
        <f t="shared" ref="N291:N314" si="503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>SUM(M291,AG291)-SUM(O291,AI291)-L291</f>
        <v>-8</v>
      </c>
      <c r="AF291" s="29">
        <f>Q291</f>
        <v>9</v>
      </c>
      <c r="AG291" s="298">
        <f>AG290</f>
        <v>1</v>
      </c>
      <c r="AH291" s="5">
        <f t="shared" ref="AH291:AH314" si="504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05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35"/>
      <c r="BN291" s="200"/>
      <c r="BO291" s="6"/>
      <c r="BP291" s="79"/>
      <c r="BQ291" s="619"/>
      <c r="BR291" s="619"/>
      <c r="BS291" s="395">
        <f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06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>F291*BW291/2</f>
        <v>17722.5</v>
      </c>
      <c r="CE291" s="663"/>
      <c r="CF291" s="705" t="s">
        <v>931</v>
      </c>
      <c r="CG291" s="832"/>
      <c r="CH291" s="21"/>
      <c r="CI291" s="630">
        <f>F291*BW291/2</f>
        <v>17722.5</v>
      </c>
      <c r="CJ291" s="625" t="s">
        <v>935</v>
      </c>
      <c r="CK291" s="844"/>
      <c r="CL291" s="844"/>
      <c r="CM291" s="395">
        <f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0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>SUM(M291,AG291,BA291,BU291,DI291)-SUM(O291,AI291,BC291,BW291,CQ291)-L291</f>
        <v>-5</v>
      </c>
      <c r="DH291" s="29">
        <f t="shared" ref="DH291:DH335" si="508">BY291</f>
        <v>11</v>
      </c>
      <c r="DI291" s="302">
        <f>SUM(DI272:DI275)</f>
        <v>0</v>
      </c>
      <c r="DJ291" s="7">
        <f t="shared" ref="DJ291:DJ298" si="509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29.4" thickBot="1" x14ac:dyDescent="0.35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>SUM(M292,AG292,BA292,BU292)-L292</f>
        <v>0</v>
      </c>
      <c r="K292" s="395">
        <f t="shared" si="502"/>
        <v>-9</v>
      </c>
      <c r="L292" s="544">
        <v>10</v>
      </c>
      <c r="M292" s="298">
        <f>M290</f>
        <v>1</v>
      </c>
      <c r="N292" s="5">
        <f t="shared" si="503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>SUM(M292,AG292)-SUM(O292,AI292)-L292</f>
        <v>-8</v>
      </c>
      <c r="AF292" s="29">
        <f>Q292</f>
        <v>9</v>
      </c>
      <c r="AG292" s="298">
        <f>AG290</f>
        <v>1</v>
      </c>
      <c r="AH292" s="5">
        <f t="shared" si="504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>SUM(M292,AG292,BA292)-SUM(O292,AI292,BC292)-L292</f>
        <v>-6</v>
      </c>
      <c r="AZ292" s="29">
        <f t="shared" ref="AZ292:AZ314" si="510">AK292</f>
        <v>9</v>
      </c>
      <c r="BA292" s="298">
        <f>BA290</f>
        <v>2</v>
      </c>
      <c r="BB292" s="5">
        <f t="shared" si="505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35"/>
      <c r="BN292" s="200"/>
      <c r="BO292" s="6"/>
      <c r="BP292" s="79"/>
      <c r="BQ292" s="619"/>
      <c r="BR292" s="619"/>
      <c r="BS292" s="395">
        <f>SUM(M292,AG292,BA292,BU292)-SUM(O292,AI292,BC292,BW292)-L292</f>
        <v>-5</v>
      </c>
      <c r="BT292" s="29">
        <f t="shared" ref="BT292:BT314" si="511">BE292</f>
        <v>6</v>
      </c>
      <c r="BU292" s="298">
        <f>BU290</f>
        <v>6</v>
      </c>
      <c r="BV292" s="5">
        <f t="shared" si="506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>F292*BW292/2</f>
        <v>3705</v>
      </c>
      <c r="CE292" s="663"/>
      <c r="CF292" s="705" t="s">
        <v>931</v>
      </c>
      <c r="CG292" s="832"/>
      <c r="CH292" s="21"/>
      <c r="CI292" s="630">
        <f>F292*BW292/2</f>
        <v>3705</v>
      </c>
      <c r="CJ292" s="625" t="s">
        <v>935</v>
      </c>
      <c r="CK292" s="844"/>
      <c r="CL292" s="844"/>
      <c r="CM292" s="395">
        <f>SUM(M292,AG292,BA292,BU292,CO292)-SUM(O292,AI292,BC292,BW292,CQ292)-L292</f>
        <v>-5</v>
      </c>
      <c r="CN292" s="29">
        <f t="shared" ref="CN292:CN314" si="512">BY292</f>
        <v>11</v>
      </c>
      <c r="CO292" s="298">
        <f>SUM(CO272:CO275)</f>
        <v>0</v>
      </c>
      <c r="CP292" s="5">
        <f t="shared" si="50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>SUM(M292,AG292,BA292,BU292,DI292)-SUM(O292,AI292,BC292,BW292,CQ292)-L292</f>
        <v>-5</v>
      </c>
      <c r="DH292" s="29">
        <f t="shared" si="508"/>
        <v>11</v>
      </c>
      <c r="DI292" s="298">
        <f>SUM(DI272:DI275)</f>
        <v>0</v>
      </c>
      <c r="DJ292" s="5">
        <f t="shared" si="509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29.4" thickBot="1" x14ac:dyDescent="0.35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>SUM(M293,AG293,BA293,BU293)-L293</f>
        <v>0</v>
      </c>
      <c r="K293" s="395">
        <f t="shared" si="502"/>
        <v>-9</v>
      </c>
      <c r="L293" s="544">
        <v>10</v>
      </c>
      <c r="M293" s="298">
        <f>M290</f>
        <v>1</v>
      </c>
      <c r="N293" s="5">
        <f t="shared" si="503"/>
        <v>-9</v>
      </c>
      <c r="O293" s="256"/>
      <c r="P293" s="303">
        <f>P290</f>
        <v>1</v>
      </c>
      <c r="Q293" s="231">
        <f t="shared" ref="Q293:Q298" si="513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>SUM(M293,AG293)-SUM(O293,AI293)-L293</f>
        <v>-8</v>
      </c>
      <c r="AF293" s="29">
        <f>Q293</f>
        <v>9</v>
      </c>
      <c r="AG293" s="298">
        <f>AG290</f>
        <v>1</v>
      </c>
      <c r="AH293" s="5">
        <f t="shared" si="504"/>
        <v>-8</v>
      </c>
      <c r="AI293" s="256"/>
      <c r="AJ293" s="303">
        <f>AJ290</f>
        <v>0</v>
      </c>
      <c r="AK293" s="231">
        <f t="shared" ref="AK293:AK298" si="514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>SUM(M293,AG293,BA293)-SUM(O293,AI293,BC293)-L293</f>
        <v>-6</v>
      </c>
      <c r="AZ293" s="29">
        <f t="shared" si="510"/>
        <v>9</v>
      </c>
      <c r="BA293" s="298">
        <f>BA290</f>
        <v>2</v>
      </c>
      <c r="BB293" s="5">
        <f t="shared" si="505"/>
        <v>-7</v>
      </c>
      <c r="BC293" s="256"/>
      <c r="BD293" s="303">
        <f>BD290</f>
        <v>3</v>
      </c>
      <c r="BE293" s="231">
        <f t="shared" ref="BE293:BE298" si="515">AZ293+BC293-BD293</f>
        <v>6</v>
      </c>
      <c r="BF293" s="121"/>
      <c r="BG293" s="6"/>
      <c r="BH293" s="35"/>
      <c r="BI293" s="612"/>
      <c r="BJ293" s="121"/>
      <c r="BK293" s="6"/>
      <c r="BL293" s="35"/>
      <c r="BM293" s="735"/>
      <c r="BN293" s="200"/>
      <c r="BO293" s="6"/>
      <c r="BP293" s="79"/>
      <c r="BQ293" s="619"/>
      <c r="BR293" s="619"/>
      <c r="BS293" s="395">
        <f>SUM(M293,AG293,BA293,BU293)-SUM(O293,AI293,BC293,BW293)-L293</f>
        <v>-5</v>
      </c>
      <c r="BT293" s="29">
        <f t="shared" si="511"/>
        <v>6</v>
      </c>
      <c r="BU293" s="298">
        <f>BU290</f>
        <v>6</v>
      </c>
      <c r="BV293" s="5">
        <f t="shared" si="506"/>
        <v>0</v>
      </c>
      <c r="BW293" s="621">
        <v>5</v>
      </c>
      <c r="BX293" s="303">
        <f>BX290</f>
        <v>0</v>
      </c>
      <c r="BY293" s="231">
        <f t="shared" ref="BY293:BY298" si="516">BT293+BW293-BX293</f>
        <v>11</v>
      </c>
      <c r="BZ293" s="121"/>
      <c r="CA293" s="6"/>
      <c r="CB293" s="35"/>
      <c r="CC293" s="612"/>
      <c r="CD293" s="668">
        <f>F293*BW293/2</f>
        <v>5790</v>
      </c>
      <c r="CE293" s="663"/>
      <c r="CF293" s="705" t="s">
        <v>931</v>
      </c>
      <c r="CG293" s="832"/>
      <c r="CH293" s="21"/>
      <c r="CI293" s="630">
        <f>F293*BW293/2</f>
        <v>5790</v>
      </c>
      <c r="CJ293" s="625" t="s">
        <v>935</v>
      </c>
      <c r="CK293" s="844"/>
      <c r="CL293" s="844"/>
      <c r="CM293" s="395">
        <f>SUM(M293,AG293,BA293,BU293,CO293)-SUM(O293,AI293,BC293,BW293,CQ293)-L293</f>
        <v>-5</v>
      </c>
      <c r="CN293" s="29">
        <f t="shared" si="512"/>
        <v>11</v>
      </c>
      <c r="CO293" s="298">
        <f>CO290</f>
        <v>0</v>
      </c>
      <c r="CP293" s="5">
        <f t="shared" si="507"/>
        <v>-11</v>
      </c>
      <c r="CQ293" s="256"/>
      <c r="CR293" s="303">
        <f>CR290</f>
        <v>0</v>
      </c>
      <c r="CS293" s="231">
        <f t="shared" ref="CS293:CS298" si="517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>SUM(M293,AG293,BA293,BU293,DI293)-SUM(O293,AI293,BC293,BW293,CQ293)-L293</f>
        <v>-5</v>
      </c>
      <c r="DH293" s="29">
        <f t="shared" si="508"/>
        <v>11</v>
      </c>
      <c r="DI293" s="298">
        <f>DI290</f>
        <v>0</v>
      </c>
      <c r="DJ293" s="5">
        <f t="shared" si="509"/>
        <v>-11</v>
      </c>
      <c r="DK293" s="256"/>
      <c r="DL293" s="303">
        <f>DL290</f>
        <v>0</v>
      </c>
      <c r="DM293" s="231">
        <f t="shared" ref="DM293:DM298" si="518">DH293+DK293-DL293</f>
        <v>11</v>
      </c>
    </row>
    <row r="294" spans="1:117" ht="29.4" thickBot="1" x14ac:dyDescent="0.35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>SUM(M294,AG294,BA294,BU294)-L294</f>
        <v>0</v>
      </c>
      <c r="K294" s="395">
        <f t="shared" si="502"/>
        <v>-9</v>
      </c>
      <c r="L294" s="544">
        <v>10</v>
      </c>
      <c r="M294" s="298">
        <f>M290</f>
        <v>1</v>
      </c>
      <c r="N294" s="5">
        <f t="shared" si="503"/>
        <v>-9</v>
      </c>
      <c r="O294" s="256"/>
      <c r="P294" s="303">
        <f>P290</f>
        <v>1</v>
      </c>
      <c r="Q294" s="231">
        <f t="shared" si="513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>SUM(M294,AG294)-SUM(O294,AI294)-L294</f>
        <v>-8</v>
      </c>
      <c r="AF294" s="29">
        <f>Q294</f>
        <v>9</v>
      </c>
      <c r="AG294" s="298">
        <f>AG290</f>
        <v>1</v>
      </c>
      <c r="AH294" s="5">
        <f t="shared" si="504"/>
        <v>-8</v>
      </c>
      <c r="AI294" s="256"/>
      <c r="AJ294" s="303">
        <f>AJ290</f>
        <v>0</v>
      </c>
      <c r="AK294" s="231">
        <f t="shared" si="514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>SUM(M294,AG294,BA294)-SUM(O294,AI294,BC294)-L294</f>
        <v>-6</v>
      </c>
      <c r="AZ294" s="29">
        <f t="shared" si="510"/>
        <v>9</v>
      </c>
      <c r="BA294" s="298">
        <f>BA290</f>
        <v>2</v>
      </c>
      <c r="BB294" s="5">
        <f t="shared" si="505"/>
        <v>-7</v>
      </c>
      <c r="BC294" s="256"/>
      <c r="BD294" s="303">
        <f>BD290</f>
        <v>3</v>
      </c>
      <c r="BE294" s="231">
        <f t="shared" si="515"/>
        <v>6</v>
      </c>
      <c r="BF294" s="121"/>
      <c r="BG294" s="6"/>
      <c r="BH294" s="35"/>
      <c r="BI294" s="612"/>
      <c r="BJ294" s="121"/>
      <c r="BK294" s="6"/>
      <c r="BL294" s="35"/>
      <c r="BM294" s="735"/>
      <c r="BN294" s="200"/>
      <c r="BO294" s="6"/>
      <c r="BP294" s="79"/>
      <c r="BQ294" s="619"/>
      <c r="BR294" s="619"/>
      <c r="BS294" s="395">
        <f>SUM(M294,AG294,BA294,BU294)-SUM(O294,AI294,BC294,BW294)-L294</f>
        <v>-5</v>
      </c>
      <c r="BT294" s="29">
        <f t="shared" si="511"/>
        <v>6</v>
      </c>
      <c r="BU294" s="298">
        <f>BU290</f>
        <v>6</v>
      </c>
      <c r="BV294" s="5">
        <f t="shared" si="506"/>
        <v>0</v>
      </c>
      <c r="BW294" s="621">
        <v>5</v>
      </c>
      <c r="BX294" s="303">
        <f>BX290</f>
        <v>0</v>
      </c>
      <c r="BY294" s="231">
        <f t="shared" si="516"/>
        <v>11</v>
      </c>
      <c r="BZ294" s="121"/>
      <c r="CA294" s="6"/>
      <c r="CB294" s="35"/>
      <c r="CC294" s="612"/>
      <c r="CD294" s="668">
        <f>F294*BW294/2</f>
        <v>3532.5</v>
      </c>
      <c r="CE294" s="663"/>
      <c r="CF294" s="705" t="s">
        <v>931</v>
      </c>
      <c r="CG294" s="832"/>
      <c r="CH294" s="21"/>
      <c r="CI294" s="630">
        <f>F294*BW294/2</f>
        <v>3532.5</v>
      </c>
      <c r="CJ294" s="625" t="s">
        <v>935</v>
      </c>
      <c r="CK294" s="844"/>
      <c r="CL294" s="844"/>
      <c r="CM294" s="395">
        <f>SUM(M294,AG294,BA294,BU294,CO294)-SUM(O294,AI294,BC294,BW294,CQ294)-L294</f>
        <v>-5</v>
      </c>
      <c r="CN294" s="29">
        <f t="shared" si="512"/>
        <v>11</v>
      </c>
      <c r="CO294" s="298">
        <f>CO290</f>
        <v>0</v>
      </c>
      <c r="CP294" s="5">
        <f t="shared" si="507"/>
        <v>-11</v>
      </c>
      <c r="CQ294" s="256"/>
      <c r="CR294" s="303">
        <f>CR290</f>
        <v>0</v>
      </c>
      <c r="CS294" s="231">
        <f t="shared" si="517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>SUM(M294,AG294,BA294,BU294,DI294)-SUM(O294,AI294,BC294,BW294,CQ294)-L294</f>
        <v>-5</v>
      </c>
      <c r="DH294" s="29">
        <f t="shared" si="508"/>
        <v>11</v>
      </c>
      <c r="DI294" s="298">
        <f>DI290</f>
        <v>0</v>
      </c>
      <c r="DJ294" s="5">
        <f t="shared" si="509"/>
        <v>-11</v>
      </c>
      <c r="DK294" s="256"/>
      <c r="DL294" s="303">
        <f>DL290</f>
        <v>0</v>
      </c>
      <c r="DM294" s="231">
        <f t="shared" si="518"/>
        <v>11</v>
      </c>
    </row>
    <row r="295" spans="1:117" ht="29.4" thickBot="1" x14ac:dyDescent="0.35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>SUM(M295,AG295,BA295,BU295)-L295</f>
        <v>0</v>
      </c>
      <c r="K295" s="395">
        <f t="shared" si="502"/>
        <v>-36</v>
      </c>
      <c r="L295" s="544">
        <v>40</v>
      </c>
      <c r="M295" s="298">
        <f>M290*4</f>
        <v>4</v>
      </c>
      <c r="N295" s="5">
        <f t="shared" si="503"/>
        <v>-36</v>
      </c>
      <c r="O295" s="256"/>
      <c r="P295" s="303">
        <f>P290*4</f>
        <v>4</v>
      </c>
      <c r="Q295" s="231">
        <f t="shared" si="513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>SUM(M295,AG295)-SUM(O295,AI295)-L295</f>
        <v>-32</v>
      </c>
      <c r="AF295" s="29">
        <f>Q295</f>
        <v>36</v>
      </c>
      <c r="AG295" s="298">
        <f>AG290*4</f>
        <v>4</v>
      </c>
      <c r="AH295" s="5">
        <f t="shared" si="504"/>
        <v>-32</v>
      </c>
      <c r="AI295" s="256"/>
      <c r="AJ295" s="303">
        <f>AJ290*4</f>
        <v>0</v>
      </c>
      <c r="AK295" s="231">
        <f t="shared" si="514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>SUM(M295,AG295,BA295)-SUM(O295,AI295,BC295)-L295</f>
        <v>-24</v>
      </c>
      <c r="AZ295" s="29">
        <f t="shared" si="510"/>
        <v>36</v>
      </c>
      <c r="BA295" s="298">
        <f>BA290*4</f>
        <v>8</v>
      </c>
      <c r="BB295" s="5">
        <f t="shared" si="505"/>
        <v>-28</v>
      </c>
      <c r="BC295" s="256"/>
      <c r="BD295" s="303">
        <f>BD290*4</f>
        <v>12</v>
      </c>
      <c r="BE295" s="231">
        <f t="shared" si="515"/>
        <v>24</v>
      </c>
      <c r="BF295" s="121"/>
      <c r="BG295" s="6"/>
      <c r="BH295" s="35"/>
      <c r="BI295" s="612"/>
      <c r="BJ295" s="121"/>
      <c r="BK295" s="6"/>
      <c r="BL295" s="35"/>
      <c r="BM295" s="735"/>
      <c r="BN295" s="200"/>
      <c r="BO295" s="6"/>
      <c r="BP295" s="79"/>
      <c r="BQ295" s="619"/>
      <c r="BR295" s="619"/>
      <c r="BS295" s="395">
        <f>SUM(M295,AG295,BA295,BU295)-SUM(O295,AI295,BC295,BW295)-L295</f>
        <v>-20</v>
      </c>
      <c r="BT295" s="29">
        <f t="shared" si="511"/>
        <v>24</v>
      </c>
      <c r="BU295" s="298">
        <f>BU290*4</f>
        <v>24</v>
      </c>
      <c r="BV295" s="5">
        <f t="shared" si="506"/>
        <v>0</v>
      </c>
      <c r="BW295" s="621">
        <v>20</v>
      </c>
      <c r="BX295" s="303">
        <f>BX290*4</f>
        <v>0</v>
      </c>
      <c r="BY295" s="231">
        <f t="shared" si="516"/>
        <v>44</v>
      </c>
      <c r="BZ295" s="121"/>
      <c r="CA295" s="6"/>
      <c r="CB295" s="35"/>
      <c r="CC295" s="612"/>
      <c r="CD295" s="668">
        <f>F295*BW295/2</f>
        <v>2020</v>
      </c>
      <c r="CE295" s="663"/>
      <c r="CF295" s="705" t="s">
        <v>932</v>
      </c>
      <c r="CG295" s="832"/>
      <c r="CH295" s="21"/>
      <c r="CI295" s="630">
        <f>F295*BW295/2</f>
        <v>2020</v>
      </c>
      <c r="CJ295" s="625" t="s">
        <v>935</v>
      </c>
      <c r="CK295" s="844"/>
      <c r="CL295" s="844"/>
      <c r="CM295" s="395">
        <f>SUM(M295,AG295,BA295,BU295,CO295)-SUM(O295,AI295,BC295,BW295,CQ295)-L295</f>
        <v>-20</v>
      </c>
      <c r="CN295" s="29">
        <f t="shared" si="512"/>
        <v>44</v>
      </c>
      <c r="CO295" s="298">
        <f>CO290*4</f>
        <v>0</v>
      </c>
      <c r="CP295" s="5">
        <f t="shared" si="507"/>
        <v>-44</v>
      </c>
      <c r="CQ295" s="256"/>
      <c r="CR295" s="303">
        <f>CR290*4</f>
        <v>0</v>
      </c>
      <c r="CS295" s="231">
        <f t="shared" si="517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>SUM(M295,AG295,BA295,BU295,DI295)-SUM(O295,AI295,BC295,BW295,CQ295)-L295</f>
        <v>-20</v>
      </c>
      <c r="DH295" s="29">
        <f t="shared" si="508"/>
        <v>44</v>
      </c>
      <c r="DI295" s="298">
        <f>DI290*4</f>
        <v>0</v>
      </c>
      <c r="DJ295" s="5">
        <f t="shared" si="509"/>
        <v>-44</v>
      </c>
      <c r="DK295" s="256"/>
      <c r="DL295" s="303">
        <f>DL290*4</f>
        <v>0</v>
      </c>
      <c r="DM295" s="231">
        <f t="shared" si="518"/>
        <v>44</v>
      </c>
    </row>
    <row r="296" spans="1:117" ht="29.4" thickBot="1" x14ac:dyDescent="0.35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>SUM(M296,AG296,BA296,BU296)-L296</f>
        <v>0</v>
      </c>
      <c r="K296" s="395">
        <f t="shared" si="502"/>
        <v>-72</v>
      </c>
      <c r="L296" s="544">
        <v>80</v>
      </c>
      <c r="M296" s="298">
        <f>M290*8</f>
        <v>8</v>
      </c>
      <c r="N296" s="5">
        <f t="shared" si="503"/>
        <v>-72</v>
      </c>
      <c r="O296" s="256"/>
      <c r="P296" s="303">
        <f>P290*8</f>
        <v>8</v>
      </c>
      <c r="Q296" s="231">
        <f t="shared" si="513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>SUM(M296,AG296)-SUM(O296,AI296)-L296</f>
        <v>-64</v>
      </c>
      <c r="AF296" s="29">
        <f>Q296</f>
        <v>72</v>
      </c>
      <c r="AG296" s="298">
        <f>AG290*8</f>
        <v>8</v>
      </c>
      <c r="AH296" s="5">
        <f t="shared" si="504"/>
        <v>-64</v>
      </c>
      <c r="AI296" s="256"/>
      <c r="AJ296" s="303">
        <f>AJ290*8</f>
        <v>0</v>
      </c>
      <c r="AK296" s="231">
        <f t="shared" si="514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>SUM(M296,AG296,BA296)-SUM(O296,AI296,BC296)-L296</f>
        <v>-48</v>
      </c>
      <c r="AZ296" s="29">
        <f t="shared" si="510"/>
        <v>72</v>
      </c>
      <c r="BA296" s="298">
        <f>BA290*8</f>
        <v>16</v>
      </c>
      <c r="BB296" s="5">
        <f t="shared" si="505"/>
        <v>-56</v>
      </c>
      <c r="BC296" s="256"/>
      <c r="BD296" s="303">
        <f>BD290*8</f>
        <v>24</v>
      </c>
      <c r="BE296" s="231">
        <f t="shared" si="515"/>
        <v>48</v>
      </c>
      <c r="BF296" s="121"/>
      <c r="BG296" s="6"/>
      <c r="BH296" s="35"/>
      <c r="BI296" s="612"/>
      <c r="BJ296" s="121"/>
      <c r="BK296" s="6"/>
      <c r="BL296" s="35"/>
      <c r="BM296" s="735"/>
      <c r="BN296" s="200"/>
      <c r="BO296" s="6"/>
      <c r="BP296" s="79"/>
      <c r="BQ296" s="619"/>
      <c r="BR296" s="619"/>
      <c r="BS296" s="395">
        <f>SUM(M296,AG296,BA296,BU296)-SUM(O296,AI296,BC296,BW296)-L296</f>
        <v>-40</v>
      </c>
      <c r="BT296" s="29">
        <f t="shared" si="511"/>
        <v>48</v>
      </c>
      <c r="BU296" s="298">
        <f>BU290*8</f>
        <v>48</v>
      </c>
      <c r="BV296" s="5">
        <f t="shared" si="506"/>
        <v>0</v>
      </c>
      <c r="BW296" s="621">
        <v>40</v>
      </c>
      <c r="BX296" s="303">
        <f>BX290*8</f>
        <v>0</v>
      </c>
      <c r="BY296" s="231">
        <f t="shared" si="516"/>
        <v>88</v>
      </c>
      <c r="BZ296" s="121"/>
      <c r="CA296" s="6"/>
      <c r="CB296" s="35"/>
      <c r="CC296" s="612"/>
      <c r="CD296" s="668">
        <f>F296*BW296/2</f>
        <v>3740</v>
      </c>
      <c r="CE296" s="663"/>
      <c r="CF296" s="705" t="s">
        <v>933</v>
      </c>
      <c r="CG296" s="832"/>
      <c r="CH296" s="21"/>
      <c r="CI296" s="630">
        <f>F296*BW296/2</f>
        <v>3740</v>
      </c>
      <c r="CJ296" s="625" t="s">
        <v>935</v>
      </c>
      <c r="CK296" s="844"/>
      <c r="CL296" s="844"/>
      <c r="CM296" s="395">
        <f>SUM(M296,AG296,BA296,BU296,CO296)-SUM(O296,AI296,BC296,BW296,CQ296)-L296</f>
        <v>-40</v>
      </c>
      <c r="CN296" s="29">
        <f t="shared" si="512"/>
        <v>88</v>
      </c>
      <c r="CO296" s="298">
        <f>CO290*8</f>
        <v>0</v>
      </c>
      <c r="CP296" s="5">
        <f t="shared" si="507"/>
        <v>-88</v>
      </c>
      <c r="CQ296" s="256"/>
      <c r="CR296" s="303">
        <f>CR290*8</f>
        <v>0</v>
      </c>
      <c r="CS296" s="231">
        <f t="shared" si="517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>SUM(M296,AG296,BA296,BU296,DI296)-SUM(O296,AI296,BC296,BW296,CQ296)-L296</f>
        <v>-40</v>
      </c>
      <c r="DH296" s="29">
        <f t="shared" si="508"/>
        <v>88</v>
      </c>
      <c r="DI296" s="298">
        <f>DI290*8</f>
        <v>0</v>
      </c>
      <c r="DJ296" s="5">
        <f t="shared" si="509"/>
        <v>-88</v>
      </c>
      <c r="DK296" s="256"/>
      <c r="DL296" s="303">
        <f>DL290*8</f>
        <v>0</v>
      </c>
      <c r="DM296" s="231">
        <f t="shared" si="518"/>
        <v>88</v>
      </c>
    </row>
    <row r="297" spans="1:117" ht="29.4" thickBot="1" x14ac:dyDescent="0.35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>SUM(M297,AG297,BA297,BU297)-L297</f>
        <v>0</v>
      </c>
      <c r="K297" s="395">
        <f t="shared" si="502"/>
        <v>-18</v>
      </c>
      <c r="L297" s="544">
        <v>20</v>
      </c>
      <c r="M297" s="298">
        <f>M290*2</f>
        <v>2</v>
      </c>
      <c r="N297" s="5">
        <f t="shared" si="503"/>
        <v>-18</v>
      </c>
      <c r="O297" s="256"/>
      <c r="P297" s="303">
        <f>P290*2</f>
        <v>2</v>
      </c>
      <c r="Q297" s="231">
        <f t="shared" si="513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>SUM(M297,AG297)-SUM(O297,AI297)-L297</f>
        <v>-16</v>
      </c>
      <c r="AF297" s="29">
        <f>Q297</f>
        <v>18</v>
      </c>
      <c r="AG297" s="298">
        <f>AG290*2</f>
        <v>2</v>
      </c>
      <c r="AH297" s="5">
        <f t="shared" si="504"/>
        <v>-16</v>
      </c>
      <c r="AI297" s="256"/>
      <c r="AJ297" s="303">
        <f>AJ290*2</f>
        <v>0</v>
      </c>
      <c r="AK297" s="231">
        <f t="shared" si="514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>SUM(M297,AG297,BA297)-SUM(O297,AI297,BC297)-L297</f>
        <v>-12</v>
      </c>
      <c r="AZ297" s="29">
        <f t="shared" si="510"/>
        <v>18</v>
      </c>
      <c r="BA297" s="298">
        <f>BA290*2</f>
        <v>4</v>
      </c>
      <c r="BB297" s="5">
        <f t="shared" si="505"/>
        <v>-14</v>
      </c>
      <c r="BC297" s="256"/>
      <c r="BD297" s="303">
        <f>BD290*2</f>
        <v>6</v>
      </c>
      <c r="BE297" s="231">
        <f t="shared" si="515"/>
        <v>12</v>
      </c>
      <c r="BF297" s="121"/>
      <c r="BG297" s="6"/>
      <c r="BH297" s="35"/>
      <c r="BI297" s="612"/>
      <c r="BJ297" s="121"/>
      <c r="BK297" s="6"/>
      <c r="BL297" s="35"/>
      <c r="BM297" s="735"/>
      <c r="BN297" s="200"/>
      <c r="BO297" s="6"/>
      <c r="BP297" s="79"/>
      <c r="BQ297" s="619"/>
      <c r="BR297" s="619"/>
      <c r="BS297" s="395">
        <f>SUM(M297,AG297,BA297,BU297)-SUM(O297,AI297,BC297,BW297)-L297</f>
        <v>-10</v>
      </c>
      <c r="BT297" s="29">
        <f t="shared" si="511"/>
        <v>12</v>
      </c>
      <c r="BU297" s="298">
        <f>BU290*2</f>
        <v>12</v>
      </c>
      <c r="BV297" s="5">
        <f t="shared" si="506"/>
        <v>0</v>
      </c>
      <c r="BW297" s="621">
        <v>10</v>
      </c>
      <c r="BX297" s="303">
        <f>BX290*2</f>
        <v>0</v>
      </c>
      <c r="BY297" s="231">
        <f t="shared" si="516"/>
        <v>22</v>
      </c>
      <c r="BZ297" s="121"/>
      <c r="CA297" s="6"/>
      <c r="CB297" s="35"/>
      <c r="CC297" s="612"/>
      <c r="CD297" s="668">
        <f>F297*BW297/2</f>
        <v>9280</v>
      </c>
      <c r="CE297" s="663"/>
      <c r="CF297" s="705" t="s">
        <v>934</v>
      </c>
      <c r="CG297" s="832"/>
      <c r="CH297" s="21"/>
      <c r="CI297" s="630">
        <f>F297*BW297/2</f>
        <v>9280</v>
      </c>
      <c r="CJ297" s="625" t="s">
        <v>935</v>
      </c>
      <c r="CK297" s="844"/>
      <c r="CL297" s="844"/>
      <c r="CM297" s="395">
        <f>SUM(M297,AG297,BA297,BU297,CO297)-SUM(O297,AI297,BC297,BW297,CQ297)-L297</f>
        <v>-10</v>
      </c>
      <c r="CN297" s="29">
        <f t="shared" si="512"/>
        <v>22</v>
      </c>
      <c r="CO297" s="298">
        <f>CO290*2</f>
        <v>0</v>
      </c>
      <c r="CP297" s="5">
        <f t="shared" si="507"/>
        <v>-22</v>
      </c>
      <c r="CQ297" s="256"/>
      <c r="CR297" s="303">
        <f>CR290*2</f>
        <v>0</v>
      </c>
      <c r="CS297" s="231">
        <f t="shared" si="517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>SUM(M297,AG297,BA297,BU297,DI297)-SUM(O297,AI297,BC297,BW297,CQ297)-L297</f>
        <v>-10</v>
      </c>
      <c r="DH297" s="29">
        <f t="shared" si="508"/>
        <v>22</v>
      </c>
      <c r="DI297" s="298">
        <f>DI290*2</f>
        <v>0</v>
      </c>
      <c r="DJ297" s="5">
        <f t="shared" si="509"/>
        <v>-22</v>
      </c>
      <c r="DK297" s="256"/>
      <c r="DL297" s="303">
        <f>DL290*2</f>
        <v>0</v>
      </c>
      <c r="DM297" s="231">
        <f t="shared" si="518"/>
        <v>22</v>
      </c>
    </row>
    <row r="298" spans="1:117" ht="29.4" thickBot="1" x14ac:dyDescent="0.35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>SUM(M298,AG298,BA298,BU298)-L298</f>
        <v>0</v>
      </c>
      <c r="K298" s="395">
        <f t="shared" si="502"/>
        <v>-18</v>
      </c>
      <c r="L298" s="544">
        <v>20</v>
      </c>
      <c r="M298" s="298">
        <f>M290*2</f>
        <v>2</v>
      </c>
      <c r="N298" s="5">
        <f t="shared" si="503"/>
        <v>-18</v>
      </c>
      <c r="O298" s="256"/>
      <c r="P298" s="303">
        <f>P290*2</f>
        <v>2</v>
      </c>
      <c r="Q298" s="231">
        <f t="shared" si="513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>SUM(M298,AG298)-SUM(O298,AI298)-L298</f>
        <v>-16</v>
      </c>
      <c r="AF298" s="29">
        <f>Q298</f>
        <v>18</v>
      </c>
      <c r="AG298" s="298">
        <f>AG290*2</f>
        <v>2</v>
      </c>
      <c r="AH298" s="5">
        <f t="shared" si="504"/>
        <v>-16</v>
      </c>
      <c r="AI298" s="256"/>
      <c r="AJ298" s="303">
        <f>AJ290*2</f>
        <v>0</v>
      </c>
      <c r="AK298" s="231">
        <f t="shared" si="514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>SUM(M298,AG298,BA298)-SUM(O298,AI298,BC298)-L298</f>
        <v>-12</v>
      </c>
      <c r="AZ298" s="29">
        <f t="shared" si="510"/>
        <v>18</v>
      </c>
      <c r="BA298" s="298">
        <f>BA290*2</f>
        <v>4</v>
      </c>
      <c r="BB298" s="5">
        <f t="shared" si="505"/>
        <v>-14</v>
      </c>
      <c r="BC298" s="256"/>
      <c r="BD298" s="303">
        <f>BD290*2</f>
        <v>6</v>
      </c>
      <c r="BE298" s="231">
        <f t="shared" si="515"/>
        <v>12</v>
      </c>
      <c r="BF298" s="121"/>
      <c r="BG298" s="6"/>
      <c r="BH298" s="35"/>
      <c r="BI298" s="612"/>
      <c r="BJ298" s="121"/>
      <c r="BK298" s="6"/>
      <c r="BL298" s="35"/>
      <c r="BM298" s="735"/>
      <c r="BN298" s="200"/>
      <c r="BO298" s="6"/>
      <c r="BP298" s="79"/>
      <c r="BQ298" s="619"/>
      <c r="BR298" s="619"/>
      <c r="BS298" s="395">
        <f>SUM(M298,AG298,BA298,BU298)-SUM(O298,AI298,BC298,BW298)-L298</f>
        <v>-10</v>
      </c>
      <c r="BT298" s="29">
        <f t="shared" si="511"/>
        <v>12</v>
      </c>
      <c r="BU298" s="298">
        <f>BU290*2</f>
        <v>12</v>
      </c>
      <c r="BV298" s="5">
        <f t="shared" si="506"/>
        <v>0</v>
      </c>
      <c r="BW298" s="621">
        <v>10</v>
      </c>
      <c r="BX298" s="303">
        <f>BX290*2</f>
        <v>0</v>
      </c>
      <c r="BY298" s="231">
        <f t="shared" si="516"/>
        <v>22</v>
      </c>
      <c r="BZ298" s="121"/>
      <c r="CA298" s="6"/>
      <c r="CB298" s="35"/>
      <c r="CC298" s="612"/>
      <c r="CD298" s="668">
        <f>F298*BW298/2</f>
        <v>1455</v>
      </c>
      <c r="CE298" s="663"/>
      <c r="CF298" s="705" t="s">
        <v>934</v>
      </c>
      <c r="CG298" s="832"/>
      <c r="CH298" s="21"/>
      <c r="CI298" s="630">
        <f>F298*BW298/2</f>
        <v>1455</v>
      </c>
      <c r="CJ298" s="625" t="s">
        <v>935</v>
      </c>
      <c r="CK298" s="844"/>
      <c r="CL298" s="844"/>
      <c r="CM298" s="395">
        <f>SUM(M298,AG298,BA298,BU298,CO298)-SUM(O298,AI298,BC298,BW298,CQ298)-L298</f>
        <v>-10</v>
      </c>
      <c r="CN298" s="29">
        <f t="shared" si="512"/>
        <v>22</v>
      </c>
      <c r="CO298" s="298">
        <f>CO290*2</f>
        <v>0</v>
      </c>
      <c r="CP298" s="5">
        <f t="shared" si="507"/>
        <v>-22</v>
      </c>
      <c r="CQ298" s="256"/>
      <c r="CR298" s="303">
        <f>CR290*2</f>
        <v>0</v>
      </c>
      <c r="CS298" s="231">
        <f t="shared" si="517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>SUM(M298,AG298,BA298,BU298,DI298)-SUM(O298,AI298,BC298,BW298,CQ298)-L298</f>
        <v>-10</v>
      </c>
      <c r="DH298" s="29">
        <f t="shared" si="508"/>
        <v>22</v>
      </c>
      <c r="DI298" s="298">
        <f>DI290*2</f>
        <v>0</v>
      </c>
      <c r="DJ298" s="5">
        <f t="shared" si="509"/>
        <v>-22</v>
      </c>
      <c r="DK298" s="256"/>
      <c r="DL298" s="303">
        <f>DL290*2</f>
        <v>0</v>
      </c>
      <c r="DM298" s="231">
        <f t="shared" si="518"/>
        <v>22</v>
      </c>
    </row>
    <row r="299" spans="1:117" x14ac:dyDescent="0.3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41"/>
      <c r="V299" s="366"/>
      <c r="W299" s="367"/>
      <c r="X299" s="368"/>
      <c r="Y299" s="741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41"/>
      <c r="AP299" s="366"/>
      <c r="AQ299" s="367"/>
      <c r="AR299" s="368"/>
      <c r="AS299" s="741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41"/>
      <c r="BJ299" s="366"/>
      <c r="BK299" s="367"/>
      <c r="BL299" s="368"/>
      <c r="BM299" s="741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41"/>
      <c r="CD299" s="366"/>
      <c r="CE299" s="367"/>
      <c r="CF299" s="368"/>
      <c r="CG299" s="741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41"/>
      <c r="CX299" s="366"/>
      <c r="CY299" s="367"/>
      <c r="CZ299" s="368"/>
      <c r="DA299" s="741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29.4" thickBot="1" x14ac:dyDescent="0.35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02"/>
        <v>-9</v>
      </c>
      <c r="L300" s="544">
        <v>10</v>
      </c>
      <c r="M300" s="298">
        <f>M290</f>
        <v>1</v>
      </c>
      <c r="N300" s="5">
        <f t="shared" si="503"/>
        <v>-9</v>
      </c>
      <c r="O300" s="240"/>
      <c r="P300" s="303">
        <f>P290</f>
        <v>1</v>
      </c>
      <c r="Q300" s="231">
        <f t="shared" ref="Q300:Q314" si="519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04"/>
        <v>-8</v>
      </c>
      <c r="AI300" s="240"/>
      <c r="AJ300" s="303">
        <f>AJ290</f>
        <v>0</v>
      </c>
      <c r="AK300" s="231">
        <f t="shared" ref="AK300:AK314" si="520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510"/>
        <v>9</v>
      </c>
      <c r="BA300" s="298">
        <f>BA290</f>
        <v>2</v>
      </c>
      <c r="BB300" s="5">
        <f t="shared" si="505"/>
        <v>-7</v>
      </c>
      <c r="BC300" s="258">
        <v>5</v>
      </c>
      <c r="BD300" s="303">
        <f>BD290</f>
        <v>3</v>
      </c>
      <c r="BE300" s="231">
        <f t="shared" ref="BE300:BE314" si="521">AZ300+BC300-BD300</f>
        <v>11</v>
      </c>
      <c r="BF300" s="121"/>
      <c r="BG300" s="6"/>
      <c r="BH300" s="35"/>
      <c r="BI300" s="612"/>
      <c r="BJ300" s="121"/>
      <c r="BK300" s="6"/>
      <c r="BL300" s="35"/>
      <c r="BM300" s="735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511"/>
        <v>11</v>
      </c>
      <c r="BU300" s="298">
        <f>BU290</f>
        <v>6</v>
      </c>
      <c r="BV300" s="5">
        <f t="shared" si="506"/>
        <v>-5</v>
      </c>
      <c r="BW300" s="240">
        <v>5</v>
      </c>
      <c r="BX300" s="303">
        <f>BX290</f>
        <v>0</v>
      </c>
      <c r="BY300" s="231">
        <f t="shared" ref="BY300:BY314" si="522">BT300+BW300-BX300</f>
        <v>16</v>
      </c>
      <c r="BZ300" s="121"/>
      <c r="CA300" s="6"/>
      <c r="CB300" s="79"/>
      <c r="CC300" s="735"/>
      <c r="CD300" s="215"/>
      <c r="CE300" s="199"/>
      <c r="CF300" s="502"/>
      <c r="CG300" s="822"/>
      <c r="CH300" s="215">
        <v>10697.5</v>
      </c>
      <c r="CI300" s="199"/>
      <c r="CJ300" s="502" t="s">
        <v>813</v>
      </c>
      <c r="CK300" s="848"/>
      <c r="CL300" s="848"/>
      <c r="CM300" s="395">
        <f>SUM(M300,AG300,BA300,BU300,CO300)-SUM(O300,AI300,BC300,BW300,CQ300)-L300</f>
        <v>-10</v>
      </c>
      <c r="CN300" s="29">
        <f t="shared" si="512"/>
        <v>16</v>
      </c>
      <c r="CO300" s="298">
        <f>SUM(CO272:CO275)</f>
        <v>0</v>
      </c>
      <c r="CP300" s="5">
        <f t="shared" si="507"/>
        <v>-16</v>
      </c>
      <c r="CQ300" s="240"/>
      <c r="CR300" s="303">
        <f>SUM(CR272:CR275)</f>
        <v>0</v>
      </c>
      <c r="CS300" s="231">
        <f t="shared" ref="CS300:CS314" si="523">CN300+CQ300-CR300</f>
        <v>16</v>
      </c>
      <c r="CT300" s="121"/>
      <c r="CU300" s="199">
        <v>10697.5</v>
      </c>
      <c r="CV300" s="502" t="s">
        <v>814</v>
      </c>
      <c r="CW300" s="822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08"/>
        <v>16</v>
      </c>
      <c r="DI300" s="298">
        <f>SUM(DI272:DI275)</f>
        <v>0</v>
      </c>
      <c r="DJ300" s="5">
        <f t="shared" ref="DJ300:DJ303" si="524">DI300-DH300</f>
        <v>-16</v>
      </c>
      <c r="DK300" s="240"/>
      <c r="DL300" s="303">
        <f>SUM(DL272:DL275)</f>
        <v>0</v>
      </c>
      <c r="DM300" s="231">
        <f t="shared" ref="DM300:DM303" si="525">DH300+DK300-DL300</f>
        <v>16</v>
      </c>
    </row>
    <row r="301" spans="1:117" ht="29.4" thickBot="1" x14ac:dyDescent="0.35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02"/>
        <v>-9</v>
      </c>
      <c r="L301" s="544">
        <v>10</v>
      </c>
      <c r="M301" s="298">
        <f>M290</f>
        <v>1</v>
      </c>
      <c r="N301" s="5">
        <f t="shared" si="503"/>
        <v>-9</v>
      </c>
      <c r="O301" s="240"/>
      <c r="P301" s="303">
        <f>P290</f>
        <v>1</v>
      </c>
      <c r="Q301" s="231">
        <f t="shared" si="519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04"/>
        <v>-8</v>
      </c>
      <c r="AI301" s="240"/>
      <c r="AJ301" s="303">
        <f>AJ290</f>
        <v>0</v>
      </c>
      <c r="AK301" s="231">
        <f t="shared" si="520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510"/>
        <v>9</v>
      </c>
      <c r="BA301" s="298">
        <f>BA290</f>
        <v>2</v>
      </c>
      <c r="BB301" s="5">
        <f t="shared" si="505"/>
        <v>-7</v>
      </c>
      <c r="BC301" s="258">
        <v>5</v>
      </c>
      <c r="BD301" s="303">
        <f>BD290</f>
        <v>3</v>
      </c>
      <c r="BE301" s="231">
        <f t="shared" si="521"/>
        <v>11</v>
      </c>
      <c r="BF301" s="21"/>
      <c r="BG301" s="6"/>
      <c r="BH301" s="35"/>
      <c r="BI301" s="612"/>
      <c r="BJ301" s="21"/>
      <c r="BK301" s="6"/>
      <c r="BL301" s="35"/>
      <c r="BM301" s="735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511"/>
        <v>11</v>
      </c>
      <c r="BU301" s="298">
        <f>BU290</f>
        <v>6</v>
      </c>
      <c r="BV301" s="5">
        <f t="shared" si="506"/>
        <v>-5</v>
      </c>
      <c r="BW301" s="240">
        <v>5</v>
      </c>
      <c r="BX301" s="303">
        <f>BX290</f>
        <v>0</v>
      </c>
      <c r="BY301" s="231">
        <f t="shared" si="522"/>
        <v>16</v>
      </c>
      <c r="BZ301" s="121"/>
      <c r="CA301" s="6"/>
      <c r="CB301" s="79"/>
      <c r="CC301" s="735"/>
      <c r="CD301" s="215"/>
      <c r="CE301" s="199"/>
      <c r="CF301" s="502"/>
      <c r="CG301" s="822"/>
      <c r="CH301" s="215">
        <v>5472.5</v>
      </c>
      <c r="CI301" s="199"/>
      <c r="CJ301" s="502" t="s">
        <v>813</v>
      </c>
      <c r="CK301" s="848"/>
      <c r="CL301" s="848"/>
      <c r="CM301" s="395">
        <f>SUM(M301,AG301,BA301,BU301,CO301)-SUM(O301,AI301,BC301,BW301,CQ301)-L301</f>
        <v>-10</v>
      </c>
      <c r="CN301" s="29">
        <f t="shared" si="512"/>
        <v>16</v>
      </c>
      <c r="CO301" s="298">
        <f>CO290</f>
        <v>0</v>
      </c>
      <c r="CP301" s="5">
        <f t="shared" si="507"/>
        <v>-16</v>
      </c>
      <c r="CQ301" s="240"/>
      <c r="CR301" s="303">
        <f>CR290</f>
        <v>0</v>
      </c>
      <c r="CS301" s="231">
        <f t="shared" si="523"/>
        <v>16</v>
      </c>
      <c r="CT301" s="121"/>
      <c r="CU301" s="199">
        <v>5472.5</v>
      </c>
      <c r="CV301" s="502" t="s">
        <v>814</v>
      </c>
      <c r="CW301" s="822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08"/>
        <v>16</v>
      </c>
      <c r="DI301" s="298">
        <f>DI290</f>
        <v>0</v>
      </c>
      <c r="DJ301" s="5">
        <f t="shared" si="524"/>
        <v>-16</v>
      </c>
      <c r="DK301" s="240"/>
      <c r="DL301" s="303">
        <f>DL290</f>
        <v>0</v>
      </c>
      <c r="DM301" s="231">
        <f t="shared" si="525"/>
        <v>16</v>
      </c>
    </row>
    <row r="302" spans="1:117" ht="29.4" thickBot="1" x14ac:dyDescent="0.35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02"/>
        <v>-9</v>
      </c>
      <c r="L302" s="544">
        <v>10</v>
      </c>
      <c r="M302" s="298">
        <f>M290</f>
        <v>1</v>
      </c>
      <c r="N302" s="5">
        <f t="shared" si="503"/>
        <v>-9</v>
      </c>
      <c r="O302" s="240"/>
      <c r="P302" s="303">
        <f>P290</f>
        <v>1</v>
      </c>
      <c r="Q302" s="231">
        <f t="shared" si="519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04"/>
        <v>-8</v>
      </c>
      <c r="AI302" s="240"/>
      <c r="AJ302" s="303">
        <f>AJ290</f>
        <v>0</v>
      </c>
      <c r="AK302" s="231">
        <f t="shared" si="520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510"/>
        <v>9</v>
      </c>
      <c r="BA302" s="298">
        <f>BA290</f>
        <v>2</v>
      </c>
      <c r="BB302" s="5">
        <f t="shared" si="505"/>
        <v>-7</v>
      </c>
      <c r="BC302" s="258">
        <v>5</v>
      </c>
      <c r="BD302" s="303">
        <f>BD290</f>
        <v>3</v>
      </c>
      <c r="BE302" s="231">
        <f t="shared" si="521"/>
        <v>11</v>
      </c>
      <c r="BF302" s="21"/>
      <c r="BG302" s="6"/>
      <c r="BH302" s="35"/>
      <c r="BI302" s="612"/>
      <c r="BJ302" s="21"/>
      <c r="BK302" s="6"/>
      <c r="BL302" s="35"/>
      <c r="BM302" s="735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511"/>
        <v>11</v>
      </c>
      <c r="BU302" s="298">
        <f>BU290</f>
        <v>6</v>
      </c>
      <c r="BV302" s="5">
        <f t="shared" si="506"/>
        <v>-5</v>
      </c>
      <c r="BW302" s="240">
        <v>5</v>
      </c>
      <c r="BX302" s="303">
        <f>BX290</f>
        <v>0</v>
      </c>
      <c r="BY302" s="231">
        <f t="shared" si="522"/>
        <v>16</v>
      </c>
      <c r="BZ302" s="121"/>
      <c r="CA302" s="6"/>
      <c r="CB302" s="79"/>
      <c r="CC302" s="735"/>
      <c r="CD302" s="215"/>
      <c r="CE302" s="199"/>
      <c r="CF302" s="502"/>
      <c r="CG302" s="822"/>
      <c r="CH302" s="215">
        <v>1410</v>
      </c>
      <c r="CI302" s="199"/>
      <c r="CJ302" s="502" t="s">
        <v>813</v>
      </c>
      <c r="CK302" s="848"/>
      <c r="CL302" s="848"/>
      <c r="CM302" s="395">
        <f>SUM(M302,AG302,BA302,BU302,CO302)-SUM(O302,AI302,BC302,BW302,CQ302)-L302</f>
        <v>-10</v>
      </c>
      <c r="CN302" s="29">
        <f t="shared" si="512"/>
        <v>16</v>
      </c>
      <c r="CO302" s="298">
        <f>CO290</f>
        <v>0</v>
      </c>
      <c r="CP302" s="5">
        <f t="shared" si="507"/>
        <v>-16</v>
      </c>
      <c r="CQ302" s="240"/>
      <c r="CR302" s="303">
        <f>CR290</f>
        <v>0</v>
      </c>
      <c r="CS302" s="231">
        <f t="shared" si="523"/>
        <v>16</v>
      </c>
      <c r="CT302" s="121"/>
      <c r="CU302" s="199">
        <v>1410</v>
      </c>
      <c r="CV302" s="502" t="s">
        <v>814</v>
      </c>
      <c r="CW302" s="822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08"/>
        <v>16</v>
      </c>
      <c r="DI302" s="298">
        <f>DI290</f>
        <v>0</v>
      </c>
      <c r="DJ302" s="5">
        <f t="shared" si="524"/>
        <v>-16</v>
      </c>
      <c r="DK302" s="240"/>
      <c r="DL302" s="303">
        <f>DL290</f>
        <v>0</v>
      </c>
      <c r="DM302" s="231">
        <f t="shared" si="525"/>
        <v>16</v>
      </c>
    </row>
    <row r="303" spans="1:117" ht="29.4" thickBot="1" x14ac:dyDescent="0.35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02"/>
        <v>-9</v>
      </c>
      <c r="L303" s="544">
        <v>10</v>
      </c>
      <c r="M303" s="298">
        <f>M290</f>
        <v>1</v>
      </c>
      <c r="N303" s="5">
        <f t="shared" si="503"/>
        <v>-9</v>
      </c>
      <c r="O303" s="240"/>
      <c r="P303" s="303">
        <f>P290</f>
        <v>1</v>
      </c>
      <c r="Q303" s="231">
        <f t="shared" si="519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04"/>
        <v>-8</v>
      </c>
      <c r="AI303" s="240"/>
      <c r="AJ303" s="303">
        <f>AJ290</f>
        <v>0</v>
      </c>
      <c r="AK303" s="231">
        <f t="shared" si="520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510"/>
        <v>9</v>
      </c>
      <c r="BA303" s="298">
        <f>BA290</f>
        <v>2</v>
      </c>
      <c r="BB303" s="5">
        <f t="shared" si="505"/>
        <v>-7</v>
      </c>
      <c r="BC303" s="258">
        <v>5</v>
      </c>
      <c r="BD303" s="303">
        <f>BD290</f>
        <v>3</v>
      </c>
      <c r="BE303" s="231">
        <f t="shared" si="521"/>
        <v>11</v>
      </c>
      <c r="BF303" s="21"/>
      <c r="BG303" s="6"/>
      <c r="BH303" s="35"/>
      <c r="BI303" s="612"/>
      <c r="BJ303" s="21"/>
      <c r="BK303" s="6"/>
      <c r="BL303" s="35"/>
      <c r="BM303" s="735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511"/>
        <v>11</v>
      </c>
      <c r="BU303" s="298">
        <f>BU290</f>
        <v>6</v>
      </c>
      <c r="BV303" s="5">
        <f t="shared" si="506"/>
        <v>-5</v>
      </c>
      <c r="BW303" s="240">
        <v>5</v>
      </c>
      <c r="BX303" s="303">
        <f>BX290</f>
        <v>0</v>
      </c>
      <c r="BY303" s="231">
        <f t="shared" si="522"/>
        <v>16</v>
      </c>
      <c r="BZ303" s="121"/>
      <c r="CA303" s="6"/>
      <c r="CB303" s="79"/>
      <c r="CC303" s="735"/>
      <c r="CD303" s="215"/>
      <c r="CE303" s="199"/>
      <c r="CF303" s="502"/>
      <c r="CG303" s="822"/>
      <c r="CH303" s="215">
        <v>1410</v>
      </c>
      <c r="CI303" s="199"/>
      <c r="CJ303" s="502" t="s">
        <v>813</v>
      </c>
      <c r="CK303" s="848"/>
      <c r="CL303" s="848"/>
      <c r="CM303" s="395">
        <f>SUM(M303,AG303,BA303,BU303,CO303)-SUM(O303,AI303,BC303,BW303,CQ303)-L303</f>
        <v>-10</v>
      </c>
      <c r="CN303" s="29">
        <f t="shared" si="512"/>
        <v>16</v>
      </c>
      <c r="CO303" s="298">
        <f>CO290</f>
        <v>0</v>
      </c>
      <c r="CP303" s="5">
        <f t="shared" si="507"/>
        <v>-16</v>
      </c>
      <c r="CQ303" s="240"/>
      <c r="CR303" s="303">
        <f>CR290</f>
        <v>0</v>
      </c>
      <c r="CS303" s="231">
        <f t="shared" si="523"/>
        <v>16</v>
      </c>
      <c r="CT303" s="121"/>
      <c r="CU303" s="199">
        <v>1410</v>
      </c>
      <c r="CV303" s="502" t="s">
        <v>814</v>
      </c>
      <c r="CW303" s="822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08"/>
        <v>16</v>
      </c>
      <c r="DI303" s="298">
        <f>DI290</f>
        <v>0</v>
      </c>
      <c r="DJ303" s="5">
        <f t="shared" si="524"/>
        <v>-16</v>
      </c>
      <c r="DK303" s="240"/>
      <c r="DL303" s="303">
        <f>DL290</f>
        <v>0</v>
      </c>
      <c r="DM303" s="231">
        <f t="shared" si="525"/>
        <v>16</v>
      </c>
    </row>
    <row r="304" spans="1:117" x14ac:dyDescent="0.3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41"/>
      <c r="V304" s="366"/>
      <c r="W304" s="367"/>
      <c r="X304" s="368"/>
      <c r="Y304" s="741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41"/>
      <c r="AP304" s="366"/>
      <c r="AQ304" s="367"/>
      <c r="AR304" s="368"/>
      <c r="AS304" s="741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41"/>
      <c r="BJ304" s="369"/>
      <c r="BK304" s="367"/>
      <c r="BL304" s="368"/>
      <c r="BM304" s="741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41"/>
      <c r="CD304" s="366"/>
      <c r="CE304" s="367"/>
      <c r="CF304" s="368"/>
      <c r="CG304" s="741"/>
      <c r="CH304" s="369"/>
      <c r="CI304" s="638"/>
      <c r="CJ304" s="639"/>
      <c r="CK304" s="849"/>
      <c r="CL304" s="849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41"/>
      <c r="CX304" s="366"/>
      <c r="CY304" s="367"/>
      <c r="CZ304" s="368"/>
      <c r="DA304" s="741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29.4" thickBot="1" x14ac:dyDescent="0.35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>SUM(M305,AG305,BA305,BU305)-L305</f>
        <v>-10</v>
      </c>
      <c r="K305" s="395">
        <f t="shared" si="502"/>
        <v>-19</v>
      </c>
      <c r="L305" s="544">
        <v>20</v>
      </c>
      <c r="M305" s="298">
        <f>M290</f>
        <v>1</v>
      </c>
      <c r="N305" s="5">
        <f t="shared" si="503"/>
        <v>-19</v>
      </c>
      <c r="O305" s="258"/>
      <c r="P305" s="303">
        <f>P290</f>
        <v>1</v>
      </c>
      <c r="Q305" s="231">
        <f t="shared" si="519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>SUM(M305,AG305)-SUM(O305,AI305)-L305</f>
        <v>-18</v>
      </c>
      <c r="AF305" s="29">
        <f>Q305</f>
        <v>19</v>
      </c>
      <c r="AG305" s="298">
        <f>AG290</f>
        <v>1</v>
      </c>
      <c r="AH305" s="5">
        <f t="shared" si="504"/>
        <v>-18</v>
      </c>
      <c r="AI305" s="258"/>
      <c r="AJ305" s="303">
        <f>AJ290</f>
        <v>0</v>
      </c>
      <c r="AK305" s="231">
        <f t="shared" si="520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>SUM(M305,AG305,BA305)-SUM(O305,AI305,BC305)-L305</f>
        <v>-16</v>
      </c>
      <c r="AZ305" s="29">
        <f t="shared" si="510"/>
        <v>19</v>
      </c>
      <c r="BA305" s="298">
        <f>BA290</f>
        <v>2</v>
      </c>
      <c r="BB305" s="5">
        <f t="shared" si="505"/>
        <v>-17</v>
      </c>
      <c r="BC305" s="256"/>
      <c r="BD305" s="303">
        <f>BD290</f>
        <v>3</v>
      </c>
      <c r="BE305" s="231">
        <f t="shared" si="521"/>
        <v>16</v>
      </c>
      <c r="BF305" s="21"/>
      <c r="BG305" s="6"/>
      <c r="BH305" s="35"/>
      <c r="BI305" s="612"/>
      <c r="BJ305" s="21"/>
      <c r="BK305" s="6"/>
      <c r="BL305" s="35"/>
      <c r="BM305" s="735"/>
      <c r="BN305" s="200"/>
      <c r="BO305" s="6"/>
      <c r="BP305" s="79"/>
      <c r="BQ305" s="619"/>
      <c r="BR305" s="619"/>
      <c r="BS305" s="395">
        <f>SUM(M305,AG305,BA305,BU305)-SUM(O305,AI305,BC305,BW305)-L305</f>
        <v>-20</v>
      </c>
      <c r="BT305" s="29">
        <f t="shared" si="511"/>
        <v>16</v>
      </c>
      <c r="BU305" s="298">
        <f>BU290</f>
        <v>6</v>
      </c>
      <c r="BV305" s="5">
        <f t="shared" si="506"/>
        <v>-10</v>
      </c>
      <c r="BW305" s="621">
        <v>10</v>
      </c>
      <c r="BX305" s="303">
        <f>BX290</f>
        <v>0</v>
      </c>
      <c r="BY305" s="231">
        <f t="shared" si="522"/>
        <v>26</v>
      </c>
      <c r="BZ305" s="121"/>
      <c r="CA305" s="6"/>
      <c r="CB305" s="79"/>
      <c r="CC305" s="735"/>
      <c r="CD305" s="668">
        <f>F305*BW305</f>
        <v>2000</v>
      </c>
      <c r="CE305" s="663"/>
      <c r="CF305" s="688" t="s">
        <v>900</v>
      </c>
      <c r="CG305" s="808"/>
      <c r="CH305" s="21"/>
      <c r="CI305" s="199"/>
      <c r="CJ305" s="502"/>
      <c r="CK305" s="848"/>
      <c r="CL305" s="848"/>
      <c r="CM305" s="395">
        <f>SUM(M305,AG305,BA305,BU305,CO305)-SUM(O305,AI305,BC305,BW305,CQ305)-L305</f>
        <v>-20</v>
      </c>
      <c r="CN305" s="29">
        <f t="shared" si="512"/>
        <v>26</v>
      </c>
      <c r="CO305" s="298">
        <f>CO290</f>
        <v>0</v>
      </c>
      <c r="CP305" s="5">
        <f t="shared" si="507"/>
        <v>-26</v>
      </c>
      <c r="CQ305" s="240"/>
      <c r="CR305" s="303">
        <f>SUM(CR271:CR274)</f>
        <v>0</v>
      </c>
      <c r="CS305" s="231">
        <f t="shared" si="523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>SUM(M305,AG305,BA305,BU305,DI305)-SUM(O305,AI305,BC305,BW305,CQ305)-L305</f>
        <v>-20</v>
      </c>
      <c r="DH305" s="29">
        <f t="shared" si="508"/>
        <v>26</v>
      </c>
      <c r="DI305" s="298">
        <f>DI290</f>
        <v>0</v>
      </c>
      <c r="DJ305" s="5">
        <f t="shared" ref="DJ305:DJ308" si="526">DI305-DH305</f>
        <v>-26</v>
      </c>
      <c r="DK305" s="240"/>
      <c r="DL305" s="303">
        <f>SUM(DL271:DL274)</f>
        <v>0</v>
      </c>
      <c r="DM305" s="231">
        <f t="shared" ref="DM305:DM308" si="527">DH305+DK305-DL305</f>
        <v>26</v>
      </c>
    </row>
    <row r="306" spans="1:117" ht="29.4" thickBot="1" x14ac:dyDescent="0.35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>SUM(M306,AG306,BA306,BU306)-L306</f>
        <v>-20</v>
      </c>
      <c r="K306" s="395">
        <f t="shared" si="502"/>
        <v>-29</v>
      </c>
      <c r="L306" s="544">
        <v>30</v>
      </c>
      <c r="M306" s="298">
        <f>M290</f>
        <v>1</v>
      </c>
      <c r="N306" s="5">
        <f t="shared" si="503"/>
        <v>-29</v>
      </c>
      <c r="O306" s="256"/>
      <c r="P306" s="303">
        <f>P290</f>
        <v>1</v>
      </c>
      <c r="Q306" s="231">
        <f t="shared" si="519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>SUM(M306,AG306)-SUM(O306,AI306)-L306</f>
        <v>-28</v>
      </c>
      <c r="AF306" s="29">
        <f>Q306</f>
        <v>29</v>
      </c>
      <c r="AG306" s="298">
        <f>AG290</f>
        <v>1</v>
      </c>
      <c r="AH306" s="5">
        <f t="shared" si="504"/>
        <v>-28</v>
      </c>
      <c r="AI306" s="258"/>
      <c r="AJ306" s="303">
        <f>AJ290</f>
        <v>0</v>
      </c>
      <c r="AK306" s="231">
        <f t="shared" si="520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>SUM(M306,AG306,BA306)-SUM(O306,AI306,BC306)-L306</f>
        <v>-26</v>
      </c>
      <c r="AZ306" s="29">
        <f t="shared" si="510"/>
        <v>29</v>
      </c>
      <c r="BA306" s="298">
        <f>BA290</f>
        <v>2</v>
      </c>
      <c r="BB306" s="5">
        <f t="shared" si="505"/>
        <v>-27</v>
      </c>
      <c r="BC306" s="240"/>
      <c r="BD306" s="303">
        <f>BD290</f>
        <v>3</v>
      </c>
      <c r="BE306" s="231">
        <f t="shared" si="521"/>
        <v>26</v>
      </c>
      <c r="BF306" s="21"/>
      <c r="BG306" s="6"/>
      <c r="BH306" s="35"/>
      <c r="BI306" s="612"/>
      <c r="BJ306" s="21"/>
      <c r="BK306" s="6"/>
      <c r="BL306" s="35"/>
      <c r="BM306" s="735"/>
      <c r="BN306" s="200"/>
      <c r="BO306" s="6"/>
      <c r="BP306" s="79"/>
      <c r="BQ306" s="619"/>
      <c r="BR306" s="619"/>
      <c r="BS306" s="395">
        <f>SUM(M306,AG306,BA306,BU306)-SUM(O306,AI306,BC306,BW306)-L306</f>
        <v>-30</v>
      </c>
      <c r="BT306" s="29">
        <f t="shared" si="511"/>
        <v>26</v>
      </c>
      <c r="BU306" s="298">
        <f>BU290</f>
        <v>6</v>
      </c>
      <c r="BV306" s="5">
        <f t="shared" si="506"/>
        <v>-20</v>
      </c>
      <c r="BW306" s="240">
        <v>10</v>
      </c>
      <c r="BX306" s="303">
        <f>BX290</f>
        <v>0</v>
      </c>
      <c r="BY306" s="231">
        <f t="shared" si="522"/>
        <v>36</v>
      </c>
      <c r="BZ306" s="121"/>
      <c r="CA306" s="6"/>
      <c r="CB306" s="79"/>
      <c r="CC306" s="735"/>
      <c r="CD306" s="215"/>
      <c r="CE306" s="199"/>
      <c r="CF306" s="502"/>
      <c r="CG306" s="822"/>
      <c r="CH306" s="21"/>
      <c r="CI306" s="199">
        <v>540</v>
      </c>
      <c r="CJ306" s="502" t="s">
        <v>822</v>
      </c>
      <c r="CK306" s="848"/>
      <c r="CL306" s="848"/>
      <c r="CM306" s="395">
        <f>SUM(M306,AG306,BA306,BU306,CO306)-SUM(O306,AI306,BC306,BW306,CQ306)-L306</f>
        <v>-30</v>
      </c>
      <c r="CN306" s="29">
        <f t="shared" si="512"/>
        <v>36</v>
      </c>
      <c r="CO306" s="298">
        <f>SUM(CO272:CO275)</f>
        <v>0</v>
      </c>
      <c r="CP306" s="5">
        <f t="shared" si="507"/>
        <v>-36</v>
      </c>
      <c r="CQ306" s="240"/>
      <c r="CR306" s="303">
        <f>SUM(CR272:CR275)</f>
        <v>0</v>
      </c>
      <c r="CS306" s="231">
        <f t="shared" si="523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>SUM(M306,AG306,BA306,BU306,DI306)-SUM(O306,AI306,BC306,BW306,CQ306)-L306</f>
        <v>-30</v>
      </c>
      <c r="DH306" s="29">
        <f t="shared" si="508"/>
        <v>36</v>
      </c>
      <c r="DI306" s="298">
        <f>SUM(DI272:DI275)</f>
        <v>0</v>
      </c>
      <c r="DJ306" s="5">
        <f t="shared" si="526"/>
        <v>-36</v>
      </c>
      <c r="DK306" s="240"/>
      <c r="DL306" s="303">
        <f>SUM(DL272:DL275)</f>
        <v>0</v>
      </c>
      <c r="DM306" s="231">
        <f t="shared" si="527"/>
        <v>36</v>
      </c>
    </row>
    <row r="307" spans="1:117" ht="29.4" thickBot="1" x14ac:dyDescent="0.35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>SUM(M307,AG307,BA307,BU307)-L307</f>
        <v>-2</v>
      </c>
      <c r="K307" s="395">
        <f t="shared" si="502"/>
        <v>-11</v>
      </c>
      <c r="L307" s="544">
        <v>12</v>
      </c>
      <c r="M307" s="298">
        <f>M290</f>
        <v>1</v>
      </c>
      <c r="N307" s="5">
        <f t="shared" si="503"/>
        <v>-11</v>
      </c>
      <c r="O307" s="240"/>
      <c r="P307" s="303">
        <f>P290</f>
        <v>1</v>
      </c>
      <c r="Q307" s="231">
        <f t="shared" si="519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>SUM(M307,AG307)-SUM(O307,AI307)-L307</f>
        <v>-10</v>
      </c>
      <c r="AF307" s="29">
        <f>Q307</f>
        <v>11</v>
      </c>
      <c r="AG307" s="298">
        <f>AG290</f>
        <v>1</v>
      </c>
      <c r="AH307" s="5">
        <f t="shared" si="504"/>
        <v>-10</v>
      </c>
      <c r="AI307" s="258"/>
      <c r="AJ307" s="303">
        <f>AJ290</f>
        <v>0</v>
      </c>
      <c r="AK307" s="231">
        <f t="shared" si="520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>SUM(M307,AG307,BA307)-SUM(O307,AI307,BC307)-L307</f>
        <v>-8</v>
      </c>
      <c r="AZ307" s="29">
        <f t="shared" si="510"/>
        <v>11</v>
      </c>
      <c r="BA307" s="298">
        <f>BA290</f>
        <v>2</v>
      </c>
      <c r="BB307" s="5">
        <f t="shared" si="505"/>
        <v>-9</v>
      </c>
      <c r="BC307" s="256"/>
      <c r="BD307" s="303">
        <f>BD290</f>
        <v>3</v>
      </c>
      <c r="BE307" s="231">
        <f t="shared" si="521"/>
        <v>8</v>
      </c>
      <c r="BF307" s="121"/>
      <c r="BG307" s="6"/>
      <c r="BH307" s="35"/>
      <c r="BI307" s="612"/>
      <c r="BJ307" s="121"/>
      <c r="BK307" s="6"/>
      <c r="BL307" s="35"/>
      <c r="BM307" s="735"/>
      <c r="BN307" s="200"/>
      <c r="BO307" s="6"/>
      <c r="BP307" s="79"/>
      <c r="BQ307" s="619"/>
      <c r="BR307" s="619"/>
      <c r="BS307" s="395">
        <f>SUM(M307,AG307,BA307,BU307)-SUM(O307,AI307,BC307,BW307)-L307</f>
        <v>-12</v>
      </c>
      <c r="BT307" s="29">
        <f t="shared" si="511"/>
        <v>8</v>
      </c>
      <c r="BU307" s="298">
        <f>BU290</f>
        <v>6</v>
      </c>
      <c r="BV307" s="5">
        <f t="shared" si="506"/>
        <v>-2</v>
      </c>
      <c r="BW307" s="649">
        <v>10</v>
      </c>
      <c r="BX307" s="303">
        <f>BX290</f>
        <v>0</v>
      </c>
      <c r="BY307" s="231">
        <f t="shared" si="522"/>
        <v>18</v>
      </c>
      <c r="BZ307" s="121"/>
      <c r="CA307" s="6"/>
      <c r="CB307" s="79"/>
      <c r="CC307" s="735"/>
      <c r="CD307" s="215"/>
      <c r="CE307" s="199"/>
      <c r="CF307" s="502"/>
      <c r="CG307" s="822"/>
      <c r="CH307" s="21"/>
      <c r="CI307" s="199">
        <f>F307*BW307</f>
        <v>1850</v>
      </c>
      <c r="CJ307" s="502" t="s">
        <v>900</v>
      </c>
      <c r="CK307" s="848"/>
      <c r="CL307" s="848"/>
      <c r="CM307" s="395">
        <f>SUM(M307,AG307,BA307,BU307,CO307)-SUM(O307,AI307,BC307,BW307,CQ307)-L307</f>
        <v>-12</v>
      </c>
      <c r="CN307" s="29">
        <f t="shared" si="512"/>
        <v>18</v>
      </c>
      <c r="CO307" s="298">
        <f>SUM(CO272:CO275)</f>
        <v>0</v>
      </c>
      <c r="CP307" s="5">
        <f t="shared" si="507"/>
        <v>-18</v>
      </c>
      <c r="CQ307" s="240"/>
      <c r="CR307" s="303">
        <f>SUM(CR272:CR275)</f>
        <v>0</v>
      </c>
      <c r="CS307" s="231">
        <f t="shared" si="523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>SUM(M307,AG307,BA307,BU307,DI307)-SUM(O307,AI307,BC307,BW307,CQ307)-L307</f>
        <v>-12</v>
      </c>
      <c r="DH307" s="29">
        <f t="shared" si="508"/>
        <v>18</v>
      </c>
      <c r="DI307" s="298">
        <f>SUM(DI272:DI275)</f>
        <v>0</v>
      </c>
      <c r="DJ307" s="5">
        <f t="shared" si="526"/>
        <v>-18</v>
      </c>
      <c r="DK307" s="240"/>
      <c r="DL307" s="303">
        <f>SUM(DL272:DL275)</f>
        <v>0</v>
      </c>
      <c r="DM307" s="231">
        <f t="shared" si="527"/>
        <v>18</v>
      </c>
    </row>
    <row r="308" spans="1:117" ht="29.4" thickBot="1" x14ac:dyDescent="0.35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>SUM(M308,AG308,BA308,BU308)-L308</f>
        <v>-5</v>
      </c>
      <c r="K308" s="395">
        <f t="shared" si="502"/>
        <v>-14</v>
      </c>
      <c r="L308" s="544">
        <v>15</v>
      </c>
      <c r="M308" s="298">
        <f>M290</f>
        <v>1</v>
      </c>
      <c r="N308" s="5">
        <f t="shared" si="503"/>
        <v>-14</v>
      </c>
      <c r="O308" s="240"/>
      <c r="P308" s="303">
        <f>P290</f>
        <v>1</v>
      </c>
      <c r="Q308" s="231">
        <f t="shared" si="519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>SUM(M308,AG308)-SUM(O308,AI308)-L308</f>
        <v>-13</v>
      </c>
      <c r="AF308" s="29">
        <f>Q308</f>
        <v>14</v>
      </c>
      <c r="AG308" s="298">
        <f>AG290</f>
        <v>1</v>
      </c>
      <c r="AH308" s="5">
        <f t="shared" si="504"/>
        <v>-13</v>
      </c>
      <c r="AI308" s="258"/>
      <c r="AJ308" s="303">
        <f>AJ290</f>
        <v>0</v>
      </c>
      <c r="AK308" s="231">
        <f t="shared" si="520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>SUM(M308,AG308,BA308)-SUM(O308,AI308,BC308)-L308</f>
        <v>-11</v>
      </c>
      <c r="AZ308" s="29">
        <f t="shared" si="510"/>
        <v>14</v>
      </c>
      <c r="BA308" s="298">
        <f>BA290</f>
        <v>2</v>
      </c>
      <c r="BB308" s="5">
        <f t="shared" si="505"/>
        <v>-12</v>
      </c>
      <c r="BC308" s="256"/>
      <c r="BD308" s="303">
        <f>BD290</f>
        <v>3</v>
      </c>
      <c r="BE308" s="231">
        <f t="shared" si="521"/>
        <v>11</v>
      </c>
      <c r="BF308" s="121"/>
      <c r="BG308" s="6"/>
      <c r="BH308" s="35"/>
      <c r="BI308" s="612"/>
      <c r="BJ308" s="121"/>
      <c r="BK308" s="6"/>
      <c r="BL308" s="257"/>
      <c r="BM308" s="798"/>
      <c r="BN308" s="200"/>
      <c r="BO308" s="6"/>
      <c r="BP308" s="79"/>
      <c r="BQ308" s="619"/>
      <c r="BR308" s="619"/>
      <c r="BS308" s="395">
        <f>SUM(M308,AG308,BA308,BU308)-SUM(O308,AI308,BC308,BW308)-L308</f>
        <v>-15</v>
      </c>
      <c r="BT308" s="29">
        <f t="shared" si="511"/>
        <v>11</v>
      </c>
      <c r="BU308" s="298">
        <f>BU290</f>
        <v>6</v>
      </c>
      <c r="BV308" s="5">
        <f t="shared" si="506"/>
        <v>-5</v>
      </c>
      <c r="BW308" s="649">
        <v>10</v>
      </c>
      <c r="BX308" s="303">
        <f>BX290</f>
        <v>0</v>
      </c>
      <c r="BY308" s="231">
        <f t="shared" si="522"/>
        <v>21</v>
      </c>
      <c r="BZ308" s="121"/>
      <c r="CA308" s="6"/>
      <c r="CB308" s="79"/>
      <c r="CC308" s="735"/>
      <c r="CD308" s="215"/>
      <c r="CE308" s="199"/>
      <c r="CF308" s="502"/>
      <c r="CG308" s="822"/>
      <c r="CH308" s="21"/>
      <c r="CI308" s="199">
        <f>F308*BW308</f>
        <v>2020</v>
      </c>
      <c r="CJ308" s="502" t="s">
        <v>900</v>
      </c>
      <c r="CK308" s="848"/>
      <c r="CL308" s="848"/>
      <c r="CM308" s="395">
        <f>SUM(M308,AG308,BA308,BU308,CO308)-SUM(O308,AI308,BC308,BW308,CQ308)-L308</f>
        <v>-15</v>
      </c>
      <c r="CN308" s="29">
        <f t="shared" si="512"/>
        <v>21</v>
      </c>
      <c r="CO308" s="298">
        <f>SUM(CO272:CO275)</f>
        <v>0</v>
      </c>
      <c r="CP308" s="5">
        <f t="shared" si="507"/>
        <v>-21</v>
      </c>
      <c r="CQ308" s="240"/>
      <c r="CR308" s="303">
        <f>SUM(CR273:CR276)</f>
        <v>0</v>
      </c>
      <c r="CS308" s="231">
        <f t="shared" si="523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>SUM(M308,AG308,BA308,BU308,DI308)-SUM(O308,AI308,BC308,BW308,CQ308)-L308</f>
        <v>-15</v>
      </c>
      <c r="DH308" s="29">
        <f t="shared" si="508"/>
        <v>21</v>
      </c>
      <c r="DI308" s="298">
        <f>SUM(DI272:DI275)</f>
        <v>0</v>
      </c>
      <c r="DJ308" s="5">
        <f t="shared" si="526"/>
        <v>-21</v>
      </c>
      <c r="DK308" s="240"/>
      <c r="DL308" s="303">
        <f>SUM(DL273:DL276)</f>
        <v>0</v>
      </c>
      <c r="DM308" s="231">
        <f t="shared" si="527"/>
        <v>21</v>
      </c>
    </row>
    <row r="309" spans="1:117" ht="43.8" thickBot="1" x14ac:dyDescent="0.35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>SUM(M309,AG309,BA309,BU309)-L309</f>
        <v>0</v>
      </c>
      <c r="K309" s="395">
        <f t="shared" si="502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>SUM(M309,AG309)-SUM(O309,AI309)-L309</f>
        <v>-8</v>
      </c>
      <c r="AF309" s="29">
        <f>Q309</f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55"/>
      <c r="AT309" s="121"/>
      <c r="AU309" s="6"/>
      <c r="AV309" s="35"/>
      <c r="AW309" s="231"/>
      <c r="AX309" s="231"/>
      <c r="AY309" s="398">
        <f>SUM(M309,AG309,BA309)-SUM(O309,AI309,BC309)-L309</f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35"/>
      <c r="BN309" s="200"/>
      <c r="BO309" s="6"/>
      <c r="BP309" s="79"/>
      <c r="BQ309" s="233"/>
      <c r="BR309" s="233"/>
      <c r="BS309" s="398">
        <f>SUM(M309,AG309,BA309,BU309)-SUM(O309,AI309,BC309,BW309)-L309</f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35"/>
      <c r="CD309" s="668">
        <f>F309*BW309/2</f>
        <v>785</v>
      </c>
      <c r="CE309" s="663"/>
      <c r="CF309" s="688" t="s">
        <v>813</v>
      </c>
      <c r="CG309" s="808"/>
      <c r="CH309" s="121"/>
      <c r="CI309" s="629">
        <v>785</v>
      </c>
      <c r="CJ309" s="654" t="s">
        <v>814</v>
      </c>
      <c r="CK309" s="847"/>
      <c r="CL309" s="847"/>
      <c r="CM309" s="395">
        <f>SUM(M309,AG309,BA309,BU309,CO309)-SUM(O309,AI309,BC309,BW309,CQ309)-L309</f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55"/>
      <c r="CX309" s="121"/>
      <c r="CY309" s="6"/>
      <c r="CZ309" s="257"/>
      <c r="DA309" s="755"/>
      <c r="DB309" s="121"/>
      <c r="DC309" s="6"/>
      <c r="DD309" s="35"/>
      <c r="DE309" s="234"/>
      <c r="DF309" s="234"/>
      <c r="DG309" s="395">
        <f>SUM(M309,AG309,BA309,BU309,DI309)-SUM(O309,AI309,BC309,BW309,CQ309)-L309</f>
        <v>-5</v>
      </c>
      <c r="DH309" s="29">
        <f t="shared" si="508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3.8" thickBot="1" x14ac:dyDescent="0.35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>SUM(M310,AG310,BA310,BU310)-L310</f>
        <v>3</v>
      </c>
      <c r="K310" s="395">
        <f t="shared" si="502"/>
        <v>-6</v>
      </c>
      <c r="L310" s="515">
        <v>7</v>
      </c>
      <c r="M310" s="302">
        <f>M290</f>
        <v>1</v>
      </c>
      <c r="N310" s="7">
        <f t="shared" ref="N310" si="528">M310-L310</f>
        <v>-6</v>
      </c>
      <c r="O310" s="256"/>
      <c r="P310" s="304">
        <f>P290</f>
        <v>1</v>
      </c>
      <c r="Q310" s="234">
        <f t="shared" ref="Q310" si="529">L310+O310-P310</f>
        <v>6</v>
      </c>
      <c r="R310" s="121"/>
      <c r="S310" s="6"/>
      <c r="T310" s="35"/>
      <c r="U310" s="736"/>
      <c r="V310" s="474"/>
      <c r="W310" s="6"/>
      <c r="X310" s="35"/>
      <c r="Y310" s="736"/>
      <c r="Z310" s="123"/>
      <c r="AA310" s="6"/>
      <c r="AB310" s="35"/>
      <c r="AC310" s="234"/>
      <c r="AD310" s="234"/>
      <c r="AE310" s="395">
        <f>SUM(M310,AG310)-SUM(O310,AI310)-L310</f>
        <v>-5</v>
      </c>
      <c r="AF310" s="32">
        <f>Q310</f>
        <v>6</v>
      </c>
      <c r="AG310" s="302">
        <f>AG290</f>
        <v>1</v>
      </c>
      <c r="AH310" s="7">
        <f t="shared" ref="AH310" si="530">AG310-AF310</f>
        <v>-5</v>
      </c>
      <c r="AI310" s="242"/>
      <c r="AJ310" s="304">
        <f>AJ290</f>
        <v>0</v>
      </c>
      <c r="AK310" s="234">
        <f t="shared" ref="AK310" si="531">AF310+AI310-AJ310</f>
        <v>6</v>
      </c>
      <c r="AL310" s="474"/>
      <c r="AM310" s="6"/>
      <c r="AN310" s="35"/>
      <c r="AO310" s="736"/>
      <c r="AP310" s="123"/>
      <c r="AQ310" s="8"/>
      <c r="AR310" s="447"/>
      <c r="AS310" s="753"/>
      <c r="AT310" s="123"/>
      <c r="AU310" s="8"/>
      <c r="AV310" s="34"/>
      <c r="AW310" s="234"/>
      <c r="AX310" s="234"/>
      <c r="AY310" s="395">
        <f>SUM(M310,AG310,BA310)-SUM(O310,AI310,BC310)-L310</f>
        <v>-3</v>
      </c>
      <c r="AZ310" s="32">
        <f t="shared" ref="AZ310" si="532">AK310</f>
        <v>6</v>
      </c>
      <c r="BA310" s="302">
        <f>BA290</f>
        <v>2</v>
      </c>
      <c r="BB310" s="7">
        <f t="shared" ref="BB310" si="533">BA310-AZ310</f>
        <v>-4</v>
      </c>
      <c r="BC310" s="258"/>
      <c r="BD310" s="304">
        <f>BD290</f>
        <v>3</v>
      </c>
      <c r="BE310" s="234">
        <f t="shared" ref="BE310" si="534">AZ310+BC310-BD310</f>
        <v>3</v>
      </c>
      <c r="BF310" s="123"/>
      <c r="BG310" s="8"/>
      <c r="BH310" s="34"/>
      <c r="BI310" s="736"/>
      <c r="BJ310" s="123"/>
      <c r="BK310" s="8"/>
      <c r="BL310" s="34"/>
      <c r="BM310" s="750"/>
      <c r="BN310" s="200"/>
      <c r="BO310" s="8"/>
      <c r="BP310" s="79"/>
      <c r="BQ310" s="619"/>
      <c r="BR310" s="619"/>
      <c r="BS310" s="395">
        <f>SUM(M310,AG310,BA310,BU310)-SUM(O310,AI310,BC310,BW310)-L310</f>
        <v>-2</v>
      </c>
      <c r="BT310" s="32">
        <f t="shared" ref="BT310" si="535">BE310</f>
        <v>3</v>
      </c>
      <c r="BU310" s="302">
        <f>BU290</f>
        <v>6</v>
      </c>
      <c r="BV310" s="7">
        <f t="shared" ref="BV310" si="536">BU310-BT310</f>
        <v>3</v>
      </c>
      <c r="BW310" s="242">
        <v>5</v>
      </c>
      <c r="BX310" s="304">
        <f>BX290</f>
        <v>0</v>
      </c>
      <c r="BY310" s="234">
        <f t="shared" ref="BY310" si="537">BT310+BW310-BX310</f>
        <v>8</v>
      </c>
      <c r="BZ310" s="123"/>
      <c r="CA310" s="8"/>
      <c r="CB310" s="79"/>
      <c r="CC310" s="750"/>
      <c r="CD310" s="632"/>
      <c r="CE310" s="213"/>
      <c r="CF310" s="502"/>
      <c r="CG310" s="745"/>
      <c r="CH310" s="123"/>
      <c r="CI310" s="199">
        <f>F310*BW310</f>
        <v>250</v>
      </c>
      <c r="CJ310" s="502" t="s">
        <v>822</v>
      </c>
      <c r="CK310" s="848"/>
      <c r="CL310" s="848"/>
      <c r="CM310" s="395">
        <f>SUM(M310,AG310,BA310,BU310,CO310)-SUM(O310,AI310,BC310,BW310,CQ310)-L310</f>
        <v>-2</v>
      </c>
      <c r="CN310" s="32">
        <f t="shared" ref="CN310" si="538">BY310</f>
        <v>8</v>
      </c>
      <c r="CO310" s="302">
        <f>CO290</f>
        <v>0</v>
      </c>
      <c r="CP310" s="7">
        <f t="shared" ref="CP310" si="539">CO310-CN310</f>
        <v>-8</v>
      </c>
      <c r="CQ310" s="242"/>
      <c r="CR310" s="304">
        <f>CR290</f>
        <v>0</v>
      </c>
      <c r="CS310" s="234">
        <f t="shared" ref="CS310" si="540">CN310+CQ310-CR310</f>
        <v>8</v>
      </c>
      <c r="CT310" s="123"/>
      <c r="CU310" s="8"/>
      <c r="CV310" s="447"/>
      <c r="CW310" s="753"/>
      <c r="CX310" s="123"/>
      <c r="CY310" s="8"/>
      <c r="CZ310" s="447"/>
      <c r="DA310" s="753"/>
      <c r="DB310" s="123"/>
      <c r="DC310" s="8"/>
      <c r="DD310" s="34"/>
      <c r="DE310" s="234"/>
      <c r="DF310" s="234"/>
      <c r="DG310" s="395">
        <f>SUM(M310,AG310,BA310,BU310,DI310)-SUM(O310,AI310,BC310,BW310,CQ310)-L310</f>
        <v>-2</v>
      </c>
      <c r="DH310" s="29">
        <f t="shared" si="508"/>
        <v>8</v>
      </c>
      <c r="DI310" s="302">
        <f>DI290</f>
        <v>0</v>
      </c>
      <c r="DJ310" s="7">
        <f t="shared" ref="DJ310" si="541">DI310-DH310</f>
        <v>-8</v>
      </c>
      <c r="DK310" s="242"/>
      <c r="DL310" s="304">
        <f>DL290</f>
        <v>0</v>
      </c>
      <c r="DM310" s="234">
        <f t="shared" ref="DM310" si="542">DH310+DK310-DL310</f>
        <v>8</v>
      </c>
    </row>
    <row r="311" spans="1:117" x14ac:dyDescent="0.3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49"/>
      <c r="V311" s="505"/>
      <c r="W311" s="506"/>
      <c r="X311" s="507"/>
      <c r="Y311" s="749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99"/>
      <c r="AP311" s="356"/>
      <c r="AQ311" s="357"/>
      <c r="AR311" s="508"/>
      <c r="AS311" s="799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51"/>
      <c r="BJ311" s="356"/>
      <c r="BK311" s="357"/>
      <c r="BL311" s="358"/>
      <c r="BM311" s="751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99"/>
      <c r="CD311" s="356"/>
      <c r="CE311" s="357"/>
      <c r="CF311" s="508"/>
      <c r="CG311" s="799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99"/>
      <c r="CX311" s="356"/>
      <c r="CY311" s="357"/>
      <c r="CZ311" s="508"/>
      <c r="DA311" s="799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28.8" x14ac:dyDescent="0.3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>SUM(M312,AG312,BA312,BU312)-L312</f>
        <v>-1</v>
      </c>
      <c r="K312" s="395">
        <f t="shared" si="502"/>
        <v>-1</v>
      </c>
      <c r="L312" s="515">
        <v>1</v>
      </c>
      <c r="M312" s="302">
        <f>SUM(M272,M273)</f>
        <v>0</v>
      </c>
      <c r="N312" s="7">
        <f t="shared" si="503"/>
        <v>-1</v>
      </c>
      <c r="O312" s="258"/>
      <c r="P312" s="304">
        <f>SUM(P272,P273)</f>
        <v>0</v>
      </c>
      <c r="Q312" s="234">
        <f t="shared" si="519"/>
        <v>1</v>
      </c>
      <c r="R312" s="123"/>
      <c r="S312" s="8"/>
      <c r="T312" s="34"/>
      <c r="U312" s="736"/>
      <c r="V312" s="123"/>
      <c r="W312" s="8"/>
      <c r="X312" s="34"/>
      <c r="Y312" s="736"/>
      <c r="Z312" s="20"/>
      <c r="AA312" s="8"/>
      <c r="AB312" s="34"/>
      <c r="AC312" s="234"/>
      <c r="AD312" s="234"/>
      <c r="AE312" s="395">
        <f>SUM(M312,AG312)-SUM(O312,AI312)-L312</f>
        <v>-1</v>
      </c>
      <c r="AF312" s="32">
        <f>Q312</f>
        <v>1</v>
      </c>
      <c r="AG312" s="302">
        <f>SUM(AG272,AG273)</f>
        <v>0</v>
      </c>
      <c r="AH312" s="7">
        <f t="shared" si="504"/>
        <v>-1</v>
      </c>
      <c r="AI312" s="258"/>
      <c r="AJ312" s="304">
        <f>SUM(AJ272,AJ273)</f>
        <v>0</v>
      </c>
      <c r="AK312" s="234">
        <f t="shared" si="520"/>
        <v>1</v>
      </c>
      <c r="AL312" s="123"/>
      <c r="AM312" s="8"/>
      <c r="AN312" s="34"/>
      <c r="AO312" s="736"/>
      <c r="AP312" s="123"/>
      <c r="AQ312" s="8"/>
      <c r="AR312" s="34"/>
      <c r="AS312" s="736"/>
      <c r="AT312" s="20"/>
      <c r="AU312" s="8"/>
      <c r="AV312" s="34"/>
      <c r="AW312" s="234"/>
      <c r="AX312" s="234"/>
      <c r="AY312" s="395">
        <f>SUM(M312,AG312,BA312)-SUM(O312,AI312,BC312)-L312</f>
        <v>-1</v>
      </c>
      <c r="AZ312" s="32">
        <f t="shared" si="510"/>
        <v>1</v>
      </c>
      <c r="BA312" s="302">
        <f>SUM(BA272,BA273)</f>
        <v>0</v>
      </c>
      <c r="BB312" s="7">
        <f t="shared" si="505"/>
        <v>-1</v>
      </c>
      <c r="BC312" s="258"/>
      <c r="BD312" s="304">
        <f>SUM(BD272,BD273)</f>
        <v>0</v>
      </c>
      <c r="BE312" s="234">
        <f t="shared" si="521"/>
        <v>1</v>
      </c>
      <c r="BF312" s="123"/>
      <c r="BG312" s="8"/>
      <c r="BH312" s="34"/>
      <c r="BI312" s="736"/>
      <c r="BJ312" s="123"/>
      <c r="BK312" s="8"/>
      <c r="BL312" s="34"/>
      <c r="BM312" s="736"/>
      <c r="BN312" s="20"/>
      <c r="BO312" s="8"/>
      <c r="BP312" s="34"/>
      <c r="BQ312" s="234"/>
      <c r="BR312" s="234"/>
      <c r="BS312" s="395">
        <f>SUM(M312,AG312,BA312,BU312)-SUM(O312,AI312,BC312,BW312)-L312</f>
        <v>-6</v>
      </c>
      <c r="BT312" s="32">
        <f t="shared" si="511"/>
        <v>1</v>
      </c>
      <c r="BU312" s="302">
        <f>SUM(BU272,BU273)</f>
        <v>0</v>
      </c>
      <c r="BV312" s="7">
        <f t="shared" si="506"/>
        <v>-1</v>
      </c>
      <c r="BW312" s="242">
        <v>5</v>
      </c>
      <c r="BX312" s="304">
        <f>SUM(BX272,BX273)</f>
        <v>0</v>
      </c>
      <c r="BY312" s="234">
        <f t="shared" si="522"/>
        <v>6</v>
      </c>
      <c r="BZ312" s="123"/>
      <c r="CA312" s="8"/>
      <c r="CB312" s="34"/>
      <c r="CC312" s="736"/>
      <c r="CD312" s="123"/>
      <c r="CE312" s="8"/>
      <c r="CF312" s="34"/>
      <c r="CG312" s="736"/>
      <c r="CH312" s="20"/>
      <c r="CI312" s="8"/>
      <c r="CJ312" s="34"/>
      <c r="CK312" s="234"/>
      <c r="CL312" s="234"/>
      <c r="CM312" s="395">
        <f>SUM(M312,AG312,BA312,BU312,CO312)-SUM(O312,AI312,BC312,BW312,CQ312)-L312</f>
        <v>-6</v>
      </c>
      <c r="CN312" s="32">
        <f t="shared" si="512"/>
        <v>6</v>
      </c>
      <c r="CO312" s="302">
        <f>SUM(CO272,CO273)</f>
        <v>0</v>
      </c>
      <c r="CP312" s="7">
        <f t="shared" si="507"/>
        <v>-6</v>
      </c>
      <c r="CQ312" s="242"/>
      <c r="CR312" s="304">
        <f>SUM(CR272,CR273)</f>
        <v>0</v>
      </c>
      <c r="CS312" s="234">
        <f t="shared" si="523"/>
        <v>6</v>
      </c>
      <c r="CT312" s="123"/>
      <c r="CU312" s="8"/>
      <c r="CV312" s="34"/>
      <c r="CW312" s="736"/>
      <c r="CX312" s="123"/>
      <c r="CY312" s="8"/>
      <c r="CZ312" s="34"/>
      <c r="DA312" s="736"/>
      <c r="DB312" s="20"/>
      <c r="DC312" s="8"/>
      <c r="DD312" s="34"/>
      <c r="DE312" s="234"/>
      <c r="DF312" s="234"/>
      <c r="DG312" s="395">
        <f>SUM(M312,AG312,BA312,BU312,DI312)-SUM(O312,AI312,BC312,BW312,CQ312)-L312</f>
        <v>-6</v>
      </c>
      <c r="DH312" s="29">
        <f t="shared" si="508"/>
        <v>6</v>
      </c>
      <c r="DI312" s="302">
        <f>SUM(DI272,DI273)</f>
        <v>0</v>
      </c>
      <c r="DJ312" s="7">
        <f t="shared" ref="DJ312:DJ317" si="543">DI312-DH312</f>
        <v>-6</v>
      </c>
      <c r="DK312" s="242"/>
      <c r="DL312" s="304">
        <f>SUM(DL272,DL273)</f>
        <v>0</v>
      </c>
      <c r="DM312" s="234">
        <f t="shared" ref="DM312:DM317" si="544">DH312+DK312-DL312</f>
        <v>6</v>
      </c>
    </row>
    <row r="313" spans="1:117" ht="43.8" thickBot="1" x14ac:dyDescent="0.35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>SUM(M313,AG313,BA313,BU313)-L313</f>
        <v>-69</v>
      </c>
      <c r="K313" s="395">
        <f t="shared" si="502"/>
        <v>-78</v>
      </c>
      <c r="L313" s="544">
        <v>79</v>
      </c>
      <c r="M313" s="298">
        <f>M290</f>
        <v>1</v>
      </c>
      <c r="N313" s="5">
        <f t="shared" si="503"/>
        <v>-78</v>
      </c>
      <c r="O313" s="256"/>
      <c r="P313" s="303">
        <f>P290</f>
        <v>1</v>
      </c>
      <c r="Q313" s="231">
        <f t="shared" si="519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>SUM(M313,AG313)-SUM(O313,AI313)-L313</f>
        <v>-77</v>
      </c>
      <c r="AF313" s="29">
        <f>Q313</f>
        <v>78</v>
      </c>
      <c r="AG313" s="298">
        <f>AG290</f>
        <v>1</v>
      </c>
      <c r="AH313" s="5">
        <f t="shared" si="504"/>
        <v>-77</v>
      </c>
      <c r="AI313" s="258"/>
      <c r="AJ313" s="303">
        <f>AJ290</f>
        <v>0</v>
      </c>
      <c r="AK313" s="231">
        <f t="shared" si="520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>SUM(M313,AG313,BA313)-SUM(O313,AI313,BC313)-L313</f>
        <v>-75</v>
      </c>
      <c r="AZ313" s="29">
        <f t="shared" si="510"/>
        <v>78</v>
      </c>
      <c r="BA313" s="298">
        <f>BA290</f>
        <v>2</v>
      </c>
      <c r="BB313" s="5">
        <f t="shared" si="505"/>
        <v>-76</v>
      </c>
      <c r="BC313" s="256"/>
      <c r="BD313" s="303">
        <f>BD290</f>
        <v>3</v>
      </c>
      <c r="BE313" s="231">
        <f t="shared" si="521"/>
        <v>75</v>
      </c>
      <c r="BF313" s="123"/>
      <c r="BG313" s="6"/>
      <c r="BH313" s="35"/>
      <c r="BI313" s="612"/>
      <c r="BJ313" s="121"/>
      <c r="BK313" s="6"/>
      <c r="BL313" s="35"/>
      <c r="BM313" s="735"/>
      <c r="BN313" s="200"/>
      <c r="BO313" s="6"/>
      <c r="BP313" s="79"/>
      <c r="BQ313" s="619"/>
      <c r="BR313" s="619"/>
      <c r="BS313" s="395">
        <f>SUM(M313,AG313,BA313,BU313)-SUM(O313,AI313,BC313,BW313)-L313</f>
        <v>-74</v>
      </c>
      <c r="BT313" s="29">
        <f t="shared" si="511"/>
        <v>75</v>
      </c>
      <c r="BU313" s="298">
        <f>BU290</f>
        <v>6</v>
      </c>
      <c r="BV313" s="5">
        <f t="shared" si="506"/>
        <v>-69</v>
      </c>
      <c r="BW313" s="240">
        <v>5</v>
      </c>
      <c r="BX313" s="303">
        <f>BX290</f>
        <v>0</v>
      </c>
      <c r="BY313" s="231">
        <f t="shared" si="522"/>
        <v>80</v>
      </c>
      <c r="BZ313" s="121"/>
      <c r="CA313" s="6"/>
      <c r="CB313" s="79"/>
      <c r="CC313" s="796"/>
      <c r="CD313" s="199"/>
      <c r="CE313" s="199"/>
      <c r="CF313" s="502"/>
      <c r="CG313" s="822"/>
      <c r="CH313" s="235"/>
      <c r="CI313" s="199">
        <v>50</v>
      </c>
      <c r="CJ313" s="148" t="s">
        <v>818</v>
      </c>
      <c r="CK313" s="845"/>
      <c r="CL313" s="845"/>
      <c r="CM313" s="395">
        <f>SUM(M313,AG313,BA313,BU313,CO313)-SUM(O313,AI313,BC313,BW313,CQ313)-L313</f>
        <v>-74</v>
      </c>
      <c r="CN313" s="29">
        <f t="shared" si="512"/>
        <v>80</v>
      </c>
      <c r="CO313" s="298">
        <f>SUM(CO274,CO275)</f>
        <v>0</v>
      </c>
      <c r="CP313" s="5">
        <f t="shared" si="507"/>
        <v>-80</v>
      </c>
      <c r="CQ313" s="240"/>
      <c r="CR313" s="303">
        <f>SUM(CR274,CR275)</f>
        <v>0</v>
      </c>
      <c r="CS313" s="231">
        <f t="shared" si="523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>SUM(M313,AG313,BA313,BU313,DI313)-SUM(O313,AI313,BC313,BW313,CQ313)-L313</f>
        <v>-74</v>
      </c>
      <c r="DH313" s="29">
        <f t="shared" si="508"/>
        <v>80</v>
      </c>
      <c r="DI313" s="298">
        <f>SUM(DI274,DI275)</f>
        <v>0</v>
      </c>
      <c r="DJ313" s="5">
        <f t="shared" si="543"/>
        <v>-80</v>
      </c>
      <c r="DK313" s="240"/>
      <c r="DL313" s="303">
        <f>SUM(DL274,DL275)</f>
        <v>0</v>
      </c>
      <c r="DM313" s="231">
        <f t="shared" si="544"/>
        <v>80</v>
      </c>
    </row>
    <row r="314" spans="1:117" ht="15" thickBot="1" x14ac:dyDescent="0.35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>SUM(M314,AG314,BA314,BU314)-L314</f>
        <v>-3</v>
      </c>
      <c r="K314" s="395">
        <f t="shared" si="502"/>
        <v>-3</v>
      </c>
      <c r="L314" s="544">
        <v>3</v>
      </c>
      <c r="M314" s="298">
        <f>SUM(M272,M273)</f>
        <v>0</v>
      </c>
      <c r="N314" s="5">
        <f t="shared" si="503"/>
        <v>-3</v>
      </c>
      <c r="O314" s="256"/>
      <c r="P314" s="303">
        <f>SUM(P272,P273)</f>
        <v>0</v>
      </c>
      <c r="Q314" s="231">
        <f t="shared" si="519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>SUM(M314,AG314)-SUM(O314,AI314)-L314</f>
        <v>-3</v>
      </c>
      <c r="AF314" s="29">
        <f>Q314</f>
        <v>3</v>
      </c>
      <c r="AG314" s="298">
        <f>SUM(AG272,AG273)</f>
        <v>0</v>
      </c>
      <c r="AH314" s="5">
        <f t="shared" si="504"/>
        <v>-3</v>
      </c>
      <c r="AI314" s="256"/>
      <c r="AJ314" s="303">
        <f>SUM(AJ272,AJ273)</f>
        <v>0</v>
      </c>
      <c r="AK314" s="231">
        <f t="shared" si="520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>SUM(M314,AG314,BA314)-SUM(O314,AI314,BC314)-L314</f>
        <v>-3</v>
      </c>
      <c r="AZ314" s="29">
        <f t="shared" si="510"/>
        <v>3</v>
      </c>
      <c r="BA314" s="298">
        <f>SUM(BA272,BA273)</f>
        <v>0</v>
      </c>
      <c r="BB314" s="5">
        <f t="shared" si="505"/>
        <v>-3</v>
      </c>
      <c r="BC314" s="256"/>
      <c r="BD314" s="303">
        <f>SUM(BD272,BD273)</f>
        <v>0</v>
      </c>
      <c r="BE314" s="231">
        <f t="shared" si="521"/>
        <v>3</v>
      </c>
      <c r="BF314" s="121"/>
      <c r="BG314" s="6"/>
      <c r="BH314" s="35"/>
      <c r="BI314" s="612"/>
      <c r="BJ314" s="121"/>
      <c r="BK314" s="6"/>
      <c r="BL314" s="35"/>
      <c r="BM314" s="735"/>
      <c r="BN314" s="200"/>
      <c r="BO314" s="6"/>
      <c r="BP314" s="79"/>
      <c r="BQ314" s="619"/>
      <c r="BR314" s="619"/>
      <c r="BS314" s="395">
        <f>SUM(M314,AG314,BA314,BU314)-SUM(O314,AI314,BC314,BW314)-L314</f>
        <v>-3</v>
      </c>
      <c r="BT314" s="29">
        <f t="shared" si="511"/>
        <v>3</v>
      </c>
      <c r="BU314" s="298">
        <f>SUM(BU272,BU273)</f>
        <v>0</v>
      </c>
      <c r="BV314" s="5">
        <f t="shared" si="506"/>
        <v>-3</v>
      </c>
      <c r="BW314" s="240"/>
      <c r="BX314" s="303">
        <f>SUM(BX272,BX273)</f>
        <v>0</v>
      </c>
      <c r="BY314" s="231">
        <f t="shared" si="522"/>
        <v>3</v>
      </c>
      <c r="BZ314" s="121"/>
      <c r="CA314" s="6"/>
      <c r="CB314" s="79"/>
      <c r="CC314" s="796"/>
      <c r="CD314" s="199"/>
      <c r="CE314" s="199"/>
      <c r="CF314" s="502"/>
      <c r="CG314" s="822"/>
      <c r="CH314" s="235"/>
      <c r="CI314" s="199"/>
      <c r="CJ314" s="148"/>
      <c r="CK314" s="845"/>
      <c r="CL314" s="845"/>
      <c r="CM314" s="395">
        <f>SUM(M314,AG314,BA314,BU314,CO314)-SUM(O314,AI314,BC314,BW314,CQ314)-L314</f>
        <v>-3</v>
      </c>
      <c r="CN314" s="29">
        <f t="shared" si="512"/>
        <v>3</v>
      </c>
      <c r="CO314" s="298">
        <f>SUM(CO272,CO273)</f>
        <v>0</v>
      </c>
      <c r="CP314" s="5">
        <f t="shared" si="507"/>
        <v>-3</v>
      </c>
      <c r="CQ314" s="240"/>
      <c r="CR314" s="303">
        <f>SUM(CR272,CR273)</f>
        <v>0</v>
      </c>
      <c r="CS314" s="231">
        <f t="shared" si="523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>SUM(M314,AG314,BA314,BU314,DI314)-SUM(O314,AI314,BC314,BW314,CQ314)-L314</f>
        <v>-3</v>
      </c>
      <c r="DH314" s="29">
        <f t="shared" si="508"/>
        <v>3</v>
      </c>
      <c r="DI314" s="298">
        <f>SUM(DI272,DI273)</f>
        <v>0</v>
      </c>
      <c r="DJ314" s="5">
        <f t="shared" si="543"/>
        <v>-3</v>
      </c>
      <c r="DK314" s="240"/>
      <c r="DL314" s="303">
        <f>SUM(DL272,DL273)</f>
        <v>0</v>
      </c>
      <c r="DM314" s="231">
        <f t="shared" si="544"/>
        <v>3</v>
      </c>
    </row>
    <row r="315" spans="1:117" ht="15" thickBot="1" x14ac:dyDescent="0.35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>SUM(M315,AG315,BA315,BU315)-L315</f>
        <v>0</v>
      </c>
      <c r="K315" s="395">
        <f t="shared" si="502"/>
        <v>-9</v>
      </c>
      <c r="L315" s="544">
        <v>10</v>
      </c>
      <c r="M315" s="298">
        <f>M290</f>
        <v>1</v>
      </c>
      <c r="N315" s="5">
        <f t="shared" ref="N315" si="545">M315-L315</f>
        <v>-9</v>
      </c>
      <c r="O315" s="258"/>
      <c r="P315" s="303">
        <f>P290</f>
        <v>1</v>
      </c>
      <c r="Q315" s="231">
        <f t="shared" ref="Q315" si="546">L315+O315-P315</f>
        <v>9</v>
      </c>
      <c r="R315" s="121"/>
      <c r="S315" s="6"/>
      <c r="T315" s="35"/>
      <c r="U315" s="612"/>
      <c r="V315" s="121"/>
      <c r="W315" s="6"/>
      <c r="X315" s="79"/>
      <c r="Y315" s="735"/>
      <c r="Z315" s="121"/>
      <c r="AA315" s="6"/>
      <c r="AB315" s="35"/>
      <c r="AC315" s="234"/>
      <c r="AD315" s="234"/>
      <c r="AE315" s="395">
        <f>SUM(M315,AG315)-SUM(O315,AI315)-L315</f>
        <v>-8</v>
      </c>
      <c r="AF315" s="29">
        <f>Q315</f>
        <v>9</v>
      </c>
      <c r="AG315" s="298">
        <f>AG290</f>
        <v>1</v>
      </c>
      <c r="AH315" s="5">
        <f t="shared" ref="AH315" si="547">AG315-AF315</f>
        <v>-8</v>
      </c>
      <c r="AI315" s="240"/>
      <c r="AJ315" s="303">
        <f>AJ290</f>
        <v>0</v>
      </c>
      <c r="AK315" s="231">
        <f t="shared" ref="AK315" si="548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>SUM(M315,AG315,BA315)-SUM(O315,AI315,BC315)-L315</f>
        <v>-6</v>
      </c>
      <c r="AZ315" s="29">
        <f t="shared" ref="AZ315" si="549">AK315</f>
        <v>9</v>
      </c>
      <c r="BA315" s="298">
        <f>BA290</f>
        <v>2</v>
      </c>
      <c r="BB315" s="5">
        <f t="shared" ref="BB315" si="550">BA315-AZ315</f>
        <v>-7</v>
      </c>
      <c r="BC315" s="240"/>
      <c r="BD315" s="303">
        <f>BD290</f>
        <v>3</v>
      </c>
      <c r="BE315" s="231">
        <f t="shared" ref="BE315" si="551">AZ315+BC315-BD315</f>
        <v>6</v>
      </c>
      <c r="BF315" s="121"/>
      <c r="BG315" s="6"/>
      <c r="BH315" s="257"/>
      <c r="BI315" s="755"/>
      <c r="BJ315" s="121"/>
      <c r="BK315" s="6"/>
      <c r="BL315" s="35"/>
      <c r="BM315" s="735"/>
      <c r="BN315" s="200"/>
      <c r="BO315" s="6"/>
      <c r="BP315" s="79"/>
      <c r="BQ315" s="619"/>
      <c r="BR315" s="619"/>
      <c r="BS315" s="395">
        <f>SUM(M315,AG315,BA315,BU315)-SUM(O315,AI315,BC315,BW315)-L315</f>
        <v>-5</v>
      </c>
      <c r="BT315" s="29">
        <f t="shared" ref="BT315" si="552">BE315</f>
        <v>6</v>
      </c>
      <c r="BU315" s="298">
        <f>BU290</f>
        <v>6</v>
      </c>
      <c r="BV315" s="5">
        <f t="shared" ref="BV315" si="553">BU315-BT315</f>
        <v>0</v>
      </c>
      <c r="BW315" s="621">
        <v>5</v>
      </c>
      <c r="BX315" s="303">
        <f>BX290</f>
        <v>0</v>
      </c>
      <c r="BY315" s="231">
        <f t="shared" ref="BY315" si="554">BT315+BW315-BX315</f>
        <v>11</v>
      </c>
      <c r="BZ315" s="121"/>
      <c r="CA315" s="6"/>
      <c r="CB315" s="79"/>
      <c r="CC315" s="796"/>
      <c r="CD315" s="199"/>
      <c r="CE315" s="663">
        <f>F315*BW315</f>
        <v>8550</v>
      </c>
      <c r="CF315" s="688" t="s">
        <v>941</v>
      </c>
      <c r="CG315" s="808"/>
      <c r="CH315" s="235"/>
      <c r="CI315" s="199"/>
      <c r="CJ315" s="148"/>
      <c r="CK315" s="845"/>
      <c r="CL315" s="845"/>
      <c r="CM315" s="395">
        <f>SUM(M315,AG315,BA315,BU315,CO315)-SUM(O315,AI315,BC315,BW315,CQ315)-L315</f>
        <v>-5</v>
      </c>
      <c r="CN315" s="29">
        <f t="shared" ref="CN315" si="555">BY315</f>
        <v>11</v>
      </c>
      <c r="CO315" s="298">
        <f>SUM(CO274,CO275)</f>
        <v>0</v>
      </c>
      <c r="CP315" s="5">
        <f t="shared" ref="CP315" si="556">CO315-CN315</f>
        <v>-11</v>
      </c>
      <c r="CQ315" s="240"/>
      <c r="CR315" s="303">
        <f>SUM(CR274,CR275)</f>
        <v>0</v>
      </c>
      <c r="CS315" s="231">
        <f t="shared" ref="CS315" si="557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>SUM(M315,AG315,BA315,BU315,DI315)-SUM(O315,AI315,BC315,BW315,CQ315)-L315</f>
        <v>-5</v>
      </c>
      <c r="DH315" s="29">
        <f t="shared" si="508"/>
        <v>11</v>
      </c>
      <c r="DI315" s="298">
        <f>SUM(DI274,DI275)</f>
        <v>0</v>
      </c>
      <c r="DJ315" s="5">
        <f t="shared" si="543"/>
        <v>-11</v>
      </c>
      <c r="DK315" s="240"/>
      <c r="DL315" s="303">
        <f>SUM(DL274,DL275)</f>
        <v>0</v>
      </c>
      <c r="DM315" s="231">
        <f t="shared" si="544"/>
        <v>11</v>
      </c>
    </row>
    <row r="316" spans="1:117" ht="29.4" thickBot="1" x14ac:dyDescent="0.35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>SUM(M316,AG316,BA316,BU316)-L316</f>
        <v>0</v>
      </c>
      <c r="K316" s="395">
        <f t="shared" si="502"/>
        <v>-9</v>
      </c>
      <c r="L316" s="544">
        <v>10</v>
      </c>
      <c r="M316" s="298">
        <f>M290</f>
        <v>1</v>
      </c>
      <c r="N316" s="5">
        <f t="shared" ref="N316" si="558">M316-L316</f>
        <v>-9</v>
      </c>
      <c r="O316" s="258"/>
      <c r="P316" s="303">
        <f>P290</f>
        <v>1</v>
      </c>
      <c r="Q316" s="231">
        <f t="shared" ref="Q316" si="559">L316+O316-P316</f>
        <v>9</v>
      </c>
      <c r="R316" s="121"/>
      <c r="S316" s="6"/>
      <c r="T316" s="35"/>
      <c r="U316" s="612"/>
      <c r="V316" s="121"/>
      <c r="W316" s="6"/>
      <c r="X316" s="79"/>
      <c r="Y316" s="735"/>
      <c r="Z316" s="121"/>
      <c r="AA316" s="6"/>
      <c r="AB316" s="35"/>
      <c r="AC316" s="234"/>
      <c r="AD316" s="234"/>
      <c r="AE316" s="395">
        <f>SUM(M316,AG316)-SUM(O316,AI316)-L316</f>
        <v>-8</v>
      </c>
      <c r="AF316" s="29">
        <f>Q316</f>
        <v>9</v>
      </c>
      <c r="AG316" s="298">
        <f>AG290</f>
        <v>1</v>
      </c>
      <c r="AH316" s="5">
        <f t="shared" ref="AH316" si="560">AG316-AF316</f>
        <v>-8</v>
      </c>
      <c r="AI316" s="240"/>
      <c r="AJ316" s="303">
        <f>AJ290</f>
        <v>0</v>
      </c>
      <c r="AK316" s="231">
        <f t="shared" ref="AK316" si="561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>SUM(M316,AG316,BA316)-SUM(O316,AI316,BC316)-L316</f>
        <v>-6</v>
      </c>
      <c r="AZ316" s="29">
        <f t="shared" ref="AZ316" si="562">AK316</f>
        <v>9</v>
      </c>
      <c r="BA316" s="298">
        <f>BA290</f>
        <v>2</v>
      </c>
      <c r="BB316" s="5">
        <f t="shared" ref="BB316" si="563">BA316-AZ316</f>
        <v>-7</v>
      </c>
      <c r="BC316" s="240"/>
      <c r="BD316" s="303">
        <f>BD290</f>
        <v>3</v>
      </c>
      <c r="BE316" s="231">
        <f t="shared" ref="BE316" si="564">AZ316+BC316-BD316</f>
        <v>6</v>
      </c>
      <c r="BF316" s="121"/>
      <c r="BG316" s="6"/>
      <c r="BH316" s="35"/>
      <c r="BI316" s="612"/>
      <c r="BJ316" s="121"/>
      <c r="BK316" s="6"/>
      <c r="BL316" s="35"/>
      <c r="BM316" s="735"/>
      <c r="BN316" s="200"/>
      <c r="BO316" s="6"/>
      <c r="BP316" s="79"/>
      <c r="BQ316" s="619"/>
      <c r="BR316" s="619"/>
      <c r="BS316" s="395">
        <f>SUM(M316,AG316,BA316,BU316)-SUM(O316,AI316,BC316,BW316)-L316</f>
        <v>-5</v>
      </c>
      <c r="BT316" s="29">
        <f t="shared" ref="BT316" si="565">BE316</f>
        <v>6</v>
      </c>
      <c r="BU316" s="298">
        <f>BU290</f>
        <v>6</v>
      </c>
      <c r="BV316" s="5">
        <f t="shared" ref="BV316" si="566">BU316-BT316</f>
        <v>0</v>
      </c>
      <c r="BW316" s="621">
        <v>5</v>
      </c>
      <c r="BX316" s="303">
        <f>BX290</f>
        <v>0</v>
      </c>
      <c r="BY316" s="231">
        <f t="shared" ref="BY316" si="567">BT316+BW316-BX316</f>
        <v>11</v>
      </c>
      <c r="BZ316" s="121"/>
      <c r="CA316" s="6"/>
      <c r="CB316" s="79"/>
      <c r="CC316" s="796"/>
      <c r="CD316" s="199"/>
      <c r="CE316" s="663">
        <f>F316*BW316</f>
        <v>7400</v>
      </c>
      <c r="CF316" s="688" t="s">
        <v>941</v>
      </c>
      <c r="CG316" s="808"/>
      <c r="CH316" s="235"/>
      <c r="CI316" s="199"/>
      <c r="CJ316" s="148"/>
      <c r="CK316" s="845"/>
      <c r="CL316" s="845"/>
      <c r="CM316" s="395">
        <f>SUM(M316,AG316,BA316,BU316,CO316)-SUM(O316,AI316,BC316,BW316,CQ316)-L316</f>
        <v>-5</v>
      </c>
      <c r="CN316" s="29">
        <f t="shared" ref="CN316" si="568">BY316</f>
        <v>11</v>
      </c>
      <c r="CO316" s="298">
        <f>SUM(CO272:CO275)</f>
        <v>0</v>
      </c>
      <c r="CP316" s="5">
        <f t="shared" ref="CP316" si="569">CO316-CN316</f>
        <v>-11</v>
      </c>
      <c r="CQ316" s="240"/>
      <c r="CR316" s="303">
        <f>SUM(CR272:CR275)</f>
        <v>0</v>
      </c>
      <c r="CS316" s="231">
        <f t="shared" ref="CS316" si="570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>SUM(M316,AG316,BA316,BU316,DI316)-SUM(O316,AI316,BC316,BW316,CQ316)-L316</f>
        <v>-5</v>
      </c>
      <c r="DH316" s="29">
        <f t="shared" si="508"/>
        <v>11</v>
      </c>
      <c r="DI316" s="298">
        <f>SUM(DI272:DI275)</f>
        <v>0</v>
      </c>
      <c r="DJ316" s="5">
        <f t="shared" si="543"/>
        <v>-11</v>
      </c>
      <c r="DK316" s="240"/>
      <c r="DL316" s="303">
        <f>SUM(DL272:DL275)</f>
        <v>0</v>
      </c>
      <c r="DM316" s="231">
        <f t="shared" si="544"/>
        <v>11</v>
      </c>
    </row>
    <row r="317" spans="1:117" ht="29.4" thickBot="1" x14ac:dyDescent="0.35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>SUM(M317,AG317,BA317,BU317)-L317</f>
        <v>0</v>
      </c>
      <c r="K317" s="395">
        <f t="shared" si="502"/>
        <v>-9</v>
      </c>
      <c r="L317" s="544">
        <v>10</v>
      </c>
      <c r="M317" s="298">
        <f>M290</f>
        <v>1</v>
      </c>
      <c r="N317" s="5">
        <f t="shared" ref="N317" si="571">M317-L317</f>
        <v>-9</v>
      </c>
      <c r="O317" s="258"/>
      <c r="P317" s="303">
        <f>P290</f>
        <v>1</v>
      </c>
      <c r="Q317" s="231">
        <f t="shared" ref="Q317" si="572">L317+O317-P317</f>
        <v>9</v>
      </c>
      <c r="R317" s="121"/>
      <c r="S317" s="6"/>
      <c r="T317" s="35"/>
      <c r="U317" s="612"/>
      <c r="V317" s="121"/>
      <c r="W317" s="6"/>
      <c r="X317" s="79"/>
      <c r="Y317" s="735"/>
      <c r="Z317" s="121"/>
      <c r="AA317" s="6"/>
      <c r="AB317" s="35"/>
      <c r="AC317" s="234"/>
      <c r="AD317" s="234"/>
      <c r="AE317" s="395">
        <f>SUM(M317,AG317)-SUM(O317,AI317)-L317</f>
        <v>-8</v>
      </c>
      <c r="AF317" s="29">
        <f>Q317</f>
        <v>9</v>
      </c>
      <c r="AG317" s="298">
        <f>AG290</f>
        <v>1</v>
      </c>
      <c r="AH317" s="5">
        <f t="shared" ref="AH317" si="573">AG317-AF317</f>
        <v>-8</v>
      </c>
      <c r="AI317" s="240"/>
      <c r="AJ317" s="303">
        <f>AJ290</f>
        <v>0</v>
      </c>
      <c r="AK317" s="231">
        <f t="shared" ref="AK317" si="574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>SUM(M317,AG317,BA317)-SUM(O317,AI317,BC317)-L317</f>
        <v>-6</v>
      </c>
      <c r="AZ317" s="29">
        <f t="shared" ref="AZ317" si="575">AK317</f>
        <v>9</v>
      </c>
      <c r="BA317" s="298">
        <f>BA290</f>
        <v>2</v>
      </c>
      <c r="BB317" s="5">
        <f t="shared" ref="BB317" si="576">BA317-AZ317</f>
        <v>-7</v>
      </c>
      <c r="BC317" s="240"/>
      <c r="BD317" s="303">
        <f>BD290</f>
        <v>3</v>
      </c>
      <c r="BE317" s="231">
        <f t="shared" ref="BE317" si="577">AZ317+BC317-BD317</f>
        <v>6</v>
      </c>
      <c r="BF317" s="121"/>
      <c r="BG317" s="6"/>
      <c r="BH317" s="35"/>
      <c r="BI317" s="612"/>
      <c r="BJ317" s="121"/>
      <c r="BK317" s="6"/>
      <c r="BL317" s="35"/>
      <c r="BM317" s="735"/>
      <c r="BN317" s="200"/>
      <c r="BO317" s="6"/>
      <c r="BP317" s="79"/>
      <c r="BQ317" s="619"/>
      <c r="BR317" s="619"/>
      <c r="BS317" s="395">
        <f>SUM(M317,AG317,BA317,BU317)-SUM(O317,AI317,BC317,BW317)-L317</f>
        <v>-5</v>
      </c>
      <c r="BT317" s="29">
        <f t="shared" ref="BT317" si="578">BE317</f>
        <v>6</v>
      </c>
      <c r="BU317" s="298">
        <f>BU290</f>
        <v>6</v>
      </c>
      <c r="BV317" s="5">
        <f t="shared" ref="BV317" si="579">BU317-BT317</f>
        <v>0</v>
      </c>
      <c r="BW317" s="621">
        <v>5</v>
      </c>
      <c r="BX317" s="303">
        <f>BX290</f>
        <v>0</v>
      </c>
      <c r="BY317" s="231">
        <f t="shared" ref="BY317" si="580">BT317+BW317-BX317</f>
        <v>11</v>
      </c>
      <c r="BZ317" s="121"/>
      <c r="CA317" s="6"/>
      <c r="CB317" s="79"/>
      <c r="CC317" s="796"/>
      <c r="CD317" s="199"/>
      <c r="CE317" s="663">
        <f>F317*BW317</f>
        <v>1800</v>
      </c>
      <c r="CF317" s="688" t="s">
        <v>941</v>
      </c>
      <c r="CG317" s="808"/>
      <c r="CH317" s="235"/>
      <c r="CI317" s="199"/>
      <c r="CJ317" s="148"/>
      <c r="CK317" s="845"/>
      <c r="CL317" s="845"/>
      <c r="CM317" s="395">
        <f>SUM(M317,AG317,BA317,BU317,CO317)-SUM(O317,AI317,BC317,BW317,CQ317)-L317</f>
        <v>-5</v>
      </c>
      <c r="CN317" s="29">
        <f t="shared" ref="CN317" si="581">BY317</f>
        <v>11</v>
      </c>
      <c r="CO317" s="298">
        <f>SUM(CO272:CO275)</f>
        <v>0</v>
      </c>
      <c r="CP317" s="5">
        <f t="shared" ref="CP317" si="582">CO317-CN317</f>
        <v>-11</v>
      </c>
      <c r="CQ317" s="240"/>
      <c r="CR317" s="303">
        <f>SUM(CR274:CR276)</f>
        <v>0</v>
      </c>
      <c r="CS317" s="231">
        <f t="shared" ref="CS317" si="583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>SUM(M317,AG317,BA317,BU317,DI317)-SUM(O317,AI317,BC317,BW317,CQ317)-L317</f>
        <v>-5</v>
      </c>
      <c r="DH317" s="29">
        <f t="shared" si="508"/>
        <v>11</v>
      </c>
      <c r="DI317" s="298">
        <f>SUM(DI272:DI275)</f>
        <v>0</v>
      </c>
      <c r="DJ317" s="5">
        <f t="shared" si="543"/>
        <v>-11</v>
      </c>
      <c r="DK317" s="240"/>
      <c r="DL317" s="303">
        <f>SUM(DL274:DL276)</f>
        <v>0</v>
      </c>
      <c r="DM317" s="231">
        <f t="shared" si="544"/>
        <v>11</v>
      </c>
    </row>
    <row r="318" spans="1:117" x14ac:dyDescent="0.3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41"/>
      <c r="V318" s="366"/>
      <c r="W318" s="367"/>
      <c r="X318" s="368"/>
      <c r="Y318" s="741"/>
      <c r="Z318" s="369"/>
      <c r="AA318" s="367"/>
      <c r="AB318" s="368"/>
      <c r="AC318" s="741"/>
      <c r="AD318" s="741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41"/>
      <c r="AP318" s="366"/>
      <c r="AQ318" s="367"/>
      <c r="AR318" s="368"/>
      <c r="AS318" s="741"/>
      <c r="AT318" s="369"/>
      <c r="AU318" s="367"/>
      <c r="AV318" s="368"/>
      <c r="AW318" s="741"/>
      <c r="AX318" s="741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41"/>
      <c r="BJ318" s="366"/>
      <c r="BK318" s="367"/>
      <c r="BL318" s="368"/>
      <c r="BM318" s="741"/>
      <c r="BN318" s="369"/>
      <c r="BO318" s="367"/>
      <c r="BP318" s="368"/>
      <c r="BQ318" s="741"/>
      <c r="BR318" s="741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41"/>
      <c r="CD318" s="366"/>
      <c r="CE318" s="367"/>
      <c r="CF318" s="368"/>
      <c r="CG318" s="741"/>
      <c r="CH318" s="369"/>
      <c r="CI318" s="367"/>
      <c r="CJ318" s="368"/>
      <c r="CK318" s="741"/>
      <c r="CL318" s="741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41"/>
      <c r="CX318" s="366"/>
      <c r="CY318" s="367"/>
      <c r="CZ318" s="368"/>
      <c r="DA318" s="741"/>
      <c r="DB318" s="369"/>
      <c r="DC318" s="367"/>
      <c r="DD318" s="368"/>
      <c r="DE318" s="741"/>
      <c r="DF318" s="741"/>
      <c r="DG318" s="363"/>
      <c r="DH318" s="364"/>
      <c r="DI318" s="374"/>
      <c r="DJ318" s="374"/>
      <c r="DK318" s="375"/>
      <c r="DL318" s="375"/>
      <c r="DM318" s="365"/>
    </row>
    <row r="319" spans="1:117" x14ac:dyDescent="0.3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>SUM(M319,AG319,BA319,BU319)-L319</f>
        <v>-2</v>
      </c>
      <c r="K319" s="395">
        <f t="shared" si="502"/>
        <v>-2</v>
      </c>
      <c r="L319" s="544">
        <v>2</v>
      </c>
      <c r="M319" s="298">
        <f>SUM(M272,M273)</f>
        <v>0</v>
      </c>
      <c r="N319" s="5">
        <f t="shared" ref="N319:N326" si="584">M319-L319</f>
        <v>-2</v>
      </c>
      <c r="O319" s="256">
        <v>0</v>
      </c>
      <c r="P319" s="376">
        <f>SUM(P272,P273)</f>
        <v>0</v>
      </c>
      <c r="Q319" s="231">
        <f t="shared" ref="Q319:Q320" si="585">L319+O319-P319</f>
        <v>2</v>
      </c>
      <c r="R319" s="129"/>
      <c r="S319" s="130"/>
      <c r="T319" s="79"/>
      <c r="U319" s="735"/>
      <c r="V319" s="129"/>
      <c r="W319" s="130"/>
      <c r="X319" s="79"/>
      <c r="Y319" s="735"/>
      <c r="Z319" s="131"/>
      <c r="AA319" s="130"/>
      <c r="AB319" s="79"/>
      <c r="AC319" s="619"/>
      <c r="AD319" s="619"/>
      <c r="AE319" s="395">
        <f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586">AG319-AF319</f>
        <v>-2</v>
      </c>
      <c r="AI319" s="256">
        <v>0</v>
      </c>
      <c r="AJ319" s="376">
        <f>SUM(AJ272,AJ273)</f>
        <v>0</v>
      </c>
      <c r="AK319" s="231">
        <f t="shared" ref="AK319:AK320" si="587">AF319+AI319-AJ319</f>
        <v>2</v>
      </c>
      <c r="AL319" s="129"/>
      <c r="AM319" s="130"/>
      <c r="AN319" s="79"/>
      <c r="AO319" s="735"/>
      <c r="AP319" s="129"/>
      <c r="AQ319" s="130"/>
      <c r="AR319" s="79"/>
      <c r="AS319" s="735"/>
      <c r="AT319" s="131"/>
      <c r="AU319" s="130"/>
      <c r="AV319" s="79"/>
      <c r="AW319" s="619"/>
      <c r="AX319" s="619"/>
      <c r="AY319" s="395">
        <f>SUM(M319,AG319,BA319)-SUM(O319,AI319,BC319)-L319</f>
        <v>-2</v>
      </c>
      <c r="AZ319" s="29">
        <f t="shared" ref="AZ319:AZ320" si="588">AK319</f>
        <v>2</v>
      </c>
      <c r="BA319" s="298">
        <f>SUM(BA272,BA273)</f>
        <v>0</v>
      </c>
      <c r="BB319" s="5">
        <f t="shared" ref="BB319:BB326" si="589">BA319-AZ319</f>
        <v>-2</v>
      </c>
      <c r="BC319" s="256"/>
      <c r="BD319" s="376">
        <f>SUM(BD272,BD273)</f>
        <v>0</v>
      </c>
      <c r="BE319" s="231">
        <f t="shared" ref="BE319:BE320" si="590">AZ319+BC319-BD319</f>
        <v>2</v>
      </c>
      <c r="BF319" s="129"/>
      <c r="BG319" s="130"/>
      <c r="BH319" s="79"/>
      <c r="BI319" s="735"/>
      <c r="BJ319" s="129"/>
      <c r="BK319" s="130"/>
      <c r="BL319" s="79"/>
      <c r="BM319" s="735"/>
      <c r="BN319" s="131"/>
      <c r="BO319" s="130"/>
      <c r="BP319" s="79"/>
      <c r="BQ319" s="619"/>
      <c r="BR319" s="619"/>
      <c r="BS319" s="395">
        <f>SUM(M319,AG319,BA319,BU319)-SUM(O319,AI319,BC319,BW319)-L319</f>
        <v>-2</v>
      </c>
      <c r="BT319" s="29">
        <f t="shared" ref="BT319:BT320" si="591">BE319</f>
        <v>2</v>
      </c>
      <c r="BU319" s="298">
        <f>SUM(BU272,BU273)</f>
        <v>0</v>
      </c>
      <c r="BV319" s="5">
        <f t="shared" ref="BV319:BV326" si="592">BU319-BT319</f>
        <v>-2</v>
      </c>
      <c r="BW319" s="256">
        <v>0</v>
      </c>
      <c r="BX319" s="244"/>
      <c r="BY319" s="231">
        <f t="shared" ref="BY319:BY320" si="593">BT319+BW319-BX319</f>
        <v>2</v>
      </c>
      <c r="BZ319" s="129"/>
      <c r="CA319" s="130"/>
      <c r="CB319" s="79"/>
      <c r="CC319" s="735"/>
      <c r="CD319" s="129"/>
      <c r="CE319" s="130"/>
      <c r="CF319" s="79"/>
      <c r="CG319" s="735"/>
      <c r="CH319" s="131"/>
      <c r="CI319" s="130"/>
      <c r="CJ319" s="79"/>
      <c r="CK319" s="619"/>
      <c r="CL319" s="619"/>
      <c r="CM319" s="395">
        <f>SUM(M319,AG319,BA319,BU319,CO319)-SUM(O319,AI319,BC319,BW319,CQ319)-L319</f>
        <v>-2</v>
      </c>
      <c r="CN319" s="29">
        <f t="shared" ref="CN319:CN320" si="594">BY319</f>
        <v>2</v>
      </c>
      <c r="CO319" s="298">
        <f>SUM(CO272,CO273)</f>
        <v>0</v>
      </c>
      <c r="CP319" s="5">
        <f t="shared" ref="CP319:CP326" si="595">CO319-CN319</f>
        <v>-2</v>
      </c>
      <c r="CQ319" s="240"/>
      <c r="CR319" s="376">
        <f>SUM(CR272,CR273)</f>
        <v>0</v>
      </c>
      <c r="CS319" s="231">
        <f t="shared" ref="CS319:CS320" si="596">CN319+CQ319-CR319</f>
        <v>2</v>
      </c>
      <c r="CT319" s="129"/>
      <c r="CU319" s="130"/>
      <c r="CV319" s="79"/>
      <c r="CW319" s="735"/>
      <c r="CX319" s="129"/>
      <c r="CY319" s="130"/>
      <c r="CZ319" s="79"/>
      <c r="DA319" s="735"/>
      <c r="DB319" s="131"/>
      <c r="DC319" s="130"/>
      <c r="DD319" s="79"/>
      <c r="DE319" s="619"/>
      <c r="DF319" s="619"/>
      <c r="DG319" s="395">
        <f>SUM(M319,AG319,BA319,BU319,DI319)-SUM(O319,AI319,BC319,BW319,CQ319)-L319</f>
        <v>-2</v>
      </c>
      <c r="DH319" s="29">
        <f t="shared" si="508"/>
        <v>2</v>
      </c>
      <c r="DI319" s="298">
        <f>SUM(DI272,DI273)</f>
        <v>0</v>
      </c>
      <c r="DJ319" s="5">
        <f t="shared" ref="DJ319:DJ320" si="597">DI319-DH319</f>
        <v>-2</v>
      </c>
      <c r="DK319" s="240"/>
      <c r="DL319" s="376">
        <f>SUM(DL272,DL273)</f>
        <v>0</v>
      </c>
      <c r="DM319" s="231">
        <f t="shared" ref="DM319:DM320" si="598">DH319+DK319-DL319</f>
        <v>2</v>
      </c>
    </row>
    <row r="320" spans="1:117" x14ac:dyDescent="0.3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>SUM(M320,AG320,BA320,BU320)-L320</f>
        <v>-2</v>
      </c>
      <c r="K320" s="395">
        <f t="shared" si="502"/>
        <v>-2</v>
      </c>
      <c r="L320" s="544">
        <v>2</v>
      </c>
      <c r="M320" s="298">
        <f>SUM(M272,M273)</f>
        <v>0</v>
      </c>
      <c r="N320" s="5">
        <f t="shared" si="584"/>
        <v>-2</v>
      </c>
      <c r="O320" s="256">
        <v>0</v>
      </c>
      <c r="P320" s="376">
        <f>SUM(P272,P273)</f>
        <v>0</v>
      </c>
      <c r="Q320" s="231">
        <f t="shared" si="585"/>
        <v>2</v>
      </c>
      <c r="R320" s="129"/>
      <c r="S320" s="130"/>
      <c r="T320" s="79"/>
      <c r="U320" s="735"/>
      <c r="V320" s="129"/>
      <c r="W320" s="130"/>
      <c r="X320" s="79"/>
      <c r="Y320" s="735"/>
      <c r="Z320" s="131"/>
      <c r="AA320" s="130"/>
      <c r="AB320" s="79"/>
      <c r="AC320" s="619"/>
      <c r="AD320" s="619"/>
      <c r="AE320" s="395">
        <f>SUM(M320,AG320)-SUM(O320,AI320)-L320</f>
        <v>-2</v>
      </c>
      <c r="AF320" s="29">
        <f>Q320</f>
        <v>2</v>
      </c>
      <c r="AG320" s="298">
        <f>SUM(AG272,AG273)</f>
        <v>0</v>
      </c>
      <c r="AH320" s="5">
        <f t="shared" si="586"/>
        <v>-2</v>
      </c>
      <c r="AI320" s="256">
        <v>0</v>
      </c>
      <c r="AJ320" s="376">
        <f>SUM(AJ272,AJ273)</f>
        <v>0</v>
      </c>
      <c r="AK320" s="231">
        <f t="shared" si="587"/>
        <v>2</v>
      </c>
      <c r="AL320" s="129"/>
      <c r="AM320" s="130"/>
      <c r="AN320" s="79"/>
      <c r="AO320" s="735"/>
      <c r="AP320" s="129"/>
      <c r="AQ320" s="130"/>
      <c r="AR320" s="79"/>
      <c r="AS320" s="735"/>
      <c r="AT320" s="131"/>
      <c r="AU320" s="130"/>
      <c r="AV320" s="79"/>
      <c r="AW320" s="619"/>
      <c r="AX320" s="619"/>
      <c r="AY320" s="395">
        <f>SUM(M320,AG320,BA320)-SUM(O320,AI320,BC320)-L320</f>
        <v>-2</v>
      </c>
      <c r="AZ320" s="29">
        <f t="shared" si="588"/>
        <v>2</v>
      </c>
      <c r="BA320" s="298">
        <f>SUM(BA272,BA273)</f>
        <v>0</v>
      </c>
      <c r="BB320" s="5">
        <f t="shared" si="589"/>
        <v>-2</v>
      </c>
      <c r="BC320" s="256"/>
      <c r="BD320" s="376">
        <f>SUM(BD272,BD273)</f>
        <v>0</v>
      </c>
      <c r="BE320" s="231">
        <f t="shared" si="590"/>
        <v>2</v>
      </c>
      <c r="BF320" s="129"/>
      <c r="BG320" s="130"/>
      <c r="BH320" s="79"/>
      <c r="BI320" s="735"/>
      <c r="BJ320" s="129"/>
      <c r="BK320" s="130"/>
      <c r="BL320" s="79"/>
      <c r="BM320" s="735"/>
      <c r="BN320" s="131"/>
      <c r="BO320" s="130"/>
      <c r="BP320" s="79"/>
      <c r="BQ320" s="619"/>
      <c r="BR320" s="619"/>
      <c r="BS320" s="395">
        <f>SUM(M320,AG320,BA320,BU320)-SUM(O320,AI320,BC320,BW320)-L320</f>
        <v>-2</v>
      </c>
      <c r="BT320" s="29">
        <f t="shared" si="591"/>
        <v>2</v>
      </c>
      <c r="BU320" s="298">
        <f>SUM(BU272,BU273)</f>
        <v>0</v>
      </c>
      <c r="BV320" s="5">
        <f t="shared" si="592"/>
        <v>-2</v>
      </c>
      <c r="BW320" s="256">
        <v>0</v>
      </c>
      <c r="BX320" s="244"/>
      <c r="BY320" s="231">
        <f t="shared" si="593"/>
        <v>2</v>
      </c>
      <c r="BZ320" s="129"/>
      <c r="CA320" s="130"/>
      <c r="CB320" s="79"/>
      <c r="CC320" s="735"/>
      <c r="CD320" s="129"/>
      <c r="CE320" s="130"/>
      <c r="CF320" s="79"/>
      <c r="CG320" s="735"/>
      <c r="CH320" s="131"/>
      <c r="CI320" s="130"/>
      <c r="CJ320" s="79"/>
      <c r="CK320" s="619"/>
      <c r="CL320" s="619"/>
      <c r="CM320" s="395">
        <f>SUM(M320,AG320,BA320,BU320,CO320)-SUM(O320,AI320,BC320,BW320,CQ320)-L320</f>
        <v>-2</v>
      </c>
      <c r="CN320" s="29">
        <f t="shared" si="594"/>
        <v>2</v>
      </c>
      <c r="CO320" s="298">
        <f>SUM(CO272,CO273)</f>
        <v>0</v>
      </c>
      <c r="CP320" s="5">
        <f t="shared" si="595"/>
        <v>-2</v>
      </c>
      <c r="CQ320" s="240"/>
      <c r="CR320" s="376">
        <f>SUM(CR272,CR273)</f>
        <v>0</v>
      </c>
      <c r="CS320" s="231">
        <f t="shared" si="596"/>
        <v>2</v>
      </c>
      <c r="CT320" s="129"/>
      <c r="CU320" s="130"/>
      <c r="CV320" s="79"/>
      <c r="CW320" s="735"/>
      <c r="CX320" s="129"/>
      <c r="CY320" s="130"/>
      <c r="CZ320" s="79"/>
      <c r="DA320" s="735"/>
      <c r="DB320" s="131"/>
      <c r="DC320" s="130"/>
      <c r="DD320" s="79"/>
      <c r="DE320" s="619"/>
      <c r="DF320" s="619"/>
      <c r="DG320" s="395">
        <f>SUM(M320,AG320,BA320,BU320,DI320)-SUM(O320,AI320,BC320,BW320,CQ320)-L320</f>
        <v>-2</v>
      </c>
      <c r="DH320" s="29">
        <f t="shared" si="508"/>
        <v>2</v>
      </c>
      <c r="DI320" s="298">
        <f>SUM(DI272,DI273)</f>
        <v>0</v>
      </c>
      <c r="DJ320" s="5">
        <f t="shared" si="597"/>
        <v>-2</v>
      </c>
      <c r="DK320" s="240"/>
      <c r="DL320" s="376">
        <f>SUM(DL272,DL273)</f>
        <v>0</v>
      </c>
      <c r="DM320" s="231">
        <f t="shared" si="598"/>
        <v>2</v>
      </c>
    </row>
    <row r="321" spans="1:117" x14ac:dyDescent="0.3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>SUM(M321,AG321,BA321,BU321)-L321</f>
        <v>-2</v>
      </c>
      <c r="K321" s="395">
        <f t="shared" si="502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>SUM(M321,AG321)-SUM(O321,AI321)-L321</f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>SUM(M321,AG321,BA321)-SUM(O321,AI321,BC321)-L321</f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>SUM(M321,AG321,BA321,BU321)-SUM(O321,AI321,BC321,BW321)-L321</f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>SUM(M321,AG321,BA321,BU321,CO321)-SUM(O321,AI321,BC321,BW321,CQ321)-L321</f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>SUM(M321,AG321,BA321,BU321,DI321)-SUM(O321,AI321,BC321,BW321,CQ321)-L321</f>
        <v>-2</v>
      </c>
      <c r="DH321" s="29">
        <f t="shared" si="508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3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>SUM(M322,AG322,BA322,BU322)-L322</f>
        <v>0</v>
      </c>
      <c r="K322" s="395">
        <f t="shared" si="502"/>
        <v>0</v>
      </c>
      <c r="L322" s="544">
        <v>0</v>
      </c>
      <c r="M322" s="298">
        <f>SUM(M272,M273)</f>
        <v>0</v>
      </c>
      <c r="N322" s="5">
        <f t="shared" ref="N322:N324" si="599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>SUM(M322,AG322)-SUM(O322,AI322)-L322</f>
        <v>0</v>
      </c>
      <c r="AF322" s="29"/>
      <c r="AG322" s="298">
        <f>SUM(AG272,AG273)</f>
        <v>0</v>
      </c>
      <c r="AH322" s="5">
        <f t="shared" ref="AH322:AH324" si="600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>SUM(M322,AG322,BA322)-SUM(O322,AI322,BC322)-L322</f>
        <v>0</v>
      </c>
      <c r="AZ322" s="29"/>
      <c r="BA322" s="298">
        <f>SUM(BA272,BA273)</f>
        <v>0</v>
      </c>
      <c r="BB322" s="5">
        <f t="shared" ref="BB322:BB324" si="601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>SUM(M322,AG322,BA322,BU322)-SUM(O322,AI322,BC322,BW322)-L322</f>
        <v>0</v>
      </c>
      <c r="BT322" s="29"/>
      <c r="BU322" s="298">
        <f>SUM(BU272,BU273)</f>
        <v>0</v>
      </c>
      <c r="BV322" s="5">
        <f t="shared" ref="BV322:BV324" si="602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>SUM(M322,AG322,BA322,BU322,CO322)-SUM(O322,AI322,BC322,BW322,CQ322)-L322</f>
        <v>0</v>
      </c>
      <c r="CN322" s="29">
        <f>BY322</f>
        <v>0</v>
      </c>
      <c r="CO322" s="298">
        <f>SUM(CO272,CO273)</f>
        <v>0</v>
      </c>
      <c r="CP322" s="5">
        <f t="shared" ref="CP322:CP324" si="603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>SUM(M322,AG322,BA322,BU322,DI322)-SUM(O322,AI322,BC322,BW322,CQ322)-L322</f>
        <v>0</v>
      </c>
      <c r="DH322" s="29">
        <f t="shared" si="508"/>
        <v>0</v>
      </c>
      <c r="DI322" s="298">
        <f>SUM(DI272,DI273)</f>
        <v>0</v>
      </c>
      <c r="DJ322" s="5">
        <f t="shared" ref="DJ322:DJ324" si="604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" thickBot="1" x14ac:dyDescent="0.35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>SUM(M323,AG323,BA323,BU323)-L323</f>
        <v>-3</v>
      </c>
      <c r="K323" s="395">
        <f t="shared" si="502"/>
        <v>-12</v>
      </c>
      <c r="L323" s="544">
        <v>13</v>
      </c>
      <c r="M323" s="298">
        <f>M290</f>
        <v>1</v>
      </c>
      <c r="N323" s="5">
        <f t="shared" si="599"/>
        <v>-12</v>
      </c>
      <c r="O323" s="258"/>
      <c r="P323" s="376">
        <f>P290</f>
        <v>1</v>
      </c>
      <c r="Q323" s="231">
        <f t="shared" ref="Q323:Q324" si="605">L323+O323-P323</f>
        <v>12</v>
      </c>
      <c r="R323" s="129"/>
      <c r="S323" s="130"/>
      <c r="T323" s="79"/>
      <c r="U323" s="735"/>
      <c r="V323" s="129"/>
      <c r="W323" s="130"/>
      <c r="X323" s="79"/>
      <c r="Y323" s="735"/>
      <c r="Z323" s="131"/>
      <c r="AA323" s="130"/>
      <c r="AB323" s="79"/>
      <c r="AC323" s="619"/>
      <c r="AD323" s="619"/>
      <c r="AE323" s="395">
        <f>SUM(M323,AG323)-SUM(O323,AI323)-L323</f>
        <v>-11</v>
      </c>
      <c r="AF323" s="29">
        <f>Q323</f>
        <v>12</v>
      </c>
      <c r="AG323" s="298">
        <f>AG290</f>
        <v>1</v>
      </c>
      <c r="AH323" s="5">
        <f t="shared" si="600"/>
        <v>-11</v>
      </c>
      <c r="AI323" s="256"/>
      <c r="AJ323" s="376">
        <f>AJ290</f>
        <v>0</v>
      </c>
      <c r="AK323" s="231">
        <f t="shared" ref="AK323:AK324" si="606">AF323+AI323-AJ323</f>
        <v>12</v>
      </c>
      <c r="AL323" s="129"/>
      <c r="AM323" s="130"/>
      <c r="AN323" s="79"/>
      <c r="AO323" s="735"/>
      <c r="AP323" s="129"/>
      <c r="AQ323" s="130"/>
      <c r="AR323" s="79"/>
      <c r="AS323" s="735"/>
      <c r="AT323" s="131"/>
      <c r="AU323" s="130"/>
      <c r="AV323" s="79"/>
      <c r="AW323" s="619"/>
      <c r="AX323" s="619"/>
      <c r="AY323" s="395">
        <f>SUM(M323,AG323,BA323)-SUM(O323,AI323,BC323)-L323</f>
        <v>-9</v>
      </c>
      <c r="AZ323" s="29">
        <f t="shared" ref="AZ323:AZ324" si="607">AK323</f>
        <v>12</v>
      </c>
      <c r="BA323" s="298">
        <f>BA290</f>
        <v>2</v>
      </c>
      <c r="BB323" s="5">
        <f t="shared" si="601"/>
        <v>-10</v>
      </c>
      <c r="BC323" s="240"/>
      <c r="BD323" s="376">
        <f>BD290</f>
        <v>3</v>
      </c>
      <c r="BE323" s="231">
        <f t="shared" ref="BE323:BE324" si="608">AZ323+BC323-BD323</f>
        <v>9</v>
      </c>
      <c r="BF323" s="129"/>
      <c r="BG323" s="130"/>
      <c r="BH323" s="79"/>
      <c r="BI323" s="735"/>
      <c r="BJ323" s="129"/>
      <c r="BK323" s="130"/>
      <c r="BL323" s="79"/>
      <c r="BM323" s="735"/>
      <c r="BN323" s="200"/>
      <c r="BO323" s="130"/>
      <c r="BP323" s="79"/>
      <c r="BQ323" s="619"/>
      <c r="BR323" s="619"/>
      <c r="BS323" s="395">
        <f>SUM(M323,AG323,BA323,BU323)-SUM(O323,AI323,BC323,BW323)-L323</f>
        <v>-13</v>
      </c>
      <c r="BT323" s="29">
        <f t="shared" ref="BT323:BT324" si="609">BE323</f>
        <v>9</v>
      </c>
      <c r="BU323" s="298">
        <f>BU290</f>
        <v>6</v>
      </c>
      <c r="BV323" s="5">
        <f t="shared" si="602"/>
        <v>-3</v>
      </c>
      <c r="BW323" s="621">
        <v>10</v>
      </c>
      <c r="BX323" s="376">
        <f>BX290</f>
        <v>0</v>
      </c>
      <c r="BY323" s="231">
        <f t="shared" ref="BY323:BY324" si="610">BT323+BW323-BX323</f>
        <v>19</v>
      </c>
      <c r="BZ323" s="129"/>
      <c r="CA323" s="130"/>
      <c r="CB323" s="79" t="s">
        <v>962</v>
      </c>
      <c r="CC323" s="796"/>
      <c r="CD323" s="292"/>
      <c r="CE323" s="292"/>
      <c r="CF323" s="502"/>
      <c r="CG323" s="822"/>
      <c r="CH323" s="681">
        <f>F323*1.2*BW323</f>
        <v>16617.599999999999</v>
      </c>
      <c r="CI323" s="292"/>
      <c r="CJ323" s="654" t="s">
        <v>900</v>
      </c>
      <c r="CK323" s="847"/>
      <c r="CL323" s="847"/>
      <c r="CM323" s="395">
        <f>SUM(M323,AG323,BA323,BU323,CO323)-SUM(O323,AI323,BC323,BW323,CQ323)-L323</f>
        <v>-13</v>
      </c>
      <c r="CN323" s="29">
        <f t="shared" ref="CN323:CN324" si="611">BY323</f>
        <v>19</v>
      </c>
      <c r="CO323" s="298">
        <f>SUM(CO274,CO275)</f>
        <v>0</v>
      </c>
      <c r="CP323" s="5">
        <f t="shared" si="603"/>
        <v>-19</v>
      </c>
      <c r="CQ323" s="240"/>
      <c r="CR323" s="376">
        <f>SUM(CR274,CR275)</f>
        <v>0</v>
      </c>
      <c r="CS323" s="231">
        <f t="shared" ref="CS323:CS324" si="612">CN323+CQ323-CR323</f>
        <v>19</v>
      </c>
      <c r="CT323" s="129"/>
      <c r="CU323" s="130"/>
      <c r="CV323" s="79"/>
      <c r="CW323" s="735"/>
      <c r="CX323" s="129"/>
      <c r="CY323" s="130"/>
      <c r="CZ323" s="79"/>
      <c r="DA323" s="735"/>
      <c r="DB323" s="131"/>
      <c r="DC323" s="130"/>
      <c r="DD323" s="79"/>
      <c r="DE323" s="619"/>
      <c r="DF323" s="619"/>
      <c r="DG323" s="395">
        <f>SUM(M323,AG323,BA323,BU323,DI323)-SUM(O323,AI323,BC323,BW323,CQ323)-L323</f>
        <v>-13</v>
      </c>
      <c r="DH323" s="29">
        <f t="shared" si="508"/>
        <v>19</v>
      </c>
      <c r="DI323" s="298">
        <f>SUM(DI274,DI275)</f>
        <v>0</v>
      </c>
      <c r="DJ323" s="5">
        <f t="shared" si="604"/>
        <v>-19</v>
      </c>
      <c r="DK323" s="240"/>
      <c r="DL323" s="376">
        <f>SUM(DL274,DL275)</f>
        <v>0</v>
      </c>
      <c r="DM323" s="231">
        <f t="shared" ref="DM323:DM324" si="613">DH323+DK323-DL323</f>
        <v>19</v>
      </c>
    </row>
    <row r="324" spans="1:117" ht="15" thickBot="1" x14ac:dyDescent="0.35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>SUM(M324,AG324,BA324,BU324)-L324</f>
        <v>-6</v>
      </c>
      <c r="K324" s="395">
        <f t="shared" si="502"/>
        <v>-15</v>
      </c>
      <c r="L324" s="544">
        <v>16</v>
      </c>
      <c r="M324" s="298">
        <f>M290</f>
        <v>1</v>
      </c>
      <c r="N324" s="5">
        <f t="shared" si="599"/>
        <v>-15</v>
      </c>
      <c r="O324" s="258"/>
      <c r="P324" s="376">
        <f>P290</f>
        <v>1</v>
      </c>
      <c r="Q324" s="231">
        <f t="shared" si="605"/>
        <v>15</v>
      </c>
      <c r="R324" s="129"/>
      <c r="S324" s="130"/>
      <c r="T324" s="79"/>
      <c r="U324" s="735"/>
      <c r="V324" s="129"/>
      <c r="W324" s="130"/>
      <c r="X324" s="79"/>
      <c r="Y324" s="735"/>
      <c r="Z324" s="131"/>
      <c r="AA324" s="130"/>
      <c r="AB324" s="79"/>
      <c r="AC324" s="619"/>
      <c r="AD324" s="619"/>
      <c r="AE324" s="395">
        <f>SUM(M324,AG324)-SUM(O324,AI324)-L324</f>
        <v>-14</v>
      </c>
      <c r="AF324" s="29">
        <f>Q324</f>
        <v>15</v>
      </c>
      <c r="AG324" s="298">
        <f>AG290</f>
        <v>1</v>
      </c>
      <c r="AH324" s="5">
        <f t="shared" si="600"/>
        <v>-14</v>
      </c>
      <c r="AI324" s="256"/>
      <c r="AJ324" s="376">
        <f>AJ290</f>
        <v>0</v>
      </c>
      <c r="AK324" s="231">
        <f t="shared" si="606"/>
        <v>15</v>
      </c>
      <c r="AL324" s="129"/>
      <c r="AM324" s="130"/>
      <c r="AN324" s="79"/>
      <c r="AO324" s="735"/>
      <c r="AP324" s="129"/>
      <c r="AQ324" s="130"/>
      <c r="AR324" s="79"/>
      <c r="AS324" s="735"/>
      <c r="AT324" s="131"/>
      <c r="AU324" s="130"/>
      <c r="AV324" s="79"/>
      <c r="AW324" s="619"/>
      <c r="AX324" s="619"/>
      <c r="AY324" s="395">
        <f>SUM(M324,AG324,BA324)-SUM(O324,AI324,BC324)-L324</f>
        <v>-12</v>
      </c>
      <c r="AZ324" s="29">
        <f t="shared" si="607"/>
        <v>15</v>
      </c>
      <c r="BA324" s="298">
        <f>BA290</f>
        <v>2</v>
      </c>
      <c r="BB324" s="5">
        <f t="shared" si="601"/>
        <v>-13</v>
      </c>
      <c r="BC324" s="240"/>
      <c r="BD324" s="376">
        <f>BD290</f>
        <v>3</v>
      </c>
      <c r="BE324" s="231">
        <f t="shared" si="608"/>
        <v>12</v>
      </c>
      <c r="BF324" s="129"/>
      <c r="BG324" s="130"/>
      <c r="BH324" s="79"/>
      <c r="BI324" s="735"/>
      <c r="BJ324" s="129"/>
      <c r="BK324" s="130"/>
      <c r="BL324" s="79"/>
      <c r="BM324" s="735"/>
      <c r="BN324" s="200"/>
      <c r="BO324" s="130"/>
      <c r="BP324" s="79"/>
      <c r="BQ324" s="619"/>
      <c r="BR324" s="619"/>
      <c r="BS324" s="395">
        <f>SUM(M324,AG324,BA324,BU324)-SUM(O324,AI324,BC324,BW324)-L324</f>
        <v>-16</v>
      </c>
      <c r="BT324" s="29">
        <f t="shared" si="609"/>
        <v>12</v>
      </c>
      <c r="BU324" s="298">
        <f>BU290</f>
        <v>6</v>
      </c>
      <c r="BV324" s="5">
        <f t="shared" si="602"/>
        <v>-6</v>
      </c>
      <c r="BW324" s="621">
        <v>10</v>
      </c>
      <c r="BX324" s="376">
        <f>BX290</f>
        <v>0</v>
      </c>
      <c r="BY324" s="231">
        <f t="shared" si="610"/>
        <v>22</v>
      </c>
      <c r="BZ324" s="129"/>
      <c r="CA324" s="130"/>
      <c r="CB324" s="79" t="s">
        <v>962</v>
      </c>
      <c r="CC324" s="796"/>
      <c r="CD324" s="292"/>
      <c r="CE324" s="292"/>
      <c r="CF324" s="502"/>
      <c r="CG324" s="822"/>
      <c r="CH324" s="681">
        <f>F324*1.2*BW324</f>
        <v>7012.5599999999995</v>
      </c>
      <c r="CI324" s="292"/>
      <c r="CJ324" s="654" t="s">
        <v>900</v>
      </c>
      <c r="CK324" s="847"/>
      <c r="CL324" s="847"/>
      <c r="CM324" s="395">
        <f>SUM(M324,AG324,BA324,BU324,CO324)-SUM(O324,AI324,BC324,BW324,CQ324)-L324</f>
        <v>-16</v>
      </c>
      <c r="CN324" s="29">
        <f t="shared" si="611"/>
        <v>22</v>
      </c>
      <c r="CO324" s="298">
        <f>SUM(CO274,CO275)</f>
        <v>0</v>
      </c>
      <c r="CP324" s="5">
        <f t="shared" si="603"/>
        <v>-22</v>
      </c>
      <c r="CQ324" s="240"/>
      <c r="CR324" s="376">
        <f>SUM(CR274,CR275)</f>
        <v>0</v>
      </c>
      <c r="CS324" s="231">
        <f t="shared" si="612"/>
        <v>22</v>
      </c>
      <c r="CT324" s="129"/>
      <c r="CU324" s="130"/>
      <c r="CV324" s="79"/>
      <c r="CW324" s="735"/>
      <c r="CX324" s="129"/>
      <c r="CY324" s="130"/>
      <c r="CZ324" s="79"/>
      <c r="DA324" s="735"/>
      <c r="DB324" s="131"/>
      <c r="DC324" s="130"/>
      <c r="DD324" s="79"/>
      <c r="DE324" s="619"/>
      <c r="DF324" s="619"/>
      <c r="DG324" s="395">
        <f>SUM(M324,AG324,BA324,BU324,DI324)-SUM(O324,AI324,BC324,BW324,CQ324)-L324</f>
        <v>-16</v>
      </c>
      <c r="DH324" s="29">
        <f t="shared" si="508"/>
        <v>22</v>
      </c>
      <c r="DI324" s="298">
        <f>SUM(DI274,DI275)</f>
        <v>0</v>
      </c>
      <c r="DJ324" s="5">
        <f t="shared" si="604"/>
        <v>-22</v>
      </c>
      <c r="DK324" s="240"/>
      <c r="DL324" s="376">
        <f>SUM(DL274,DL275)</f>
        <v>0</v>
      </c>
      <c r="DM324" s="231">
        <f t="shared" si="613"/>
        <v>22</v>
      </c>
    </row>
    <row r="325" spans="1:117" ht="15" thickBot="1" x14ac:dyDescent="0.35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>SUM(M325,AG325,BA325,BU325)-L325</f>
        <v>1</v>
      </c>
      <c r="K325" s="395">
        <f t="shared" si="502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>SUM(M325,AG325)-SUM(O325,AI325)-L325</f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>SUM(M325,AG325,BA325)-SUM(O325,AI325,BC325)-L325</f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35"/>
      <c r="BJ325" s="121"/>
      <c r="BK325" s="6"/>
      <c r="BL325" s="35"/>
      <c r="BM325" s="735"/>
      <c r="BN325" s="200"/>
      <c r="BO325" s="6"/>
      <c r="BP325" s="79"/>
      <c r="BQ325" s="619"/>
      <c r="BR325" s="619"/>
      <c r="BS325" s="395">
        <f>SUM(M325,AG325,BA325,BU325)-SUM(O325,AI325,BC325,BW325)-L325</f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96"/>
      <c r="CD325" s="199"/>
      <c r="CE325" s="199"/>
      <c r="CF325" s="502"/>
      <c r="CG325" s="822"/>
      <c r="CH325" s="681">
        <f>F325*1.2*BW325</f>
        <v>52647</v>
      </c>
      <c r="CI325" s="199"/>
      <c r="CJ325" s="654" t="s">
        <v>900</v>
      </c>
      <c r="CK325" s="847"/>
      <c r="CL325" s="847"/>
      <c r="CM325" s="395">
        <f>SUM(M325,AG325,BA325,BU325,CO325)-SUM(O325,AI325,BC325,BW325,CQ325)-L325</f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>SUM(M325,AG325,BA325,BU325,DI325)-SUM(O325,AI325,BC325,BW325,CQ325)-L325</f>
        <v>-9</v>
      </c>
      <c r="DH325" s="29">
        <f t="shared" si="508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" thickBot="1" x14ac:dyDescent="0.35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>SUM(M326,AG326,BA326,BU326)-L326</f>
        <v>10</v>
      </c>
      <c r="K326" s="395">
        <f t="shared" si="502"/>
        <v>-8</v>
      </c>
      <c r="L326" s="544">
        <v>0</v>
      </c>
      <c r="M326" s="301">
        <f>M290</f>
        <v>1</v>
      </c>
      <c r="N326" s="31">
        <f t="shared" si="584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>SUM(M326,AG326)-SUM(O326,AI326)-L326</f>
        <v>-7</v>
      </c>
      <c r="AF326" s="29">
        <f>Q326</f>
        <v>8</v>
      </c>
      <c r="AG326" s="301">
        <f>AG290</f>
        <v>1</v>
      </c>
      <c r="AH326" s="31">
        <f t="shared" si="586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>SUM(M326,AG326,BA326)-SUM(O326,AI326,BC326)-L326</f>
        <v>-5</v>
      </c>
      <c r="AZ326" s="29">
        <f>AK326</f>
        <v>8</v>
      </c>
      <c r="BA326" s="301">
        <f>BA290</f>
        <v>2</v>
      </c>
      <c r="BB326" s="31">
        <f t="shared" si="589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806"/>
      <c r="BN326" s="200"/>
      <c r="BO326" s="201"/>
      <c r="BP326" s="79"/>
      <c r="BQ326" s="619"/>
      <c r="BR326" s="619"/>
      <c r="BS326" s="395">
        <f>SUM(M326,AG326,BA326,BU326)-SUM(O326,AI326,BC326,BW326)-L326</f>
        <v>-4</v>
      </c>
      <c r="BT326" s="29">
        <f>BE326</f>
        <v>5</v>
      </c>
      <c r="BU326" s="301">
        <f>BU290</f>
        <v>6</v>
      </c>
      <c r="BV326" s="31">
        <f t="shared" si="592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822"/>
      <c r="CH326" s="272"/>
      <c r="CI326" s="217"/>
      <c r="CJ326" s="502"/>
      <c r="CK326" s="848"/>
      <c r="CL326" s="848"/>
      <c r="CM326" s="395">
        <f>SUM(M326,AG326,BA326,BU326,CO326)-SUM(O326,AI326,BC326,BW326,CQ326)-L326</f>
        <v>-4</v>
      </c>
      <c r="CN326" s="29">
        <f>BY326</f>
        <v>10</v>
      </c>
      <c r="CO326" s="301">
        <f>SUM(CO274,CO275)</f>
        <v>0</v>
      </c>
      <c r="CP326" s="31">
        <f t="shared" si="59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>SUM(M326,AG326,BA326,BU326,DI326)-SUM(O326,AI326,BC326,BW326,CQ326)-L326</f>
        <v>-4</v>
      </c>
      <c r="DH326" s="29">
        <f t="shared" si="508"/>
        <v>10</v>
      </c>
      <c r="DI326" s="301">
        <f>SUM(DI274,DI275)</f>
        <v>0</v>
      </c>
      <c r="DJ326" s="31">
        <f t="shared" ref="DJ326" si="614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3.2" x14ac:dyDescent="0.3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28.8" x14ac:dyDescent="0.3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>SUM(M328,AG328,BA328,BU328)-L328</f>
        <v>-15</v>
      </c>
      <c r="K328" s="395">
        <f t="shared" si="502"/>
        <v>-24</v>
      </c>
      <c r="L328" s="544">
        <v>24</v>
      </c>
      <c r="M328" s="298">
        <f>SUM(M272,M273,M275)+0-SUM(M272,M273,M275)</f>
        <v>0</v>
      </c>
      <c r="N328" s="5">
        <f t="shared" ref="N328:N331" si="615">M328-L328</f>
        <v>-24</v>
      </c>
      <c r="O328" s="256"/>
      <c r="P328" s="240"/>
      <c r="Q328" s="231">
        <f t="shared" ref="Q328:Q331" si="616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>SUM(M328,AG328)-SUM(O328,AI328)-L328</f>
        <v>-23</v>
      </c>
      <c r="AF328" s="29">
        <f>Q328</f>
        <v>24</v>
      </c>
      <c r="AG328" s="298">
        <f>SUM(AG272,AG273,AG275)</f>
        <v>1</v>
      </c>
      <c r="AH328" s="5">
        <f t="shared" ref="AH328:AH331" si="617">AG328-AF328</f>
        <v>-23</v>
      </c>
      <c r="AI328" s="256"/>
      <c r="AJ328" s="240"/>
      <c r="AK328" s="231">
        <f t="shared" ref="AK328:AK331" si="618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>SUM(M328,AG328,BA328)-SUM(O328,AI328,BC328)-L328</f>
        <v>-21</v>
      </c>
      <c r="AZ328" s="29">
        <f t="shared" ref="AZ328:AZ331" si="619">AK328</f>
        <v>24</v>
      </c>
      <c r="BA328" s="298">
        <f>SUM(BA272,BA273,BA275)</f>
        <v>2</v>
      </c>
      <c r="BB328" s="5">
        <f t="shared" ref="BB328:BB331" si="620">BA328-AZ328</f>
        <v>-22</v>
      </c>
      <c r="BC328" s="256"/>
      <c r="BD328" s="240"/>
      <c r="BE328" s="231">
        <f t="shared" ref="BE328:BE331" si="621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>SUM(M328,AG328,BA328,BU328)-SUM(O328,AI328,BC328,BW328)-L328</f>
        <v>-15</v>
      </c>
      <c r="BT328" s="29">
        <f t="shared" ref="BT328:BT331" si="622">BE328</f>
        <v>24</v>
      </c>
      <c r="BU328" s="298">
        <f>SUM(BU272,BU273,BU275)</f>
        <v>6</v>
      </c>
      <c r="BV328" s="5">
        <f t="shared" ref="BV328:BV331" si="623">BU328-BT328</f>
        <v>-18</v>
      </c>
      <c r="BW328" s="256"/>
      <c r="BX328" s="240"/>
      <c r="BY328" s="231">
        <f t="shared" ref="BY328:BY331" si="624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>SUM(M328,AG328,BA328,BU328,CO328)-SUM(O328,AI328,BC328,BW328,CQ328)-L328</f>
        <v>-15</v>
      </c>
      <c r="CN328" s="32">
        <f t="shared" ref="CN328:CN331" si="625">BY328</f>
        <v>24</v>
      </c>
      <c r="CO328" s="302">
        <f>SUM(CO272,CO273,CO275)</f>
        <v>0</v>
      </c>
      <c r="CP328" s="7">
        <f t="shared" ref="CP328:CP331" si="626">CO328-CN328</f>
        <v>-24</v>
      </c>
      <c r="CQ328" s="242"/>
      <c r="CR328" s="242"/>
      <c r="CS328" s="234">
        <f t="shared" ref="CS328:CS331" si="627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>SUM(M328,AG328,BA328,BU328,DI328)-SUM(O328,AI328,BC328,BW328,CQ328)-L328</f>
        <v>-15</v>
      </c>
      <c r="DH328" s="29">
        <f t="shared" si="508"/>
        <v>24</v>
      </c>
      <c r="DI328" s="302">
        <f>SUM(DI272,DI273,DI275)</f>
        <v>0</v>
      </c>
      <c r="DJ328" s="7">
        <f t="shared" ref="DJ328:DJ333" si="628">DI328-DH328</f>
        <v>-24</v>
      </c>
      <c r="DK328" s="242"/>
      <c r="DL328" s="242"/>
      <c r="DM328" s="234">
        <f t="shared" ref="DM328:DM333" si="629">DH328+DK328-DL328</f>
        <v>24</v>
      </c>
    </row>
    <row r="329" spans="1:117" ht="28.8" x14ac:dyDescent="0.3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>SUM(M329,AG329,BA329,BU329)-L329</f>
        <v>-1</v>
      </c>
      <c r="K329" s="395">
        <f t="shared" si="502"/>
        <v>-1</v>
      </c>
      <c r="L329" s="544">
        <v>1</v>
      </c>
      <c r="M329" s="298">
        <f>SUM(M272,M273)</f>
        <v>0</v>
      </c>
      <c r="N329" s="5">
        <f t="shared" si="615"/>
        <v>-1</v>
      </c>
      <c r="O329" s="256"/>
      <c r="P329" s="303">
        <f>SUM(P272,P273)</f>
        <v>0</v>
      </c>
      <c r="Q329" s="231">
        <f t="shared" si="616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>SUM(M329,AG329)-SUM(O329,AI329)-L329</f>
        <v>-1</v>
      </c>
      <c r="AF329" s="29">
        <f>Q329</f>
        <v>1</v>
      </c>
      <c r="AG329" s="298">
        <f>SUM(AG272,AG273)</f>
        <v>0</v>
      </c>
      <c r="AH329" s="5">
        <f t="shared" si="617"/>
        <v>-1</v>
      </c>
      <c r="AI329" s="256"/>
      <c r="AJ329" s="303">
        <f>SUM(AJ272,AJ273)</f>
        <v>0</v>
      </c>
      <c r="AK329" s="231">
        <f t="shared" si="618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>SUM(M329,AG329,BA329)-SUM(O329,AI329,BC329)-L329</f>
        <v>-1</v>
      </c>
      <c r="AZ329" s="29">
        <f t="shared" si="619"/>
        <v>1</v>
      </c>
      <c r="BA329" s="298">
        <f>SUM(BA272,BA273)</f>
        <v>0</v>
      </c>
      <c r="BB329" s="5">
        <f t="shared" si="620"/>
        <v>-1</v>
      </c>
      <c r="BC329" s="256"/>
      <c r="BD329" s="303">
        <f>SUM(BD272,BD273)</f>
        <v>0</v>
      </c>
      <c r="BE329" s="231">
        <f t="shared" si="621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>SUM(M329,AG329,BA329,BU329)-SUM(O329,AI329,BC329,BW329)-L329</f>
        <v>-1</v>
      </c>
      <c r="BT329" s="29">
        <f t="shared" si="622"/>
        <v>1</v>
      </c>
      <c r="BU329" s="298">
        <f>SUM(BU272,BU273)</f>
        <v>0</v>
      </c>
      <c r="BV329" s="5">
        <f t="shared" si="623"/>
        <v>-1</v>
      </c>
      <c r="BW329" s="256"/>
      <c r="BX329" s="303">
        <f>SUM(BX272,BX273)</f>
        <v>0</v>
      </c>
      <c r="BY329" s="231">
        <f t="shared" si="624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>SUM(M329,AG329,BA329,BU329,CO329)-SUM(O329,AI329,BC329,BW329,CQ329)-L329</f>
        <v>-1</v>
      </c>
      <c r="CN329" s="29">
        <f t="shared" si="625"/>
        <v>1</v>
      </c>
      <c r="CO329" s="298">
        <f>SUM(CO272,CO273)</f>
        <v>0</v>
      </c>
      <c r="CP329" s="5">
        <f t="shared" si="626"/>
        <v>-1</v>
      </c>
      <c r="CQ329" s="240"/>
      <c r="CR329" s="303">
        <f>SUM(CR272,CR273)</f>
        <v>0</v>
      </c>
      <c r="CS329" s="231">
        <f t="shared" si="627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>SUM(M329,AG329,BA329,BU329,DI329)-SUM(O329,AI329,BC329,BW329,CQ329)-L329</f>
        <v>-1</v>
      </c>
      <c r="DH329" s="29">
        <f t="shared" si="508"/>
        <v>1</v>
      </c>
      <c r="DI329" s="298">
        <f>SUM(DI272,DI273)</f>
        <v>0</v>
      </c>
      <c r="DJ329" s="5">
        <f t="shared" si="628"/>
        <v>-1</v>
      </c>
      <c r="DK329" s="240"/>
      <c r="DL329" s="303">
        <f>SUM(DL272,DL273)</f>
        <v>0</v>
      </c>
      <c r="DM329" s="231">
        <f t="shared" si="629"/>
        <v>1</v>
      </c>
    </row>
    <row r="330" spans="1:117" ht="28.8" x14ac:dyDescent="0.3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>SUM(M330,AG330,BA330,BU330)-L330</f>
        <v>-16</v>
      </c>
      <c r="K330" s="395">
        <f t="shared" si="502"/>
        <v>-25</v>
      </c>
      <c r="L330" s="544">
        <v>25</v>
      </c>
      <c r="M330" s="298">
        <f>SUM(M274,M275)+0-SUM(M274,M275)</f>
        <v>0</v>
      </c>
      <c r="N330" s="5">
        <f t="shared" si="615"/>
        <v>-25</v>
      </c>
      <c r="O330" s="256"/>
      <c r="P330" s="240"/>
      <c r="Q330" s="231">
        <f t="shared" si="616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>SUM(M330,AG330)-SUM(O330,AI330)-L330</f>
        <v>-24</v>
      </c>
      <c r="AF330" s="29">
        <f>Q330</f>
        <v>25</v>
      </c>
      <c r="AG330" s="298">
        <f>SUM(AG274,AG275)</f>
        <v>1</v>
      </c>
      <c r="AH330" s="5">
        <f t="shared" si="617"/>
        <v>-24</v>
      </c>
      <c r="AI330" s="256"/>
      <c r="AJ330" s="240"/>
      <c r="AK330" s="231">
        <f t="shared" si="618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>SUM(M330,AG330,BA330)-SUM(O330,AI330,BC330)-L330</f>
        <v>-22</v>
      </c>
      <c r="AZ330" s="29">
        <f t="shared" si="619"/>
        <v>25</v>
      </c>
      <c r="BA330" s="298">
        <f>SUM(BA274,BA275)</f>
        <v>2</v>
      </c>
      <c r="BB330" s="5">
        <f t="shared" si="620"/>
        <v>-23</v>
      </c>
      <c r="BC330" s="256"/>
      <c r="BD330" s="240"/>
      <c r="BE330" s="231">
        <f t="shared" si="621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>SUM(M330,AG330,BA330,BU330)-SUM(O330,AI330,BC330,BW330)-L330</f>
        <v>-16</v>
      </c>
      <c r="BT330" s="29">
        <f t="shared" si="622"/>
        <v>25</v>
      </c>
      <c r="BU330" s="298">
        <f>SUM(BU274,BU275)</f>
        <v>6</v>
      </c>
      <c r="BV330" s="5">
        <f t="shared" si="623"/>
        <v>-19</v>
      </c>
      <c r="BW330" s="240"/>
      <c r="BX330" s="240"/>
      <c r="BY330" s="231">
        <f t="shared" si="624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>SUM(M330,AG330,BA330,BU330,CO330)-SUM(O330,AI330,BC330,BW330,CQ330)-L330</f>
        <v>-16</v>
      </c>
      <c r="CN330" s="29">
        <f t="shared" si="625"/>
        <v>25</v>
      </c>
      <c r="CO330" s="298">
        <f>SUM(CO274,CO275)</f>
        <v>0</v>
      </c>
      <c r="CP330" s="5">
        <f t="shared" si="626"/>
        <v>-25</v>
      </c>
      <c r="CQ330" s="240"/>
      <c r="CR330" s="240"/>
      <c r="CS330" s="231">
        <f t="shared" si="627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>SUM(M330,AG330,BA330,BU330,DI330)-SUM(O330,AI330,BC330,BW330,CQ330)-L330</f>
        <v>-16</v>
      </c>
      <c r="DH330" s="29">
        <f t="shared" si="508"/>
        <v>25</v>
      </c>
      <c r="DI330" s="298">
        <f>SUM(DI274,DI275)</f>
        <v>0</v>
      </c>
      <c r="DJ330" s="5">
        <f t="shared" si="628"/>
        <v>-25</v>
      </c>
      <c r="DK330" s="240"/>
      <c r="DL330" s="240"/>
      <c r="DM330" s="231">
        <f t="shared" si="629"/>
        <v>25</v>
      </c>
    </row>
    <row r="331" spans="1:117" x14ac:dyDescent="0.3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>SUM(M331,AG331,BA331,BU331)-L331</f>
        <v>-3</v>
      </c>
      <c r="K331" s="395">
        <f t="shared" si="502"/>
        <v>-3</v>
      </c>
      <c r="L331" s="544">
        <v>3</v>
      </c>
      <c r="M331" s="298">
        <f>SUM(M272,M273)</f>
        <v>0</v>
      </c>
      <c r="N331" s="5">
        <f t="shared" si="615"/>
        <v>-3</v>
      </c>
      <c r="O331" s="256"/>
      <c r="P331" s="303">
        <f>SUM(P272,P273)</f>
        <v>0</v>
      </c>
      <c r="Q331" s="231">
        <f t="shared" si="616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>SUM(M331,AG331)-SUM(O331,AI331)-L331</f>
        <v>-3</v>
      </c>
      <c r="AF331" s="29">
        <f>Q331</f>
        <v>3</v>
      </c>
      <c r="AG331" s="298">
        <f>SUM(AG272,AG273)</f>
        <v>0</v>
      </c>
      <c r="AH331" s="5">
        <f t="shared" si="617"/>
        <v>-3</v>
      </c>
      <c r="AI331" s="256"/>
      <c r="AJ331" s="303">
        <f>SUM(AJ272,AJ273)</f>
        <v>0</v>
      </c>
      <c r="AK331" s="231">
        <f t="shared" si="618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>SUM(M331,AG331,BA331)-SUM(O331,AI331,BC331)-L331</f>
        <v>-3</v>
      </c>
      <c r="AZ331" s="29">
        <f t="shared" si="619"/>
        <v>3</v>
      </c>
      <c r="BA331" s="298">
        <f>SUM(BA272,BA273)</f>
        <v>0</v>
      </c>
      <c r="BB331" s="5">
        <f t="shared" si="620"/>
        <v>-3</v>
      </c>
      <c r="BC331" s="256"/>
      <c r="BD331" s="303">
        <f>SUM(BD272,BD273)</f>
        <v>0</v>
      </c>
      <c r="BE331" s="231">
        <f t="shared" si="621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>SUM(M331,AG331,BA331,BU331)-SUM(O331,AI331,BC331,BW331)-L331</f>
        <v>-13</v>
      </c>
      <c r="BT331" s="29">
        <f t="shared" si="622"/>
        <v>3</v>
      </c>
      <c r="BU331" s="298">
        <f>SUM(BU272,BU273)</f>
        <v>0</v>
      </c>
      <c r="BV331" s="5">
        <f t="shared" si="623"/>
        <v>-3</v>
      </c>
      <c r="BW331" s="240">
        <v>10</v>
      </c>
      <c r="BX331" s="303">
        <f>SUM(BX272,BX273)</f>
        <v>0</v>
      </c>
      <c r="BY331" s="231">
        <f t="shared" si="624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45"/>
      <c r="CL331" s="845"/>
      <c r="CM331" s="395">
        <f>SUM(M331,AG331,BA331,BU331,CO331)-SUM(O331,AI331,BC331,BW331,CQ331)-L331</f>
        <v>-13</v>
      </c>
      <c r="CN331" s="29">
        <f t="shared" si="625"/>
        <v>13</v>
      </c>
      <c r="CO331" s="298">
        <f>SUM(CO272,CO273)</f>
        <v>0</v>
      </c>
      <c r="CP331" s="5">
        <f t="shared" si="626"/>
        <v>-13</v>
      </c>
      <c r="CQ331" s="240"/>
      <c r="CR331" s="303">
        <f>SUM(CR272,CR273)</f>
        <v>0</v>
      </c>
      <c r="CS331" s="231">
        <f t="shared" si="627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>SUM(M331,AG331,BA331,BU331,DI331)-SUM(O331,AI331,BC331,BW331,CQ331)-L331</f>
        <v>-13</v>
      </c>
      <c r="DH331" s="29">
        <f t="shared" si="508"/>
        <v>13</v>
      </c>
      <c r="DI331" s="298">
        <f>SUM(DI272,DI273)</f>
        <v>0</v>
      </c>
      <c r="DJ331" s="5">
        <f t="shared" si="628"/>
        <v>-13</v>
      </c>
      <c r="DK331" s="240"/>
      <c r="DL331" s="303">
        <f>SUM(DL272,DL273)</f>
        <v>0</v>
      </c>
      <c r="DM331" s="231">
        <f t="shared" si="629"/>
        <v>13</v>
      </c>
    </row>
    <row r="332" spans="1:117" x14ac:dyDescent="0.3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>SUM(M332,AG332,BA332,BU332)-L332</f>
        <v>-9</v>
      </c>
      <c r="K332" s="395">
        <f t="shared" si="502"/>
        <v>-18</v>
      </c>
      <c r="L332" s="544">
        <v>18</v>
      </c>
      <c r="M332" s="298">
        <f>SUM(M274,M275)+0-SUM(M274,M275)</f>
        <v>0</v>
      </c>
      <c r="N332" s="5">
        <f t="shared" ref="N332" si="630">M332-L332</f>
        <v>-18</v>
      </c>
      <c r="O332" s="256"/>
      <c r="P332" s="240"/>
      <c r="Q332" s="231">
        <f t="shared" ref="Q332" si="631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>SUM(M332,AG332)-SUM(O332,AI332)-L332</f>
        <v>-17</v>
      </c>
      <c r="AF332" s="29">
        <f>Q332</f>
        <v>18</v>
      </c>
      <c r="AG332" s="298">
        <f>SUM(AG274,AG275)</f>
        <v>1</v>
      </c>
      <c r="AH332" s="5">
        <f t="shared" ref="AH332" si="632">AG332-AF332</f>
        <v>-17</v>
      </c>
      <c r="AI332" s="256"/>
      <c r="AJ332" s="240"/>
      <c r="AK332" s="231">
        <f t="shared" ref="AK332" si="633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>SUM(M332,AG332,BA332)-SUM(O332,AI332,BC332)-L332</f>
        <v>-15</v>
      </c>
      <c r="AZ332" s="29">
        <f t="shared" ref="AZ332" si="634">AK332</f>
        <v>18</v>
      </c>
      <c r="BA332" s="298">
        <f>SUM(BA274,BA275)</f>
        <v>2</v>
      </c>
      <c r="BB332" s="5">
        <f t="shared" ref="BB332" si="635">BA332-AZ332</f>
        <v>-16</v>
      </c>
      <c r="BC332" s="256"/>
      <c r="BD332" s="240"/>
      <c r="BE332" s="231">
        <f t="shared" ref="BE332" si="636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>SUM(M332,AG332,BA332,BU332)-SUM(O332,AI332,BC332,BW332)-L332</f>
        <v>-19</v>
      </c>
      <c r="BT332" s="29">
        <f t="shared" ref="BT332" si="637">BE332</f>
        <v>18</v>
      </c>
      <c r="BU332" s="298">
        <f>SUM(BU274,BU275)</f>
        <v>6</v>
      </c>
      <c r="BV332" s="5">
        <f t="shared" ref="BV332" si="638">BU332-BT332</f>
        <v>-12</v>
      </c>
      <c r="BW332" s="240">
        <v>10</v>
      </c>
      <c r="BX332" s="240"/>
      <c r="BY332" s="231">
        <f t="shared" ref="BY332" si="639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45"/>
      <c r="CL332" s="845"/>
      <c r="CM332" s="395">
        <f>SUM(M332,AG332,BA332,BU332,CO332)-SUM(O332,AI332,BC332,BW332,CQ332)-L332</f>
        <v>-19</v>
      </c>
      <c r="CN332" s="29">
        <f t="shared" ref="CN332" si="640">BY332</f>
        <v>28</v>
      </c>
      <c r="CO332" s="298">
        <f>SUM(CO274,CO275)</f>
        <v>0</v>
      </c>
      <c r="CP332" s="5">
        <f t="shared" ref="CP332" si="641">CO332-CN332</f>
        <v>-28</v>
      </c>
      <c r="CQ332" s="240"/>
      <c r="CR332" s="240"/>
      <c r="CS332" s="231">
        <f t="shared" ref="CS332" si="642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>SUM(M332,AG332,BA332,BU332,DI332)-SUM(O332,AI332,BC332,BW332,CQ332)-L332</f>
        <v>-19</v>
      </c>
      <c r="DH332" s="29">
        <f t="shared" si="508"/>
        <v>28</v>
      </c>
      <c r="DI332" s="298">
        <f>SUM(DI274,DI275)</f>
        <v>0</v>
      </c>
      <c r="DJ332" s="5">
        <f t="shared" si="628"/>
        <v>-28</v>
      </c>
      <c r="DK332" s="240"/>
      <c r="DL332" s="240"/>
      <c r="DM332" s="231">
        <f t="shared" si="629"/>
        <v>28</v>
      </c>
    </row>
    <row r="333" spans="1:117" ht="28.8" x14ac:dyDescent="0.3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>SUM(M333,AG333,BA333,BU333)-L333</f>
        <v>-16</v>
      </c>
      <c r="K333" s="395">
        <f t="shared" si="502"/>
        <v>-25</v>
      </c>
      <c r="L333" s="544">
        <v>25</v>
      </c>
      <c r="M333" s="298">
        <f>SUM(M272,M273,M275)+0-SUM(M272,M273,M275)</f>
        <v>0</v>
      </c>
      <c r="N333" s="5">
        <f t="shared" ref="N333" si="643">M333-L333</f>
        <v>-25</v>
      </c>
      <c r="O333" s="256"/>
      <c r="P333" s="240"/>
      <c r="Q333" s="231">
        <f t="shared" ref="Q333" si="644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>SUM(M333,AG333)-SUM(O333,AI333)-L333</f>
        <v>-24</v>
      </c>
      <c r="AF333" s="29">
        <f>Q333</f>
        <v>25</v>
      </c>
      <c r="AG333" s="298">
        <f>SUM(AG272,AG273,AG275)</f>
        <v>1</v>
      </c>
      <c r="AH333" s="5">
        <f t="shared" ref="AH333" si="645">AG333-AF333</f>
        <v>-24</v>
      </c>
      <c r="AI333" s="256"/>
      <c r="AJ333" s="240"/>
      <c r="AK333" s="231">
        <f t="shared" ref="AK333" si="646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>SUM(M333,AG333,BA333)-SUM(O333,AI333,BC333)-L333</f>
        <v>-22</v>
      </c>
      <c r="AZ333" s="29">
        <f t="shared" ref="AZ333" si="647">AK333</f>
        <v>25</v>
      </c>
      <c r="BA333" s="298">
        <f>SUM(BA272,BA273,BA275)</f>
        <v>2</v>
      </c>
      <c r="BB333" s="5">
        <f t="shared" ref="BB333" si="648">BA333-AZ333</f>
        <v>-23</v>
      </c>
      <c r="BC333" s="256"/>
      <c r="BD333" s="240"/>
      <c r="BE333" s="231">
        <f t="shared" ref="BE333" si="649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>SUM(M333,AG333,BA333,BU333)-SUM(O333,AI333,BC333,BW333)-L333</f>
        <v>-26</v>
      </c>
      <c r="BT333" s="29">
        <f t="shared" ref="BT333" si="650">BE333</f>
        <v>25</v>
      </c>
      <c r="BU333" s="298">
        <f>SUM(BU272,BU273,BU275)</f>
        <v>6</v>
      </c>
      <c r="BV333" s="5">
        <f t="shared" ref="BV333" si="651">BU333-BT333</f>
        <v>-19</v>
      </c>
      <c r="BW333" s="240">
        <v>10</v>
      </c>
      <c r="BX333" s="240"/>
      <c r="BY333" s="231">
        <f t="shared" ref="BY333" si="652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>SUM(M333,AG333,BA333,BU333,CO333)-SUM(O333,AI333,BC333,BW333,CQ333)-L333</f>
        <v>-26</v>
      </c>
      <c r="CN333" s="29">
        <f t="shared" ref="CN333" si="653">BY333</f>
        <v>35</v>
      </c>
      <c r="CO333" s="298">
        <f>SUM(CO272,CO273,CO275)</f>
        <v>0</v>
      </c>
      <c r="CP333" s="5">
        <f t="shared" ref="CP333" si="654">CO333-CN333</f>
        <v>-35</v>
      </c>
      <c r="CQ333" s="240"/>
      <c r="CR333" s="240"/>
      <c r="CS333" s="231">
        <f t="shared" ref="CS333" si="655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>SUM(M333,AG333,BA333,BU333,DI333)-SUM(O333,AI333,BC333,BW333,CQ333)-L333</f>
        <v>-26</v>
      </c>
      <c r="DH333" s="29">
        <f t="shared" si="508"/>
        <v>35</v>
      </c>
      <c r="DI333" s="298">
        <f>SUM(DI272,DI273,DI275)</f>
        <v>0</v>
      </c>
      <c r="DJ333" s="5">
        <f t="shared" si="628"/>
        <v>-35</v>
      </c>
      <c r="DK333" s="240"/>
      <c r="DL333" s="240"/>
      <c r="DM333" s="231">
        <f t="shared" si="629"/>
        <v>35</v>
      </c>
    </row>
    <row r="334" spans="1:117" x14ac:dyDescent="0.3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41"/>
      <c r="V334" s="366"/>
      <c r="W334" s="367"/>
      <c r="X334" s="368"/>
      <c r="Y334" s="741"/>
      <c r="Z334" s="369"/>
      <c r="AA334" s="367"/>
      <c r="AB334" s="368"/>
      <c r="AC334" s="741"/>
      <c r="AD334" s="741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41"/>
      <c r="AP334" s="366"/>
      <c r="AQ334" s="367"/>
      <c r="AR334" s="368"/>
      <c r="AS334" s="741"/>
      <c r="AT334" s="369"/>
      <c r="AU334" s="367"/>
      <c r="AV334" s="368"/>
      <c r="AW334" s="741"/>
      <c r="AX334" s="741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41"/>
      <c r="BJ334" s="366"/>
      <c r="BK334" s="367"/>
      <c r="BL334" s="368"/>
      <c r="BM334" s="741"/>
      <c r="BN334" s="369"/>
      <c r="BO334" s="367"/>
      <c r="BP334" s="368"/>
      <c r="BQ334" s="741"/>
      <c r="BR334" s="741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41"/>
      <c r="CD334" s="366"/>
      <c r="CE334" s="367"/>
      <c r="CF334" s="368"/>
      <c r="CG334" s="741"/>
      <c r="CH334" s="369"/>
      <c r="CI334" s="367"/>
      <c r="CJ334" s="368"/>
      <c r="CK334" s="741"/>
      <c r="CL334" s="741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41"/>
      <c r="CX334" s="366"/>
      <c r="CY334" s="367"/>
      <c r="CZ334" s="368"/>
      <c r="DA334" s="741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28.8" x14ac:dyDescent="0.3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02"/>
        <v>-31</v>
      </c>
      <c r="L335" s="544">
        <v>31</v>
      </c>
      <c r="M335" s="298">
        <f>SUM(M272,M273,M275)+0-SUM(M272,M273,M275)</f>
        <v>0</v>
      </c>
      <c r="N335" s="5">
        <f t="shared" ref="N335:N336" si="656">M335-L335</f>
        <v>-31</v>
      </c>
      <c r="O335" s="256"/>
      <c r="P335" s="244"/>
      <c r="Q335" s="231">
        <f t="shared" ref="Q335" si="657">L335+O335-P335</f>
        <v>31</v>
      </c>
      <c r="R335" s="129"/>
      <c r="S335" s="130"/>
      <c r="T335" s="79"/>
      <c r="U335" s="735"/>
      <c r="V335" s="129"/>
      <c r="W335" s="130"/>
      <c r="X335" s="79"/>
      <c r="Y335" s="735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658">AG335-AF335</f>
        <v>-30</v>
      </c>
      <c r="AI335" s="256"/>
      <c r="AJ335" s="244"/>
      <c r="AK335" s="231">
        <f t="shared" ref="AK335" si="659">AF335+AI335-AJ335</f>
        <v>31</v>
      </c>
      <c r="AL335" s="129"/>
      <c r="AM335" s="130"/>
      <c r="AN335" s="79"/>
      <c r="AO335" s="735"/>
      <c r="AP335" s="129"/>
      <c r="AQ335" s="130"/>
      <c r="AR335" s="79"/>
      <c r="AS335" s="735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660">AK335</f>
        <v>31</v>
      </c>
      <c r="BA335" s="298">
        <f>SUM(BA272,BA273,BA275)</f>
        <v>2</v>
      </c>
      <c r="BB335" s="5">
        <f t="shared" ref="BB335:BB336" si="661">BA335-AZ335</f>
        <v>-29</v>
      </c>
      <c r="BC335" s="256"/>
      <c r="BD335" s="244"/>
      <c r="BE335" s="231">
        <f t="shared" ref="BE335" si="662">AZ335+BC335-BD335</f>
        <v>31</v>
      </c>
      <c r="BF335" s="129"/>
      <c r="BG335" s="130"/>
      <c r="BH335" s="79"/>
      <c r="BI335" s="735"/>
      <c r="BJ335" s="129"/>
      <c r="BK335" s="130"/>
      <c r="BL335" s="79"/>
      <c r="BM335" s="735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663">BE335</f>
        <v>31</v>
      </c>
      <c r="BU335" s="298">
        <f>SUM(BU272,BU273,BU275)</f>
        <v>6</v>
      </c>
      <c r="BV335" s="5">
        <f t="shared" ref="BV335:BV336" si="664">BU335-BT335</f>
        <v>-25</v>
      </c>
      <c r="BW335" s="256"/>
      <c r="BX335" s="244"/>
      <c r="BY335" s="231">
        <f t="shared" ref="BY335" si="665">BT335+BW335-BX335</f>
        <v>31</v>
      </c>
      <c r="BZ335" s="129"/>
      <c r="CA335" s="130"/>
      <c r="CB335" s="79"/>
      <c r="CC335" s="735"/>
      <c r="CD335" s="129"/>
      <c r="CE335" s="130"/>
      <c r="CF335" s="79"/>
      <c r="CG335" s="735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666">BY335</f>
        <v>31</v>
      </c>
      <c r="CO335" s="298">
        <f>SUM(CO272,CO273,CO275)</f>
        <v>0</v>
      </c>
      <c r="CP335" s="5">
        <f t="shared" ref="CP335:CP336" si="667">CO335-CN335</f>
        <v>-31</v>
      </c>
      <c r="CQ335" s="240"/>
      <c r="CR335" s="244"/>
      <c r="CS335" s="231">
        <f t="shared" ref="CS335" si="668">CN335+CQ335-CR335</f>
        <v>31</v>
      </c>
      <c r="CT335" s="129"/>
      <c r="CU335" s="130"/>
      <c r="CV335" s="79"/>
      <c r="CW335" s="735"/>
      <c r="CX335" s="129"/>
      <c r="CY335" s="130"/>
      <c r="CZ335" s="79"/>
      <c r="DA335" s="735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08"/>
        <v>31</v>
      </c>
      <c r="DI335" s="298">
        <f>SUM(DI272,DI273,DI275)</f>
        <v>0</v>
      </c>
      <c r="DJ335" s="5">
        <f t="shared" ref="DJ335:DJ336" si="669">DI335-DH335</f>
        <v>-31</v>
      </c>
      <c r="DK335" s="240"/>
      <c r="DL335" s="244"/>
      <c r="DM335" s="231">
        <f t="shared" ref="DM335" si="670">DH335+DK335-DL335</f>
        <v>31</v>
      </c>
    </row>
    <row r="336" spans="1:117" ht="29.4" thickBot="1" x14ac:dyDescent="0.35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02"/>
        <v>0</v>
      </c>
      <c r="L336" s="29"/>
      <c r="M336" s="31"/>
      <c r="N336" s="31">
        <f t="shared" si="656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658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661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664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667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669"/>
        <v>0</v>
      </c>
      <c r="DK336" s="241"/>
      <c r="DL336" s="241"/>
      <c r="DM336" s="231"/>
    </row>
    <row r="337" spans="1:117" x14ac:dyDescent="0.3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" thickBot="1" x14ac:dyDescent="0.35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02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671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" thickBot="1" x14ac:dyDescent="0.35">
      <c r="P339" s="248"/>
      <c r="AJ339" s="248"/>
      <c r="BD339" s="248"/>
      <c r="BX339" s="248"/>
      <c r="CR339" s="248"/>
      <c r="DL339" s="248"/>
    </row>
    <row r="340" spans="1:117" ht="15" thickBot="1" x14ac:dyDescent="0.35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61"/>
      <c r="BR340" s="761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3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672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36"/>
      <c r="V341" s="123"/>
      <c r="W341" s="8"/>
      <c r="X341" s="34"/>
      <c r="Y341" s="736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36"/>
      <c r="AP341" s="123"/>
      <c r="AQ341" s="8"/>
      <c r="AR341" s="34"/>
      <c r="AS341" s="736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36"/>
      <c r="BJ341" s="123"/>
      <c r="BK341" s="8"/>
      <c r="BL341" s="34"/>
      <c r="BM341" s="736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36"/>
      <c r="CD341" s="123"/>
      <c r="CE341" s="8"/>
      <c r="CF341" s="34"/>
      <c r="CG341" s="736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36"/>
      <c r="CX341" s="123"/>
      <c r="CY341" s="8"/>
      <c r="CZ341" s="34"/>
      <c r="DA341" s="736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673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" thickBot="1" x14ac:dyDescent="0.35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672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37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37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37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37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37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673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" thickBot="1" x14ac:dyDescent="0.35">
      <c r="P343" s="248"/>
      <c r="AJ343" s="248"/>
      <c r="BD343" s="248"/>
      <c r="BX343" s="248"/>
      <c r="CR343" s="248"/>
      <c r="DL343" s="248"/>
    </row>
    <row r="344" spans="1:117" x14ac:dyDescent="0.3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" thickBot="1" x14ac:dyDescent="0.35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38"/>
      <c r="AX345" s="738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3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62"/>
      <c r="AD346" s="762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3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674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675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3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674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809"/>
      <c r="CH348" s="21"/>
      <c r="CI348" s="629">
        <v>78427.5</v>
      </c>
      <c r="CJ348" s="625" t="s">
        <v>985</v>
      </c>
      <c r="CK348" s="844"/>
      <c r="CL348" s="844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34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675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3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674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676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677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678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675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3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674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676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677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678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675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29.4" thickBot="1" x14ac:dyDescent="0.35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674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675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" thickBot="1" x14ac:dyDescent="0.35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3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3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>SUM(M354,AG354,BA354,BU354)-L354</f>
        <v>2</v>
      </c>
      <c r="K354" s="395">
        <f t="shared" ref="K354:K361" si="679">M354-O354-L354</f>
        <v>0</v>
      </c>
      <c r="L354" s="29">
        <v>0</v>
      </c>
      <c r="M354" s="298">
        <f>M353+0-M353</f>
        <v>0</v>
      </c>
      <c r="N354" s="5">
        <f t="shared" ref="N354:N361" si="680">M354-L354</f>
        <v>0</v>
      </c>
      <c r="O354" s="256"/>
      <c r="P354" s="240"/>
      <c r="Q354" s="35">
        <f t="shared" ref="Q354:Q361" si="681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>SUM(M354,AG354)-SUM(O354,AI354)-L354</f>
        <v>0</v>
      </c>
      <c r="AF354" s="29">
        <f>Q354</f>
        <v>0</v>
      </c>
      <c r="AG354" s="298">
        <f>AG353</f>
        <v>0</v>
      </c>
      <c r="AH354" s="5">
        <f t="shared" ref="AH354:AH361" si="682">AG354-AF354</f>
        <v>0</v>
      </c>
      <c r="AI354" s="256"/>
      <c r="AJ354" s="240"/>
      <c r="AK354" s="35">
        <f t="shared" ref="AK354:AK361" si="683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>SUM(M354,AG354,BA354)-SUM(O354,AI354,BC354)-L354</f>
        <v>1</v>
      </c>
      <c r="AZ354" s="29">
        <f t="shared" ref="AZ354:AZ361" si="684">AK354</f>
        <v>0</v>
      </c>
      <c r="BA354" s="298">
        <f>BA353</f>
        <v>1</v>
      </c>
      <c r="BB354" s="5">
        <f t="shared" ref="BB354:BB361" si="685">BA354-AZ354</f>
        <v>1</v>
      </c>
      <c r="BC354" s="5"/>
      <c r="BD354" s="240"/>
      <c r="BE354" s="35">
        <f t="shared" ref="BE354:BE361" si="686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>SUM(M354,AG354,BA354,BU354)-SUM(O354,AI354,BC354,BW354)-L354</f>
        <v>-3</v>
      </c>
      <c r="BT354" s="29">
        <f t="shared" ref="BT354:BT361" si="687">BE354</f>
        <v>0</v>
      </c>
      <c r="BU354" s="298">
        <f>BU353</f>
        <v>1</v>
      </c>
      <c r="BV354" s="5">
        <f t="shared" ref="BV354:BV361" si="688">BU354-BT354</f>
        <v>1</v>
      </c>
      <c r="BW354" s="621">
        <v>5</v>
      </c>
      <c r="BX354" s="240"/>
      <c r="BY354" s="35">
        <f t="shared" ref="BY354:BY361" si="689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823"/>
      <c r="CH354" s="21"/>
      <c r="CI354" s="6"/>
      <c r="CJ354" s="35"/>
      <c r="CK354" s="234"/>
      <c r="CL354" s="234"/>
      <c r="CM354" s="395">
        <f>SUM(M354,AG354,BA354,BU354,CO354)-SUM(O354,AI354,BC354,BW354,CQ354)-L354</f>
        <v>-3</v>
      </c>
      <c r="CN354" s="32">
        <f t="shared" ref="CN354:CN361" si="690">BY354</f>
        <v>5</v>
      </c>
      <c r="CO354" s="302">
        <f>CO353</f>
        <v>0</v>
      </c>
      <c r="CP354" s="7">
        <f t="shared" ref="CP354:CP361" si="691">CO354-CN354</f>
        <v>-5</v>
      </c>
      <c r="CQ354" s="242"/>
      <c r="CR354" s="242"/>
      <c r="CS354" s="34">
        <f t="shared" ref="CS354:CS361" si="692">CN354+CQ354-CR354</f>
        <v>5</v>
      </c>
      <c r="CT354" s="123"/>
      <c r="CU354" s="8"/>
      <c r="CV354" s="34"/>
      <c r="CW354" s="736"/>
      <c r="CX354" s="123"/>
      <c r="CY354" s="8"/>
      <c r="CZ354" s="34"/>
      <c r="DA354" s="736"/>
      <c r="DB354" s="20"/>
      <c r="DC354" s="8"/>
      <c r="DD354" s="34"/>
      <c r="DE354" s="234"/>
      <c r="DF354" s="234"/>
      <c r="DG354" s="395">
        <f>SUM(M354,AG354,BA354,BU354,DI354)-SUM(O354,AI354,BC354,BW354,CQ354)-L354</f>
        <v>-3</v>
      </c>
      <c r="DH354" s="32">
        <f t="shared" ref="DH354:DH361" si="693">BY354</f>
        <v>5</v>
      </c>
      <c r="DI354" s="302">
        <f>DI353</f>
        <v>0</v>
      </c>
      <c r="DJ354" s="7">
        <f t="shared" ref="DJ354:DJ361" si="694">DI354-DH354</f>
        <v>-5</v>
      </c>
      <c r="DK354" s="242"/>
      <c r="DL354" s="242"/>
      <c r="DM354" s="34">
        <f t="shared" ref="DM354:DM361" si="695">DH354+DK354-DL354</f>
        <v>5</v>
      </c>
    </row>
    <row r="355" spans="1:117" ht="43.2" x14ac:dyDescent="0.3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>SUM(M355,AG355,BA355,BU355)-L355</f>
        <v>-9</v>
      </c>
      <c r="K355" s="395">
        <f t="shared" si="679"/>
        <v>-11</v>
      </c>
      <c r="L355" s="544">
        <v>33</v>
      </c>
      <c r="M355" s="298">
        <f>M353+M385+M432</f>
        <v>22</v>
      </c>
      <c r="N355" s="5">
        <f t="shared" si="680"/>
        <v>-11</v>
      </c>
      <c r="O355" s="256"/>
      <c r="P355" s="303">
        <f>P353+P385+P432</f>
        <v>22</v>
      </c>
      <c r="Q355" s="35">
        <f t="shared" si="681"/>
        <v>11</v>
      </c>
      <c r="R355" s="236"/>
      <c r="S355" s="210"/>
      <c r="T355" s="216"/>
      <c r="U355" s="730"/>
      <c r="V355" s="236"/>
      <c r="W355" s="210"/>
      <c r="X355" s="216"/>
      <c r="Y355" s="730"/>
      <c r="Z355" s="236"/>
      <c r="AA355" s="210"/>
      <c r="AB355" s="216"/>
      <c r="AC355" s="763"/>
      <c r="AD355" s="763"/>
      <c r="AE355" s="398">
        <f>SUM(M355,AG355)-SUM(O355,AI355)-L355</f>
        <v>-11</v>
      </c>
      <c r="AF355" s="29">
        <f>Q355</f>
        <v>11</v>
      </c>
      <c r="AG355" s="298">
        <f>AG353+AG385+AG432</f>
        <v>0</v>
      </c>
      <c r="AH355" s="5">
        <f t="shared" si="682"/>
        <v>-11</v>
      </c>
      <c r="AI355" s="256"/>
      <c r="AJ355" s="303">
        <f>AJ353+AJ385+AJ432</f>
        <v>0</v>
      </c>
      <c r="AK355" s="35">
        <f t="shared" si="683"/>
        <v>11</v>
      </c>
      <c r="AL355" s="236"/>
      <c r="AM355" s="210"/>
      <c r="AN355" s="216"/>
      <c r="AO355" s="730"/>
      <c r="AP355" s="236"/>
      <c r="AQ355" s="210"/>
      <c r="AR355" s="216"/>
      <c r="AS355" s="730"/>
      <c r="AT355" s="21"/>
      <c r="AU355" s="6"/>
      <c r="AV355" s="35"/>
      <c r="AW355" s="234"/>
      <c r="AX355" s="234"/>
      <c r="AY355" s="395">
        <f>SUM(M355,AG355,BA355)-SUM(O355,AI355,BC355)-L355</f>
        <v>-10</v>
      </c>
      <c r="AZ355" s="29">
        <f t="shared" si="684"/>
        <v>11</v>
      </c>
      <c r="BA355" s="298">
        <f>BA353+BA385+BA432</f>
        <v>1</v>
      </c>
      <c r="BB355" s="5">
        <f t="shared" si="685"/>
        <v>-10</v>
      </c>
      <c r="BC355" s="240"/>
      <c r="BD355" s="303">
        <f>BD353+BD385+BD432</f>
        <v>5</v>
      </c>
      <c r="BE355" s="35">
        <f t="shared" si="686"/>
        <v>6</v>
      </c>
      <c r="BF355" s="236"/>
      <c r="BG355" s="6"/>
      <c r="BH355" s="216"/>
      <c r="BI355" s="730"/>
      <c r="BJ355" s="236"/>
      <c r="BK355" s="210"/>
      <c r="BL355" s="216"/>
      <c r="BM355" s="730"/>
      <c r="BN355" s="21"/>
      <c r="BO355" s="6"/>
      <c r="BP355" s="216"/>
      <c r="BQ355" s="764"/>
      <c r="BR355" s="764"/>
      <c r="BS355" s="395">
        <f>SUM(M355,AG355,BA355,BU355)-SUM(O355,AI355,BC355,BW355)-L355</f>
        <v>-14</v>
      </c>
      <c r="BT355" s="29">
        <f t="shared" si="687"/>
        <v>6</v>
      </c>
      <c r="BU355" s="298">
        <f>BU353+BU385+BU432</f>
        <v>1</v>
      </c>
      <c r="BV355" s="5">
        <f t="shared" si="688"/>
        <v>-5</v>
      </c>
      <c r="BW355" s="621">
        <v>5</v>
      </c>
      <c r="BX355" s="303">
        <f>BX353+BX385+BX432</f>
        <v>0</v>
      </c>
      <c r="BY355" s="35">
        <f t="shared" si="689"/>
        <v>11</v>
      </c>
      <c r="BZ355" s="21"/>
      <c r="CA355" s="6"/>
      <c r="CB355" s="216"/>
      <c r="CC355" s="730"/>
      <c r="CD355" s="666">
        <f>F355*BW355/2</f>
        <v>269000</v>
      </c>
      <c r="CE355" s="663"/>
      <c r="CF355" s="664" t="s">
        <v>813</v>
      </c>
      <c r="CG355" s="809"/>
      <c r="CH355" s="235"/>
      <c r="CI355" s="629">
        <f>538000/2</f>
        <v>269000</v>
      </c>
      <c r="CJ355" s="625" t="s">
        <v>922</v>
      </c>
      <c r="CK355" s="844"/>
      <c r="CL355" s="844"/>
      <c r="CM355" s="395">
        <f>SUM(M355,AG355,BA355,BU355,CO355)-SUM(O355,AI355,BC355,BW355,CQ355)-L355</f>
        <v>-14</v>
      </c>
      <c r="CN355" s="29">
        <f t="shared" si="690"/>
        <v>11</v>
      </c>
      <c r="CO355" s="298">
        <f>CO353+CO385+CO432</f>
        <v>0</v>
      </c>
      <c r="CP355" s="5">
        <f t="shared" si="691"/>
        <v>-11</v>
      </c>
      <c r="CQ355" s="240"/>
      <c r="CR355" s="303">
        <f>CR353+CR385+CR432</f>
        <v>0</v>
      </c>
      <c r="CS355" s="35">
        <f t="shared" si="692"/>
        <v>11</v>
      </c>
      <c r="CT355" s="236"/>
      <c r="CU355" s="210"/>
      <c r="CV355" s="216"/>
      <c r="CW355" s="730"/>
      <c r="CX355" s="21"/>
      <c r="CY355" s="6"/>
      <c r="CZ355" s="216"/>
      <c r="DA355" s="730"/>
      <c r="DB355" s="21"/>
      <c r="DC355" s="199">
        <v>244625</v>
      </c>
      <c r="DD355" s="148" t="s">
        <v>817</v>
      </c>
      <c r="DE355" s="845"/>
      <c r="DF355" s="845"/>
      <c r="DG355" s="395">
        <f>SUM(M355,AG355,BA355,BU355,DI355)-SUM(O355,AI355,BC355,BW355,CQ355)-L355</f>
        <v>-14</v>
      </c>
      <c r="DH355" s="29">
        <f t="shared" si="693"/>
        <v>11</v>
      </c>
      <c r="DI355" s="298">
        <f>DI353+DI385+DI432</f>
        <v>0</v>
      </c>
      <c r="DJ355" s="5">
        <f t="shared" si="694"/>
        <v>-11</v>
      </c>
      <c r="DK355" s="240"/>
      <c r="DL355" s="303">
        <f>DL353+DL385+DL432</f>
        <v>0</v>
      </c>
      <c r="DM355" s="35">
        <f t="shared" si="695"/>
        <v>11</v>
      </c>
    </row>
    <row r="356" spans="1:117" x14ac:dyDescent="0.3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>SUM(M356,AG356,BA356,BU356)-L356</f>
        <v>-153</v>
      </c>
      <c r="K356" s="395">
        <f t="shared" si="679"/>
        <v>-155</v>
      </c>
      <c r="L356" s="544">
        <f>159+16</f>
        <v>175</v>
      </c>
      <c r="M356" s="298">
        <f>M353</f>
        <v>20</v>
      </c>
      <c r="N356" s="5">
        <f t="shared" ref="N356" si="696">M356-L356</f>
        <v>-155</v>
      </c>
      <c r="O356" s="256"/>
      <c r="P356" s="303">
        <f>P353</f>
        <v>20</v>
      </c>
      <c r="Q356" s="35">
        <f t="shared" ref="Q356" si="697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34"/>
      <c r="Z356" s="21"/>
      <c r="AA356" s="6"/>
      <c r="AB356" s="35"/>
      <c r="AC356" s="231"/>
      <c r="AD356" s="231"/>
      <c r="AE356" s="398">
        <f>SUM(M356,AG356)-SUM(O356,AI356)-L356</f>
        <v>-155</v>
      </c>
      <c r="AF356" s="29">
        <f>Q356</f>
        <v>155</v>
      </c>
      <c r="AG356" s="298">
        <f>AG353</f>
        <v>0</v>
      </c>
      <c r="AH356" s="5">
        <f t="shared" ref="AH356" si="698">AG356-AF356</f>
        <v>-155</v>
      </c>
      <c r="AI356" s="256"/>
      <c r="AJ356" s="303">
        <f>AJ353</f>
        <v>0</v>
      </c>
      <c r="AK356" s="35">
        <f t="shared" ref="AK356" si="699">AF356+AI356-AJ356</f>
        <v>155</v>
      </c>
      <c r="AL356" s="21"/>
      <c r="AM356" s="6"/>
      <c r="AN356" s="35"/>
      <c r="AO356" s="612"/>
      <c r="AP356" s="235"/>
      <c r="AQ356" s="6"/>
      <c r="AR356" s="148"/>
      <c r="AS356" s="734"/>
      <c r="AT356" s="21"/>
      <c r="AU356" s="6"/>
      <c r="AV356" s="35"/>
      <c r="AW356" s="234"/>
      <c r="AX356" s="234"/>
      <c r="AY356" s="395">
        <f>SUM(M356,AG356,BA356)-SUM(O356,AI356,BC356)-L356</f>
        <v>-154</v>
      </c>
      <c r="AZ356" s="29">
        <f t="shared" ref="AZ356" si="700">AK356</f>
        <v>155</v>
      </c>
      <c r="BA356" s="298">
        <f>BA353</f>
        <v>1</v>
      </c>
      <c r="BB356" s="5">
        <f t="shared" ref="BB356" si="701">BA356-AZ356</f>
        <v>-154</v>
      </c>
      <c r="BC356" s="5"/>
      <c r="BD356" s="303">
        <f>BD353</f>
        <v>5</v>
      </c>
      <c r="BE356" s="35">
        <f t="shared" ref="BE356" si="702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34"/>
      <c r="BN356" s="21"/>
      <c r="BO356" s="6"/>
      <c r="BP356" s="35"/>
      <c r="BQ356" s="234"/>
      <c r="BR356" s="234"/>
      <c r="BS356" s="395">
        <f>SUM(M356,AG356,BA356,BU356)-SUM(O356,AI356,BC356,BW356)-L356</f>
        <v>-158</v>
      </c>
      <c r="BT356" s="29">
        <f t="shared" ref="BT356" si="703">BE356</f>
        <v>150</v>
      </c>
      <c r="BU356" s="298">
        <f>BU353</f>
        <v>1</v>
      </c>
      <c r="BV356" s="5">
        <f t="shared" ref="BV356" si="704">BU356-BT356</f>
        <v>-149</v>
      </c>
      <c r="BW356" s="621">
        <v>5</v>
      </c>
      <c r="BX356" s="303">
        <f>BX353</f>
        <v>0</v>
      </c>
      <c r="BY356" s="35">
        <f t="shared" ref="BY356" si="705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823"/>
      <c r="CH356" s="235"/>
      <c r="CI356" s="199"/>
      <c r="CJ356" s="148"/>
      <c r="CK356" s="845"/>
      <c r="CL356" s="845"/>
      <c r="CM356" s="395">
        <f>SUM(M356,AG356,BA356,BU356,CO356)-SUM(O356,AI356,BC356,BW356,CQ356)-L356</f>
        <v>-158</v>
      </c>
      <c r="CN356" s="29">
        <f t="shared" ref="CN356" si="706">BY356</f>
        <v>155</v>
      </c>
      <c r="CO356" s="298">
        <f>CO353</f>
        <v>0</v>
      </c>
      <c r="CP356" s="5">
        <f t="shared" ref="CP356" si="707">CO356-CN356</f>
        <v>-155</v>
      </c>
      <c r="CQ356" s="240"/>
      <c r="CR356" s="303">
        <f>CR353</f>
        <v>0</v>
      </c>
      <c r="CS356" s="35">
        <f t="shared" ref="CS356" si="708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34"/>
      <c r="DB356" s="21"/>
      <c r="DC356" s="6"/>
      <c r="DD356" s="35"/>
      <c r="DE356" s="234"/>
      <c r="DF356" s="234"/>
      <c r="DG356" s="395">
        <f>SUM(M356,AG356,BA356,BU356,DI356)-SUM(O356,AI356,BC356,BW356,CQ356)-L356</f>
        <v>-158</v>
      </c>
      <c r="DH356" s="29">
        <f t="shared" si="693"/>
        <v>155</v>
      </c>
      <c r="DI356" s="298">
        <f>DI353</f>
        <v>0</v>
      </c>
      <c r="DJ356" s="5">
        <f t="shared" si="694"/>
        <v>-155</v>
      </c>
      <c r="DK356" s="240"/>
      <c r="DL356" s="303">
        <f>DL353</f>
        <v>0</v>
      </c>
      <c r="DM356" s="35">
        <f t="shared" si="695"/>
        <v>155</v>
      </c>
    </row>
    <row r="357" spans="1:117" x14ac:dyDescent="0.3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>SUM(M357,AG357,BA357,BU357)-L357</f>
        <v>-6</v>
      </c>
      <c r="K357" s="395">
        <f t="shared" si="679"/>
        <v>-8</v>
      </c>
      <c r="L357" s="544">
        <f>12+16</f>
        <v>28</v>
      </c>
      <c r="M357" s="298">
        <f>M353</f>
        <v>20</v>
      </c>
      <c r="N357" s="5">
        <f t="shared" ref="N357" si="709">M357-L357</f>
        <v>-8</v>
      </c>
      <c r="O357" s="256"/>
      <c r="P357" s="303">
        <f>P353</f>
        <v>20</v>
      </c>
      <c r="Q357" s="35">
        <f t="shared" ref="Q357" si="710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34"/>
      <c r="Z357" s="21"/>
      <c r="AA357" s="6"/>
      <c r="AB357" s="35"/>
      <c r="AC357" s="231"/>
      <c r="AD357" s="231"/>
      <c r="AE357" s="398">
        <f>SUM(M357,AG357)-SUM(O357,AI357)-L357</f>
        <v>-8</v>
      </c>
      <c r="AF357" s="29">
        <f>Q357</f>
        <v>8</v>
      </c>
      <c r="AG357" s="298">
        <f>AG353</f>
        <v>0</v>
      </c>
      <c r="AH357" s="5">
        <f t="shared" ref="AH357" si="711">AG357-AF357</f>
        <v>-8</v>
      </c>
      <c r="AI357" s="256"/>
      <c r="AJ357" s="303">
        <f>AJ353</f>
        <v>0</v>
      </c>
      <c r="AK357" s="35">
        <f t="shared" ref="AK357" si="712">AF357+AI357-AJ357</f>
        <v>8</v>
      </c>
      <c r="AL357" s="21"/>
      <c r="AM357" s="6"/>
      <c r="AN357" s="35"/>
      <c r="AO357" s="612"/>
      <c r="AP357" s="235"/>
      <c r="AQ357" s="6"/>
      <c r="AR357" s="148"/>
      <c r="AS357" s="734"/>
      <c r="AT357" s="21"/>
      <c r="AU357" s="6"/>
      <c r="AV357" s="35"/>
      <c r="AW357" s="234"/>
      <c r="AX357" s="234"/>
      <c r="AY357" s="395">
        <f>SUM(M357,AG357,BA357)-SUM(O357,AI357,BC357)-L357</f>
        <v>-7</v>
      </c>
      <c r="AZ357" s="29">
        <f t="shared" ref="AZ357" si="713">AK357</f>
        <v>8</v>
      </c>
      <c r="BA357" s="298">
        <f>BA353</f>
        <v>1</v>
      </c>
      <c r="BB357" s="5">
        <f t="shared" ref="BB357" si="714">BA357-AZ357</f>
        <v>-7</v>
      </c>
      <c r="BC357" s="5"/>
      <c r="BD357" s="303">
        <f>BD353</f>
        <v>5</v>
      </c>
      <c r="BE357" s="35">
        <f t="shared" ref="BE357" si="715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34"/>
      <c r="BN357" s="21"/>
      <c r="BO357" s="6"/>
      <c r="BP357" s="35"/>
      <c r="BQ357" s="234"/>
      <c r="BR357" s="234"/>
      <c r="BS357" s="395">
        <f>SUM(M357,AG357,BA357,BU357)-SUM(O357,AI357,BC357,BW357)-L357</f>
        <v>-11</v>
      </c>
      <c r="BT357" s="29">
        <f t="shared" ref="BT357" si="716">BE357</f>
        <v>3</v>
      </c>
      <c r="BU357" s="298">
        <f>BU353</f>
        <v>1</v>
      </c>
      <c r="BV357" s="5">
        <f t="shared" ref="BV357" si="717">BU357-BT357</f>
        <v>-2</v>
      </c>
      <c r="BW357" s="240">
        <v>5</v>
      </c>
      <c r="BX357" s="303">
        <f>BX353</f>
        <v>0</v>
      </c>
      <c r="BY357" s="35">
        <f t="shared" ref="BY357" si="718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34"/>
      <c r="CH357" s="235"/>
      <c r="CI357" s="199"/>
      <c r="CJ357" s="148"/>
      <c r="CK357" s="845"/>
      <c r="CL357" s="845"/>
      <c r="CM357" s="395">
        <f>SUM(M357,AG357,BA357,BU357,CO357)-SUM(O357,AI357,BC357,BW357,CQ357)-L357</f>
        <v>-11</v>
      </c>
      <c r="CN357" s="29">
        <f t="shared" ref="CN357" si="719">BY357</f>
        <v>8</v>
      </c>
      <c r="CO357" s="298">
        <f>CO353</f>
        <v>0</v>
      </c>
      <c r="CP357" s="5">
        <f t="shared" ref="CP357" si="720">CO357-CN357</f>
        <v>-8</v>
      </c>
      <c r="CQ357" s="240"/>
      <c r="CR357" s="303">
        <f>CR353</f>
        <v>0</v>
      </c>
      <c r="CS357" s="35">
        <f t="shared" ref="CS357" si="721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34"/>
      <c r="DB357" s="21"/>
      <c r="DC357" s="6"/>
      <c r="DD357" s="35"/>
      <c r="DE357" s="234"/>
      <c r="DF357" s="234"/>
      <c r="DG357" s="395">
        <f>SUM(M357,AG357,BA357,BU357,DI357)-SUM(O357,AI357,BC357,BW357,CQ357)-L357</f>
        <v>-11</v>
      </c>
      <c r="DH357" s="29">
        <f t="shared" si="693"/>
        <v>8</v>
      </c>
      <c r="DI357" s="298">
        <f>DI353</f>
        <v>0</v>
      </c>
      <c r="DJ357" s="5">
        <f t="shared" si="694"/>
        <v>-8</v>
      </c>
      <c r="DK357" s="240"/>
      <c r="DL357" s="303">
        <f>DL353</f>
        <v>0</v>
      </c>
      <c r="DM357" s="35">
        <f t="shared" si="695"/>
        <v>8</v>
      </c>
    </row>
    <row r="358" spans="1:117" x14ac:dyDescent="0.3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>SUM(M358,AG358,BA358,BU358)-L358</f>
        <v>-14</v>
      </c>
      <c r="K358" s="395">
        <f t="shared" si="679"/>
        <v>-16</v>
      </c>
      <c r="L358" s="544">
        <f>20+16</f>
        <v>36</v>
      </c>
      <c r="M358" s="298">
        <f>M353</f>
        <v>20</v>
      </c>
      <c r="N358" s="5">
        <f t="shared" si="680"/>
        <v>-16</v>
      </c>
      <c r="O358" s="256"/>
      <c r="P358" s="303">
        <f>P353</f>
        <v>20</v>
      </c>
      <c r="Q358" s="35">
        <f t="shared" si="681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34"/>
      <c r="Z358" s="21"/>
      <c r="AA358" s="6"/>
      <c r="AB358" s="35"/>
      <c r="AC358" s="231"/>
      <c r="AD358" s="231"/>
      <c r="AE358" s="398">
        <f>SUM(M358,AG358)-SUM(O358,AI358)-L358</f>
        <v>-16</v>
      </c>
      <c r="AF358" s="29">
        <f>Q358</f>
        <v>16</v>
      </c>
      <c r="AG358" s="298">
        <f>AG353</f>
        <v>0</v>
      </c>
      <c r="AH358" s="5">
        <f t="shared" si="682"/>
        <v>-16</v>
      </c>
      <c r="AI358" s="256"/>
      <c r="AJ358" s="303">
        <f>AJ353</f>
        <v>0</v>
      </c>
      <c r="AK358" s="35">
        <f t="shared" si="683"/>
        <v>16</v>
      </c>
      <c r="AL358" s="21"/>
      <c r="AM358" s="6"/>
      <c r="AN358" s="35"/>
      <c r="AO358" s="612"/>
      <c r="AP358" s="235"/>
      <c r="AQ358" s="6"/>
      <c r="AR358" s="148"/>
      <c r="AS358" s="734"/>
      <c r="AT358" s="21"/>
      <c r="AU358" s="6"/>
      <c r="AV358" s="35"/>
      <c r="AW358" s="234"/>
      <c r="AX358" s="234"/>
      <c r="AY358" s="395">
        <f>SUM(M358,AG358,BA358)-SUM(O358,AI358,BC358)-L358</f>
        <v>-15</v>
      </c>
      <c r="AZ358" s="29">
        <f t="shared" si="684"/>
        <v>16</v>
      </c>
      <c r="BA358" s="298">
        <f>BA353</f>
        <v>1</v>
      </c>
      <c r="BB358" s="5">
        <f t="shared" si="685"/>
        <v>-15</v>
      </c>
      <c r="BC358" s="5"/>
      <c r="BD358" s="303">
        <f>BD353</f>
        <v>5</v>
      </c>
      <c r="BE358" s="35">
        <f t="shared" si="686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34"/>
      <c r="BN358" s="21"/>
      <c r="BO358" s="6"/>
      <c r="BP358" s="35"/>
      <c r="BQ358" s="234"/>
      <c r="BR358" s="234"/>
      <c r="BS358" s="395">
        <f>SUM(M358,AG358,BA358,BU358)-SUM(O358,AI358,BC358,BW358)-L358</f>
        <v>-19</v>
      </c>
      <c r="BT358" s="29">
        <f t="shared" si="687"/>
        <v>11</v>
      </c>
      <c r="BU358" s="298">
        <f>BU353</f>
        <v>1</v>
      </c>
      <c r="BV358" s="5">
        <f t="shared" si="688"/>
        <v>-10</v>
      </c>
      <c r="BW358" s="621">
        <v>5</v>
      </c>
      <c r="BX358" s="303">
        <f>BX353</f>
        <v>0</v>
      </c>
      <c r="BY358" s="35">
        <f t="shared" si="689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823"/>
      <c r="CH358" s="235"/>
      <c r="CI358" s="199"/>
      <c r="CJ358" s="148"/>
      <c r="CK358" s="845"/>
      <c r="CL358" s="845"/>
      <c r="CM358" s="395">
        <f>SUM(M358,AG358,BA358,BU358,CO358)-SUM(O358,AI358,BC358,BW358,CQ358)-L358</f>
        <v>-19</v>
      </c>
      <c r="CN358" s="29">
        <f t="shared" si="690"/>
        <v>16</v>
      </c>
      <c r="CO358" s="298">
        <f>CO353</f>
        <v>0</v>
      </c>
      <c r="CP358" s="5">
        <f t="shared" si="691"/>
        <v>-16</v>
      </c>
      <c r="CQ358" s="240"/>
      <c r="CR358" s="303">
        <f>CR353</f>
        <v>0</v>
      </c>
      <c r="CS358" s="35">
        <f t="shared" si="692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34"/>
      <c r="DB358" s="21"/>
      <c r="DC358" s="6"/>
      <c r="DD358" s="35"/>
      <c r="DE358" s="234"/>
      <c r="DF358" s="234"/>
      <c r="DG358" s="395">
        <f>SUM(M358,AG358,BA358,BU358,DI358)-SUM(O358,AI358,BC358,BW358,CQ358)-L358</f>
        <v>-19</v>
      </c>
      <c r="DH358" s="29">
        <f t="shared" si="693"/>
        <v>16</v>
      </c>
      <c r="DI358" s="298">
        <f>DI353</f>
        <v>0</v>
      </c>
      <c r="DJ358" s="5">
        <f t="shared" si="694"/>
        <v>-16</v>
      </c>
      <c r="DK358" s="240"/>
      <c r="DL358" s="303">
        <f>DL353</f>
        <v>0</v>
      </c>
      <c r="DM358" s="35">
        <f t="shared" si="695"/>
        <v>16</v>
      </c>
    </row>
    <row r="359" spans="1:117" x14ac:dyDescent="0.3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>SUM(M359,AG359,BA359,BU359)-L359</f>
        <v>-18</v>
      </c>
      <c r="K359" s="395">
        <f t="shared" si="679"/>
        <v>-20</v>
      </c>
      <c r="L359" s="544">
        <f>24+16</f>
        <v>40</v>
      </c>
      <c r="M359" s="298">
        <f>M353</f>
        <v>20</v>
      </c>
      <c r="N359" s="5">
        <f t="shared" si="680"/>
        <v>-20</v>
      </c>
      <c r="O359" s="242"/>
      <c r="P359" s="303">
        <f>P353</f>
        <v>20</v>
      </c>
      <c r="Q359" s="35">
        <f t="shared" si="681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>SUM(M359,AG359)-SUM(O359,AI359)-L359</f>
        <v>-20</v>
      </c>
      <c r="AF359" s="29">
        <f>Q359</f>
        <v>20</v>
      </c>
      <c r="AG359" s="298">
        <f>AG353</f>
        <v>0</v>
      </c>
      <c r="AH359" s="5">
        <f t="shared" si="682"/>
        <v>-20</v>
      </c>
      <c r="AI359" s="258"/>
      <c r="AJ359" s="303">
        <f>AJ353</f>
        <v>0</v>
      </c>
      <c r="AK359" s="35">
        <f t="shared" si="683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>SUM(M359,AG359,BA359)-SUM(O359,AI359,BC359)-L359</f>
        <v>-19</v>
      </c>
      <c r="AZ359" s="29">
        <f t="shared" si="684"/>
        <v>20</v>
      </c>
      <c r="BA359" s="298">
        <f>BA353</f>
        <v>1</v>
      </c>
      <c r="BB359" s="5">
        <f t="shared" si="685"/>
        <v>-19</v>
      </c>
      <c r="BC359" s="256"/>
      <c r="BD359" s="303">
        <f>BD353</f>
        <v>5</v>
      </c>
      <c r="BE359" s="35">
        <f t="shared" si="686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>SUM(M359,AG359,BA359,BU359)-SUM(O359,AI359,BC359,BW359)-L359</f>
        <v>-23</v>
      </c>
      <c r="BT359" s="29">
        <f t="shared" si="687"/>
        <v>15</v>
      </c>
      <c r="BU359" s="298">
        <f>BU353</f>
        <v>1</v>
      </c>
      <c r="BV359" s="5">
        <f t="shared" si="688"/>
        <v>-14</v>
      </c>
      <c r="BW359" s="621">
        <v>5</v>
      </c>
      <c r="BX359" s="303">
        <f>BX353</f>
        <v>0</v>
      </c>
      <c r="BY359" s="35">
        <f t="shared" si="689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809"/>
      <c r="CH359" s="235"/>
      <c r="CI359" s="629">
        <v>2855</v>
      </c>
      <c r="CJ359" s="625" t="s">
        <v>818</v>
      </c>
      <c r="CK359" s="844"/>
      <c r="CL359" s="844"/>
      <c r="CM359" s="395">
        <f>SUM(M359,AG359,BA359,BU359,CO359)-SUM(O359,AI359,BC359,BW359,CQ359)-L359</f>
        <v>-23</v>
      </c>
      <c r="CN359" s="29">
        <f t="shared" si="690"/>
        <v>20</v>
      </c>
      <c r="CO359" s="298">
        <f>CO353</f>
        <v>0</v>
      </c>
      <c r="CP359" s="5">
        <f t="shared" si="691"/>
        <v>-20</v>
      </c>
      <c r="CQ359" s="240"/>
      <c r="CR359" s="303">
        <f>CR353</f>
        <v>0</v>
      </c>
      <c r="CS359" s="35">
        <f t="shared" si="692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>SUM(M359,AG359,BA359,BU359,DI359)-SUM(O359,AI359,BC359,BW359,CQ359)-L359</f>
        <v>-23</v>
      </c>
      <c r="DH359" s="29">
        <f t="shared" si="693"/>
        <v>20</v>
      </c>
      <c r="DI359" s="298">
        <f>DI353</f>
        <v>0</v>
      </c>
      <c r="DJ359" s="5">
        <f t="shared" si="694"/>
        <v>-20</v>
      </c>
      <c r="DK359" s="240"/>
      <c r="DL359" s="303">
        <f>DL353</f>
        <v>0</v>
      </c>
      <c r="DM359" s="35">
        <f t="shared" si="695"/>
        <v>20</v>
      </c>
    </row>
    <row r="360" spans="1:117" x14ac:dyDescent="0.3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>SUM(M360,AG360,BA360,BU360)-L360</f>
        <v>-63</v>
      </c>
      <c r="K360" s="395">
        <f t="shared" si="679"/>
        <v>-65</v>
      </c>
      <c r="L360" s="544">
        <f>69+16</f>
        <v>85</v>
      </c>
      <c r="M360" s="299">
        <f>M353</f>
        <v>20</v>
      </c>
      <c r="N360" s="5">
        <f t="shared" si="680"/>
        <v>-65</v>
      </c>
      <c r="O360" s="258"/>
      <c r="P360" s="376">
        <f>P353</f>
        <v>20</v>
      </c>
      <c r="Q360" s="35">
        <f t="shared" si="681"/>
        <v>65</v>
      </c>
      <c r="R360" s="129"/>
      <c r="S360" s="130"/>
      <c r="T360" s="79"/>
      <c r="U360" s="735"/>
      <c r="V360" s="129"/>
      <c r="W360" s="130"/>
      <c r="X360" s="79"/>
      <c r="Y360" s="735"/>
      <c r="Z360" s="131"/>
      <c r="AA360" s="130"/>
      <c r="AB360" s="79"/>
      <c r="AC360" s="233"/>
      <c r="AD360" s="233"/>
      <c r="AE360" s="398">
        <f>SUM(M360,AG360)-SUM(O360,AI360)-L360</f>
        <v>-65</v>
      </c>
      <c r="AF360" s="29">
        <f>Q360</f>
        <v>65</v>
      </c>
      <c r="AG360" s="299">
        <f>AG353</f>
        <v>0</v>
      </c>
      <c r="AH360" s="5">
        <f t="shared" si="682"/>
        <v>-65</v>
      </c>
      <c r="AI360" s="277"/>
      <c r="AJ360" s="376">
        <f>AJ353</f>
        <v>0</v>
      </c>
      <c r="AK360" s="35">
        <f t="shared" si="683"/>
        <v>65</v>
      </c>
      <c r="AL360" s="129"/>
      <c r="AM360" s="130"/>
      <c r="AN360" s="79"/>
      <c r="AO360" s="735"/>
      <c r="AP360" s="129"/>
      <c r="AQ360" s="130"/>
      <c r="AR360" s="79"/>
      <c r="AS360" s="735"/>
      <c r="AT360" s="131"/>
      <c r="AU360" s="130"/>
      <c r="AV360" s="79"/>
      <c r="AW360" s="619"/>
      <c r="AX360" s="619"/>
      <c r="AY360" s="395">
        <f>SUM(M360,AG360,BA360)-SUM(O360,AI360,BC360)-L360</f>
        <v>-64</v>
      </c>
      <c r="AZ360" s="29">
        <f t="shared" si="684"/>
        <v>65</v>
      </c>
      <c r="BA360" s="299">
        <f>BA353</f>
        <v>1</v>
      </c>
      <c r="BB360" s="5">
        <f t="shared" si="685"/>
        <v>-64</v>
      </c>
      <c r="BC360" s="277"/>
      <c r="BD360" s="376">
        <f>BD353</f>
        <v>5</v>
      </c>
      <c r="BE360" s="35">
        <f t="shared" si="686"/>
        <v>60</v>
      </c>
      <c r="BF360" s="129"/>
      <c r="BG360" s="130"/>
      <c r="BH360" s="79"/>
      <c r="BI360" s="735"/>
      <c r="BJ360" s="129"/>
      <c r="BK360" s="130"/>
      <c r="BL360" s="79"/>
      <c r="BM360" s="735"/>
      <c r="BN360" s="131"/>
      <c r="BO360" s="130"/>
      <c r="BP360" s="79"/>
      <c r="BQ360" s="619"/>
      <c r="BR360" s="619"/>
      <c r="BS360" s="395">
        <f>SUM(M360,AG360,BA360,BU360)-SUM(O360,AI360,BC360,BW360)-L360</f>
        <v>-68</v>
      </c>
      <c r="BT360" s="29">
        <f t="shared" si="687"/>
        <v>60</v>
      </c>
      <c r="BU360" s="299">
        <f>BU353</f>
        <v>1</v>
      </c>
      <c r="BV360" s="5">
        <f t="shared" si="688"/>
        <v>-59</v>
      </c>
      <c r="BW360" s="244">
        <v>5</v>
      </c>
      <c r="BX360" s="376">
        <f>BX353</f>
        <v>0</v>
      </c>
      <c r="BY360" s="35">
        <f t="shared" si="689"/>
        <v>65</v>
      </c>
      <c r="BZ360" s="129"/>
      <c r="CA360" s="130"/>
      <c r="CB360" s="79"/>
      <c r="CC360" s="735"/>
      <c r="CD360" s="129"/>
      <c r="CE360" s="130"/>
      <c r="CF360" s="79"/>
      <c r="CG360" s="735"/>
      <c r="CH360" s="235">
        <f>BW360*F360</f>
        <v>66.5</v>
      </c>
      <c r="CI360" s="292"/>
      <c r="CJ360" s="148" t="s">
        <v>818</v>
      </c>
      <c r="CK360" s="845"/>
      <c r="CL360" s="845"/>
      <c r="CM360" s="395">
        <f>SUM(M360,AG360,BA360,BU360,CO360)-SUM(O360,AI360,BC360,BW360,CQ360)-L360</f>
        <v>-68</v>
      </c>
      <c r="CN360" s="29">
        <f t="shared" si="690"/>
        <v>65</v>
      </c>
      <c r="CO360" s="299">
        <f>CO353</f>
        <v>0</v>
      </c>
      <c r="CP360" s="5">
        <f t="shared" si="691"/>
        <v>-65</v>
      </c>
      <c r="CQ360" s="244"/>
      <c r="CR360" s="376">
        <f>CR353</f>
        <v>0</v>
      </c>
      <c r="CS360" s="35">
        <f t="shared" si="692"/>
        <v>65</v>
      </c>
      <c r="CT360" s="129"/>
      <c r="CU360" s="235"/>
      <c r="CV360" s="79"/>
      <c r="CW360" s="735"/>
      <c r="CX360" s="129"/>
      <c r="CY360" s="130"/>
      <c r="CZ360" s="79"/>
      <c r="DA360" s="735"/>
      <c r="DB360" s="131"/>
      <c r="DC360" s="130"/>
      <c r="DD360" s="79"/>
      <c r="DE360" s="619"/>
      <c r="DF360" s="619"/>
      <c r="DG360" s="395">
        <f>SUM(M360,AG360,BA360,BU360,DI360)-SUM(O360,AI360,BC360,BW360,CQ360)-L360</f>
        <v>-68</v>
      </c>
      <c r="DH360" s="29">
        <f t="shared" si="693"/>
        <v>65</v>
      </c>
      <c r="DI360" s="299">
        <f>DI353</f>
        <v>0</v>
      </c>
      <c r="DJ360" s="5">
        <f t="shared" si="694"/>
        <v>-65</v>
      </c>
      <c r="DK360" s="244"/>
      <c r="DL360" s="376">
        <f>DL353</f>
        <v>0</v>
      </c>
      <c r="DM360" s="35">
        <f t="shared" si="695"/>
        <v>65</v>
      </c>
    </row>
    <row r="361" spans="1:117" ht="29.4" thickBot="1" x14ac:dyDescent="0.35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>SUM(M361,AG361,BA361,BU361)-L361</f>
        <v>-33</v>
      </c>
      <c r="K361" s="396">
        <f t="shared" si="679"/>
        <v>-35</v>
      </c>
      <c r="L361" s="545">
        <f>39+16</f>
        <v>55</v>
      </c>
      <c r="M361" s="301">
        <f>M353</f>
        <v>20</v>
      </c>
      <c r="N361" s="31">
        <f t="shared" si="680"/>
        <v>-35</v>
      </c>
      <c r="O361" s="284"/>
      <c r="P361" s="305">
        <f>P353</f>
        <v>20</v>
      </c>
      <c r="Q361" s="36">
        <f t="shared" si="681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>SUM(M361,AG361)-SUM(O361,AI361)-L361</f>
        <v>-35</v>
      </c>
      <c r="AF361" s="30">
        <f>Q361</f>
        <v>35</v>
      </c>
      <c r="AG361" s="301">
        <f>AG353</f>
        <v>0</v>
      </c>
      <c r="AH361" s="31">
        <f t="shared" si="682"/>
        <v>-35</v>
      </c>
      <c r="AI361" s="241"/>
      <c r="AJ361" s="305">
        <f>AJ353</f>
        <v>0</v>
      </c>
      <c r="AK361" s="36">
        <f t="shared" si="683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>SUM(M361,AG361,BA361)-SUM(O361,AI361,BC361)-L361</f>
        <v>-34</v>
      </c>
      <c r="AZ361" s="30">
        <f t="shared" si="684"/>
        <v>35</v>
      </c>
      <c r="BA361" s="301">
        <f>BA353</f>
        <v>1</v>
      </c>
      <c r="BB361" s="31">
        <f t="shared" si="685"/>
        <v>-34</v>
      </c>
      <c r="BC361" s="241"/>
      <c r="BD361" s="305">
        <f>BD353</f>
        <v>5</v>
      </c>
      <c r="BE361" s="36">
        <f t="shared" si="686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>SUM(M361,AG361,BA361,BU361)-SUM(O361,AI361,BC361,BW361)-L361</f>
        <v>-38</v>
      </c>
      <c r="BT361" s="30">
        <f t="shared" si="687"/>
        <v>30</v>
      </c>
      <c r="BU361" s="301">
        <f>BU353</f>
        <v>1</v>
      </c>
      <c r="BV361" s="31">
        <f t="shared" si="688"/>
        <v>-29</v>
      </c>
      <c r="BW361" s="241">
        <v>5</v>
      </c>
      <c r="BX361" s="305">
        <f>BX353</f>
        <v>0</v>
      </c>
      <c r="BY361" s="36">
        <f t="shared" si="689"/>
        <v>35</v>
      </c>
      <c r="BZ361" s="200"/>
      <c r="CA361" s="201"/>
      <c r="CB361" s="36"/>
      <c r="CC361" s="220"/>
      <c r="CD361" s="200"/>
      <c r="CE361" s="201"/>
      <c r="CF361" s="36"/>
      <c r="CG361" s="735"/>
      <c r="CH361" s="235">
        <f>BW361*F361</f>
        <v>119</v>
      </c>
      <c r="CI361" s="217"/>
      <c r="CJ361" s="148" t="s">
        <v>818</v>
      </c>
      <c r="CK361" s="848"/>
      <c r="CL361" s="848"/>
      <c r="CM361" s="396">
        <f>SUM(M361,AG361,BA361,BU361,CO361)-SUM(O361,AI361,BC361,BW361,CQ361)-L361</f>
        <v>-38</v>
      </c>
      <c r="CN361" s="30">
        <f t="shared" si="690"/>
        <v>35</v>
      </c>
      <c r="CO361" s="301">
        <f>CO353</f>
        <v>0</v>
      </c>
      <c r="CP361" s="31">
        <f t="shared" si="691"/>
        <v>-35</v>
      </c>
      <c r="CQ361" s="241"/>
      <c r="CR361" s="305">
        <f>CR353</f>
        <v>0</v>
      </c>
      <c r="CS361" s="36">
        <f t="shared" si="692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>SUM(M361,AG361,BA361,BU361,DI361)-SUM(O361,AI361,BC361,BW361,CQ361)-L361</f>
        <v>-38</v>
      </c>
      <c r="DH361" s="30">
        <f t="shared" si="693"/>
        <v>35</v>
      </c>
      <c r="DI361" s="301">
        <f>DI353</f>
        <v>0</v>
      </c>
      <c r="DJ361" s="31">
        <f t="shared" si="694"/>
        <v>-35</v>
      </c>
      <c r="DK361" s="241"/>
      <c r="DL361" s="305">
        <f>DL353</f>
        <v>0</v>
      </c>
      <c r="DM361" s="36">
        <f t="shared" si="695"/>
        <v>35</v>
      </c>
    </row>
    <row r="362" spans="1:117" ht="15" thickBot="1" x14ac:dyDescent="0.35">
      <c r="P362" s="248"/>
      <c r="AJ362" s="248"/>
      <c r="BD362" s="248"/>
      <c r="BX362" s="248"/>
      <c r="CR362" s="248"/>
      <c r="DL362" s="248"/>
    </row>
    <row r="363" spans="1:117" x14ac:dyDescent="0.3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3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>SUM(M364,AG364,BA364,BU364)-L364</f>
        <v>10</v>
      </c>
      <c r="K364" s="395">
        <f t="shared" ref="K364:K378" si="722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36"/>
      <c r="V364" s="474"/>
      <c r="W364" s="412"/>
      <c r="X364" s="313"/>
      <c r="Y364" s="739"/>
      <c r="Z364" s="20"/>
      <c r="AA364" s="8"/>
      <c r="AB364" s="34"/>
      <c r="AC364" s="234"/>
      <c r="AD364" s="234"/>
      <c r="AE364" s="395">
        <f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36"/>
      <c r="AP364" s="123"/>
      <c r="AQ364" s="8"/>
      <c r="AR364" s="34"/>
      <c r="AS364" s="736"/>
      <c r="AT364" s="20"/>
      <c r="AU364" s="8"/>
      <c r="AV364" s="34"/>
      <c r="AW364" s="234"/>
      <c r="AX364" s="234"/>
      <c r="AY364" s="395">
        <f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36"/>
      <c r="BJ364" s="123"/>
      <c r="BK364" s="8"/>
      <c r="BL364" s="34"/>
      <c r="BM364" s="736"/>
      <c r="BN364" s="20"/>
      <c r="BO364" s="8"/>
      <c r="BP364" s="34"/>
      <c r="BQ364" s="234"/>
      <c r="BR364" s="234"/>
      <c r="BS364" s="395">
        <f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36"/>
      <c r="CD364" s="123"/>
      <c r="CE364" s="8"/>
      <c r="CF364" s="34"/>
      <c r="CG364" s="736"/>
      <c r="CH364" s="20"/>
      <c r="CI364" s="8"/>
      <c r="CJ364" s="34"/>
      <c r="CK364" s="234"/>
      <c r="CL364" s="234"/>
      <c r="CM364" s="395">
        <f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36"/>
      <c r="CX364" s="123"/>
      <c r="CY364" s="8"/>
      <c r="CZ364" s="34"/>
      <c r="DA364" s="736"/>
      <c r="DB364" s="20"/>
      <c r="DC364" s="8"/>
      <c r="DD364" s="34"/>
      <c r="DE364" s="234"/>
      <c r="DF364" s="234"/>
      <c r="DG364" s="395">
        <f>SUM(M364,AG364,BA364,BU364,DI364)-SUM(O364,AI364,BC364,BW364,CQ364)-L364</f>
        <v>10</v>
      </c>
      <c r="DH364" s="32">
        <f t="shared" ref="DH364:DH378" si="723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3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>SUM(M365,AG365,BA365,BU365)-L365</f>
        <v>8</v>
      </c>
      <c r="K365" s="395">
        <f t="shared" si="722"/>
        <v>-5</v>
      </c>
      <c r="L365" s="515">
        <v>2</v>
      </c>
      <c r="M365" s="302">
        <f>M363</f>
        <v>2</v>
      </c>
      <c r="N365" s="7">
        <f t="shared" ref="N365:N378" si="724">M365-L365</f>
        <v>0</v>
      </c>
      <c r="O365" s="256">
        <v>5</v>
      </c>
      <c r="P365" s="304">
        <f>P363</f>
        <v>2</v>
      </c>
      <c r="Q365" s="34">
        <f t="shared" ref="Q365:Q378" si="725">L365+O365-P365</f>
        <v>5</v>
      </c>
      <c r="R365" s="575">
        <f>$F$365*100%*5</f>
        <v>117750</v>
      </c>
      <c r="S365" s="213"/>
      <c r="T365" s="313" t="s">
        <v>699</v>
      </c>
      <c r="U365" s="739"/>
      <c r="V365" s="444"/>
      <c r="W365" s="412"/>
      <c r="X365" s="313"/>
      <c r="Y365" s="739"/>
      <c r="Z365" s="444"/>
      <c r="AA365" s="6"/>
      <c r="AB365" s="446"/>
      <c r="AC365" s="760"/>
      <c r="AD365" s="760"/>
      <c r="AE365" s="398">
        <f>SUM(M365,AG365)-SUM(O365,AI365)-L365</f>
        <v>-3</v>
      </c>
      <c r="AF365" s="32">
        <f>Q365</f>
        <v>5</v>
      </c>
      <c r="AG365" s="302">
        <f>AG363</f>
        <v>2</v>
      </c>
      <c r="AH365" s="7">
        <f t="shared" ref="AH365:AH378" si="726">AG365-AF365</f>
        <v>-3</v>
      </c>
      <c r="AI365" s="256"/>
      <c r="AJ365" s="304">
        <f>AJ363</f>
        <v>2</v>
      </c>
      <c r="AK365" s="34">
        <f t="shared" ref="AK365:AK378" si="727">AF365+AI365-AJ365</f>
        <v>3</v>
      </c>
      <c r="AL365" s="474"/>
      <c r="AM365" s="213"/>
      <c r="AN365" s="313"/>
      <c r="AO365" s="739"/>
      <c r="AP365" s="444"/>
      <c r="AQ365" s="412"/>
      <c r="AR365" s="313"/>
      <c r="AS365" s="739"/>
      <c r="AT365" s="444"/>
      <c r="AU365" s="412"/>
      <c r="AV365" s="313"/>
      <c r="AW365" s="764"/>
      <c r="AX365" s="764"/>
      <c r="AY365" s="395">
        <f>SUM(M365,AG365,BA365)-SUM(O365,AI365,BC365)-L365</f>
        <v>-7</v>
      </c>
      <c r="AZ365" s="32">
        <f>AK365</f>
        <v>3</v>
      </c>
      <c r="BA365" s="302">
        <f>BA363</f>
        <v>1</v>
      </c>
      <c r="BB365" s="7">
        <f t="shared" ref="BB365:BB378" si="728">BA365-AZ365</f>
        <v>-2</v>
      </c>
      <c r="BC365" s="240">
        <v>5</v>
      </c>
      <c r="BD365" s="304">
        <f>BD363</f>
        <v>3</v>
      </c>
      <c r="BE365" s="34">
        <f t="shared" ref="BE365:BE378" si="729">AZ365+BC365-BD365</f>
        <v>5</v>
      </c>
      <c r="BF365" s="444"/>
      <c r="BG365" s="412"/>
      <c r="BH365" s="313"/>
      <c r="BI365" s="739"/>
      <c r="BJ365" s="444"/>
      <c r="BK365" s="412"/>
      <c r="BL365" s="313"/>
      <c r="BM365" s="739"/>
      <c r="BN365" s="444">
        <f>+BC365*F365/2</f>
        <v>58875</v>
      </c>
      <c r="BO365" s="412"/>
      <c r="BP365" s="313" t="s">
        <v>819</v>
      </c>
      <c r="BQ365" s="764"/>
      <c r="BR365" s="764"/>
      <c r="BS365" s="395">
        <f>SUM(M365,AG365,BA365,BU365)-SUM(O365,AI365,BC365,BW365)-L365</f>
        <v>-7</v>
      </c>
      <c r="BT365" s="32">
        <f>BE365</f>
        <v>5</v>
      </c>
      <c r="BU365" s="302">
        <f>BU363</f>
        <v>5</v>
      </c>
      <c r="BV365" s="7">
        <f t="shared" ref="BV365:BV378" si="730">BU365-BT365</f>
        <v>0</v>
      </c>
      <c r="BW365" s="5">
        <v>5</v>
      </c>
      <c r="BX365" s="304">
        <f>BX363</f>
        <v>0</v>
      </c>
      <c r="BY365" s="34">
        <f t="shared" ref="BY365:BY378" si="731">BT365+BW365-BX365</f>
        <v>10</v>
      </c>
      <c r="BZ365" s="474"/>
      <c r="CA365" s="154">
        <v>63750</v>
      </c>
      <c r="CB365" s="656" t="s">
        <v>857</v>
      </c>
      <c r="CC365" s="819"/>
      <c r="CD365" s="213"/>
      <c r="CE365" s="6"/>
      <c r="CF365" s="446"/>
      <c r="CG365" s="758"/>
      <c r="CH365" s="20"/>
      <c r="CI365" s="8"/>
      <c r="CJ365" s="34"/>
      <c r="CK365" s="234"/>
      <c r="CL365" s="234"/>
      <c r="CM365" s="395">
        <f>SUM(M365,AG365,BA365,BU365,CO365)-SUM(O365,AI365,BC365,BW365,CQ365)-L365</f>
        <v>-7</v>
      </c>
      <c r="CN365" s="32">
        <f>BY365</f>
        <v>10</v>
      </c>
      <c r="CO365" s="302">
        <f>CO363</f>
        <v>0</v>
      </c>
      <c r="CP365" s="7">
        <f t="shared" ref="CP365:CP378" si="732">CO365-CN365</f>
        <v>-10</v>
      </c>
      <c r="CQ365" s="256"/>
      <c r="CR365" s="304">
        <f>CR363</f>
        <v>0</v>
      </c>
      <c r="CS365" s="34">
        <f t="shared" ref="CS365:CS378" si="733">CN365+CQ365-CR365</f>
        <v>10</v>
      </c>
      <c r="CT365" s="20"/>
      <c r="CU365" s="213">
        <v>58875</v>
      </c>
      <c r="CV365" s="212" t="s">
        <v>814</v>
      </c>
      <c r="CW365" s="834"/>
      <c r="CX365" s="312"/>
      <c r="CY365" s="213"/>
      <c r="CZ365" s="212"/>
      <c r="DA365" s="834"/>
      <c r="DB365" s="20"/>
      <c r="DC365" s="8"/>
      <c r="DD365" s="34"/>
      <c r="DE365" s="234"/>
      <c r="DF365" s="234"/>
      <c r="DG365" s="395">
        <f>SUM(M365,AG365,BA365,BU365,DI365)-SUM(O365,AI365,BC365,BW365,CQ365)-L365</f>
        <v>-7</v>
      </c>
      <c r="DH365" s="32">
        <f t="shared" si="723"/>
        <v>10</v>
      </c>
      <c r="DI365" s="302">
        <f>DI363</f>
        <v>0</v>
      </c>
      <c r="DJ365" s="7">
        <f t="shared" ref="DJ365:DJ378" si="734">DI365-DH365</f>
        <v>-10</v>
      </c>
      <c r="DK365" s="256"/>
      <c r="DL365" s="304">
        <f>DL363</f>
        <v>0</v>
      </c>
      <c r="DM365" s="34">
        <f t="shared" ref="DM365:DM378" si="735">DH365+DK365-DL365</f>
        <v>10</v>
      </c>
    </row>
    <row r="366" spans="1:117" x14ac:dyDescent="0.3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>SUM(M366,AG366,BA366,BU366)-L366</f>
        <v>8</v>
      </c>
      <c r="K366" s="395">
        <f t="shared" si="722"/>
        <v>-5</v>
      </c>
      <c r="L366" s="515">
        <v>2</v>
      </c>
      <c r="M366" s="298">
        <f>M363</f>
        <v>2</v>
      </c>
      <c r="N366" s="7">
        <f t="shared" si="724"/>
        <v>0</v>
      </c>
      <c r="O366" s="256">
        <v>5</v>
      </c>
      <c r="P366" s="304">
        <f>P363</f>
        <v>2</v>
      </c>
      <c r="Q366" s="35">
        <f t="shared" si="725"/>
        <v>5</v>
      </c>
      <c r="R366" s="576">
        <f>$F$366*50%*5</f>
        <v>184067.5</v>
      </c>
      <c r="S366" s="412"/>
      <c r="T366" s="313" t="s">
        <v>698</v>
      </c>
      <c r="U366" s="739"/>
      <c r="V366" s="444"/>
      <c r="W366" s="412"/>
      <c r="X366" s="313"/>
      <c r="Y366" s="739"/>
      <c r="Z366" s="444"/>
      <c r="AA366" s="579">
        <f>$F$366*50%*5</f>
        <v>184067.5</v>
      </c>
      <c r="AB366" s="313" t="s">
        <v>700</v>
      </c>
      <c r="AC366" s="764"/>
      <c r="AD366" s="764"/>
      <c r="AE366" s="398">
        <f>SUM(M366,AG366)-SUM(O366,AI366)-L366</f>
        <v>-3</v>
      </c>
      <c r="AF366" s="32">
        <f>Q366</f>
        <v>5</v>
      </c>
      <c r="AG366" s="298">
        <f>AG363</f>
        <v>2</v>
      </c>
      <c r="AH366" s="7">
        <f t="shared" si="726"/>
        <v>-3</v>
      </c>
      <c r="AI366" s="256"/>
      <c r="AJ366" s="304">
        <f>AJ363</f>
        <v>2</v>
      </c>
      <c r="AK366" s="35">
        <f t="shared" si="727"/>
        <v>3</v>
      </c>
      <c r="AL366" s="444"/>
      <c r="AM366" s="6"/>
      <c r="AN366" s="313"/>
      <c r="AO366" s="739"/>
      <c r="AP366" s="444"/>
      <c r="AQ366" s="6"/>
      <c r="AR366" s="446"/>
      <c r="AS366" s="758"/>
      <c r="AT366" s="444"/>
      <c r="AU366" s="6"/>
      <c r="AV366" s="446"/>
      <c r="AW366" s="760"/>
      <c r="AX366" s="760"/>
      <c r="AY366" s="395">
        <f>SUM(M366,AG366,BA366)-SUM(O366,AI366,BC366)-L366</f>
        <v>-7</v>
      </c>
      <c r="AZ366" s="32">
        <f t="shared" ref="AZ366:AZ378" si="736">AK366</f>
        <v>3</v>
      </c>
      <c r="BA366" s="298">
        <f>BA363</f>
        <v>1</v>
      </c>
      <c r="BB366" s="7">
        <f t="shared" si="728"/>
        <v>-2</v>
      </c>
      <c r="BC366" s="240">
        <v>5</v>
      </c>
      <c r="BD366" s="304">
        <f>BD363</f>
        <v>3</v>
      </c>
      <c r="BE366" s="35">
        <f t="shared" si="729"/>
        <v>5</v>
      </c>
      <c r="BF366" s="444"/>
      <c r="BG366" s="412"/>
      <c r="BH366" s="257"/>
      <c r="BI366" s="753"/>
      <c r="BJ366" s="444"/>
      <c r="BK366" s="412"/>
      <c r="BL366" s="257"/>
      <c r="BM366" s="753"/>
      <c r="BN366" s="673">
        <f>220881</f>
        <v>220881</v>
      </c>
      <c r="BO366" s="663"/>
      <c r="BP366" s="656" t="s">
        <v>819</v>
      </c>
      <c r="BQ366" s="811"/>
      <c r="BR366" s="811"/>
      <c r="BS366" s="395">
        <f>SUM(M366,AG366,BA366,BU366)-SUM(O366,AI366,BC366,BW366)-L366</f>
        <v>-7</v>
      </c>
      <c r="BT366" s="32">
        <f t="shared" ref="BT366:BT378" si="737">BE366</f>
        <v>5</v>
      </c>
      <c r="BU366" s="298">
        <f>BU363</f>
        <v>5</v>
      </c>
      <c r="BV366" s="7">
        <f t="shared" si="730"/>
        <v>0</v>
      </c>
      <c r="BW366" s="5">
        <v>5</v>
      </c>
      <c r="BX366" s="304">
        <f>BX363</f>
        <v>0</v>
      </c>
      <c r="BY366" s="35">
        <f t="shared" si="731"/>
        <v>10</v>
      </c>
      <c r="BZ366" s="444"/>
      <c r="CA366" s="6"/>
      <c r="CB366" s="446"/>
      <c r="CC366" s="820"/>
      <c r="CD366" s="412"/>
      <c r="CE366" s="210"/>
      <c r="CF366" s="446"/>
      <c r="CG366" s="758"/>
      <c r="CH366" s="444"/>
      <c r="CI366" s="629">
        <v>220881</v>
      </c>
      <c r="CJ366" s="674" t="s">
        <v>857</v>
      </c>
      <c r="CK366" s="850"/>
      <c r="CL366" s="850"/>
      <c r="CM366" s="395">
        <f>SUM(M366,AG366,BA366,BU366,CO366)-SUM(O366,AI366,BC366,BW366,CQ366)-L366</f>
        <v>-7</v>
      </c>
      <c r="CN366" s="32">
        <f t="shared" ref="CN366:CN378" si="738">BY366</f>
        <v>10</v>
      </c>
      <c r="CO366" s="298">
        <f>CO363</f>
        <v>0</v>
      </c>
      <c r="CP366" s="7">
        <f t="shared" si="732"/>
        <v>-10</v>
      </c>
      <c r="CQ366" s="256"/>
      <c r="CR366" s="304">
        <f>CR363</f>
        <v>0</v>
      </c>
      <c r="CS366" s="35">
        <f t="shared" si="733"/>
        <v>10</v>
      </c>
      <c r="CT366" s="444"/>
      <c r="CU366" s="412">
        <v>184067.5</v>
      </c>
      <c r="CV366" s="212" t="s">
        <v>814</v>
      </c>
      <c r="CW366" s="834"/>
      <c r="CX366" s="312"/>
      <c r="CY366" s="213"/>
      <c r="CZ366" s="212"/>
      <c r="DA366" s="834"/>
      <c r="DB366" s="21"/>
      <c r="DC366" s="6"/>
      <c r="DD366" s="35"/>
      <c r="DE366" s="234"/>
      <c r="DF366" s="234"/>
      <c r="DG366" s="395">
        <f>SUM(M366,AG366,BA366,BU366,DI366)-SUM(O366,AI366,BC366,BW366,CQ366)-L366</f>
        <v>-7</v>
      </c>
      <c r="DH366" s="32">
        <f t="shared" si="723"/>
        <v>10</v>
      </c>
      <c r="DI366" s="298">
        <f>DI363</f>
        <v>0</v>
      </c>
      <c r="DJ366" s="7">
        <f t="shared" si="734"/>
        <v>-10</v>
      </c>
      <c r="DK366" s="256"/>
      <c r="DL366" s="304">
        <f>DL363</f>
        <v>0</v>
      </c>
      <c r="DM366" s="35">
        <f t="shared" si="735"/>
        <v>10</v>
      </c>
    </row>
    <row r="367" spans="1:117" ht="28.8" x14ac:dyDescent="0.3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>SUM(M367,AG367,BA367,BU367)-L367</f>
        <v>-3</v>
      </c>
      <c r="K367" s="395">
        <f t="shared" si="722"/>
        <v>-11</v>
      </c>
      <c r="L367" s="515">
        <v>13</v>
      </c>
      <c r="M367" s="298">
        <f>M363</f>
        <v>2</v>
      </c>
      <c r="N367" s="7">
        <f t="shared" si="724"/>
        <v>-11</v>
      </c>
      <c r="O367" s="242"/>
      <c r="P367" s="304">
        <f>P363</f>
        <v>2</v>
      </c>
      <c r="Q367" s="35">
        <f t="shared" si="725"/>
        <v>11</v>
      </c>
      <c r="R367" s="235"/>
      <c r="S367" s="412"/>
      <c r="T367" s="313"/>
      <c r="U367" s="739"/>
      <c r="V367" s="444"/>
      <c r="W367" s="412"/>
      <c r="X367" s="313"/>
      <c r="Y367" s="739"/>
      <c r="Z367" s="236"/>
      <c r="AA367" s="6"/>
      <c r="AB367" s="446"/>
      <c r="AC367" s="760"/>
      <c r="AD367" s="760"/>
      <c r="AE367" s="398">
        <f>SUM(M367,AG367)-SUM(O367,AI367)-L367</f>
        <v>-9</v>
      </c>
      <c r="AF367" s="32">
        <f>Q367</f>
        <v>11</v>
      </c>
      <c r="AG367" s="298">
        <f>AG363</f>
        <v>2</v>
      </c>
      <c r="AH367" s="7">
        <f t="shared" si="726"/>
        <v>-9</v>
      </c>
      <c r="AI367" s="258"/>
      <c r="AJ367" s="304">
        <f>AJ363</f>
        <v>2</v>
      </c>
      <c r="AK367" s="35">
        <f t="shared" si="727"/>
        <v>9</v>
      </c>
      <c r="AL367" s="236"/>
      <c r="AM367" s="6"/>
      <c r="AN367" s="446"/>
      <c r="AO367" s="758"/>
      <c r="AP367" s="444"/>
      <c r="AQ367" s="412"/>
      <c r="AR367" s="313"/>
      <c r="AS367" s="739"/>
      <c r="AT367" s="444"/>
      <c r="AU367" s="412"/>
      <c r="AV367" s="313"/>
      <c r="AW367" s="764"/>
      <c r="AX367" s="764"/>
      <c r="AY367" s="395">
        <f>SUM(M367,AG367,BA367)-SUM(O367,AI367,BC367)-L367</f>
        <v>-8</v>
      </c>
      <c r="AZ367" s="32">
        <f t="shared" si="736"/>
        <v>9</v>
      </c>
      <c r="BA367" s="298">
        <f>BA363</f>
        <v>1</v>
      </c>
      <c r="BB367" s="7">
        <f t="shared" si="728"/>
        <v>-8</v>
      </c>
      <c r="BC367" s="242"/>
      <c r="BD367" s="304">
        <f>BD363</f>
        <v>3</v>
      </c>
      <c r="BE367" s="35">
        <f t="shared" si="729"/>
        <v>6</v>
      </c>
      <c r="BF367" s="444"/>
      <c r="BG367" s="412"/>
      <c r="BH367" s="35"/>
      <c r="BI367" s="736"/>
      <c r="BJ367" s="444"/>
      <c r="BK367" s="8"/>
      <c r="BL367" s="257"/>
      <c r="BM367" s="753"/>
      <c r="BN367" s="444"/>
      <c r="BO367" s="8"/>
      <c r="BP367" s="313"/>
      <c r="BQ367" s="764"/>
      <c r="BR367" s="764"/>
      <c r="BS367" s="395">
        <f>SUM(M367,AG367,BA367,BU367)-SUM(O367,AI367,BC367,BW367)-L367</f>
        <v>-9</v>
      </c>
      <c r="BT367" s="32">
        <f t="shared" si="737"/>
        <v>6</v>
      </c>
      <c r="BU367" s="298">
        <f>BU363</f>
        <v>5</v>
      </c>
      <c r="BV367" s="7">
        <f t="shared" si="730"/>
        <v>-1</v>
      </c>
      <c r="BW367" s="623">
        <v>6</v>
      </c>
      <c r="BX367" s="304">
        <f>BX363</f>
        <v>0</v>
      </c>
      <c r="BY367" s="35">
        <f t="shared" si="731"/>
        <v>12</v>
      </c>
      <c r="BZ367" s="444"/>
      <c r="CA367" s="6"/>
      <c r="CB367" s="446"/>
      <c r="CC367" s="820"/>
      <c r="CD367" s="213"/>
      <c r="CE367" s="154">
        <v>2500</v>
      </c>
      <c r="CF367" s="658" t="s">
        <v>899</v>
      </c>
      <c r="CG367" s="833"/>
      <c r="CH367" s="21"/>
      <c r="CI367" s="6"/>
      <c r="CJ367" s="35" t="s">
        <v>916</v>
      </c>
      <c r="CK367" s="234"/>
      <c r="CL367" s="234"/>
      <c r="CM367" s="395">
        <f>SUM(M367,AG367,BA367,BU367,CO367)-SUM(O367,AI367,BC367,BW367,CQ367)-L367</f>
        <v>-9</v>
      </c>
      <c r="CN367" s="32">
        <f t="shared" si="738"/>
        <v>12</v>
      </c>
      <c r="CO367" s="298">
        <f>CO363</f>
        <v>0</v>
      </c>
      <c r="CP367" s="7">
        <f t="shared" si="732"/>
        <v>-12</v>
      </c>
      <c r="CQ367" s="258"/>
      <c r="CR367" s="304">
        <f>CR363</f>
        <v>0</v>
      </c>
      <c r="CS367" s="35">
        <f t="shared" si="733"/>
        <v>12</v>
      </c>
      <c r="CT367" s="235"/>
      <c r="CU367" s="213">
        <v>1855.375</v>
      </c>
      <c r="CV367" s="212" t="s">
        <v>814</v>
      </c>
      <c r="CW367" s="834"/>
      <c r="CX367" s="312"/>
      <c r="CY367" s="213"/>
      <c r="CZ367" s="212"/>
      <c r="DA367" s="834"/>
      <c r="DB367" s="21"/>
      <c r="DC367" s="6"/>
      <c r="DD367" s="35"/>
      <c r="DE367" s="234"/>
      <c r="DF367" s="234"/>
      <c r="DG367" s="395">
        <f>SUM(M367,AG367,BA367,BU367,DI367)-SUM(O367,AI367,BC367,BW367,CQ367)-L367</f>
        <v>-9</v>
      </c>
      <c r="DH367" s="32">
        <f t="shared" si="723"/>
        <v>12</v>
      </c>
      <c r="DI367" s="298">
        <f>DI363</f>
        <v>0</v>
      </c>
      <c r="DJ367" s="7">
        <f t="shared" si="734"/>
        <v>-12</v>
      </c>
      <c r="DK367" s="258"/>
      <c r="DL367" s="304">
        <f>DL363</f>
        <v>0</v>
      </c>
      <c r="DM367" s="35">
        <f t="shared" si="735"/>
        <v>12</v>
      </c>
    </row>
    <row r="368" spans="1:117" ht="28.8" x14ac:dyDescent="0.3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>SUM(M368,AG368,BA368,BU368)-L368</f>
        <v>-4</v>
      </c>
      <c r="K368" s="395">
        <f t="shared" si="722"/>
        <v>-12</v>
      </c>
      <c r="L368" s="515">
        <v>14</v>
      </c>
      <c r="M368" s="298">
        <f>M363</f>
        <v>2</v>
      </c>
      <c r="N368" s="7">
        <f t="shared" si="724"/>
        <v>-12</v>
      </c>
      <c r="O368" s="242"/>
      <c r="P368" s="304">
        <f>P363</f>
        <v>2</v>
      </c>
      <c r="Q368" s="35">
        <f t="shared" si="725"/>
        <v>12</v>
      </c>
      <c r="R368" s="235"/>
      <c r="S368" s="412"/>
      <c r="T368" s="313"/>
      <c r="U368" s="739"/>
      <c r="V368" s="444"/>
      <c r="W368" s="412"/>
      <c r="X368" s="313"/>
      <c r="Y368" s="739"/>
      <c r="Z368" s="236"/>
      <c r="AA368" s="6"/>
      <c r="AB368" s="446"/>
      <c r="AC368" s="760"/>
      <c r="AD368" s="760"/>
      <c r="AE368" s="398">
        <f>SUM(M368,AG368)-SUM(O368,AI368)-L368</f>
        <v>-10</v>
      </c>
      <c r="AF368" s="32">
        <f>Q368</f>
        <v>12</v>
      </c>
      <c r="AG368" s="298">
        <f>AG363</f>
        <v>2</v>
      </c>
      <c r="AH368" s="7">
        <f t="shared" si="726"/>
        <v>-10</v>
      </c>
      <c r="AI368" s="258"/>
      <c r="AJ368" s="304">
        <f>AJ363</f>
        <v>2</v>
      </c>
      <c r="AK368" s="35">
        <f t="shared" si="727"/>
        <v>10</v>
      </c>
      <c r="AL368" s="236"/>
      <c r="AM368" s="6"/>
      <c r="AN368" s="446"/>
      <c r="AO368" s="758"/>
      <c r="AP368" s="444"/>
      <c r="AQ368" s="412"/>
      <c r="AR368" s="313"/>
      <c r="AS368" s="739"/>
      <c r="AT368" s="444"/>
      <c r="AU368" s="412"/>
      <c r="AV368" s="313"/>
      <c r="AW368" s="764"/>
      <c r="AX368" s="764"/>
      <c r="AY368" s="395">
        <f>SUM(M368,AG368,BA368)-SUM(O368,AI368,BC368)-L368</f>
        <v>-9</v>
      </c>
      <c r="AZ368" s="32">
        <f t="shared" si="736"/>
        <v>10</v>
      </c>
      <c r="BA368" s="298">
        <f>BA363</f>
        <v>1</v>
      </c>
      <c r="BB368" s="7">
        <f t="shared" si="728"/>
        <v>-9</v>
      </c>
      <c r="BC368" s="242"/>
      <c r="BD368" s="304">
        <f>BD363</f>
        <v>3</v>
      </c>
      <c r="BE368" s="35">
        <f t="shared" si="729"/>
        <v>7</v>
      </c>
      <c r="BF368" s="444"/>
      <c r="BG368" s="412"/>
      <c r="BH368" s="35"/>
      <c r="BI368" s="736"/>
      <c r="BJ368" s="444"/>
      <c r="BK368" s="8"/>
      <c r="BL368" s="257"/>
      <c r="BM368" s="753"/>
      <c r="BN368" s="444"/>
      <c r="BO368" s="8"/>
      <c r="BP368" s="313"/>
      <c r="BQ368" s="764"/>
      <c r="BR368" s="764"/>
      <c r="BS368" s="395">
        <f>SUM(M368,AG368,BA368,BU368)-SUM(O368,AI368,BC368,BW368)-L368</f>
        <v>-10</v>
      </c>
      <c r="BT368" s="32">
        <f t="shared" si="737"/>
        <v>7</v>
      </c>
      <c r="BU368" s="298">
        <f>BU363</f>
        <v>5</v>
      </c>
      <c r="BV368" s="7">
        <f t="shared" si="730"/>
        <v>-2</v>
      </c>
      <c r="BW368" s="623">
        <v>6</v>
      </c>
      <c r="BX368" s="304">
        <f>BX363</f>
        <v>0</v>
      </c>
      <c r="BY368" s="35">
        <f t="shared" si="731"/>
        <v>13</v>
      </c>
      <c r="BZ368" s="444"/>
      <c r="CA368" s="6"/>
      <c r="CB368" s="446"/>
      <c r="CC368" s="820"/>
      <c r="CD368" s="213"/>
      <c r="CE368" s="154">
        <v>2500</v>
      </c>
      <c r="CF368" s="658" t="s">
        <v>899</v>
      </c>
      <c r="CG368" s="833"/>
      <c r="CH368" s="21"/>
      <c r="CI368" s="6"/>
      <c r="CJ368" s="35" t="s">
        <v>916</v>
      </c>
      <c r="CK368" s="234"/>
      <c r="CL368" s="234"/>
      <c r="CM368" s="395">
        <f>SUM(M368,AG368,BA368,BU368,CO368)-SUM(O368,AI368,BC368,BW368,CQ368)-L368</f>
        <v>-10</v>
      </c>
      <c r="CN368" s="32">
        <f t="shared" si="738"/>
        <v>13</v>
      </c>
      <c r="CO368" s="298">
        <f>CO363</f>
        <v>0</v>
      </c>
      <c r="CP368" s="7">
        <f t="shared" si="732"/>
        <v>-13</v>
      </c>
      <c r="CQ368" s="258"/>
      <c r="CR368" s="304">
        <f>CR363</f>
        <v>0</v>
      </c>
      <c r="CS368" s="35">
        <f t="shared" si="733"/>
        <v>13</v>
      </c>
      <c r="CT368" s="235"/>
      <c r="CU368" s="213">
        <v>2226.4500000000003</v>
      </c>
      <c r="CV368" s="212" t="s">
        <v>814</v>
      </c>
      <c r="CW368" s="834"/>
      <c r="CX368" s="312"/>
      <c r="CY368" s="213"/>
      <c r="CZ368" s="212"/>
      <c r="DA368" s="834"/>
      <c r="DB368" s="21"/>
      <c r="DC368" s="6"/>
      <c r="DD368" s="35"/>
      <c r="DE368" s="234"/>
      <c r="DF368" s="234"/>
      <c r="DG368" s="395">
        <f>SUM(M368,AG368,BA368,BU368,DI368)-SUM(O368,AI368,BC368,BW368,CQ368)-L368</f>
        <v>-10</v>
      </c>
      <c r="DH368" s="32">
        <f t="shared" si="723"/>
        <v>13</v>
      </c>
      <c r="DI368" s="298">
        <f>DI363</f>
        <v>0</v>
      </c>
      <c r="DJ368" s="7">
        <f t="shared" si="734"/>
        <v>-13</v>
      </c>
      <c r="DK368" s="258"/>
      <c r="DL368" s="304">
        <f>DL363</f>
        <v>0</v>
      </c>
      <c r="DM368" s="35">
        <f t="shared" si="735"/>
        <v>13</v>
      </c>
    </row>
    <row r="369" spans="1:117" x14ac:dyDescent="0.3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>SUM(M369,AG369,BA369,BU369)-L369</f>
        <v>-4</v>
      </c>
      <c r="K369" s="395">
        <f t="shared" si="722"/>
        <v>-12</v>
      </c>
      <c r="L369" s="515">
        <v>14</v>
      </c>
      <c r="M369" s="298">
        <f>M363</f>
        <v>2</v>
      </c>
      <c r="N369" s="7">
        <f t="shared" si="724"/>
        <v>-12</v>
      </c>
      <c r="O369" s="242"/>
      <c r="P369" s="304">
        <f>P363</f>
        <v>2</v>
      </c>
      <c r="Q369" s="35">
        <f t="shared" si="725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>SUM(M369,AG369)-SUM(O369,AI369)-L369</f>
        <v>-10</v>
      </c>
      <c r="AF369" s="32">
        <f>Q369</f>
        <v>12</v>
      </c>
      <c r="AG369" s="298">
        <f>AG363</f>
        <v>2</v>
      </c>
      <c r="AH369" s="7">
        <f t="shared" si="726"/>
        <v>-10</v>
      </c>
      <c r="AI369" s="258"/>
      <c r="AJ369" s="304">
        <f>AJ363</f>
        <v>2</v>
      </c>
      <c r="AK369" s="35">
        <f t="shared" si="727"/>
        <v>10</v>
      </c>
      <c r="AL369" s="121"/>
      <c r="AM369" s="6"/>
      <c r="AN369" s="35"/>
      <c r="AO369" s="612"/>
      <c r="AP369" s="121"/>
      <c r="AQ369" s="6"/>
      <c r="AR369" s="313"/>
      <c r="AS369" s="739"/>
      <c r="AT369" s="21"/>
      <c r="AU369" s="6"/>
      <c r="AV369" s="313"/>
      <c r="AW369" s="764"/>
      <c r="AX369" s="764"/>
      <c r="AY369" s="395">
        <f>SUM(M369,AG369,BA369)-SUM(O369,AI369,BC369)-L369</f>
        <v>-14</v>
      </c>
      <c r="AZ369" s="32">
        <f t="shared" si="736"/>
        <v>10</v>
      </c>
      <c r="BA369" s="298">
        <f>BA363</f>
        <v>1</v>
      </c>
      <c r="BB369" s="7">
        <f t="shared" si="728"/>
        <v>-9</v>
      </c>
      <c r="BC369" s="242">
        <v>5</v>
      </c>
      <c r="BD369" s="304">
        <f>BD363</f>
        <v>3</v>
      </c>
      <c r="BE369" s="35">
        <f t="shared" si="729"/>
        <v>12</v>
      </c>
      <c r="BF369" s="121"/>
      <c r="BG369" s="6"/>
      <c r="BH369" s="35"/>
      <c r="BI369" s="736"/>
      <c r="BJ369" s="444"/>
      <c r="BK369" s="6"/>
      <c r="BL369" s="35"/>
      <c r="BM369" s="736"/>
      <c r="BN369" s="444">
        <v>120000</v>
      </c>
      <c r="BO369" s="6"/>
      <c r="BP369" s="313" t="s">
        <v>827</v>
      </c>
      <c r="BQ369" s="764"/>
      <c r="BR369" s="764"/>
      <c r="BS369" s="395">
        <f>SUM(M369,AG369,BA369,BU369)-SUM(O369,AI369,BC369,BW369)-L369</f>
        <v>-19</v>
      </c>
      <c r="BT369" s="32">
        <f t="shared" si="737"/>
        <v>12</v>
      </c>
      <c r="BU369" s="298">
        <f>BU363</f>
        <v>5</v>
      </c>
      <c r="BV369" s="7">
        <f t="shared" si="730"/>
        <v>-7</v>
      </c>
      <c r="BW369" s="623">
        <v>10</v>
      </c>
      <c r="BX369" s="304">
        <f>BX363</f>
        <v>0</v>
      </c>
      <c r="BY369" s="35">
        <f t="shared" si="731"/>
        <v>22</v>
      </c>
      <c r="BZ369" s="21"/>
      <c r="CA369" s="6"/>
      <c r="CB369" s="313"/>
      <c r="CC369" s="821"/>
      <c r="CD369" s="6"/>
      <c r="CE369" s="6"/>
      <c r="CF369" s="446"/>
      <c r="CG369" s="758"/>
      <c r="CH369" s="121"/>
      <c r="CI369" s="629">
        <v>50830</v>
      </c>
      <c r="CJ369" s="625" t="s">
        <v>904</v>
      </c>
      <c r="CK369" s="844"/>
      <c r="CL369" s="844"/>
      <c r="CM369" s="395">
        <f>SUM(M369,AG369,BA369,BU369,CO369)-SUM(O369,AI369,BC369,BW369,CQ369)-L369</f>
        <v>-19</v>
      </c>
      <c r="CN369" s="32">
        <f t="shared" si="738"/>
        <v>22</v>
      </c>
      <c r="CO369" s="298">
        <f>CO363</f>
        <v>0</v>
      </c>
      <c r="CP369" s="7">
        <f t="shared" si="732"/>
        <v>-22</v>
      </c>
      <c r="CQ369" s="242"/>
      <c r="CR369" s="304">
        <f>CR363</f>
        <v>0</v>
      </c>
      <c r="CS369" s="35">
        <f t="shared" si="733"/>
        <v>22</v>
      </c>
      <c r="CT369" s="121"/>
      <c r="CU369" s="6"/>
      <c r="CV369" s="212"/>
      <c r="CW369" s="834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>SUM(M369,AG369,BA369,BU369,DI369)-SUM(O369,AI369,BC369,BW369,CQ369)-L369</f>
        <v>-19</v>
      </c>
      <c r="DH369" s="32">
        <f t="shared" si="723"/>
        <v>22</v>
      </c>
      <c r="DI369" s="298">
        <f>DI363</f>
        <v>0</v>
      </c>
      <c r="DJ369" s="7">
        <f t="shared" si="734"/>
        <v>-22</v>
      </c>
      <c r="DK369" s="242"/>
      <c r="DL369" s="304">
        <f>DL363</f>
        <v>0</v>
      </c>
      <c r="DM369" s="35">
        <f t="shared" si="735"/>
        <v>22</v>
      </c>
    </row>
    <row r="370" spans="1:117" x14ac:dyDescent="0.3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>SUM(M370,AG370,BA370,BU370)-L370</f>
        <v>-3</v>
      </c>
      <c r="K370" s="395">
        <f t="shared" si="722"/>
        <v>-11</v>
      </c>
      <c r="L370" s="515">
        <v>13</v>
      </c>
      <c r="M370" s="298">
        <f>M363</f>
        <v>2</v>
      </c>
      <c r="N370" s="7">
        <f t="shared" si="724"/>
        <v>-11</v>
      </c>
      <c r="O370" s="258"/>
      <c r="P370" s="304">
        <f>P363</f>
        <v>2</v>
      </c>
      <c r="Q370" s="35">
        <f t="shared" si="725"/>
        <v>11</v>
      </c>
      <c r="R370" s="121"/>
      <c r="S370" s="6"/>
      <c r="T370" s="35"/>
      <c r="U370" s="612"/>
      <c r="V370" s="310"/>
      <c r="W370" s="210"/>
      <c r="X370" s="216"/>
      <c r="Y370" s="730"/>
      <c r="Z370" s="310"/>
      <c r="AA370" s="210"/>
      <c r="AB370" s="216"/>
      <c r="AC370" s="763"/>
      <c r="AD370" s="763"/>
      <c r="AE370" s="398">
        <f>SUM(M370,AG370)-SUM(O370,AI370)-L370</f>
        <v>-9</v>
      </c>
      <c r="AF370" s="32">
        <f>Q370</f>
        <v>11</v>
      </c>
      <c r="AG370" s="298">
        <f>AG363</f>
        <v>2</v>
      </c>
      <c r="AH370" s="7">
        <f t="shared" si="726"/>
        <v>-9</v>
      </c>
      <c r="AI370" s="258"/>
      <c r="AJ370" s="304">
        <f>AJ363</f>
        <v>2</v>
      </c>
      <c r="AK370" s="35">
        <f t="shared" si="727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>SUM(M370,AG370,BA370)-SUM(O370,AI370,BC370)-L370</f>
        <v>-28</v>
      </c>
      <c r="AZ370" s="32">
        <f t="shared" si="736"/>
        <v>9</v>
      </c>
      <c r="BA370" s="298">
        <f>BA363</f>
        <v>1</v>
      </c>
      <c r="BB370" s="7">
        <f t="shared" si="728"/>
        <v>-8</v>
      </c>
      <c r="BC370" s="5">
        <v>20</v>
      </c>
      <c r="BD370" s="304">
        <f>BD363</f>
        <v>3</v>
      </c>
      <c r="BE370" s="35">
        <f t="shared" si="729"/>
        <v>26</v>
      </c>
      <c r="BF370" s="121"/>
      <c r="BG370" s="6"/>
      <c r="BH370" s="35"/>
      <c r="BI370" s="612"/>
      <c r="BJ370" s="121"/>
      <c r="BK370" s="6"/>
      <c r="BL370" s="35"/>
      <c r="BM370" s="736"/>
      <c r="BN370" s="444">
        <v>8504</v>
      </c>
      <c r="BO370" s="6"/>
      <c r="BP370" s="313" t="s">
        <v>845</v>
      </c>
      <c r="BQ370" s="764"/>
      <c r="BR370" s="764"/>
      <c r="BS370" s="395">
        <f>SUM(M370,AG370,BA370,BU370)-SUM(O370,AI370,BC370,BW370)-L370</f>
        <v>-23</v>
      </c>
      <c r="BT370" s="32">
        <f t="shared" si="737"/>
        <v>26</v>
      </c>
      <c r="BU370" s="298">
        <f>BU363</f>
        <v>5</v>
      </c>
      <c r="BV370" s="7">
        <f t="shared" si="730"/>
        <v>-21</v>
      </c>
      <c r="BW370" s="240"/>
      <c r="BX370" s="304">
        <f>BX363</f>
        <v>0</v>
      </c>
      <c r="BY370" s="35">
        <f t="shared" si="731"/>
        <v>26</v>
      </c>
      <c r="BZ370" s="121"/>
      <c r="CA370" s="6"/>
      <c r="CB370" s="35"/>
      <c r="CC370" s="226"/>
      <c r="CD370" s="6"/>
      <c r="CE370" s="6"/>
      <c r="CF370" s="446"/>
      <c r="CG370" s="758"/>
      <c r="CH370" s="21"/>
      <c r="CI370" s="6"/>
      <c r="CJ370" s="35"/>
      <c r="CK370" s="234"/>
      <c r="CL370" s="234"/>
      <c r="CM370" s="395">
        <f>SUM(M370,AG370,BA370,BU370,CO370)-SUM(O370,AI370,BC370,BW370,CQ370)-L370</f>
        <v>-23</v>
      </c>
      <c r="CN370" s="32">
        <f t="shared" si="738"/>
        <v>26</v>
      </c>
      <c r="CO370" s="298">
        <f>CO363</f>
        <v>0</v>
      </c>
      <c r="CP370" s="7">
        <f t="shared" si="732"/>
        <v>-26</v>
      </c>
      <c r="CQ370" s="242"/>
      <c r="CR370" s="304">
        <f>CR363</f>
        <v>0</v>
      </c>
      <c r="CS370" s="35">
        <f t="shared" si="733"/>
        <v>26</v>
      </c>
      <c r="CT370" s="121"/>
      <c r="CU370" s="6">
        <v>823.75</v>
      </c>
      <c r="CV370" s="212" t="s">
        <v>814</v>
      </c>
      <c r="CW370" s="834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>SUM(M370,AG370,BA370,BU370,DI370)-SUM(O370,AI370,BC370,BW370,CQ370)-L370</f>
        <v>-23</v>
      </c>
      <c r="DH370" s="32">
        <f t="shared" si="723"/>
        <v>26</v>
      </c>
      <c r="DI370" s="298">
        <f>DI363</f>
        <v>0</v>
      </c>
      <c r="DJ370" s="7">
        <f t="shared" si="734"/>
        <v>-26</v>
      </c>
      <c r="DK370" s="242"/>
      <c r="DL370" s="304">
        <f>DL363</f>
        <v>0</v>
      </c>
      <c r="DM370" s="35">
        <f t="shared" si="735"/>
        <v>26</v>
      </c>
    </row>
    <row r="371" spans="1:117" ht="28.8" x14ac:dyDescent="0.3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>SUM(M371,AG371,BA371,BU371)-L371</f>
        <v>-8</v>
      </c>
      <c r="K371" s="395">
        <f t="shared" si="722"/>
        <v>-16</v>
      </c>
      <c r="L371" s="515">
        <v>18</v>
      </c>
      <c r="M371" s="298">
        <f>M363</f>
        <v>2</v>
      </c>
      <c r="N371" s="7">
        <f t="shared" si="724"/>
        <v>-16</v>
      </c>
      <c r="O371" s="242"/>
      <c r="P371" s="304">
        <f>P363</f>
        <v>2</v>
      </c>
      <c r="Q371" s="35">
        <f t="shared" si="725"/>
        <v>16</v>
      </c>
      <c r="R371" s="121"/>
      <c r="S371" s="6"/>
      <c r="T371" s="35"/>
      <c r="U371" s="612"/>
      <c r="V371" s="310"/>
      <c r="W371" s="210"/>
      <c r="X371" s="216"/>
      <c r="Y371" s="730"/>
      <c r="Z371" s="21"/>
      <c r="AA371" s="6"/>
      <c r="AB371" s="35"/>
      <c r="AC371" s="231"/>
      <c r="AD371" s="231"/>
      <c r="AE371" s="398">
        <f>SUM(M371,AG371)-SUM(O371,AI371)-L371</f>
        <v>-14</v>
      </c>
      <c r="AF371" s="32">
        <f>Q371</f>
        <v>16</v>
      </c>
      <c r="AG371" s="298">
        <f>AG363</f>
        <v>2</v>
      </c>
      <c r="AH371" s="7">
        <f t="shared" si="726"/>
        <v>-14</v>
      </c>
      <c r="AI371" s="258"/>
      <c r="AJ371" s="304">
        <f>AJ363</f>
        <v>2</v>
      </c>
      <c r="AK371" s="35">
        <f t="shared" si="727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>SUM(M371,AG371,BA371)-SUM(O371,AI371,BC371)-L371</f>
        <v>-18</v>
      </c>
      <c r="AZ371" s="32">
        <f t="shared" si="736"/>
        <v>14</v>
      </c>
      <c r="BA371" s="298">
        <f>BA363</f>
        <v>1</v>
      </c>
      <c r="BB371" s="5">
        <f t="shared" si="728"/>
        <v>-13</v>
      </c>
      <c r="BC371" s="240">
        <v>5</v>
      </c>
      <c r="BD371" s="304">
        <f>BD363</f>
        <v>3</v>
      </c>
      <c r="BE371" s="35">
        <f t="shared" si="729"/>
        <v>16</v>
      </c>
      <c r="BF371" s="121"/>
      <c r="BG371" s="6"/>
      <c r="BH371" s="35"/>
      <c r="BI371" s="612"/>
      <c r="BJ371" s="121"/>
      <c r="BK371" s="6"/>
      <c r="BL371" s="35"/>
      <c r="BM371" s="736"/>
      <c r="BN371" s="444">
        <f>+BC371*F371/2</f>
        <v>301.75</v>
      </c>
      <c r="BO371" s="6"/>
      <c r="BP371" s="313" t="s">
        <v>819</v>
      </c>
      <c r="BQ371" s="764"/>
      <c r="BR371" s="764"/>
      <c r="BS371" s="395">
        <f>SUM(M371,AG371,BA371,BU371)-SUM(O371,AI371,BC371,BW371)-L371</f>
        <v>-13</v>
      </c>
      <c r="BT371" s="32">
        <f t="shared" si="737"/>
        <v>16</v>
      </c>
      <c r="BU371" s="298">
        <f>BU363</f>
        <v>5</v>
      </c>
      <c r="BV371" s="7">
        <f t="shared" si="730"/>
        <v>-11</v>
      </c>
      <c r="BW371" s="240"/>
      <c r="BX371" s="304">
        <f>BX363</f>
        <v>0</v>
      </c>
      <c r="BY371" s="35">
        <f t="shared" si="731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>SUM(M371,AG371,BA371,BU371,CO371)-SUM(O371,AI371,BC371,BW371,CQ371)-L371</f>
        <v>-13</v>
      </c>
      <c r="CN371" s="32">
        <f t="shared" si="738"/>
        <v>16</v>
      </c>
      <c r="CO371" s="298">
        <f>CO363</f>
        <v>0</v>
      </c>
      <c r="CP371" s="7">
        <f t="shared" si="732"/>
        <v>-16</v>
      </c>
      <c r="CQ371" s="7"/>
      <c r="CR371" s="304">
        <f>CR363</f>
        <v>0</v>
      </c>
      <c r="CS371" s="35">
        <f t="shared" si="733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>SUM(M371,AG371,BA371,BU371,DI371)-SUM(O371,AI371,BC371,BW371,CQ371)-L371</f>
        <v>-13</v>
      </c>
      <c r="DH371" s="32">
        <f t="shared" si="723"/>
        <v>16</v>
      </c>
      <c r="DI371" s="298">
        <f>DI363</f>
        <v>0</v>
      </c>
      <c r="DJ371" s="7">
        <f t="shared" si="734"/>
        <v>-16</v>
      </c>
      <c r="DK371" s="7"/>
      <c r="DL371" s="304">
        <f>DL363</f>
        <v>0</v>
      </c>
      <c r="DM371" s="35">
        <f t="shared" si="735"/>
        <v>16</v>
      </c>
    </row>
    <row r="372" spans="1:117" x14ac:dyDescent="0.3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>SUM(M372,AG372,BA372,BU372)-L372</f>
        <v>-384</v>
      </c>
      <c r="K372" s="395">
        <f t="shared" si="722"/>
        <v>-392</v>
      </c>
      <c r="L372" s="515">
        <v>394</v>
      </c>
      <c r="M372" s="298">
        <f>M363</f>
        <v>2</v>
      </c>
      <c r="N372" s="7">
        <f t="shared" si="724"/>
        <v>-392</v>
      </c>
      <c r="O372" s="242"/>
      <c r="P372" s="304">
        <f>P363</f>
        <v>2</v>
      </c>
      <c r="Q372" s="35">
        <f t="shared" si="725"/>
        <v>392</v>
      </c>
      <c r="R372" s="121"/>
      <c r="S372" s="6"/>
      <c r="T372" s="35"/>
      <c r="U372" s="612"/>
      <c r="V372" s="310"/>
      <c r="W372" s="210"/>
      <c r="X372" s="216"/>
      <c r="Y372" s="730"/>
      <c r="Z372" s="21"/>
      <c r="AA372" s="6"/>
      <c r="AB372" s="35"/>
      <c r="AC372" s="231"/>
      <c r="AD372" s="231"/>
      <c r="AE372" s="398">
        <f>SUM(M372,AG372)-SUM(O372,AI372)-L372</f>
        <v>-390</v>
      </c>
      <c r="AF372" s="32">
        <f>Q372</f>
        <v>392</v>
      </c>
      <c r="AG372" s="298">
        <f>AG363</f>
        <v>2</v>
      </c>
      <c r="AH372" s="7">
        <f t="shared" si="726"/>
        <v>-390</v>
      </c>
      <c r="AI372" s="258"/>
      <c r="AJ372" s="304">
        <f>AJ363</f>
        <v>2</v>
      </c>
      <c r="AK372" s="35">
        <f t="shared" si="727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>SUM(M372,AG372,BA372)-SUM(O372,AI372,BC372)-L372</f>
        <v>-394</v>
      </c>
      <c r="AZ372" s="32">
        <f t="shared" si="736"/>
        <v>390</v>
      </c>
      <c r="BA372" s="298">
        <f>BA363</f>
        <v>1</v>
      </c>
      <c r="BB372" s="5">
        <f t="shared" si="728"/>
        <v>-389</v>
      </c>
      <c r="BC372" s="242">
        <v>5</v>
      </c>
      <c r="BD372" s="304">
        <f>BD363</f>
        <v>3</v>
      </c>
      <c r="BE372" s="35">
        <f t="shared" si="729"/>
        <v>392</v>
      </c>
      <c r="BF372" s="121"/>
      <c r="BG372" s="6"/>
      <c r="BH372" s="35"/>
      <c r="BI372" s="612"/>
      <c r="BJ372" s="121"/>
      <c r="BK372" s="6"/>
      <c r="BL372" s="35"/>
      <c r="BM372" s="736"/>
      <c r="BN372" s="444">
        <f>+BC372*F372/2</f>
        <v>45</v>
      </c>
      <c r="BO372" s="6"/>
      <c r="BP372" s="313" t="s">
        <v>819</v>
      </c>
      <c r="BQ372" s="764"/>
      <c r="BR372" s="764"/>
      <c r="BS372" s="395">
        <f>SUM(M372,AG372,BA372,BU372)-SUM(O372,AI372,BC372,BW372)-L372</f>
        <v>-389</v>
      </c>
      <c r="BT372" s="32">
        <f t="shared" si="737"/>
        <v>392</v>
      </c>
      <c r="BU372" s="298">
        <f>BU363</f>
        <v>5</v>
      </c>
      <c r="BV372" s="7">
        <f t="shared" si="730"/>
        <v>-387</v>
      </c>
      <c r="BW372" s="242"/>
      <c r="BX372" s="304">
        <f>BX363</f>
        <v>0</v>
      </c>
      <c r="BY372" s="35">
        <f t="shared" si="731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>SUM(M372,AG372,BA372,BU372,CO372)-SUM(O372,AI372,BC372,BW372,CQ372)-L372</f>
        <v>-389</v>
      </c>
      <c r="CN372" s="32">
        <f t="shared" si="738"/>
        <v>392</v>
      </c>
      <c r="CO372" s="298">
        <f>CO363</f>
        <v>0</v>
      </c>
      <c r="CP372" s="7">
        <f t="shared" si="732"/>
        <v>-392</v>
      </c>
      <c r="CQ372" s="258"/>
      <c r="CR372" s="304">
        <f>CR363</f>
        <v>0</v>
      </c>
      <c r="CS372" s="35">
        <f t="shared" si="733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>SUM(M372,AG372,BA372,BU372,DI372)-SUM(O372,AI372,BC372,BW372,CQ372)-L372</f>
        <v>-389</v>
      </c>
      <c r="DH372" s="32">
        <f t="shared" si="723"/>
        <v>392</v>
      </c>
      <c r="DI372" s="298">
        <f>DI363</f>
        <v>0</v>
      </c>
      <c r="DJ372" s="7">
        <f t="shared" si="734"/>
        <v>-392</v>
      </c>
      <c r="DK372" s="258"/>
      <c r="DL372" s="304">
        <f>DL363</f>
        <v>0</v>
      </c>
      <c r="DM372" s="35">
        <f t="shared" si="735"/>
        <v>392</v>
      </c>
    </row>
    <row r="373" spans="1:117" x14ac:dyDescent="0.3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>SUM(M373,AG373,BA373,BU373)-L373</f>
        <v>-51</v>
      </c>
      <c r="K373" s="395">
        <f t="shared" si="722"/>
        <v>-59</v>
      </c>
      <c r="L373" s="515">
        <v>61</v>
      </c>
      <c r="M373" s="298">
        <f>M363</f>
        <v>2</v>
      </c>
      <c r="N373" s="7">
        <f t="shared" si="724"/>
        <v>-59</v>
      </c>
      <c r="O373" s="256"/>
      <c r="P373" s="304">
        <f>P363</f>
        <v>2</v>
      </c>
      <c r="Q373" s="35">
        <f t="shared" si="725"/>
        <v>59</v>
      </c>
      <c r="R373" s="121"/>
      <c r="S373" s="6"/>
      <c r="T373" s="35"/>
      <c r="U373" s="612"/>
      <c r="V373" s="310"/>
      <c r="W373" s="210"/>
      <c r="X373" s="216"/>
      <c r="Y373" s="730"/>
      <c r="Z373" s="21"/>
      <c r="AA373" s="6"/>
      <c r="AB373" s="35"/>
      <c r="AC373" s="231"/>
      <c r="AD373" s="231"/>
      <c r="AE373" s="398">
        <f>SUM(M373,AG373)-SUM(O373,AI373)-L373</f>
        <v>-57</v>
      </c>
      <c r="AF373" s="32">
        <f>Q373</f>
        <v>59</v>
      </c>
      <c r="AG373" s="298">
        <f>AG363</f>
        <v>2</v>
      </c>
      <c r="AH373" s="7">
        <f t="shared" si="726"/>
        <v>-57</v>
      </c>
      <c r="AI373" s="256"/>
      <c r="AJ373" s="304">
        <f>AJ363</f>
        <v>2</v>
      </c>
      <c r="AK373" s="35">
        <f t="shared" si="727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>SUM(M373,AG373,BA373)-SUM(O373,AI373,BC373)-L373</f>
        <v>-61</v>
      </c>
      <c r="AZ373" s="32">
        <f t="shared" si="736"/>
        <v>57</v>
      </c>
      <c r="BA373" s="298">
        <f>BA363</f>
        <v>1</v>
      </c>
      <c r="BB373" s="5">
        <f t="shared" si="728"/>
        <v>-56</v>
      </c>
      <c r="BC373" s="242">
        <v>5</v>
      </c>
      <c r="BD373" s="304">
        <f>BD363</f>
        <v>3</v>
      </c>
      <c r="BE373" s="35">
        <f t="shared" si="729"/>
        <v>59</v>
      </c>
      <c r="BF373" s="121"/>
      <c r="BG373" s="6"/>
      <c r="BH373" s="35"/>
      <c r="BI373" s="612"/>
      <c r="BJ373" s="121"/>
      <c r="BK373" s="6"/>
      <c r="BL373" s="35"/>
      <c r="BM373" s="736"/>
      <c r="BN373" s="444">
        <f>+BC373*F373/2</f>
        <v>50</v>
      </c>
      <c r="BO373" s="6"/>
      <c r="BP373" s="313" t="s">
        <v>819</v>
      </c>
      <c r="BQ373" s="764"/>
      <c r="BR373" s="764"/>
      <c r="BS373" s="395">
        <f>SUM(M373,AG373,BA373,BU373)-SUM(O373,AI373,BC373,BW373)-L373</f>
        <v>-56</v>
      </c>
      <c r="BT373" s="32">
        <f t="shared" si="737"/>
        <v>59</v>
      </c>
      <c r="BU373" s="298">
        <f>BU363</f>
        <v>5</v>
      </c>
      <c r="BV373" s="7">
        <f t="shared" si="730"/>
        <v>-54</v>
      </c>
      <c r="BW373" s="242"/>
      <c r="BX373" s="304">
        <f>BX363</f>
        <v>0</v>
      </c>
      <c r="BY373" s="35">
        <f t="shared" si="731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>SUM(M373,AG373,BA373,BU373,CO373)-SUM(O373,AI373,BC373,BW373,CQ373)-L373</f>
        <v>-56</v>
      </c>
      <c r="CN373" s="32">
        <f t="shared" si="738"/>
        <v>59</v>
      </c>
      <c r="CO373" s="298">
        <f>CO363</f>
        <v>0</v>
      </c>
      <c r="CP373" s="7">
        <f t="shared" si="732"/>
        <v>-59</v>
      </c>
      <c r="CQ373" s="258"/>
      <c r="CR373" s="304">
        <f>CR363</f>
        <v>0</v>
      </c>
      <c r="CS373" s="35">
        <f t="shared" si="733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>SUM(M373,AG373,BA373,BU373,DI373)-SUM(O373,AI373,BC373,BW373,CQ373)-L373</f>
        <v>-56</v>
      </c>
      <c r="DH373" s="32">
        <f t="shared" si="723"/>
        <v>59</v>
      </c>
      <c r="DI373" s="298">
        <f>DI363</f>
        <v>0</v>
      </c>
      <c r="DJ373" s="7">
        <f t="shared" si="734"/>
        <v>-59</v>
      </c>
      <c r="DK373" s="258"/>
      <c r="DL373" s="304">
        <f>DL363</f>
        <v>0</v>
      </c>
      <c r="DM373" s="35">
        <f t="shared" si="735"/>
        <v>59</v>
      </c>
    </row>
    <row r="374" spans="1:117" x14ac:dyDescent="0.3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>SUM(M374,AG374,BA374,BU374)-L374</f>
        <v>-15</v>
      </c>
      <c r="K374" s="395">
        <f t="shared" si="722"/>
        <v>-23</v>
      </c>
      <c r="L374" s="515">
        <v>25</v>
      </c>
      <c r="M374" s="298">
        <f>M363</f>
        <v>2</v>
      </c>
      <c r="N374" s="7">
        <f t="shared" si="724"/>
        <v>-23</v>
      </c>
      <c r="O374" s="256"/>
      <c r="P374" s="304">
        <f>P363</f>
        <v>2</v>
      </c>
      <c r="Q374" s="35">
        <f t="shared" si="725"/>
        <v>23</v>
      </c>
      <c r="R374" s="121"/>
      <c r="S374" s="6"/>
      <c r="T374" s="35"/>
      <c r="U374" s="612"/>
      <c r="V374" s="310"/>
      <c r="W374" s="210"/>
      <c r="X374" s="216"/>
      <c r="Y374" s="730"/>
      <c r="Z374" s="21"/>
      <c r="AA374" s="6"/>
      <c r="AB374" s="35"/>
      <c r="AC374" s="231"/>
      <c r="AD374" s="231"/>
      <c r="AE374" s="398">
        <f>SUM(M374,AG374)-SUM(O374,AI374)-L374</f>
        <v>-21</v>
      </c>
      <c r="AF374" s="32">
        <f>Q374</f>
        <v>23</v>
      </c>
      <c r="AG374" s="298">
        <f>AG363</f>
        <v>2</v>
      </c>
      <c r="AH374" s="7">
        <f t="shared" si="726"/>
        <v>-21</v>
      </c>
      <c r="AI374" s="256"/>
      <c r="AJ374" s="304">
        <f>AJ363</f>
        <v>2</v>
      </c>
      <c r="AK374" s="35">
        <f t="shared" si="727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>SUM(M374,AG374,BA374)-SUM(O374,AI374,BC374)-L374</f>
        <v>-25</v>
      </c>
      <c r="AZ374" s="32">
        <f t="shared" si="736"/>
        <v>21</v>
      </c>
      <c r="BA374" s="298">
        <f>BA363</f>
        <v>1</v>
      </c>
      <c r="BB374" s="5">
        <f t="shared" si="728"/>
        <v>-20</v>
      </c>
      <c r="BC374" s="242">
        <v>5</v>
      </c>
      <c r="BD374" s="304">
        <f>BD363</f>
        <v>3</v>
      </c>
      <c r="BE374" s="35">
        <f t="shared" si="729"/>
        <v>23</v>
      </c>
      <c r="BF374" s="121"/>
      <c r="BG374" s="6"/>
      <c r="BH374" s="35"/>
      <c r="BI374" s="612"/>
      <c r="BJ374" s="121"/>
      <c r="BK374" s="6"/>
      <c r="BL374" s="35"/>
      <c r="BM374" s="736"/>
      <c r="BN374" s="444">
        <f>+BC374*F374/2</f>
        <v>50</v>
      </c>
      <c r="BO374" s="6"/>
      <c r="BP374" s="313" t="s">
        <v>819</v>
      </c>
      <c r="BQ374" s="764"/>
      <c r="BR374" s="764"/>
      <c r="BS374" s="395">
        <f>SUM(M374,AG374,BA374,BU374)-SUM(O374,AI374,BC374,BW374)-L374</f>
        <v>-20</v>
      </c>
      <c r="BT374" s="32">
        <f t="shared" si="737"/>
        <v>23</v>
      </c>
      <c r="BU374" s="298">
        <f>BU363</f>
        <v>5</v>
      </c>
      <c r="BV374" s="7">
        <f t="shared" si="730"/>
        <v>-18</v>
      </c>
      <c r="BW374" s="242"/>
      <c r="BX374" s="304">
        <f>BX363</f>
        <v>0</v>
      </c>
      <c r="BY374" s="35">
        <f t="shared" si="731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>SUM(M374,AG374,BA374,BU374,CO374)-SUM(O374,AI374,BC374,BW374,CQ374)-L374</f>
        <v>-20</v>
      </c>
      <c r="CN374" s="32">
        <f t="shared" si="738"/>
        <v>23</v>
      </c>
      <c r="CO374" s="298">
        <f>CO363</f>
        <v>0</v>
      </c>
      <c r="CP374" s="7">
        <f t="shared" si="732"/>
        <v>-23</v>
      </c>
      <c r="CQ374" s="258"/>
      <c r="CR374" s="304">
        <f>CR363</f>
        <v>0</v>
      </c>
      <c r="CS374" s="35">
        <f t="shared" si="733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>SUM(M374,AG374,BA374,BU374,DI374)-SUM(O374,AI374,BC374,BW374,CQ374)-L374</f>
        <v>-20</v>
      </c>
      <c r="DH374" s="32">
        <f t="shared" si="723"/>
        <v>23</v>
      </c>
      <c r="DI374" s="298">
        <f>DI363</f>
        <v>0</v>
      </c>
      <c r="DJ374" s="7">
        <f t="shared" si="734"/>
        <v>-23</v>
      </c>
      <c r="DK374" s="258"/>
      <c r="DL374" s="304">
        <f>DL363</f>
        <v>0</v>
      </c>
      <c r="DM374" s="35">
        <f t="shared" si="735"/>
        <v>23</v>
      </c>
    </row>
    <row r="375" spans="1:117" x14ac:dyDescent="0.3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>SUM(M375,AG375,BA375,BU375)-L375</f>
        <v>-65</v>
      </c>
      <c r="K375" s="395">
        <f t="shared" si="722"/>
        <v>-73</v>
      </c>
      <c r="L375" s="515">
        <v>75</v>
      </c>
      <c r="M375" s="298">
        <f>M363</f>
        <v>2</v>
      </c>
      <c r="N375" s="7">
        <f t="shared" si="724"/>
        <v>-73</v>
      </c>
      <c r="O375" s="258"/>
      <c r="P375" s="304">
        <f>P363</f>
        <v>2</v>
      </c>
      <c r="Q375" s="35">
        <f t="shared" si="725"/>
        <v>73</v>
      </c>
      <c r="R375" s="121"/>
      <c r="S375" s="6"/>
      <c r="T375" s="35"/>
      <c r="U375" s="612"/>
      <c r="V375" s="310"/>
      <c r="W375" s="210"/>
      <c r="X375" s="216"/>
      <c r="Y375" s="730"/>
      <c r="Z375" s="21"/>
      <c r="AA375" s="6"/>
      <c r="AB375" s="35"/>
      <c r="AC375" s="231"/>
      <c r="AD375" s="231"/>
      <c r="AE375" s="398">
        <f>SUM(M375,AG375)-SUM(O375,AI375)-L375</f>
        <v>-71</v>
      </c>
      <c r="AF375" s="32">
        <f>Q375</f>
        <v>73</v>
      </c>
      <c r="AG375" s="298">
        <f>AG363</f>
        <v>2</v>
      </c>
      <c r="AH375" s="7">
        <f t="shared" si="726"/>
        <v>-71</v>
      </c>
      <c r="AI375" s="258"/>
      <c r="AJ375" s="304">
        <f>AJ363</f>
        <v>2</v>
      </c>
      <c r="AK375" s="35">
        <f t="shared" si="727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>SUM(M375,AG375,BA375)-SUM(O375,AI375,BC375)-L375</f>
        <v>-75</v>
      </c>
      <c r="AZ375" s="32">
        <f t="shared" si="736"/>
        <v>71</v>
      </c>
      <c r="BA375" s="298">
        <f>BA363</f>
        <v>1</v>
      </c>
      <c r="BB375" s="7">
        <f t="shared" si="728"/>
        <v>-70</v>
      </c>
      <c r="BC375" s="242">
        <v>5</v>
      </c>
      <c r="BD375" s="304">
        <f>BD363</f>
        <v>3</v>
      </c>
      <c r="BE375" s="35">
        <f t="shared" si="729"/>
        <v>73</v>
      </c>
      <c r="BF375" s="121"/>
      <c r="BG375" s="6"/>
      <c r="BH375" s="35"/>
      <c r="BI375" s="612"/>
      <c r="BJ375" s="121"/>
      <c r="BK375" s="6"/>
      <c r="BL375" s="35"/>
      <c r="BM375" s="736"/>
      <c r="BN375" s="444">
        <f>+BC375*F375/2</f>
        <v>50</v>
      </c>
      <c r="BO375" s="6"/>
      <c r="BP375" s="313" t="s">
        <v>819</v>
      </c>
      <c r="BQ375" s="764"/>
      <c r="BR375" s="764"/>
      <c r="BS375" s="395">
        <f>SUM(M375,AG375,BA375,BU375)-SUM(O375,AI375,BC375,BW375)-L375</f>
        <v>-70</v>
      </c>
      <c r="BT375" s="32">
        <f t="shared" si="737"/>
        <v>73</v>
      </c>
      <c r="BU375" s="298">
        <f>BU363</f>
        <v>5</v>
      </c>
      <c r="BV375" s="7">
        <f t="shared" si="730"/>
        <v>-68</v>
      </c>
      <c r="BW375" s="242"/>
      <c r="BX375" s="304">
        <f>BX363</f>
        <v>0</v>
      </c>
      <c r="BY375" s="35">
        <f t="shared" si="731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>SUM(M375,AG375,BA375,BU375,CO375)-SUM(O375,AI375,BC375,BW375,CQ375)-L375</f>
        <v>-70</v>
      </c>
      <c r="CN375" s="32">
        <f t="shared" si="738"/>
        <v>73</v>
      </c>
      <c r="CO375" s="298">
        <f>CO363</f>
        <v>0</v>
      </c>
      <c r="CP375" s="7">
        <f t="shared" si="732"/>
        <v>-73</v>
      </c>
      <c r="CQ375" s="258"/>
      <c r="CR375" s="304">
        <f>CR363</f>
        <v>0</v>
      </c>
      <c r="CS375" s="35">
        <f t="shared" si="733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>SUM(M375,AG375,BA375,BU375,DI375)-SUM(O375,AI375,BC375,BW375,CQ375)-L375</f>
        <v>-70</v>
      </c>
      <c r="DH375" s="32">
        <f t="shared" si="723"/>
        <v>73</v>
      </c>
      <c r="DI375" s="298">
        <f>DI363</f>
        <v>0</v>
      </c>
      <c r="DJ375" s="7">
        <f t="shared" si="734"/>
        <v>-73</v>
      </c>
      <c r="DK375" s="258"/>
      <c r="DL375" s="304">
        <f>DL363</f>
        <v>0</v>
      </c>
      <c r="DM375" s="35">
        <f t="shared" si="735"/>
        <v>73</v>
      </c>
    </row>
    <row r="376" spans="1:117" x14ac:dyDescent="0.3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>SUM(M376,AG376,BA376,BU376)-L376</f>
        <v>-7</v>
      </c>
      <c r="K376" s="395">
        <f t="shared" si="722"/>
        <v>-15</v>
      </c>
      <c r="L376" s="515">
        <v>17</v>
      </c>
      <c r="M376" s="298">
        <f>M363</f>
        <v>2</v>
      </c>
      <c r="N376" s="7">
        <f t="shared" si="724"/>
        <v>-15</v>
      </c>
      <c r="O376" s="242"/>
      <c r="P376" s="304">
        <f>P363</f>
        <v>2</v>
      </c>
      <c r="Q376" s="35">
        <f t="shared" si="725"/>
        <v>15</v>
      </c>
      <c r="R376" s="121"/>
      <c r="S376" s="6"/>
      <c r="T376" s="35"/>
      <c r="U376" s="612"/>
      <c r="V376" s="310"/>
      <c r="W376" s="210"/>
      <c r="X376" s="216"/>
      <c r="Y376" s="730"/>
      <c r="Z376" s="21"/>
      <c r="AA376" s="6"/>
      <c r="AB376" s="35"/>
      <c r="AC376" s="231"/>
      <c r="AD376" s="231"/>
      <c r="AE376" s="398">
        <f>SUM(M376,AG376)-SUM(O376,AI376)-L376</f>
        <v>-13</v>
      </c>
      <c r="AF376" s="32">
        <f>Q376</f>
        <v>15</v>
      </c>
      <c r="AG376" s="298">
        <f>AG363</f>
        <v>2</v>
      </c>
      <c r="AH376" s="7">
        <f t="shared" si="726"/>
        <v>-13</v>
      </c>
      <c r="AI376" s="258"/>
      <c r="AJ376" s="304">
        <f>AJ363</f>
        <v>2</v>
      </c>
      <c r="AK376" s="35">
        <f t="shared" si="727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>SUM(M376,AG376,BA376)-SUM(O376,AI376,BC376)-L376</f>
        <v>-17</v>
      </c>
      <c r="AZ376" s="32">
        <f t="shared" si="736"/>
        <v>13</v>
      </c>
      <c r="BA376" s="298">
        <f>BA363</f>
        <v>1</v>
      </c>
      <c r="BB376" s="5">
        <f t="shared" si="728"/>
        <v>-12</v>
      </c>
      <c r="BC376" s="242">
        <v>5</v>
      </c>
      <c r="BD376" s="304">
        <f>BD363</f>
        <v>3</v>
      </c>
      <c r="BE376" s="35">
        <f t="shared" si="729"/>
        <v>15</v>
      </c>
      <c r="BF376" s="121"/>
      <c r="BG376" s="6"/>
      <c r="BH376" s="35"/>
      <c r="BI376" s="612"/>
      <c r="BJ376" s="121"/>
      <c r="BK376" s="6"/>
      <c r="BL376" s="35"/>
      <c r="BM376" s="736"/>
      <c r="BN376" s="444">
        <f>+BC376*F376/2</f>
        <v>159.5</v>
      </c>
      <c r="BO376" s="6"/>
      <c r="BP376" s="313" t="s">
        <v>819</v>
      </c>
      <c r="BQ376" s="764"/>
      <c r="BR376" s="764"/>
      <c r="BS376" s="395">
        <f>SUM(M376,AG376,BA376,BU376)-SUM(O376,AI376,BC376,BW376)-L376</f>
        <v>-12</v>
      </c>
      <c r="BT376" s="32">
        <f t="shared" si="737"/>
        <v>15</v>
      </c>
      <c r="BU376" s="298">
        <f>BU363</f>
        <v>5</v>
      </c>
      <c r="BV376" s="7">
        <f t="shared" si="730"/>
        <v>-10</v>
      </c>
      <c r="BW376" s="242"/>
      <c r="BX376" s="304">
        <f>BX363</f>
        <v>0</v>
      </c>
      <c r="BY376" s="35">
        <f t="shared" si="731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>SUM(M376,AG376,BA376,BU376,CO376)-SUM(O376,AI376,BC376,BW376,CQ376)-L376</f>
        <v>-12</v>
      </c>
      <c r="CN376" s="32">
        <f t="shared" si="738"/>
        <v>15</v>
      </c>
      <c r="CO376" s="298">
        <f>CO363</f>
        <v>0</v>
      </c>
      <c r="CP376" s="7">
        <f t="shared" si="732"/>
        <v>-15</v>
      </c>
      <c r="CQ376" s="258"/>
      <c r="CR376" s="304">
        <f>CR363</f>
        <v>0</v>
      </c>
      <c r="CS376" s="35">
        <f t="shared" si="733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>SUM(M376,AG376,BA376,BU376,DI376)-SUM(O376,AI376,BC376,BW376,CQ376)-L376</f>
        <v>-12</v>
      </c>
      <c r="DH376" s="32">
        <f t="shared" si="723"/>
        <v>15</v>
      </c>
      <c r="DI376" s="298">
        <f>DI363</f>
        <v>0</v>
      </c>
      <c r="DJ376" s="7">
        <f t="shared" si="734"/>
        <v>-15</v>
      </c>
      <c r="DK376" s="258"/>
      <c r="DL376" s="304">
        <f>DL363</f>
        <v>0</v>
      </c>
      <c r="DM376" s="35">
        <f t="shared" si="735"/>
        <v>15</v>
      </c>
    </row>
    <row r="377" spans="1:117" x14ac:dyDescent="0.3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>SUM(M377,AG377,BA377,BU377)-L377</f>
        <v>-1</v>
      </c>
      <c r="K377" s="395">
        <f t="shared" si="722"/>
        <v>-5</v>
      </c>
      <c r="L377" s="544">
        <v>3</v>
      </c>
      <c r="M377" s="5">
        <v>2</v>
      </c>
      <c r="N377" s="5">
        <f t="shared" ref="N377" si="739">M377-L377</f>
        <v>-1</v>
      </c>
      <c r="O377" s="256">
        <v>4</v>
      </c>
      <c r="P377" s="240">
        <f>1+1</f>
        <v>2</v>
      </c>
      <c r="Q377" s="35">
        <f t="shared" ref="Q377" si="740">L377+O377-P377</f>
        <v>5</v>
      </c>
      <c r="R377" s="121"/>
      <c r="S377" s="6"/>
      <c r="T377" s="35"/>
      <c r="U377" s="612"/>
      <c r="V377" s="310"/>
      <c r="W377" s="210"/>
      <c r="X377" s="216"/>
      <c r="Y377" s="730"/>
      <c r="Z377" s="578">
        <f>$F$377*50%*4</f>
        <v>54269.64</v>
      </c>
      <c r="AA377" s="569">
        <f>$F$377*50%*4</f>
        <v>54269.64</v>
      </c>
      <c r="AB377" s="216" t="s">
        <v>752</v>
      </c>
      <c r="AC377" s="763"/>
      <c r="AD377" s="763"/>
      <c r="AE377" s="398">
        <f>SUM(M377,AG377)-SUM(O377,AI377)-L377</f>
        <v>-5</v>
      </c>
      <c r="AF377" s="29">
        <f>Q377</f>
        <v>5</v>
      </c>
      <c r="AG377" s="5"/>
      <c r="AH377" s="5">
        <f t="shared" ref="AH377" si="741">AG377-AF377</f>
        <v>-5</v>
      </c>
      <c r="AI377" s="258"/>
      <c r="AJ377" s="240">
        <f>1</f>
        <v>1</v>
      </c>
      <c r="AK377" s="35">
        <f t="shared" ref="AK377" si="742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>SUM(M377,AG377,BA377)-SUM(O377,AI377,BC377)-L377</f>
        <v>-10</v>
      </c>
      <c r="AZ377" s="29">
        <f t="shared" ref="AZ377" si="743">AK377</f>
        <v>4</v>
      </c>
      <c r="BA377" s="5"/>
      <c r="BB377" s="5">
        <f t="shared" ref="BB377" si="744">BA377-AZ377</f>
        <v>-4</v>
      </c>
      <c r="BC377" s="5">
        <v>5</v>
      </c>
      <c r="BD377" s="240">
        <f>1+1+1</f>
        <v>3</v>
      </c>
      <c r="BE377" s="35">
        <f t="shared" ref="BE377" si="745">AZ377+BC377-BD377</f>
        <v>6</v>
      </c>
      <c r="BF377" s="121"/>
      <c r="BG377" s="6"/>
      <c r="BH377" s="35"/>
      <c r="BI377" s="612"/>
      <c r="BJ377" s="121"/>
      <c r="BK377" s="6"/>
      <c r="BL377" s="35"/>
      <c r="BM377" s="736"/>
      <c r="BN377" s="444">
        <f>BC377*F377/2</f>
        <v>67837.05</v>
      </c>
      <c r="BO377" s="6">
        <v>67837.05</v>
      </c>
      <c r="BP377" s="313" t="s">
        <v>820</v>
      </c>
      <c r="BQ377" s="764"/>
      <c r="BR377" s="764"/>
      <c r="BS377" s="398">
        <f>SUM(M377,AG377,BA377,BU377)-SUM(O377,AI377,BC377,BW377)-L377</f>
        <v>-10</v>
      </c>
      <c r="BT377" s="29">
        <f t="shared" ref="BT377" si="746">BE377</f>
        <v>6</v>
      </c>
      <c r="BU377" s="5"/>
      <c r="BV377" s="5">
        <f t="shared" ref="BV377" si="747">BU377-BT377</f>
        <v>-6</v>
      </c>
      <c r="BW377" s="240"/>
      <c r="BX377" s="240"/>
      <c r="BY377" s="35">
        <f t="shared" ref="BY377" si="748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>SUM(M377,AG377,BA377,BU377,CO377)-SUM(O377,AI377,BC377,BW377,CQ377)-L377</f>
        <v>-10</v>
      </c>
      <c r="CN377" s="29">
        <f t="shared" ref="CN377" si="749">BY377</f>
        <v>6</v>
      </c>
      <c r="CO377" s="5"/>
      <c r="CP377" s="5">
        <f t="shared" ref="CP377" si="750">CO377-CN377</f>
        <v>-6</v>
      </c>
      <c r="CQ377" s="5"/>
      <c r="CR377" s="240"/>
      <c r="CS377" s="35">
        <f t="shared" ref="CS377" si="751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>SUM(M377,AG377,BA377,BU377,DI377)-SUM(O377,AI377,BC377,BW377,CQ377)-L377</f>
        <v>-10</v>
      </c>
      <c r="DH377" s="32">
        <f t="shared" si="723"/>
        <v>6</v>
      </c>
      <c r="DI377" s="5"/>
      <c r="DJ377" s="5">
        <f t="shared" si="734"/>
        <v>-6</v>
      </c>
      <c r="DK377" s="5"/>
      <c r="DL377" s="240"/>
      <c r="DM377" s="35">
        <f t="shared" si="735"/>
        <v>6</v>
      </c>
    </row>
    <row r="378" spans="1:117" ht="15" thickBot="1" x14ac:dyDescent="0.35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>SUM(M378,AG378,BA378,BU378)-L378</f>
        <v>0</v>
      </c>
      <c r="K378" s="396">
        <f t="shared" si="722"/>
        <v>0</v>
      </c>
      <c r="L378" s="551">
        <v>0</v>
      </c>
      <c r="M378" s="65"/>
      <c r="N378" s="65">
        <f t="shared" si="724"/>
        <v>0</v>
      </c>
      <c r="O378" s="286"/>
      <c r="P378" s="250"/>
      <c r="Q378" s="66">
        <f t="shared" si="725"/>
        <v>0</v>
      </c>
      <c r="R378" s="126"/>
      <c r="S378" s="127"/>
      <c r="T378" s="66"/>
      <c r="U378" s="738"/>
      <c r="V378" s="470"/>
      <c r="W378" s="469"/>
      <c r="X378" s="472"/>
      <c r="Y378" s="756"/>
      <c r="Z378" s="470"/>
      <c r="AA378" s="469"/>
      <c r="AB378" s="472"/>
      <c r="AC378" s="765"/>
      <c r="AD378" s="765"/>
      <c r="AE378" s="396">
        <f>SUM(M378,AG378)-SUM(O378,AI378)-L378</f>
        <v>0</v>
      </c>
      <c r="AF378" s="296">
        <f>Q378</f>
        <v>0</v>
      </c>
      <c r="AG378" s="65"/>
      <c r="AH378" s="65">
        <f t="shared" si="726"/>
        <v>0</v>
      </c>
      <c r="AI378" s="65"/>
      <c r="AJ378" s="250"/>
      <c r="AK378" s="66">
        <f t="shared" si="727"/>
        <v>0</v>
      </c>
      <c r="AL378" s="126"/>
      <c r="AM378" s="127"/>
      <c r="AN378" s="66"/>
      <c r="AO378" s="738"/>
      <c r="AP378" s="126"/>
      <c r="AQ378" s="127"/>
      <c r="AR378" s="66"/>
      <c r="AS378" s="738"/>
      <c r="AT378" s="126"/>
      <c r="AU378" s="127"/>
      <c r="AV378" s="66"/>
      <c r="AW378" s="297"/>
      <c r="AX378" s="297"/>
      <c r="AY378" s="396">
        <f>SUM(M378,AG378,BA378)-SUM(O378,AI378,BC378)-L378</f>
        <v>0</v>
      </c>
      <c r="AZ378" s="296">
        <f t="shared" si="736"/>
        <v>0</v>
      </c>
      <c r="BA378" s="65"/>
      <c r="BB378" s="65">
        <f t="shared" si="728"/>
        <v>0</v>
      </c>
      <c r="BC378" s="250"/>
      <c r="BD378" s="250"/>
      <c r="BE378" s="66">
        <f t="shared" si="729"/>
        <v>0</v>
      </c>
      <c r="BF378" s="126"/>
      <c r="BG378" s="127"/>
      <c r="BH378" s="66"/>
      <c r="BI378" s="738"/>
      <c r="BJ378" s="126"/>
      <c r="BK378" s="127"/>
      <c r="BL378" s="66"/>
      <c r="BM378" s="738"/>
      <c r="BN378" s="126"/>
      <c r="BO378" s="127"/>
      <c r="BP378" s="471"/>
      <c r="BQ378" s="812"/>
      <c r="BR378" s="812"/>
      <c r="BS378" s="396">
        <f>SUM(M378,AG378,BA378,BU378)-SUM(O378,AI378,BC378,BW378)-L378</f>
        <v>0</v>
      </c>
      <c r="BT378" s="296">
        <f t="shared" si="737"/>
        <v>0</v>
      </c>
      <c r="BU378" s="65"/>
      <c r="BV378" s="65">
        <f t="shared" si="730"/>
        <v>0</v>
      </c>
      <c r="BW378" s="250"/>
      <c r="BX378" s="250"/>
      <c r="BY378" s="66">
        <f t="shared" si="731"/>
        <v>0</v>
      </c>
      <c r="BZ378" s="126"/>
      <c r="CA378" s="127"/>
      <c r="CB378" s="66"/>
      <c r="CC378" s="738"/>
      <c r="CD378" s="126"/>
      <c r="CE378" s="127"/>
      <c r="CF378" s="66"/>
      <c r="CG378" s="738"/>
      <c r="CH378" s="128"/>
      <c r="CI378" s="127"/>
      <c r="CJ378" s="66"/>
      <c r="CK378" s="297"/>
      <c r="CL378" s="297"/>
      <c r="CM378" s="396">
        <f>SUM(M378,AG378,BA378,BU378,CO378)-SUM(O378,AI378,BC378,BW378,CQ378)-L378</f>
        <v>0</v>
      </c>
      <c r="CN378" s="296">
        <f t="shared" si="738"/>
        <v>0</v>
      </c>
      <c r="CO378" s="65"/>
      <c r="CP378" s="65">
        <f t="shared" si="732"/>
        <v>0</v>
      </c>
      <c r="CQ378" s="286"/>
      <c r="CR378" s="250"/>
      <c r="CS378" s="66">
        <f t="shared" si="733"/>
        <v>0</v>
      </c>
      <c r="CT378" s="126"/>
      <c r="CU378" s="127"/>
      <c r="CV378" s="66"/>
      <c r="CW378" s="738"/>
      <c r="CX378" s="126"/>
      <c r="CY378" s="127"/>
      <c r="CZ378" s="66"/>
      <c r="DA378" s="738"/>
      <c r="DB378" s="128"/>
      <c r="DC378" s="127"/>
      <c r="DD378" s="66"/>
      <c r="DE378" s="297"/>
      <c r="DF378" s="297"/>
      <c r="DG378" s="396">
        <f>SUM(M378,AG378,BA378,BU378,DI378)-SUM(O378,AI378,BC378,BW378,CQ378)-L378</f>
        <v>0</v>
      </c>
      <c r="DH378" s="296">
        <f t="shared" si="723"/>
        <v>0</v>
      </c>
      <c r="DI378" s="65"/>
      <c r="DJ378" s="65">
        <f t="shared" si="734"/>
        <v>0</v>
      </c>
      <c r="DK378" s="286"/>
      <c r="DL378" s="250"/>
      <c r="DM378" s="66">
        <f t="shared" si="735"/>
        <v>0</v>
      </c>
    </row>
    <row r="379" spans="1:117" ht="15" thickBot="1" x14ac:dyDescent="0.35">
      <c r="P379" s="248"/>
      <c r="AJ379" s="248"/>
      <c r="BD379" s="248"/>
      <c r="BX379" s="248"/>
      <c r="CR379" s="248"/>
      <c r="DL379" s="248"/>
    </row>
    <row r="380" spans="1:117" ht="15" thickBot="1" x14ac:dyDescent="0.35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3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752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36"/>
      <c r="V381" s="123"/>
      <c r="W381" s="8"/>
      <c r="X381" s="34"/>
      <c r="Y381" s="736"/>
      <c r="Z381" s="20"/>
      <c r="AA381" s="8"/>
      <c r="AB381" s="34"/>
      <c r="AC381" s="736"/>
      <c r="AD381" s="736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36"/>
      <c r="AP381" s="123"/>
      <c r="AQ381" s="8"/>
      <c r="AR381" s="34"/>
      <c r="AS381" s="736"/>
      <c r="AT381" s="20"/>
      <c r="AU381" s="8"/>
      <c r="AV381" s="34"/>
      <c r="AW381" s="736"/>
      <c r="AX381" s="736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36"/>
      <c r="BJ381" s="123"/>
      <c r="BK381" s="8"/>
      <c r="BL381" s="34"/>
      <c r="BM381" s="736"/>
      <c r="BN381" s="20"/>
      <c r="BO381" s="8"/>
      <c r="BP381" s="34"/>
      <c r="BQ381" s="736"/>
      <c r="BR381" s="736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36"/>
      <c r="CD381" s="123"/>
      <c r="CE381" s="8"/>
      <c r="CF381" s="34"/>
      <c r="CG381" s="736"/>
      <c r="CH381" s="20"/>
      <c r="CI381" s="8"/>
      <c r="CJ381" s="34"/>
      <c r="CK381" s="736"/>
      <c r="CL381" s="736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36"/>
      <c r="CX381" s="123"/>
      <c r="CY381" s="8"/>
      <c r="CZ381" s="34"/>
      <c r="DA381" s="736"/>
      <c r="DB381" s="20"/>
      <c r="DC381" s="8"/>
      <c r="DD381" s="34"/>
      <c r="DE381" s="736"/>
      <c r="DF381" s="736"/>
      <c r="DG381" s="394"/>
      <c r="DH381" s="32">
        <f t="shared" ref="DH381:DH383" si="753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28.8" x14ac:dyDescent="0.3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752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U382" s="750"/>
      <c r="V382" s="433"/>
      <c r="W382" s="416"/>
      <c r="X382" s="415"/>
      <c r="Y382" s="750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O382" s="750"/>
      <c r="AP382" s="433"/>
      <c r="AQ382" s="416"/>
      <c r="AR382" s="415"/>
      <c r="AS382" s="750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I382" s="750"/>
      <c r="BJ382" s="421"/>
      <c r="BK382" s="416"/>
      <c r="BL382" s="415"/>
      <c r="BM382" s="750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C382" s="750"/>
      <c r="CD382" s="433"/>
      <c r="CE382" s="416"/>
      <c r="CF382" s="450" t="s">
        <v>914</v>
      </c>
      <c r="CG382" s="745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W382" s="750"/>
      <c r="CX382" s="433"/>
      <c r="CY382" s="416"/>
      <c r="CZ382" s="415"/>
      <c r="DA382" s="750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753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" thickBot="1" x14ac:dyDescent="0.35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752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37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37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37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37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37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753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" thickBot="1" x14ac:dyDescent="0.35">
      <c r="P384" s="248"/>
      <c r="AJ384" s="248"/>
      <c r="BD384" s="248"/>
      <c r="BX384" s="248"/>
      <c r="CR384" s="248"/>
      <c r="DL384" s="248"/>
    </row>
    <row r="385" spans="1:117" ht="15" thickBot="1" x14ac:dyDescent="0.35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61"/>
      <c r="AD385" s="761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61"/>
      <c r="AX385" s="761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61"/>
      <c r="BR385" s="761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61"/>
      <c r="CL385" s="761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61"/>
      <c r="DF385" s="761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3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3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754">M387-O387-L387</f>
        <v>0</v>
      </c>
      <c r="L387" s="32">
        <v>0</v>
      </c>
      <c r="M387" s="302">
        <f>M385</f>
        <v>0</v>
      </c>
      <c r="N387" s="7">
        <f t="shared" ref="N387" si="755">M387-L387</f>
        <v>0</v>
      </c>
      <c r="O387" s="258"/>
      <c r="P387" s="304">
        <f>P385</f>
        <v>0</v>
      </c>
      <c r="Q387" s="234">
        <f t="shared" ref="Q387:Q404" si="756">L387+O387-P387</f>
        <v>0</v>
      </c>
      <c r="R387" s="123"/>
      <c r="S387" s="8"/>
      <c r="T387" s="34"/>
      <c r="U387" s="736"/>
      <c r="V387" s="123"/>
      <c r="W387" s="8"/>
      <c r="X387" s="34"/>
      <c r="Y387" s="736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757">AG387-AF387</f>
        <v>0</v>
      </c>
      <c r="AI387" s="242"/>
      <c r="AJ387" s="304">
        <f>AJ385</f>
        <v>0</v>
      </c>
      <c r="AK387" s="234">
        <f t="shared" ref="AK387" si="758">AF387+AI387-AJ387</f>
        <v>0</v>
      </c>
      <c r="AL387" s="123"/>
      <c r="AM387" s="8"/>
      <c r="AN387" s="34"/>
      <c r="AO387" s="736"/>
      <c r="AP387" s="123"/>
      <c r="AQ387" s="8"/>
      <c r="AR387" s="34"/>
      <c r="AS387" s="736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759">BA387-AZ387</f>
        <v>0</v>
      </c>
      <c r="BC387" s="256"/>
      <c r="BD387" s="304">
        <f>BD385</f>
        <v>0</v>
      </c>
      <c r="BE387" s="234">
        <f t="shared" ref="BE387" si="760">AZ387+BC387-BD387</f>
        <v>0</v>
      </c>
      <c r="BF387" s="123"/>
      <c r="BG387" s="8"/>
      <c r="BH387" s="34"/>
      <c r="BI387" s="736"/>
      <c r="BJ387" s="123"/>
      <c r="BK387" s="8"/>
      <c r="BL387" s="34"/>
      <c r="BM387" s="736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761">BU387-BT387</f>
        <v>0</v>
      </c>
      <c r="BW387" s="258"/>
      <c r="BX387" s="304">
        <f>BX385</f>
        <v>0</v>
      </c>
      <c r="BY387" s="234">
        <f t="shared" ref="BY387" si="762">BT387+BW387-BX387</f>
        <v>0</v>
      </c>
      <c r="BZ387" s="123"/>
      <c r="CA387" s="8"/>
      <c r="CB387" s="34"/>
      <c r="CC387" s="736"/>
      <c r="CD387" s="123"/>
      <c r="CE387" s="8"/>
      <c r="CF387" s="34"/>
      <c r="CG387" s="736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763">CO387-CN387</f>
        <v>0</v>
      </c>
      <c r="CQ387" s="242"/>
      <c r="CR387" s="304">
        <f>CR385</f>
        <v>0</v>
      </c>
      <c r="CS387" s="234">
        <f t="shared" ref="CS387" si="764">CN387+CQ387-CR387</f>
        <v>0</v>
      </c>
      <c r="CT387" s="123"/>
      <c r="CU387" s="8"/>
      <c r="CV387" s="34"/>
      <c r="CW387" s="736"/>
      <c r="CX387" s="123"/>
      <c r="CY387" s="8"/>
      <c r="CZ387" s="34"/>
      <c r="DA387" s="736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765">BY387</f>
        <v>0</v>
      </c>
      <c r="DI387" s="302">
        <f>DI385</f>
        <v>0</v>
      </c>
      <c r="DJ387" s="7">
        <f t="shared" ref="DJ387" si="766">DI387-DH387</f>
        <v>0</v>
      </c>
      <c r="DK387" s="242"/>
      <c r="DL387" s="304">
        <f>DL385</f>
        <v>0</v>
      </c>
      <c r="DM387" s="234">
        <f t="shared" ref="DM387" si="767">DH387+DK387-DL387</f>
        <v>0</v>
      </c>
    </row>
    <row r="388" spans="1:117" x14ac:dyDescent="0.3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51"/>
      <c r="V388" s="356"/>
      <c r="W388" s="357"/>
      <c r="X388" s="358"/>
      <c r="Y388" s="751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51"/>
      <c r="AP388" s="356"/>
      <c r="AQ388" s="357"/>
      <c r="AR388" s="358"/>
      <c r="AS388" s="751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51"/>
      <c r="BJ388" s="356"/>
      <c r="BK388" s="357"/>
      <c r="BL388" s="358"/>
      <c r="BM388" s="751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51"/>
      <c r="CD388" s="356"/>
      <c r="CE388" s="357"/>
      <c r="CF388" s="358"/>
      <c r="CG388" s="751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51"/>
      <c r="CX388" s="356"/>
      <c r="CY388" s="357"/>
      <c r="CZ388" s="358"/>
      <c r="DA388" s="751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3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>SUM(M389,AG389,BA389,BU389)-L389</f>
        <v>-18</v>
      </c>
      <c r="K389" s="395">
        <f t="shared" ref="K389:K430" si="768">M389-O389-L389</f>
        <v>-18</v>
      </c>
      <c r="L389" s="32">
        <v>18</v>
      </c>
      <c r="M389" s="302">
        <f>M385</f>
        <v>0</v>
      </c>
      <c r="N389" s="7">
        <f t="shared" ref="N389:N404" si="769">M389-L389</f>
        <v>-18</v>
      </c>
      <c r="O389" s="258"/>
      <c r="P389" s="304">
        <f>P385</f>
        <v>0</v>
      </c>
      <c r="Q389" s="234">
        <f t="shared" si="756"/>
        <v>18</v>
      </c>
      <c r="R389" s="123"/>
      <c r="S389" s="8"/>
      <c r="T389" s="34"/>
      <c r="U389" s="736"/>
      <c r="V389" s="123"/>
      <c r="W389" s="8"/>
      <c r="X389" s="34"/>
      <c r="Y389" s="736"/>
      <c r="Z389" s="20"/>
      <c r="AA389" s="8"/>
      <c r="AB389" s="34"/>
      <c r="AC389" s="234"/>
      <c r="AD389" s="234"/>
      <c r="AE389" s="398">
        <f>SUM(M389,AG389)-SUM(O389,AI389)-L389</f>
        <v>-18</v>
      </c>
      <c r="AF389" s="32">
        <f>Q389</f>
        <v>18</v>
      </c>
      <c r="AG389" s="302">
        <f>AG385</f>
        <v>0</v>
      </c>
      <c r="AH389" s="7">
        <f t="shared" ref="AH389:AH404" si="770">AG389-AF389</f>
        <v>-18</v>
      </c>
      <c r="AI389" s="258"/>
      <c r="AJ389" s="304">
        <f>AJ385</f>
        <v>0</v>
      </c>
      <c r="AK389" s="234">
        <f t="shared" ref="AK389:AK404" si="771">AF389+AI389-AJ389</f>
        <v>18</v>
      </c>
      <c r="AL389" s="123"/>
      <c r="AM389" s="8"/>
      <c r="AN389" s="34"/>
      <c r="AO389" s="736"/>
      <c r="AP389" s="123"/>
      <c r="AQ389" s="8"/>
      <c r="AR389" s="34"/>
      <c r="AS389" s="736"/>
      <c r="AT389" s="20"/>
      <c r="AU389" s="8"/>
      <c r="AV389" s="34"/>
      <c r="AW389" s="234"/>
      <c r="AX389" s="234"/>
      <c r="AY389" s="395">
        <f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772">BA389-AZ389</f>
        <v>-18</v>
      </c>
      <c r="BC389" s="258"/>
      <c r="BD389" s="304">
        <f>BD385</f>
        <v>0</v>
      </c>
      <c r="BE389" s="234">
        <f t="shared" ref="BE389:BE404" si="773">AZ389+BC389-BD389</f>
        <v>18</v>
      </c>
      <c r="BF389" s="123"/>
      <c r="BG389" s="8"/>
      <c r="BH389" s="34"/>
      <c r="BI389" s="736"/>
      <c r="BJ389" s="123"/>
      <c r="BK389" s="8"/>
      <c r="BL389" s="34"/>
      <c r="BM389" s="736"/>
      <c r="BN389" s="20"/>
      <c r="BO389" s="8"/>
      <c r="BP389" s="34"/>
      <c r="BQ389" s="234"/>
      <c r="BR389" s="234"/>
      <c r="BS389" s="395">
        <f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774">BU389-BT389</f>
        <v>-18</v>
      </c>
      <c r="BW389" s="258"/>
      <c r="BX389" s="304">
        <f>BX385</f>
        <v>0</v>
      </c>
      <c r="BY389" s="234">
        <f t="shared" ref="BY389:BY404" si="775">BT389+BW389-BX389</f>
        <v>18</v>
      </c>
      <c r="BZ389" s="123"/>
      <c r="CA389" s="8"/>
      <c r="CB389" s="34"/>
      <c r="CC389" s="736"/>
      <c r="CD389" s="123"/>
      <c r="CE389" s="8"/>
      <c r="CF389" s="34"/>
      <c r="CG389" s="736"/>
      <c r="CH389" s="20"/>
      <c r="CI389" s="8"/>
      <c r="CJ389" s="34"/>
      <c r="CK389" s="234"/>
      <c r="CL389" s="234"/>
      <c r="CM389" s="395">
        <f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776">CO389-CN389</f>
        <v>-18</v>
      </c>
      <c r="CQ389" s="242"/>
      <c r="CR389" s="304">
        <f>CR385</f>
        <v>0</v>
      </c>
      <c r="CS389" s="234">
        <f t="shared" ref="CS389:CS404" si="777">CN389+CQ389-CR389</f>
        <v>18</v>
      </c>
      <c r="CT389" s="123"/>
      <c r="CU389" s="8"/>
      <c r="CV389" s="34"/>
      <c r="CW389" s="736"/>
      <c r="CX389" s="123"/>
      <c r="CY389" s="8"/>
      <c r="CZ389" s="34"/>
      <c r="DA389" s="736"/>
      <c r="DB389" s="20"/>
      <c r="DC389" s="8"/>
      <c r="DD389" s="34"/>
      <c r="DE389" s="234"/>
      <c r="DF389" s="234"/>
      <c r="DG389" s="395">
        <f>SUM(M389,AG389,BA389,BU389,DI389)-SUM(O389,AI389,BC389,BW389,CQ389)-L389</f>
        <v>-18</v>
      </c>
      <c r="DH389" s="32">
        <f t="shared" ref="DH389:DH430" si="778">BY389</f>
        <v>18</v>
      </c>
      <c r="DI389" s="302">
        <f>DI385</f>
        <v>0</v>
      </c>
      <c r="DJ389" s="7">
        <f t="shared" ref="DJ389:DJ404" si="779">DI389-DH389</f>
        <v>-18</v>
      </c>
      <c r="DK389" s="242"/>
      <c r="DL389" s="304">
        <f>DL385</f>
        <v>0</v>
      </c>
      <c r="DM389" s="234">
        <f t="shared" ref="DM389:DM404" si="780">DH389+DK389-DL389</f>
        <v>18</v>
      </c>
    </row>
    <row r="390" spans="1:117" x14ac:dyDescent="0.3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>SUM(M390,AG390,BA390,BU390)-L390</f>
        <v>-55</v>
      </c>
      <c r="K390" s="395">
        <f t="shared" si="768"/>
        <v>-55</v>
      </c>
      <c r="L390" s="32">
        <v>55</v>
      </c>
      <c r="M390" s="302">
        <f>M385*5</f>
        <v>0</v>
      </c>
      <c r="N390" s="7">
        <f t="shared" si="769"/>
        <v>-55</v>
      </c>
      <c r="O390" s="258"/>
      <c r="P390" s="304">
        <f>P385*5</f>
        <v>0</v>
      </c>
      <c r="Q390" s="234">
        <f t="shared" si="756"/>
        <v>55</v>
      </c>
      <c r="R390" s="123"/>
      <c r="S390" s="8"/>
      <c r="T390" s="34"/>
      <c r="U390" s="736"/>
      <c r="V390" s="123"/>
      <c r="W390" s="8"/>
      <c r="X390" s="34"/>
      <c r="Y390" s="736"/>
      <c r="Z390" s="20"/>
      <c r="AA390" s="8"/>
      <c r="AB390" s="34"/>
      <c r="AC390" s="234"/>
      <c r="AD390" s="234"/>
      <c r="AE390" s="398">
        <f>SUM(M390,AG390)-SUM(O390,AI390)-L390</f>
        <v>-55</v>
      </c>
      <c r="AF390" s="32">
        <f>Q390</f>
        <v>55</v>
      </c>
      <c r="AG390" s="302">
        <f>AG385*5</f>
        <v>0</v>
      </c>
      <c r="AH390" s="7">
        <f t="shared" si="770"/>
        <v>-55</v>
      </c>
      <c r="AI390" s="258"/>
      <c r="AJ390" s="304">
        <f>AJ385*5</f>
        <v>0</v>
      </c>
      <c r="AK390" s="234">
        <f t="shared" si="771"/>
        <v>55</v>
      </c>
      <c r="AL390" s="123"/>
      <c r="AM390" s="8"/>
      <c r="AN390" s="34"/>
      <c r="AO390" s="736"/>
      <c r="AP390" s="123"/>
      <c r="AQ390" s="8"/>
      <c r="AR390" s="34"/>
      <c r="AS390" s="736"/>
      <c r="AT390" s="20"/>
      <c r="AU390" s="8"/>
      <c r="AV390" s="34"/>
      <c r="AW390" s="234"/>
      <c r="AX390" s="234"/>
      <c r="AY390" s="395">
        <f>SUM(M390,AG390,BA390)-SUM(O390,AI390,BC390)-L390</f>
        <v>-55</v>
      </c>
      <c r="AZ390" s="32">
        <f t="shared" ref="AZ390:AZ404" si="781">AK390</f>
        <v>55</v>
      </c>
      <c r="BA390" s="302">
        <f>BA385*5</f>
        <v>0</v>
      </c>
      <c r="BB390" s="7">
        <f t="shared" si="772"/>
        <v>-55</v>
      </c>
      <c r="BC390" s="258"/>
      <c r="BD390" s="304">
        <f>BD385*5</f>
        <v>0</v>
      </c>
      <c r="BE390" s="234">
        <f t="shared" si="773"/>
        <v>55</v>
      </c>
      <c r="BF390" s="123"/>
      <c r="BG390" s="8"/>
      <c r="BH390" s="34"/>
      <c r="BI390" s="736"/>
      <c r="BJ390" s="123"/>
      <c r="BK390" s="8"/>
      <c r="BL390" s="34"/>
      <c r="BM390" s="736"/>
      <c r="BN390" s="20"/>
      <c r="BO390" s="8"/>
      <c r="BP390" s="34"/>
      <c r="BQ390" s="234"/>
      <c r="BR390" s="234"/>
      <c r="BS390" s="395">
        <f>SUM(M390,AG390,BA390,BU390)-SUM(O390,AI390,BC390,BW390)-L390</f>
        <v>-55</v>
      </c>
      <c r="BT390" s="32">
        <f t="shared" ref="BT390:BT404" si="782">BE390</f>
        <v>55</v>
      </c>
      <c r="BU390" s="302">
        <f>BU385*5</f>
        <v>0</v>
      </c>
      <c r="BV390" s="7">
        <f t="shared" si="774"/>
        <v>-55</v>
      </c>
      <c r="BW390" s="258"/>
      <c r="BX390" s="304">
        <f>BX385*5</f>
        <v>0</v>
      </c>
      <c r="BY390" s="234">
        <f t="shared" si="775"/>
        <v>55</v>
      </c>
      <c r="BZ390" s="123"/>
      <c r="CA390" s="8"/>
      <c r="CB390" s="34"/>
      <c r="CC390" s="736"/>
      <c r="CD390" s="123"/>
      <c r="CE390" s="8"/>
      <c r="CF390" s="34"/>
      <c r="CG390" s="736"/>
      <c r="CH390" s="20"/>
      <c r="CI390" s="8"/>
      <c r="CJ390" s="34"/>
      <c r="CK390" s="234"/>
      <c r="CL390" s="234"/>
      <c r="CM390" s="395">
        <f>SUM(M390,AG390,BA390,BU390,CO390)-SUM(O390,AI390,BC390,BW390,CQ390)-L390</f>
        <v>-55</v>
      </c>
      <c r="CN390" s="32">
        <f t="shared" ref="CN390:CN404" si="783">BY390</f>
        <v>55</v>
      </c>
      <c r="CO390" s="302">
        <f>CO385*5</f>
        <v>0</v>
      </c>
      <c r="CP390" s="7">
        <f t="shared" si="776"/>
        <v>-55</v>
      </c>
      <c r="CQ390" s="242"/>
      <c r="CR390" s="304">
        <f>CR385*5</f>
        <v>0</v>
      </c>
      <c r="CS390" s="234">
        <f t="shared" si="777"/>
        <v>55</v>
      </c>
      <c r="CT390" s="123"/>
      <c r="CU390" s="8"/>
      <c r="CV390" s="34"/>
      <c r="CW390" s="736"/>
      <c r="CX390" s="123"/>
      <c r="CY390" s="8"/>
      <c r="CZ390" s="34"/>
      <c r="DA390" s="736"/>
      <c r="DB390" s="20"/>
      <c r="DC390" s="8"/>
      <c r="DD390" s="34"/>
      <c r="DE390" s="234"/>
      <c r="DF390" s="234"/>
      <c r="DG390" s="395">
        <f>SUM(M390,AG390,BA390,BU390,DI390)-SUM(O390,AI390,BC390,BW390,CQ390)-L390</f>
        <v>-55</v>
      </c>
      <c r="DH390" s="32">
        <f t="shared" si="778"/>
        <v>55</v>
      </c>
      <c r="DI390" s="302">
        <f>DI385*5</f>
        <v>0</v>
      </c>
      <c r="DJ390" s="7">
        <f t="shared" si="779"/>
        <v>-55</v>
      </c>
      <c r="DK390" s="242"/>
      <c r="DL390" s="304">
        <f>DL385*5</f>
        <v>0</v>
      </c>
      <c r="DM390" s="234">
        <f t="shared" si="780"/>
        <v>55</v>
      </c>
    </row>
    <row r="391" spans="1:117" x14ac:dyDescent="0.3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>SUM(M391,AG391,BA391,BU391)-L391</f>
        <v>-8</v>
      </c>
      <c r="K391" s="395">
        <f t="shared" si="768"/>
        <v>-8</v>
      </c>
      <c r="L391" s="32">
        <v>8</v>
      </c>
      <c r="M391" s="302">
        <f>M385</f>
        <v>0</v>
      </c>
      <c r="N391" s="7">
        <f t="shared" si="769"/>
        <v>-8</v>
      </c>
      <c r="O391" s="258"/>
      <c r="P391" s="304">
        <f>P385</f>
        <v>0</v>
      </c>
      <c r="Q391" s="234">
        <f t="shared" si="756"/>
        <v>8</v>
      </c>
      <c r="R391" s="123"/>
      <c r="S391" s="8"/>
      <c r="T391" s="34"/>
      <c r="U391" s="736"/>
      <c r="V391" s="123"/>
      <c r="W391" s="8"/>
      <c r="X391" s="34"/>
      <c r="Y391" s="736"/>
      <c r="Z391" s="20"/>
      <c r="AA391" s="8"/>
      <c r="AB391" s="34"/>
      <c r="AC391" s="234"/>
      <c r="AD391" s="234"/>
      <c r="AE391" s="398">
        <f>SUM(M391,AG391)-SUM(O391,AI391)-L391</f>
        <v>-8</v>
      </c>
      <c r="AF391" s="32">
        <f>Q391</f>
        <v>8</v>
      </c>
      <c r="AG391" s="302">
        <f>AG385</f>
        <v>0</v>
      </c>
      <c r="AH391" s="7">
        <f t="shared" si="770"/>
        <v>-8</v>
      </c>
      <c r="AI391" s="258"/>
      <c r="AJ391" s="304">
        <f>AJ385</f>
        <v>0</v>
      </c>
      <c r="AK391" s="234">
        <f t="shared" si="771"/>
        <v>8</v>
      </c>
      <c r="AL391" s="123"/>
      <c r="AM391" s="8"/>
      <c r="AN391" s="34"/>
      <c r="AO391" s="736"/>
      <c r="AP391" s="123"/>
      <c r="AQ391" s="8"/>
      <c r="AR391" s="34"/>
      <c r="AS391" s="736"/>
      <c r="AT391" s="20"/>
      <c r="AU391" s="8"/>
      <c r="AV391" s="34"/>
      <c r="AW391" s="234"/>
      <c r="AX391" s="234"/>
      <c r="AY391" s="395">
        <f>SUM(M391,AG391,BA391)-SUM(O391,AI391,BC391)-L391</f>
        <v>-8</v>
      </c>
      <c r="AZ391" s="32">
        <f t="shared" si="781"/>
        <v>8</v>
      </c>
      <c r="BA391" s="302">
        <f>BA385</f>
        <v>0</v>
      </c>
      <c r="BB391" s="7">
        <f t="shared" si="772"/>
        <v>-8</v>
      </c>
      <c r="BC391" s="258"/>
      <c r="BD391" s="304">
        <f>BD385</f>
        <v>0</v>
      </c>
      <c r="BE391" s="234">
        <f t="shared" si="773"/>
        <v>8</v>
      </c>
      <c r="BF391" s="123"/>
      <c r="BG391" s="8"/>
      <c r="BH391" s="34"/>
      <c r="BI391" s="736"/>
      <c r="BJ391" s="123"/>
      <c r="BK391" s="8"/>
      <c r="BL391" s="34"/>
      <c r="BM391" s="736"/>
      <c r="BN391" s="20"/>
      <c r="BO391" s="8"/>
      <c r="BP391" s="34"/>
      <c r="BQ391" s="234"/>
      <c r="BR391" s="234"/>
      <c r="BS391" s="395">
        <f>SUM(M391,AG391,BA391,BU391)-SUM(O391,AI391,BC391,BW391)-L391</f>
        <v>-8</v>
      </c>
      <c r="BT391" s="32">
        <f t="shared" si="782"/>
        <v>8</v>
      </c>
      <c r="BU391" s="302">
        <f>BU385</f>
        <v>0</v>
      </c>
      <c r="BV391" s="7">
        <f t="shared" si="774"/>
        <v>-8</v>
      </c>
      <c r="BW391" s="258"/>
      <c r="BX391" s="304">
        <f>BX385</f>
        <v>0</v>
      </c>
      <c r="BY391" s="234">
        <f t="shared" si="775"/>
        <v>8</v>
      </c>
      <c r="BZ391" s="123"/>
      <c r="CA391" s="8"/>
      <c r="CB391" s="34"/>
      <c r="CC391" s="736"/>
      <c r="CD391" s="123"/>
      <c r="CE391" s="8"/>
      <c r="CF391" s="34"/>
      <c r="CG391" s="736"/>
      <c r="CH391" s="20"/>
      <c r="CI391" s="8"/>
      <c r="CJ391" s="34"/>
      <c r="CK391" s="234"/>
      <c r="CL391" s="234"/>
      <c r="CM391" s="395">
        <f>SUM(M391,AG391,BA391,BU391,CO391)-SUM(O391,AI391,BC391,BW391,CQ391)-L391</f>
        <v>-8</v>
      </c>
      <c r="CN391" s="32">
        <f t="shared" si="783"/>
        <v>8</v>
      </c>
      <c r="CO391" s="302">
        <f>CO385</f>
        <v>0</v>
      </c>
      <c r="CP391" s="7">
        <f t="shared" si="776"/>
        <v>-8</v>
      </c>
      <c r="CQ391" s="242"/>
      <c r="CR391" s="304">
        <f>CR385</f>
        <v>0</v>
      </c>
      <c r="CS391" s="234">
        <f t="shared" si="777"/>
        <v>8</v>
      </c>
      <c r="CT391" s="123"/>
      <c r="CU391" s="8"/>
      <c r="CV391" s="34"/>
      <c r="CW391" s="736"/>
      <c r="CX391" s="123"/>
      <c r="CY391" s="8"/>
      <c r="CZ391" s="34"/>
      <c r="DA391" s="736"/>
      <c r="DB391" s="20"/>
      <c r="DC391" s="8"/>
      <c r="DD391" s="34"/>
      <c r="DE391" s="234"/>
      <c r="DF391" s="234"/>
      <c r="DG391" s="395">
        <f>SUM(M391,AG391,BA391,BU391,DI391)-SUM(O391,AI391,BC391,BW391,CQ391)-L391</f>
        <v>-8</v>
      </c>
      <c r="DH391" s="32">
        <f t="shared" si="778"/>
        <v>8</v>
      </c>
      <c r="DI391" s="302">
        <f>DI385</f>
        <v>0</v>
      </c>
      <c r="DJ391" s="7">
        <f t="shared" si="779"/>
        <v>-8</v>
      </c>
      <c r="DK391" s="242"/>
      <c r="DL391" s="304">
        <f>DL385</f>
        <v>0</v>
      </c>
      <c r="DM391" s="234">
        <f t="shared" si="780"/>
        <v>8</v>
      </c>
    </row>
    <row r="392" spans="1:117" x14ac:dyDescent="0.3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>SUM(M392,AG392,BA392,BU392)-L392</f>
        <v>-18</v>
      </c>
      <c r="K392" s="395">
        <f t="shared" si="768"/>
        <v>-18</v>
      </c>
      <c r="L392" s="32">
        <v>18</v>
      </c>
      <c r="M392" s="302">
        <f>M385*4</f>
        <v>0</v>
      </c>
      <c r="N392" s="7">
        <f t="shared" si="769"/>
        <v>-18</v>
      </c>
      <c r="O392" s="258"/>
      <c r="P392" s="304">
        <f>P385*4</f>
        <v>0</v>
      </c>
      <c r="Q392" s="234">
        <f t="shared" si="756"/>
        <v>18</v>
      </c>
      <c r="R392" s="123"/>
      <c r="S392" s="8"/>
      <c r="T392" s="34"/>
      <c r="U392" s="736"/>
      <c r="V392" s="123"/>
      <c r="W392" s="8"/>
      <c r="X392" s="34"/>
      <c r="Y392" s="736"/>
      <c r="Z392" s="20"/>
      <c r="AA392" s="8"/>
      <c r="AB392" s="34"/>
      <c r="AC392" s="234"/>
      <c r="AD392" s="234"/>
      <c r="AE392" s="398">
        <f>SUM(M392,AG392)-SUM(O392,AI392)-L392</f>
        <v>-18</v>
      </c>
      <c r="AF392" s="32">
        <f>Q392</f>
        <v>18</v>
      </c>
      <c r="AG392" s="302">
        <f>AG385*4</f>
        <v>0</v>
      </c>
      <c r="AH392" s="7">
        <f t="shared" si="770"/>
        <v>-18</v>
      </c>
      <c r="AI392" s="258"/>
      <c r="AJ392" s="304">
        <f>AJ385*4</f>
        <v>0</v>
      </c>
      <c r="AK392" s="234">
        <f t="shared" si="771"/>
        <v>18</v>
      </c>
      <c r="AL392" s="123"/>
      <c r="AM392" s="8"/>
      <c r="AN392" s="34"/>
      <c r="AO392" s="736"/>
      <c r="AP392" s="123"/>
      <c r="AQ392" s="8"/>
      <c r="AR392" s="34"/>
      <c r="AS392" s="736"/>
      <c r="AT392" s="20"/>
      <c r="AU392" s="8"/>
      <c r="AV392" s="34"/>
      <c r="AW392" s="234"/>
      <c r="AX392" s="234"/>
      <c r="AY392" s="395">
        <f>SUM(M392,AG392,BA392)-SUM(O392,AI392,BC392)-L392</f>
        <v>-18</v>
      </c>
      <c r="AZ392" s="32">
        <f t="shared" si="781"/>
        <v>18</v>
      </c>
      <c r="BA392" s="302">
        <f>BA385*4</f>
        <v>0</v>
      </c>
      <c r="BB392" s="7">
        <f t="shared" si="772"/>
        <v>-18</v>
      </c>
      <c r="BC392" s="258"/>
      <c r="BD392" s="304">
        <f>BD385*4</f>
        <v>0</v>
      </c>
      <c r="BE392" s="234">
        <f t="shared" si="773"/>
        <v>18</v>
      </c>
      <c r="BF392" s="123"/>
      <c r="BG392" s="8"/>
      <c r="BH392" s="34"/>
      <c r="BI392" s="736"/>
      <c r="BJ392" s="123"/>
      <c r="BK392" s="8"/>
      <c r="BL392" s="34"/>
      <c r="BM392" s="736"/>
      <c r="BN392" s="20"/>
      <c r="BO392" s="8"/>
      <c r="BP392" s="34"/>
      <c r="BQ392" s="234"/>
      <c r="BR392" s="234"/>
      <c r="BS392" s="395">
        <f>SUM(M392,AG392,BA392,BU392)-SUM(O392,AI392,BC392,BW392)-L392</f>
        <v>-18</v>
      </c>
      <c r="BT392" s="32">
        <f t="shared" si="782"/>
        <v>18</v>
      </c>
      <c r="BU392" s="302">
        <f>BU385*4</f>
        <v>0</v>
      </c>
      <c r="BV392" s="7">
        <f t="shared" si="774"/>
        <v>-18</v>
      </c>
      <c r="BW392" s="258"/>
      <c r="BX392" s="304">
        <f>BX385*4</f>
        <v>0</v>
      </c>
      <c r="BY392" s="234">
        <f t="shared" si="775"/>
        <v>18</v>
      </c>
      <c r="BZ392" s="123"/>
      <c r="CA392" s="8"/>
      <c r="CB392" s="34"/>
      <c r="CC392" s="736"/>
      <c r="CD392" s="123"/>
      <c r="CE392" s="8"/>
      <c r="CF392" s="34"/>
      <c r="CG392" s="736"/>
      <c r="CH392" s="20"/>
      <c r="CI392" s="8"/>
      <c r="CJ392" s="34"/>
      <c r="CK392" s="234"/>
      <c r="CL392" s="234"/>
      <c r="CM392" s="395">
        <f>SUM(M392,AG392,BA392,BU392,CO392)-SUM(O392,AI392,BC392,BW392,CQ392)-L392</f>
        <v>-18</v>
      </c>
      <c r="CN392" s="32">
        <f t="shared" si="783"/>
        <v>18</v>
      </c>
      <c r="CO392" s="302">
        <f>CO385*4</f>
        <v>0</v>
      </c>
      <c r="CP392" s="7">
        <f t="shared" si="776"/>
        <v>-18</v>
      </c>
      <c r="CQ392" s="242"/>
      <c r="CR392" s="304">
        <f>CR385*4</f>
        <v>0</v>
      </c>
      <c r="CS392" s="234">
        <f t="shared" si="777"/>
        <v>18</v>
      </c>
      <c r="CT392" s="123"/>
      <c r="CU392" s="8"/>
      <c r="CV392" s="34"/>
      <c r="CW392" s="736"/>
      <c r="CX392" s="123"/>
      <c r="CY392" s="8"/>
      <c r="CZ392" s="34"/>
      <c r="DA392" s="736"/>
      <c r="DB392" s="20"/>
      <c r="DC392" s="8"/>
      <c r="DD392" s="34"/>
      <c r="DE392" s="234"/>
      <c r="DF392" s="234"/>
      <c r="DG392" s="395">
        <f>SUM(M392,AG392,BA392,BU392,DI392)-SUM(O392,AI392,BC392,BW392,CQ392)-L392</f>
        <v>-18</v>
      </c>
      <c r="DH392" s="32">
        <f t="shared" si="778"/>
        <v>18</v>
      </c>
      <c r="DI392" s="302">
        <f>DI385*4</f>
        <v>0</v>
      </c>
      <c r="DJ392" s="7">
        <f t="shared" si="779"/>
        <v>-18</v>
      </c>
      <c r="DK392" s="242"/>
      <c r="DL392" s="304">
        <f>DL385*4</f>
        <v>0</v>
      </c>
      <c r="DM392" s="234">
        <f t="shared" si="780"/>
        <v>18</v>
      </c>
    </row>
    <row r="393" spans="1:117" x14ac:dyDescent="0.3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>SUM(M393,AG393,BA393,BU393)-L393</f>
        <v>-17</v>
      </c>
      <c r="K393" s="395">
        <f t="shared" si="768"/>
        <v>-17</v>
      </c>
      <c r="L393" s="32">
        <v>17</v>
      </c>
      <c r="M393" s="302">
        <f>M385*4</f>
        <v>0</v>
      </c>
      <c r="N393" s="7">
        <f t="shared" si="769"/>
        <v>-17</v>
      </c>
      <c r="O393" s="258"/>
      <c r="P393" s="304">
        <f>P385*4</f>
        <v>0</v>
      </c>
      <c r="Q393" s="234">
        <f t="shared" si="756"/>
        <v>17</v>
      </c>
      <c r="R393" s="123"/>
      <c r="S393" s="8"/>
      <c r="T393" s="34"/>
      <c r="U393" s="736"/>
      <c r="V393" s="123"/>
      <c r="W393" s="8"/>
      <c r="X393" s="34"/>
      <c r="Y393" s="736"/>
      <c r="Z393" s="20"/>
      <c r="AA393" s="8"/>
      <c r="AB393" s="34"/>
      <c r="AC393" s="234"/>
      <c r="AD393" s="234"/>
      <c r="AE393" s="398">
        <f>SUM(M393,AG393)-SUM(O393,AI393)-L393</f>
        <v>-17</v>
      </c>
      <c r="AF393" s="32">
        <f>Q393</f>
        <v>17</v>
      </c>
      <c r="AG393" s="302">
        <f>AG385*4</f>
        <v>0</v>
      </c>
      <c r="AH393" s="7">
        <f t="shared" si="770"/>
        <v>-17</v>
      </c>
      <c r="AI393" s="258"/>
      <c r="AJ393" s="304">
        <f>AJ385*4</f>
        <v>0</v>
      </c>
      <c r="AK393" s="234">
        <f t="shared" si="771"/>
        <v>17</v>
      </c>
      <c r="AL393" s="123"/>
      <c r="AM393" s="8"/>
      <c r="AN393" s="34"/>
      <c r="AO393" s="736"/>
      <c r="AP393" s="123"/>
      <c r="AQ393" s="8"/>
      <c r="AR393" s="34"/>
      <c r="AS393" s="736"/>
      <c r="AT393" s="20"/>
      <c r="AU393" s="8"/>
      <c r="AV393" s="34"/>
      <c r="AW393" s="234"/>
      <c r="AX393" s="234"/>
      <c r="AY393" s="395">
        <f>SUM(M393,AG393,BA393)-SUM(O393,AI393,BC393)-L393</f>
        <v>-17</v>
      </c>
      <c r="AZ393" s="32">
        <f t="shared" si="781"/>
        <v>17</v>
      </c>
      <c r="BA393" s="302">
        <f>BA385*4</f>
        <v>0</v>
      </c>
      <c r="BB393" s="7">
        <f t="shared" si="772"/>
        <v>-17</v>
      </c>
      <c r="BC393" s="258"/>
      <c r="BD393" s="304">
        <f>BD385*4</f>
        <v>0</v>
      </c>
      <c r="BE393" s="234">
        <f t="shared" si="773"/>
        <v>17</v>
      </c>
      <c r="BF393" s="123"/>
      <c r="BG393" s="8"/>
      <c r="BH393" s="34"/>
      <c r="BI393" s="736"/>
      <c r="BJ393" s="123"/>
      <c r="BK393" s="8"/>
      <c r="BL393" s="34"/>
      <c r="BM393" s="736"/>
      <c r="BN393" s="20"/>
      <c r="BO393" s="8"/>
      <c r="BP393" s="34"/>
      <c r="BQ393" s="234"/>
      <c r="BR393" s="234"/>
      <c r="BS393" s="395">
        <f>SUM(M393,AG393,BA393,BU393)-SUM(O393,AI393,BC393,BW393)-L393</f>
        <v>-17</v>
      </c>
      <c r="BT393" s="32">
        <f t="shared" si="782"/>
        <v>17</v>
      </c>
      <c r="BU393" s="302">
        <f>BU385*4</f>
        <v>0</v>
      </c>
      <c r="BV393" s="7">
        <f t="shared" si="774"/>
        <v>-17</v>
      </c>
      <c r="BW393" s="258"/>
      <c r="BX393" s="304">
        <f>BX385*4</f>
        <v>0</v>
      </c>
      <c r="BY393" s="234">
        <f t="shared" si="775"/>
        <v>17</v>
      </c>
      <c r="BZ393" s="123"/>
      <c r="CA393" s="8"/>
      <c r="CB393" s="34"/>
      <c r="CC393" s="736"/>
      <c r="CD393" s="123"/>
      <c r="CE393" s="8"/>
      <c r="CF393" s="34"/>
      <c r="CG393" s="736"/>
      <c r="CH393" s="20"/>
      <c r="CI393" s="8"/>
      <c r="CJ393" s="34"/>
      <c r="CK393" s="234"/>
      <c r="CL393" s="234"/>
      <c r="CM393" s="395">
        <f>SUM(M393,AG393,BA393,BU393,CO393)-SUM(O393,AI393,BC393,BW393,CQ393)-L393</f>
        <v>-17</v>
      </c>
      <c r="CN393" s="32">
        <f t="shared" si="783"/>
        <v>17</v>
      </c>
      <c r="CO393" s="302">
        <f>CO385*4</f>
        <v>0</v>
      </c>
      <c r="CP393" s="7">
        <f t="shared" si="776"/>
        <v>-17</v>
      </c>
      <c r="CQ393" s="242"/>
      <c r="CR393" s="304">
        <f>CR385*4</f>
        <v>0</v>
      </c>
      <c r="CS393" s="234">
        <f t="shared" si="777"/>
        <v>17</v>
      </c>
      <c r="CT393" s="123"/>
      <c r="CU393" s="8"/>
      <c r="CV393" s="34"/>
      <c r="CW393" s="736"/>
      <c r="CX393" s="123"/>
      <c r="CY393" s="8"/>
      <c r="CZ393" s="34"/>
      <c r="DA393" s="736"/>
      <c r="DB393" s="20"/>
      <c r="DC393" s="8"/>
      <c r="DD393" s="34"/>
      <c r="DE393" s="234"/>
      <c r="DF393" s="234"/>
      <c r="DG393" s="395">
        <f>SUM(M393,AG393,BA393,BU393,DI393)-SUM(O393,AI393,BC393,BW393,CQ393)-L393</f>
        <v>-17</v>
      </c>
      <c r="DH393" s="32">
        <f t="shared" si="778"/>
        <v>17</v>
      </c>
      <c r="DI393" s="302">
        <f>DI385*4</f>
        <v>0</v>
      </c>
      <c r="DJ393" s="7">
        <f t="shared" si="779"/>
        <v>-17</v>
      </c>
      <c r="DK393" s="242"/>
      <c r="DL393" s="304">
        <f>DL385*4</f>
        <v>0</v>
      </c>
      <c r="DM393" s="234">
        <f t="shared" si="780"/>
        <v>17</v>
      </c>
    </row>
    <row r="394" spans="1:117" x14ac:dyDescent="0.3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>SUM(M394,AG394,BA394,BU394)-L394</f>
        <v>-1</v>
      </c>
      <c r="K394" s="395">
        <f t="shared" si="768"/>
        <v>-1</v>
      </c>
      <c r="L394" s="32">
        <v>1</v>
      </c>
      <c r="M394" s="302">
        <f>M385</f>
        <v>0</v>
      </c>
      <c r="N394" s="7">
        <f t="shared" si="769"/>
        <v>-1</v>
      </c>
      <c r="O394" s="258"/>
      <c r="P394" s="304">
        <f>P385</f>
        <v>0</v>
      </c>
      <c r="Q394" s="234">
        <f t="shared" si="756"/>
        <v>1</v>
      </c>
      <c r="R394" s="123"/>
      <c r="S394" s="8"/>
      <c r="T394" s="34"/>
      <c r="U394" s="736"/>
      <c r="V394" s="123"/>
      <c r="W394" s="8"/>
      <c r="X394" s="34"/>
      <c r="Y394" s="736"/>
      <c r="Z394" s="20"/>
      <c r="AA394" s="8"/>
      <c r="AB394" s="34"/>
      <c r="AC394" s="234"/>
      <c r="AD394" s="234"/>
      <c r="AE394" s="398">
        <f>SUM(M394,AG394)-SUM(O394,AI394)-L394</f>
        <v>-1</v>
      </c>
      <c r="AF394" s="32">
        <f>Q394</f>
        <v>1</v>
      </c>
      <c r="AG394" s="302">
        <f>AG385</f>
        <v>0</v>
      </c>
      <c r="AH394" s="7">
        <f t="shared" si="770"/>
        <v>-1</v>
      </c>
      <c r="AI394" s="258"/>
      <c r="AJ394" s="304">
        <f>AJ385</f>
        <v>0</v>
      </c>
      <c r="AK394" s="234">
        <f t="shared" si="771"/>
        <v>1</v>
      </c>
      <c r="AL394" s="123"/>
      <c r="AM394" s="8"/>
      <c r="AN394" s="34"/>
      <c r="AO394" s="736"/>
      <c r="AP394" s="123"/>
      <c r="AQ394" s="8"/>
      <c r="AR394" s="34"/>
      <c r="AS394" s="736"/>
      <c r="AT394" s="20"/>
      <c r="AU394" s="8"/>
      <c r="AV394" s="34"/>
      <c r="AW394" s="234"/>
      <c r="AX394" s="234"/>
      <c r="AY394" s="395">
        <f>SUM(M394,AG394,BA394)-SUM(O394,AI394,BC394)-L394</f>
        <v>-1</v>
      </c>
      <c r="AZ394" s="32">
        <f t="shared" si="781"/>
        <v>1</v>
      </c>
      <c r="BA394" s="302">
        <f>BA385</f>
        <v>0</v>
      </c>
      <c r="BB394" s="7">
        <f t="shared" si="772"/>
        <v>-1</v>
      </c>
      <c r="BC394" s="258"/>
      <c r="BD394" s="304">
        <f>BD385</f>
        <v>0</v>
      </c>
      <c r="BE394" s="234">
        <f t="shared" si="773"/>
        <v>1</v>
      </c>
      <c r="BF394" s="123"/>
      <c r="BG394" s="8"/>
      <c r="BH394" s="34"/>
      <c r="BI394" s="736"/>
      <c r="BJ394" s="123"/>
      <c r="BK394" s="8"/>
      <c r="BL394" s="34"/>
      <c r="BM394" s="736"/>
      <c r="BN394" s="20"/>
      <c r="BO394" s="8"/>
      <c r="BP394" s="34"/>
      <c r="BQ394" s="234"/>
      <c r="BR394" s="234"/>
      <c r="BS394" s="395">
        <f>SUM(M394,AG394,BA394,BU394)-SUM(O394,AI394,BC394,BW394)-L394</f>
        <v>-1</v>
      </c>
      <c r="BT394" s="32">
        <f t="shared" si="782"/>
        <v>1</v>
      </c>
      <c r="BU394" s="302">
        <f>BU385</f>
        <v>0</v>
      </c>
      <c r="BV394" s="7">
        <f t="shared" si="774"/>
        <v>-1</v>
      </c>
      <c r="BW394" s="258"/>
      <c r="BX394" s="304">
        <f>BX385</f>
        <v>0</v>
      </c>
      <c r="BY394" s="234">
        <f t="shared" si="775"/>
        <v>1</v>
      </c>
      <c r="BZ394" s="123"/>
      <c r="CA394" s="8"/>
      <c r="CB394" s="34"/>
      <c r="CC394" s="736"/>
      <c r="CD394" s="123"/>
      <c r="CE394" s="8"/>
      <c r="CF394" s="34"/>
      <c r="CG394" s="736"/>
      <c r="CH394" s="20"/>
      <c r="CI394" s="8"/>
      <c r="CJ394" s="34"/>
      <c r="CK394" s="234"/>
      <c r="CL394" s="234"/>
      <c r="CM394" s="395">
        <f>SUM(M394,AG394,BA394,BU394,CO394)-SUM(O394,AI394,BC394,BW394,CQ394)-L394</f>
        <v>-1</v>
      </c>
      <c r="CN394" s="32">
        <f t="shared" si="783"/>
        <v>1</v>
      </c>
      <c r="CO394" s="302">
        <f>CO385</f>
        <v>0</v>
      </c>
      <c r="CP394" s="7">
        <f t="shared" si="776"/>
        <v>-1</v>
      </c>
      <c r="CQ394" s="242"/>
      <c r="CR394" s="304">
        <f>CR385</f>
        <v>0</v>
      </c>
      <c r="CS394" s="234">
        <f t="shared" si="777"/>
        <v>1</v>
      </c>
      <c r="CT394" s="123"/>
      <c r="CU394" s="8"/>
      <c r="CV394" s="34"/>
      <c r="CW394" s="736"/>
      <c r="CX394" s="123"/>
      <c r="CY394" s="8"/>
      <c r="CZ394" s="34"/>
      <c r="DA394" s="736"/>
      <c r="DB394" s="20"/>
      <c r="DC394" s="8"/>
      <c r="DD394" s="34"/>
      <c r="DE394" s="234"/>
      <c r="DF394" s="234"/>
      <c r="DG394" s="395">
        <f>SUM(M394,AG394,BA394,BU394,DI394)-SUM(O394,AI394,BC394,BW394,CQ394)-L394</f>
        <v>-1</v>
      </c>
      <c r="DH394" s="32">
        <f t="shared" si="778"/>
        <v>1</v>
      </c>
      <c r="DI394" s="302">
        <f>DI385</f>
        <v>0</v>
      </c>
      <c r="DJ394" s="7">
        <f t="shared" si="779"/>
        <v>-1</v>
      </c>
      <c r="DK394" s="242"/>
      <c r="DL394" s="304">
        <f>DL385</f>
        <v>0</v>
      </c>
      <c r="DM394" s="234">
        <f t="shared" si="780"/>
        <v>1</v>
      </c>
    </row>
    <row r="395" spans="1:117" x14ac:dyDescent="0.3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>SUM(M395,AG395,BA395,BU395)-L395</f>
        <v>-12</v>
      </c>
      <c r="K395" s="395">
        <f t="shared" si="768"/>
        <v>-12</v>
      </c>
      <c r="L395" s="32">
        <v>12</v>
      </c>
      <c r="M395" s="302">
        <f>M385*4</f>
        <v>0</v>
      </c>
      <c r="N395" s="7">
        <f t="shared" si="769"/>
        <v>-12</v>
      </c>
      <c r="O395" s="258"/>
      <c r="P395" s="304">
        <f>P385*4</f>
        <v>0</v>
      </c>
      <c r="Q395" s="234">
        <f t="shared" si="756"/>
        <v>12</v>
      </c>
      <c r="R395" s="123"/>
      <c r="S395" s="8"/>
      <c r="T395" s="34"/>
      <c r="U395" s="736"/>
      <c r="V395" s="123"/>
      <c r="W395" s="8"/>
      <c r="X395" s="34"/>
      <c r="Y395" s="736"/>
      <c r="Z395" s="20"/>
      <c r="AA395" s="8"/>
      <c r="AB395" s="34"/>
      <c r="AC395" s="234"/>
      <c r="AD395" s="234"/>
      <c r="AE395" s="398">
        <f>SUM(M395,AG395)-SUM(O395,AI395)-L395</f>
        <v>-12</v>
      </c>
      <c r="AF395" s="32">
        <f>Q395</f>
        <v>12</v>
      </c>
      <c r="AG395" s="302">
        <f>AG385*4</f>
        <v>0</v>
      </c>
      <c r="AH395" s="7">
        <f t="shared" si="770"/>
        <v>-12</v>
      </c>
      <c r="AI395" s="258"/>
      <c r="AJ395" s="304">
        <f>AJ385*4</f>
        <v>0</v>
      </c>
      <c r="AK395" s="234">
        <f t="shared" si="771"/>
        <v>12</v>
      </c>
      <c r="AL395" s="123"/>
      <c r="AM395" s="8"/>
      <c r="AN395" s="34"/>
      <c r="AO395" s="736"/>
      <c r="AP395" s="123"/>
      <c r="AQ395" s="8"/>
      <c r="AR395" s="34"/>
      <c r="AS395" s="736"/>
      <c r="AT395" s="20"/>
      <c r="AU395" s="8"/>
      <c r="AV395" s="34"/>
      <c r="AW395" s="234"/>
      <c r="AX395" s="234"/>
      <c r="AY395" s="395">
        <f>SUM(M395,AG395,BA395)-SUM(O395,AI395,BC395)-L395</f>
        <v>-12</v>
      </c>
      <c r="AZ395" s="32">
        <f t="shared" si="781"/>
        <v>12</v>
      </c>
      <c r="BA395" s="302">
        <f>BA385*4</f>
        <v>0</v>
      </c>
      <c r="BB395" s="7">
        <f t="shared" si="772"/>
        <v>-12</v>
      </c>
      <c r="BC395" s="258"/>
      <c r="BD395" s="304">
        <f>BD385*4</f>
        <v>0</v>
      </c>
      <c r="BE395" s="234">
        <f t="shared" si="773"/>
        <v>12</v>
      </c>
      <c r="BF395" s="123"/>
      <c r="BG395" s="8"/>
      <c r="BH395" s="34"/>
      <c r="BI395" s="736"/>
      <c r="BJ395" s="123"/>
      <c r="BK395" s="8"/>
      <c r="BL395" s="34"/>
      <c r="BM395" s="736"/>
      <c r="BN395" s="20"/>
      <c r="BO395" s="8"/>
      <c r="BP395" s="34"/>
      <c r="BQ395" s="234"/>
      <c r="BR395" s="234"/>
      <c r="BS395" s="395">
        <f>SUM(M395,AG395,BA395,BU395)-SUM(O395,AI395,BC395,BW395)-L395</f>
        <v>-12</v>
      </c>
      <c r="BT395" s="32">
        <f t="shared" si="782"/>
        <v>12</v>
      </c>
      <c r="BU395" s="302">
        <f>BU385*4</f>
        <v>0</v>
      </c>
      <c r="BV395" s="7">
        <f t="shared" si="774"/>
        <v>-12</v>
      </c>
      <c r="BW395" s="258"/>
      <c r="BX395" s="304">
        <f>BX385*4</f>
        <v>0</v>
      </c>
      <c r="BY395" s="234">
        <f t="shared" si="775"/>
        <v>12</v>
      </c>
      <c r="BZ395" s="123"/>
      <c r="CA395" s="8"/>
      <c r="CB395" s="34"/>
      <c r="CC395" s="736"/>
      <c r="CD395" s="123"/>
      <c r="CE395" s="8"/>
      <c r="CF395" s="34"/>
      <c r="CG395" s="736"/>
      <c r="CH395" s="20"/>
      <c r="CI395" s="8"/>
      <c r="CJ395" s="34"/>
      <c r="CK395" s="234"/>
      <c r="CL395" s="234"/>
      <c r="CM395" s="395">
        <f>SUM(M395,AG395,BA395,BU395,CO395)-SUM(O395,AI395,BC395,BW395,CQ395)-L395</f>
        <v>-12</v>
      </c>
      <c r="CN395" s="32">
        <f t="shared" si="783"/>
        <v>12</v>
      </c>
      <c r="CO395" s="302">
        <f>CO385*4</f>
        <v>0</v>
      </c>
      <c r="CP395" s="7">
        <f t="shared" si="776"/>
        <v>-12</v>
      </c>
      <c r="CQ395" s="242"/>
      <c r="CR395" s="304">
        <f>CR385*4</f>
        <v>0</v>
      </c>
      <c r="CS395" s="234">
        <f t="shared" si="777"/>
        <v>12</v>
      </c>
      <c r="CT395" s="123"/>
      <c r="CU395" s="8"/>
      <c r="CV395" s="34"/>
      <c r="CW395" s="736"/>
      <c r="CX395" s="123"/>
      <c r="CY395" s="8"/>
      <c r="CZ395" s="34"/>
      <c r="DA395" s="736"/>
      <c r="DB395" s="20"/>
      <c r="DC395" s="8"/>
      <c r="DD395" s="34"/>
      <c r="DE395" s="234"/>
      <c r="DF395" s="234"/>
      <c r="DG395" s="395">
        <f>SUM(M395,AG395,BA395,BU395,DI395)-SUM(O395,AI395,BC395,BW395,CQ395)-L395</f>
        <v>-12</v>
      </c>
      <c r="DH395" s="32">
        <f t="shared" si="778"/>
        <v>12</v>
      </c>
      <c r="DI395" s="302">
        <f>DI385*4</f>
        <v>0</v>
      </c>
      <c r="DJ395" s="7">
        <f t="shared" si="779"/>
        <v>-12</v>
      </c>
      <c r="DK395" s="242"/>
      <c r="DL395" s="304">
        <f>DL385*4</f>
        <v>0</v>
      </c>
      <c r="DM395" s="234">
        <f t="shared" si="780"/>
        <v>12</v>
      </c>
    </row>
    <row r="396" spans="1:117" x14ac:dyDescent="0.3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>SUM(M396,AG396,BA396,BU396)-L396</f>
        <v>-1</v>
      </c>
      <c r="K396" s="395">
        <f t="shared" si="768"/>
        <v>-1</v>
      </c>
      <c r="L396" s="32">
        <v>1</v>
      </c>
      <c r="M396" s="302">
        <f>M385</f>
        <v>0</v>
      </c>
      <c r="N396" s="7">
        <f t="shared" si="769"/>
        <v>-1</v>
      </c>
      <c r="O396" s="258"/>
      <c r="P396" s="304">
        <f>P385</f>
        <v>0</v>
      </c>
      <c r="Q396" s="234">
        <f t="shared" si="756"/>
        <v>1</v>
      </c>
      <c r="R396" s="123"/>
      <c r="S396" s="8"/>
      <c r="T396" s="34"/>
      <c r="U396" s="736"/>
      <c r="V396" s="123"/>
      <c r="W396" s="8"/>
      <c r="X396" s="34"/>
      <c r="Y396" s="736"/>
      <c r="Z396" s="20"/>
      <c r="AA396" s="8"/>
      <c r="AB396" s="34"/>
      <c r="AC396" s="234"/>
      <c r="AD396" s="234"/>
      <c r="AE396" s="398">
        <f>SUM(M396,AG396)-SUM(O396,AI396)-L396</f>
        <v>-1</v>
      </c>
      <c r="AF396" s="32">
        <f>Q396</f>
        <v>1</v>
      </c>
      <c r="AG396" s="302">
        <f>AG385</f>
        <v>0</v>
      </c>
      <c r="AH396" s="7">
        <f t="shared" si="770"/>
        <v>-1</v>
      </c>
      <c r="AI396" s="258"/>
      <c r="AJ396" s="304">
        <f>AJ385</f>
        <v>0</v>
      </c>
      <c r="AK396" s="234">
        <f t="shared" si="771"/>
        <v>1</v>
      </c>
      <c r="AL396" s="123"/>
      <c r="AM396" s="8"/>
      <c r="AN396" s="34"/>
      <c r="AO396" s="736"/>
      <c r="AP396" s="123"/>
      <c r="AQ396" s="8"/>
      <c r="AR396" s="34"/>
      <c r="AS396" s="736"/>
      <c r="AT396" s="20"/>
      <c r="AU396" s="8"/>
      <c r="AV396" s="34"/>
      <c r="AW396" s="234"/>
      <c r="AX396" s="234"/>
      <c r="AY396" s="395">
        <f>SUM(M396,AG396,BA396)-SUM(O396,AI396,BC396)-L396</f>
        <v>-1</v>
      </c>
      <c r="AZ396" s="32">
        <f t="shared" si="781"/>
        <v>1</v>
      </c>
      <c r="BA396" s="302">
        <f>BA385</f>
        <v>0</v>
      </c>
      <c r="BB396" s="7">
        <f t="shared" si="772"/>
        <v>-1</v>
      </c>
      <c r="BC396" s="258"/>
      <c r="BD396" s="304">
        <f>BD385</f>
        <v>0</v>
      </c>
      <c r="BE396" s="234">
        <f t="shared" si="773"/>
        <v>1</v>
      </c>
      <c r="BF396" s="123"/>
      <c r="BG396" s="8"/>
      <c r="BH396" s="34"/>
      <c r="BI396" s="736"/>
      <c r="BJ396" s="123"/>
      <c r="BK396" s="8"/>
      <c r="BL396" s="34"/>
      <c r="BM396" s="736"/>
      <c r="BN396" s="20"/>
      <c r="BO396" s="8"/>
      <c r="BP396" s="34"/>
      <c r="BQ396" s="234"/>
      <c r="BR396" s="234"/>
      <c r="BS396" s="395">
        <f>SUM(M396,AG396,BA396,BU396)-SUM(O396,AI396,BC396,BW396)-L396</f>
        <v>-1</v>
      </c>
      <c r="BT396" s="32">
        <f t="shared" si="782"/>
        <v>1</v>
      </c>
      <c r="BU396" s="302">
        <f>BU385</f>
        <v>0</v>
      </c>
      <c r="BV396" s="7">
        <f t="shared" si="774"/>
        <v>-1</v>
      </c>
      <c r="BW396" s="258"/>
      <c r="BX396" s="304">
        <f>BX385</f>
        <v>0</v>
      </c>
      <c r="BY396" s="234">
        <f t="shared" si="775"/>
        <v>1</v>
      </c>
      <c r="BZ396" s="123"/>
      <c r="CA396" s="8"/>
      <c r="CB396" s="34"/>
      <c r="CC396" s="736"/>
      <c r="CD396" s="123"/>
      <c r="CE396" s="8"/>
      <c r="CF396" s="34"/>
      <c r="CG396" s="736"/>
      <c r="CH396" s="20"/>
      <c r="CI396" s="8"/>
      <c r="CJ396" s="34"/>
      <c r="CK396" s="234"/>
      <c r="CL396" s="234"/>
      <c r="CM396" s="395">
        <f>SUM(M396,AG396,BA396,BU396,CO396)-SUM(O396,AI396,BC396,BW396,CQ396)-L396</f>
        <v>-1</v>
      </c>
      <c r="CN396" s="32">
        <f t="shared" si="783"/>
        <v>1</v>
      </c>
      <c r="CO396" s="302">
        <f>CO385</f>
        <v>0</v>
      </c>
      <c r="CP396" s="7">
        <f t="shared" si="776"/>
        <v>-1</v>
      </c>
      <c r="CQ396" s="242"/>
      <c r="CR396" s="304">
        <f>CR385</f>
        <v>0</v>
      </c>
      <c r="CS396" s="234">
        <f t="shared" si="777"/>
        <v>1</v>
      </c>
      <c r="CT396" s="123"/>
      <c r="CU396" s="8"/>
      <c r="CV396" s="34"/>
      <c r="CW396" s="736"/>
      <c r="CX396" s="123"/>
      <c r="CY396" s="8"/>
      <c r="CZ396" s="34"/>
      <c r="DA396" s="736"/>
      <c r="DB396" s="20"/>
      <c r="DC396" s="8"/>
      <c r="DD396" s="34"/>
      <c r="DE396" s="234"/>
      <c r="DF396" s="234"/>
      <c r="DG396" s="395">
        <f>SUM(M396,AG396,BA396,BU396,DI396)-SUM(O396,AI396,BC396,BW396,CQ396)-L396</f>
        <v>-1</v>
      </c>
      <c r="DH396" s="32">
        <f t="shared" si="778"/>
        <v>1</v>
      </c>
      <c r="DI396" s="302">
        <f>DI385</f>
        <v>0</v>
      </c>
      <c r="DJ396" s="7">
        <f t="shared" si="779"/>
        <v>-1</v>
      </c>
      <c r="DK396" s="242"/>
      <c r="DL396" s="304">
        <f>DL385</f>
        <v>0</v>
      </c>
      <c r="DM396" s="234">
        <f t="shared" si="780"/>
        <v>1</v>
      </c>
    </row>
    <row r="397" spans="1:117" x14ac:dyDescent="0.3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>SUM(M397,AG397,BA397,BU397)-L397</f>
        <v>-3</v>
      </c>
      <c r="K397" s="395">
        <f t="shared" si="768"/>
        <v>-3</v>
      </c>
      <c r="L397" s="32">
        <v>3</v>
      </c>
      <c r="M397" s="302">
        <f>M385</f>
        <v>0</v>
      </c>
      <c r="N397" s="7">
        <f t="shared" si="769"/>
        <v>-3</v>
      </c>
      <c r="O397" s="258"/>
      <c r="P397" s="304">
        <f>P385</f>
        <v>0</v>
      </c>
      <c r="Q397" s="234">
        <f t="shared" si="756"/>
        <v>3</v>
      </c>
      <c r="R397" s="123"/>
      <c r="S397" s="8"/>
      <c r="T397" s="34"/>
      <c r="U397" s="736"/>
      <c r="V397" s="123"/>
      <c r="W397" s="8"/>
      <c r="X397" s="34"/>
      <c r="Y397" s="736"/>
      <c r="Z397" s="20"/>
      <c r="AA397" s="8"/>
      <c r="AB397" s="34"/>
      <c r="AC397" s="234"/>
      <c r="AD397" s="234"/>
      <c r="AE397" s="398">
        <f>SUM(M397,AG397)-SUM(O397,AI397)-L397</f>
        <v>-3</v>
      </c>
      <c r="AF397" s="32">
        <f>Q397</f>
        <v>3</v>
      </c>
      <c r="AG397" s="302">
        <f>AG385</f>
        <v>0</v>
      </c>
      <c r="AH397" s="7">
        <f t="shared" si="770"/>
        <v>-3</v>
      </c>
      <c r="AI397" s="258"/>
      <c r="AJ397" s="304">
        <f>AJ385</f>
        <v>0</v>
      </c>
      <c r="AK397" s="234">
        <f t="shared" si="771"/>
        <v>3</v>
      </c>
      <c r="AL397" s="123"/>
      <c r="AM397" s="8"/>
      <c r="AN397" s="34"/>
      <c r="AO397" s="736"/>
      <c r="AP397" s="123"/>
      <c r="AQ397" s="8"/>
      <c r="AR397" s="34"/>
      <c r="AS397" s="736"/>
      <c r="AT397" s="20"/>
      <c r="AU397" s="8"/>
      <c r="AV397" s="34"/>
      <c r="AW397" s="234"/>
      <c r="AX397" s="234"/>
      <c r="AY397" s="395">
        <f>SUM(M397,AG397,BA397)-SUM(O397,AI397,BC397)-L397</f>
        <v>-3</v>
      </c>
      <c r="AZ397" s="32">
        <f t="shared" si="781"/>
        <v>3</v>
      </c>
      <c r="BA397" s="302">
        <f>BA385</f>
        <v>0</v>
      </c>
      <c r="BB397" s="7">
        <f t="shared" si="772"/>
        <v>-3</v>
      </c>
      <c r="BC397" s="258"/>
      <c r="BD397" s="304">
        <f>BD385</f>
        <v>0</v>
      </c>
      <c r="BE397" s="234">
        <f t="shared" si="773"/>
        <v>3</v>
      </c>
      <c r="BF397" s="123"/>
      <c r="BG397" s="8"/>
      <c r="BH397" s="34"/>
      <c r="BI397" s="736"/>
      <c r="BJ397" s="123"/>
      <c r="BK397" s="8"/>
      <c r="BL397" s="34"/>
      <c r="BM397" s="736"/>
      <c r="BN397" s="20"/>
      <c r="BO397" s="8"/>
      <c r="BP397" s="34"/>
      <c r="BQ397" s="234"/>
      <c r="BR397" s="234"/>
      <c r="BS397" s="395">
        <f>SUM(M397,AG397,BA397,BU397)-SUM(O397,AI397,BC397,BW397)-L397</f>
        <v>-3</v>
      </c>
      <c r="BT397" s="32">
        <f t="shared" si="782"/>
        <v>3</v>
      </c>
      <c r="BU397" s="302">
        <f>BU385</f>
        <v>0</v>
      </c>
      <c r="BV397" s="7">
        <f t="shared" si="774"/>
        <v>-3</v>
      </c>
      <c r="BW397" s="258"/>
      <c r="BX397" s="304">
        <f>BX385</f>
        <v>0</v>
      </c>
      <c r="BY397" s="234">
        <f t="shared" si="775"/>
        <v>3</v>
      </c>
      <c r="BZ397" s="123"/>
      <c r="CA397" s="8"/>
      <c r="CB397" s="34"/>
      <c r="CC397" s="736"/>
      <c r="CD397" s="123"/>
      <c r="CE397" s="8"/>
      <c r="CF397" s="34"/>
      <c r="CG397" s="736"/>
      <c r="CH397" s="20"/>
      <c r="CI397" s="8"/>
      <c r="CJ397" s="34"/>
      <c r="CK397" s="234"/>
      <c r="CL397" s="234"/>
      <c r="CM397" s="395">
        <f>SUM(M397,AG397,BA397,BU397,CO397)-SUM(O397,AI397,BC397,BW397,CQ397)-L397</f>
        <v>-3</v>
      </c>
      <c r="CN397" s="32">
        <f t="shared" si="783"/>
        <v>3</v>
      </c>
      <c r="CO397" s="302">
        <f>CO385</f>
        <v>0</v>
      </c>
      <c r="CP397" s="7">
        <f t="shared" si="776"/>
        <v>-3</v>
      </c>
      <c r="CQ397" s="242"/>
      <c r="CR397" s="304">
        <f>CR385</f>
        <v>0</v>
      </c>
      <c r="CS397" s="234">
        <f t="shared" si="777"/>
        <v>3</v>
      </c>
      <c r="CT397" s="123"/>
      <c r="CU397" s="8"/>
      <c r="CV397" s="34"/>
      <c r="CW397" s="736"/>
      <c r="CX397" s="123"/>
      <c r="CY397" s="8"/>
      <c r="CZ397" s="34"/>
      <c r="DA397" s="736"/>
      <c r="DB397" s="20"/>
      <c r="DC397" s="8"/>
      <c r="DD397" s="34"/>
      <c r="DE397" s="234"/>
      <c r="DF397" s="234"/>
      <c r="DG397" s="395">
        <f>SUM(M397,AG397,BA397,BU397,DI397)-SUM(O397,AI397,BC397,BW397,CQ397)-L397</f>
        <v>-3</v>
      </c>
      <c r="DH397" s="32">
        <f t="shared" si="778"/>
        <v>3</v>
      </c>
      <c r="DI397" s="302">
        <f>DI385</f>
        <v>0</v>
      </c>
      <c r="DJ397" s="7">
        <f t="shared" si="779"/>
        <v>-3</v>
      </c>
      <c r="DK397" s="242"/>
      <c r="DL397" s="304">
        <f>DL385</f>
        <v>0</v>
      </c>
      <c r="DM397" s="234">
        <f t="shared" si="780"/>
        <v>3</v>
      </c>
    </row>
    <row r="398" spans="1:117" x14ac:dyDescent="0.3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>SUM(M398,AG398,BA398,BU398)-L398</f>
        <v>-1</v>
      </c>
      <c r="K398" s="395">
        <f t="shared" si="768"/>
        <v>-1</v>
      </c>
      <c r="L398" s="548">
        <v>3</v>
      </c>
      <c r="M398" s="302">
        <f>SUM(M432,M385)</f>
        <v>2</v>
      </c>
      <c r="N398" s="7">
        <f t="shared" si="769"/>
        <v>-1</v>
      </c>
      <c r="O398" s="258"/>
      <c r="P398" s="304">
        <f>SUM(P432,P385)</f>
        <v>2</v>
      </c>
      <c r="Q398" s="234">
        <f t="shared" si="756"/>
        <v>1</v>
      </c>
      <c r="R398" s="123"/>
      <c r="S398" s="8"/>
      <c r="T398" s="34"/>
      <c r="U398" s="736"/>
      <c r="V398" s="123"/>
      <c r="W398" s="8"/>
      <c r="X398" s="34"/>
      <c r="Y398" s="736"/>
      <c r="Z398" s="20"/>
      <c r="AA398" s="8"/>
      <c r="AB398" s="34"/>
      <c r="AC398" s="234"/>
      <c r="AD398" s="234"/>
      <c r="AE398" s="398">
        <f>SUM(M398,AG398)-SUM(O398,AI398)-L398</f>
        <v>-1</v>
      </c>
      <c r="AF398" s="32">
        <f>Q398</f>
        <v>1</v>
      </c>
      <c r="AG398" s="302">
        <f>SUM(AG432,AG385)</f>
        <v>0</v>
      </c>
      <c r="AH398" s="7">
        <f t="shared" si="770"/>
        <v>-1</v>
      </c>
      <c r="AI398" s="242"/>
      <c r="AJ398" s="304">
        <f>SUM(AJ432,AJ385)</f>
        <v>0</v>
      </c>
      <c r="AK398" s="234">
        <f t="shared" si="771"/>
        <v>1</v>
      </c>
      <c r="AL398" s="123"/>
      <c r="AM398" s="8"/>
      <c r="AN398" s="34"/>
      <c r="AO398" s="736"/>
      <c r="AP398" s="123"/>
      <c r="AQ398" s="8"/>
      <c r="AR398" s="34"/>
      <c r="AS398" s="736"/>
      <c r="AT398" s="20"/>
      <c r="AU398" s="8"/>
      <c r="AV398" s="34"/>
      <c r="AW398" s="234"/>
      <c r="AX398" s="234"/>
      <c r="AY398" s="395">
        <f>SUM(M398,AG398,BA398)-SUM(O398,AI398,BC398)-L398</f>
        <v>-1</v>
      </c>
      <c r="AZ398" s="32">
        <f t="shared" si="781"/>
        <v>1</v>
      </c>
      <c r="BA398" s="302">
        <f>SUM(BA432,BA385)</f>
        <v>0</v>
      </c>
      <c r="BB398" s="7">
        <f t="shared" si="772"/>
        <v>-1</v>
      </c>
      <c r="BC398" s="258"/>
      <c r="BD398" s="304">
        <f>SUM(BD432,BD385)</f>
        <v>0</v>
      </c>
      <c r="BE398" s="234">
        <f t="shared" si="773"/>
        <v>1</v>
      </c>
      <c r="BF398" s="123"/>
      <c r="BG398" s="8"/>
      <c r="BH398" s="34"/>
      <c r="BI398" s="736"/>
      <c r="BJ398" s="123"/>
      <c r="BK398" s="8"/>
      <c r="BL398" s="34"/>
      <c r="BM398" s="736"/>
      <c r="BN398" s="20"/>
      <c r="BO398" s="8"/>
      <c r="BP398" s="34"/>
      <c r="BQ398" s="234"/>
      <c r="BR398" s="234"/>
      <c r="BS398" s="395">
        <f>SUM(M398,AG398,BA398,BU398)-SUM(O398,AI398,BC398,BW398)-L398</f>
        <v>-1</v>
      </c>
      <c r="BT398" s="32">
        <f t="shared" si="782"/>
        <v>1</v>
      </c>
      <c r="BU398" s="302">
        <f>SUM(BU432,BU385)</f>
        <v>0</v>
      </c>
      <c r="BV398" s="7">
        <f t="shared" si="774"/>
        <v>-1</v>
      </c>
      <c r="BW398" s="258"/>
      <c r="BX398" s="304">
        <f>SUM(BX432,BX385)</f>
        <v>0</v>
      </c>
      <c r="BY398" s="234">
        <f t="shared" si="775"/>
        <v>1</v>
      </c>
      <c r="BZ398" s="123"/>
      <c r="CA398" s="8"/>
      <c r="CB398" s="34"/>
      <c r="CC398" s="736"/>
      <c r="CD398" s="123"/>
      <c r="CE398" s="8"/>
      <c r="CF398" s="34"/>
      <c r="CG398" s="736"/>
      <c r="CH398" s="20"/>
      <c r="CI398" s="8"/>
      <c r="CJ398" s="34"/>
      <c r="CK398" s="234"/>
      <c r="CL398" s="234"/>
      <c r="CM398" s="395">
        <f>SUM(M398,AG398,BA398,BU398,CO398)-SUM(O398,AI398,BC398,BW398,CQ398)-L398</f>
        <v>-1</v>
      </c>
      <c r="CN398" s="32">
        <f t="shared" si="783"/>
        <v>1</v>
      </c>
      <c r="CO398" s="302">
        <f>SUM(CO432,CO385)</f>
        <v>0</v>
      </c>
      <c r="CP398" s="7">
        <f t="shared" si="776"/>
        <v>-1</v>
      </c>
      <c r="CQ398" s="242"/>
      <c r="CR398" s="304">
        <f>SUM(CR432,CR385)</f>
        <v>0</v>
      </c>
      <c r="CS398" s="234">
        <f t="shared" si="777"/>
        <v>1</v>
      </c>
      <c r="CT398" s="123"/>
      <c r="CU398" s="8"/>
      <c r="CV398" s="34"/>
      <c r="CW398" s="736"/>
      <c r="CX398" s="123"/>
      <c r="CY398" s="8"/>
      <c r="CZ398" s="34"/>
      <c r="DA398" s="736"/>
      <c r="DB398" s="20"/>
      <c r="DC398" s="8"/>
      <c r="DD398" s="34"/>
      <c r="DE398" s="234"/>
      <c r="DF398" s="234"/>
      <c r="DG398" s="395">
        <f>SUM(M398,AG398,BA398,BU398,DI398)-SUM(O398,AI398,BC398,BW398,CQ398)-L398</f>
        <v>-1</v>
      </c>
      <c r="DH398" s="32">
        <f t="shared" si="778"/>
        <v>1</v>
      </c>
      <c r="DI398" s="302">
        <f>SUM(DI432,DI385)</f>
        <v>0</v>
      </c>
      <c r="DJ398" s="7">
        <f t="shared" si="779"/>
        <v>-1</v>
      </c>
      <c r="DK398" s="242"/>
      <c r="DL398" s="304">
        <f>SUM(DL432,DL385)</f>
        <v>0</v>
      </c>
      <c r="DM398" s="234">
        <f t="shared" si="780"/>
        <v>1</v>
      </c>
    </row>
    <row r="399" spans="1:117" x14ac:dyDescent="0.3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>SUM(M399,AG399,BA399,BU399)-L399</f>
        <v>-3</v>
      </c>
      <c r="K399" s="395">
        <f t="shared" si="768"/>
        <v>-3</v>
      </c>
      <c r="L399" s="542">
        <v>3</v>
      </c>
      <c r="M399" s="302">
        <f>M385*2</f>
        <v>0</v>
      </c>
      <c r="N399" s="7">
        <f t="shared" si="769"/>
        <v>-3</v>
      </c>
      <c r="O399" s="258"/>
      <c r="P399" s="304">
        <f>P385*2</f>
        <v>0</v>
      </c>
      <c r="Q399" s="234">
        <f t="shared" si="756"/>
        <v>3</v>
      </c>
      <c r="R399" s="123"/>
      <c r="S399" s="8"/>
      <c r="T399" s="34"/>
      <c r="U399" s="736"/>
      <c r="V399" s="123"/>
      <c r="W399" s="8"/>
      <c r="X399" s="34"/>
      <c r="Y399" s="736"/>
      <c r="Z399" s="20"/>
      <c r="AA399" s="8"/>
      <c r="AB399" s="34"/>
      <c r="AC399" s="234"/>
      <c r="AD399" s="234"/>
      <c r="AE399" s="398">
        <f>SUM(M399,AG399)-SUM(O399,AI399)-L399</f>
        <v>-3</v>
      </c>
      <c r="AF399" s="32">
        <f>Q399</f>
        <v>3</v>
      </c>
      <c r="AG399" s="302">
        <f>AG385*2</f>
        <v>0</v>
      </c>
      <c r="AH399" s="7">
        <f t="shared" si="770"/>
        <v>-3</v>
      </c>
      <c r="AI399" s="258"/>
      <c r="AJ399" s="304">
        <f>AJ385*2</f>
        <v>0</v>
      </c>
      <c r="AK399" s="234">
        <f t="shared" si="771"/>
        <v>3</v>
      </c>
      <c r="AL399" s="123"/>
      <c r="AM399" s="8"/>
      <c r="AN399" s="34"/>
      <c r="AO399" s="736"/>
      <c r="AP399" s="123"/>
      <c r="AQ399" s="8"/>
      <c r="AR399" s="34"/>
      <c r="AS399" s="736"/>
      <c r="AT399" s="20"/>
      <c r="AU399" s="8"/>
      <c r="AV399" s="34"/>
      <c r="AW399" s="234"/>
      <c r="AX399" s="234"/>
      <c r="AY399" s="395">
        <f>SUM(M399,AG399,BA399)-SUM(O399,AI399,BC399)-L399</f>
        <v>-3</v>
      </c>
      <c r="AZ399" s="32">
        <f t="shared" si="781"/>
        <v>3</v>
      </c>
      <c r="BA399" s="302">
        <f>BA385*2</f>
        <v>0</v>
      </c>
      <c r="BB399" s="7">
        <f t="shared" si="772"/>
        <v>-3</v>
      </c>
      <c r="BC399" s="258"/>
      <c r="BD399" s="304">
        <f>BD385*2</f>
        <v>0</v>
      </c>
      <c r="BE399" s="234">
        <f t="shared" si="773"/>
        <v>3</v>
      </c>
      <c r="BF399" s="123"/>
      <c r="BG399" s="8"/>
      <c r="BH399" s="34"/>
      <c r="BI399" s="736"/>
      <c r="BJ399" s="123"/>
      <c r="BK399" s="8"/>
      <c r="BL399" s="34"/>
      <c r="BM399" s="736"/>
      <c r="BN399" s="20"/>
      <c r="BO399" s="8"/>
      <c r="BP399" s="34"/>
      <c r="BQ399" s="234"/>
      <c r="BR399" s="234"/>
      <c r="BS399" s="395">
        <f>SUM(M399,AG399,BA399,BU399)-SUM(O399,AI399,BC399,BW399)-L399</f>
        <v>-3</v>
      </c>
      <c r="BT399" s="32">
        <f t="shared" si="782"/>
        <v>3</v>
      </c>
      <c r="BU399" s="302">
        <f>BU385*2</f>
        <v>0</v>
      </c>
      <c r="BV399" s="7">
        <f t="shared" si="774"/>
        <v>-3</v>
      </c>
      <c r="BW399" s="258"/>
      <c r="BX399" s="304">
        <f>BX385*2</f>
        <v>0</v>
      </c>
      <c r="BY399" s="234">
        <f t="shared" si="775"/>
        <v>3</v>
      </c>
      <c r="BZ399" s="123"/>
      <c r="CA399" s="8"/>
      <c r="CB399" s="34"/>
      <c r="CC399" s="736"/>
      <c r="CD399" s="123"/>
      <c r="CE399" s="8"/>
      <c r="CF399" s="34"/>
      <c r="CG399" s="736"/>
      <c r="CH399" s="20"/>
      <c r="CI399" s="8"/>
      <c r="CJ399" s="34"/>
      <c r="CK399" s="234"/>
      <c r="CL399" s="234"/>
      <c r="CM399" s="395">
        <f>SUM(M399,AG399,BA399,BU399,CO399)-SUM(O399,AI399,BC399,BW399,CQ399)-L399</f>
        <v>-3</v>
      </c>
      <c r="CN399" s="32">
        <f t="shared" si="783"/>
        <v>3</v>
      </c>
      <c r="CO399" s="302">
        <f>CO385*2</f>
        <v>0</v>
      </c>
      <c r="CP399" s="7">
        <f t="shared" si="776"/>
        <v>-3</v>
      </c>
      <c r="CQ399" s="242"/>
      <c r="CR399" s="304">
        <f>CR385*2</f>
        <v>0</v>
      </c>
      <c r="CS399" s="234">
        <f t="shared" si="777"/>
        <v>3</v>
      </c>
      <c r="CT399" s="123"/>
      <c r="CU399" s="8"/>
      <c r="CV399" s="34"/>
      <c r="CW399" s="736"/>
      <c r="CX399" s="123"/>
      <c r="CY399" s="8"/>
      <c r="CZ399" s="34"/>
      <c r="DA399" s="736"/>
      <c r="DB399" s="20"/>
      <c r="DC399" s="8"/>
      <c r="DD399" s="34"/>
      <c r="DE399" s="234"/>
      <c r="DF399" s="234"/>
      <c r="DG399" s="395">
        <f>SUM(M399,AG399,BA399,BU399,DI399)-SUM(O399,AI399,BC399,BW399,CQ399)-L399</f>
        <v>-3</v>
      </c>
      <c r="DH399" s="32">
        <f t="shared" si="778"/>
        <v>3</v>
      </c>
      <c r="DI399" s="302">
        <f>DI385*2</f>
        <v>0</v>
      </c>
      <c r="DJ399" s="7">
        <f t="shared" si="779"/>
        <v>-3</v>
      </c>
      <c r="DK399" s="242"/>
      <c r="DL399" s="304">
        <f>DL385*2</f>
        <v>0</v>
      </c>
      <c r="DM399" s="234">
        <f t="shared" si="780"/>
        <v>3</v>
      </c>
    </row>
    <row r="400" spans="1:117" x14ac:dyDescent="0.3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>SUM(M400,AG400,BA400,BU400)-L400</f>
        <v>-1</v>
      </c>
      <c r="K400" s="395">
        <f t="shared" si="768"/>
        <v>-1</v>
      </c>
      <c r="L400" s="548">
        <v>3</v>
      </c>
      <c r="M400" s="302">
        <f>SUM(M432,M385)</f>
        <v>2</v>
      </c>
      <c r="N400" s="7">
        <f t="shared" si="769"/>
        <v>-1</v>
      </c>
      <c r="O400" s="258"/>
      <c r="P400" s="304">
        <f>SUM(P432,P385)</f>
        <v>2</v>
      </c>
      <c r="Q400" s="234">
        <f t="shared" si="756"/>
        <v>1</v>
      </c>
      <c r="R400" s="123"/>
      <c r="S400" s="8"/>
      <c r="T400" s="34"/>
      <c r="U400" s="736"/>
      <c r="V400" s="123"/>
      <c r="W400" s="8"/>
      <c r="X400" s="34"/>
      <c r="Y400" s="736"/>
      <c r="Z400" s="20"/>
      <c r="AA400" s="8"/>
      <c r="AB400" s="34"/>
      <c r="AC400" s="234"/>
      <c r="AD400" s="234"/>
      <c r="AE400" s="398">
        <f>SUM(M400,AG400)-SUM(O400,AI400)-L400</f>
        <v>-1</v>
      </c>
      <c r="AF400" s="32">
        <f>Q400</f>
        <v>1</v>
      </c>
      <c r="AG400" s="302">
        <f>SUM(AG432,AG385)</f>
        <v>0</v>
      </c>
      <c r="AH400" s="7">
        <f t="shared" si="770"/>
        <v>-1</v>
      </c>
      <c r="AI400" s="242"/>
      <c r="AJ400" s="304">
        <f>SUM(AJ432,AJ385)</f>
        <v>0</v>
      </c>
      <c r="AK400" s="234">
        <f t="shared" si="771"/>
        <v>1</v>
      </c>
      <c r="AL400" s="123"/>
      <c r="AM400" s="8"/>
      <c r="AN400" s="34"/>
      <c r="AO400" s="736"/>
      <c r="AP400" s="123"/>
      <c r="AQ400" s="8"/>
      <c r="AR400" s="34"/>
      <c r="AS400" s="736"/>
      <c r="AT400" s="20"/>
      <c r="AU400" s="8"/>
      <c r="AV400" s="34"/>
      <c r="AW400" s="234"/>
      <c r="AX400" s="234"/>
      <c r="AY400" s="395">
        <f>SUM(M400,AG400,BA400)-SUM(O400,AI400,BC400)-L400</f>
        <v>-1</v>
      </c>
      <c r="AZ400" s="32">
        <f t="shared" si="781"/>
        <v>1</v>
      </c>
      <c r="BA400" s="302">
        <f>SUM(BA432,BA385)</f>
        <v>0</v>
      </c>
      <c r="BB400" s="7">
        <f t="shared" si="772"/>
        <v>-1</v>
      </c>
      <c r="BC400" s="258"/>
      <c r="BD400" s="304">
        <f>SUM(BD432,BD385)</f>
        <v>0</v>
      </c>
      <c r="BE400" s="234">
        <f t="shared" si="773"/>
        <v>1</v>
      </c>
      <c r="BF400" s="123"/>
      <c r="BG400" s="8"/>
      <c r="BH400" s="34"/>
      <c r="BI400" s="736"/>
      <c r="BJ400" s="123"/>
      <c r="BK400" s="8"/>
      <c r="BL400" s="34"/>
      <c r="BM400" s="736"/>
      <c r="BN400" s="20"/>
      <c r="BO400" s="8"/>
      <c r="BP400" s="34"/>
      <c r="BQ400" s="234"/>
      <c r="BR400" s="234"/>
      <c r="BS400" s="395">
        <f>SUM(M400,AG400,BA400,BU400)-SUM(O400,AI400,BC400,BW400)-L400</f>
        <v>-1</v>
      </c>
      <c r="BT400" s="32">
        <f t="shared" si="782"/>
        <v>1</v>
      </c>
      <c r="BU400" s="302">
        <f>SUM(BU432,BU385)</f>
        <v>0</v>
      </c>
      <c r="BV400" s="7">
        <f t="shared" si="774"/>
        <v>-1</v>
      </c>
      <c r="BW400" s="258"/>
      <c r="BX400" s="304">
        <f>SUM(BX432,BX385)</f>
        <v>0</v>
      </c>
      <c r="BY400" s="234">
        <f t="shared" si="775"/>
        <v>1</v>
      </c>
      <c r="BZ400" s="123"/>
      <c r="CA400" s="8"/>
      <c r="CB400" s="34"/>
      <c r="CC400" s="736"/>
      <c r="CD400" s="123"/>
      <c r="CE400" s="8"/>
      <c r="CF400" s="34"/>
      <c r="CG400" s="736"/>
      <c r="CH400" s="20"/>
      <c r="CI400" s="8"/>
      <c r="CJ400" s="34"/>
      <c r="CK400" s="234"/>
      <c r="CL400" s="234"/>
      <c r="CM400" s="395">
        <f>SUM(M400,AG400,BA400,BU400,CO400)-SUM(O400,AI400,BC400,BW400,CQ400)-L400</f>
        <v>-1</v>
      </c>
      <c r="CN400" s="32">
        <f t="shared" si="783"/>
        <v>1</v>
      </c>
      <c r="CO400" s="302">
        <f>SUM(CO432,CO385)</f>
        <v>0</v>
      </c>
      <c r="CP400" s="7">
        <f t="shared" si="776"/>
        <v>-1</v>
      </c>
      <c r="CQ400" s="242"/>
      <c r="CR400" s="304">
        <f>SUM(CR432,CR385)</f>
        <v>0</v>
      </c>
      <c r="CS400" s="234">
        <f t="shared" si="777"/>
        <v>1</v>
      </c>
      <c r="CT400" s="123"/>
      <c r="CU400" s="8"/>
      <c r="CV400" s="34"/>
      <c r="CW400" s="736"/>
      <c r="CX400" s="123"/>
      <c r="CY400" s="8"/>
      <c r="CZ400" s="34"/>
      <c r="DA400" s="736"/>
      <c r="DB400" s="20"/>
      <c r="DC400" s="8"/>
      <c r="DD400" s="34"/>
      <c r="DE400" s="234"/>
      <c r="DF400" s="234"/>
      <c r="DG400" s="395">
        <f>SUM(M400,AG400,BA400,BU400,DI400)-SUM(O400,AI400,BC400,BW400,CQ400)-L400</f>
        <v>-1</v>
      </c>
      <c r="DH400" s="32">
        <f t="shared" si="778"/>
        <v>1</v>
      </c>
      <c r="DI400" s="302">
        <f>SUM(DI432,DI385)</f>
        <v>0</v>
      </c>
      <c r="DJ400" s="7">
        <f t="shared" si="779"/>
        <v>-1</v>
      </c>
      <c r="DK400" s="242"/>
      <c r="DL400" s="304">
        <f>SUM(DL432,DL385)</f>
        <v>0</v>
      </c>
      <c r="DM400" s="234">
        <f t="shared" si="780"/>
        <v>1</v>
      </c>
    </row>
    <row r="401" spans="1:117" x14ac:dyDescent="0.3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>SUM(M401,AG401,BA401,BU401)-L401</f>
        <v>-1</v>
      </c>
      <c r="K401" s="395">
        <f t="shared" si="768"/>
        <v>-1</v>
      </c>
      <c r="L401" s="32">
        <v>1</v>
      </c>
      <c r="M401" s="302">
        <f>M385</f>
        <v>0</v>
      </c>
      <c r="N401" s="7">
        <f t="shared" si="769"/>
        <v>-1</v>
      </c>
      <c r="O401" s="258"/>
      <c r="P401" s="304">
        <f>P385</f>
        <v>0</v>
      </c>
      <c r="Q401" s="234">
        <f t="shared" si="756"/>
        <v>1</v>
      </c>
      <c r="R401" s="123"/>
      <c r="S401" s="8"/>
      <c r="T401" s="34"/>
      <c r="U401" s="736"/>
      <c r="V401" s="123"/>
      <c r="W401" s="8"/>
      <c r="X401" s="34"/>
      <c r="Y401" s="736"/>
      <c r="Z401" s="20"/>
      <c r="AA401" s="8"/>
      <c r="AB401" s="34"/>
      <c r="AC401" s="234"/>
      <c r="AD401" s="234"/>
      <c r="AE401" s="398">
        <f>SUM(M401,AG401)-SUM(O401,AI401)-L401</f>
        <v>-1</v>
      </c>
      <c r="AF401" s="32">
        <f>Q401</f>
        <v>1</v>
      </c>
      <c r="AG401" s="302">
        <f>AG385</f>
        <v>0</v>
      </c>
      <c r="AH401" s="7">
        <f t="shared" si="770"/>
        <v>-1</v>
      </c>
      <c r="AI401" s="258"/>
      <c r="AJ401" s="304">
        <f>AJ385</f>
        <v>0</v>
      </c>
      <c r="AK401" s="234">
        <f t="shared" si="771"/>
        <v>1</v>
      </c>
      <c r="AL401" s="123"/>
      <c r="AM401" s="8"/>
      <c r="AN401" s="34"/>
      <c r="AO401" s="736"/>
      <c r="AP401" s="123"/>
      <c r="AQ401" s="8"/>
      <c r="AR401" s="34"/>
      <c r="AS401" s="736"/>
      <c r="AT401" s="20"/>
      <c r="AU401" s="8"/>
      <c r="AV401" s="34"/>
      <c r="AW401" s="234"/>
      <c r="AX401" s="234"/>
      <c r="AY401" s="395">
        <f>SUM(M401,AG401,BA401)-SUM(O401,AI401,BC401)-L401</f>
        <v>-1</v>
      </c>
      <c r="AZ401" s="32">
        <f t="shared" si="781"/>
        <v>1</v>
      </c>
      <c r="BA401" s="302">
        <f>BA385</f>
        <v>0</v>
      </c>
      <c r="BB401" s="7">
        <f t="shared" si="772"/>
        <v>-1</v>
      </c>
      <c r="BC401" s="258"/>
      <c r="BD401" s="304">
        <f>BD385</f>
        <v>0</v>
      </c>
      <c r="BE401" s="234">
        <f t="shared" si="773"/>
        <v>1</v>
      </c>
      <c r="BF401" s="123"/>
      <c r="BG401" s="8"/>
      <c r="BH401" s="34"/>
      <c r="BI401" s="736"/>
      <c r="BJ401" s="123"/>
      <c r="BK401" s="8"/>
      <c r="BL401" s="34"/>
      <c r="BM401" s="736"/>
      <c r="BN401" s="20"/>
      <c r="BO401" s="8"/>
      <c r="BP401" s="34"/>
      <c r="BQ401" s="234"/>
      <c r="BR401" s="234"/>
      <c r="BS401" s="395">
        <f>SUM(M401,AG401,BA401,BU401)-SUM(O401,AI401,BC401,BW401)-L401</f>
        <v>-1</v>
      </c>
      <c r="BT401" s="32">
        <f t="shared" si="782"/>
        <v>1</v>
      </c>
      <c r="BU401" s="302">
        <f>BU385</f>
        <v>0</v>
      </c>
      <c r="BV401" s="7">
        <f t="shared" si="774"/>
        <v>-1</v>
      </c>
      <c r="BW401" s="258"/>
      <c r="BX401" s="304">
        <f>BX385</f>
        <v>0</v>
      </c>
      <c r="BY401" s="234">
        <f t="shared" si="775"/>
        <v>1</v>
      </c>
      <c r="BZ401" s="123"/>
      <c r="CA401" s="8"/>
      <c r="CB401" s="34"/>
      <c r="CC401" s="736"/>
      <c r="CD401" s="123"/>
      <c r="CE401" s="8"/>
      <c r="CF401" s="34"/>
      <c r="CG401" s="736"/>
      <c r="CH401" s="20"/>
      <c r="CI401" s="8"/>
      <c r="CJ401" s="34"/>
      <c r="CK401" s="234"/>
      <c r="CL401" s="234"/>
      <c r="CM401" s="395">
        <f>SUM(M401,AG401,BA401,BU401,CO401)-SUM(O401,AI401,BC401,BW401,CQ401)-L401</f>
        <v>-1</v>
      </c>
      <c r="CN401" s="32">
        <f t="shared" si="783"/>
        <v>1</v>
      </c>
      <c r="CO401" s="302">
        <f>CO385</f>
        <v>0</v>
      </c>
      <c r="CP401" s="7">
        <f t="shared" si="776"/>
        <v>-1</v>
      </c>
      <c r="CQ401" s="242"/>
      <c r="CR401" s="304">
        <f>CR385</f>
        <v>0</v>
      </c>
      <c r="CS401" s="234">
        <f t="shared" si="777"/>
        <v>1</v>
      </c>
      <c r="CT401" s="123"/>
      <c r="CU401" s="8"/>
      <c r="CV401" s="34"/>
      <c r="CW401" s="736"/>
      <c r="CX401" s="123"/>
      <c r="CY401" s="8"/>
      <c r="CZ401" s="34"/>
      <c r="DA401" s="736"/>
      <c r="DB401" s="20"/>
      <c r="DC401" s="8"/>
      <c r="DD401" s="34"/>
      <c r="DE401" s="234"/>
      <c r="DF401" s="234"/>
      <c r="DG401" s="395">
        <f>SUM(M401,AG401,BA401,BU401,DI401)-SUM(O401,AI401,BC401,BW401,CQ401)-L401</f>
        <v>-1</v>
      </c>
      <c r="DH401" s="32">
        <f t="shared" si="778"/>
        <v>1</v>
      </c>
      <c r="DI401" s="302">
        <f>DI385</f>
        <v>0</v>
      </c>
      <c r="DJ401" s="7">
        <f t="shared" si="779"/>
        <v>-1</v>
      </c>
      <c r="DK401" s="242"/>
      <c r="DL401" s="304">
        <f>DL385</f>
        <v>0</v>
      </c>
      <c r="DM401" s="234">
        <f t="shared" si="780"/>
        <v>1</v>
      </c>
    </row>
    <row r="402" spans="1:117" x14ac:dyDescent="0.3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>SUM(M402,AG402,BA402,BU402)-L402</f>
        <v>-39</v>
      </c>
      <c r="K402" s="395">
        <f t="shared" si="768"/>
        <v>-39</v>
      </c>
      <c r="L402" s="32">
        <v>39</v>
      </c>
      <c r="M402" s="302">
        <f>M385*26</f>
        <v>0</v>
      </c>
      <c r="N402" s="7">
        <f t="shared" si="769"/>
        <v>-39</v>
      </c>
      <c r="O402" s="258"/>
      <c r="P402" s="304">
        <f>P385*26</f>
        <v>0</v>
      </c>
      <c r="Q402" s="234">
        <f t="shared" si="756"/>
        <v>39</v>
      </c>
      <c r="R402" s="123"/>
      <c r="S402" s="8"/>
      <c r="T402" s="34"/>
      <c r="U402" s="736"/>
      <c r="V402" s="123"/>
      <c r="W402" s="8"/>
      <c r="X402" s="34"/>
      <c r="Y402" s="736"/>
      <c r="Z402" s="20"/>
      <c r="AA402" s="8"/>
      <c r="AB402" s="34"/>
      <c r="AC402" s="234"/>
      <c r="AD402" s="234"/>
      <c r="AE402" s="398">
        <f>SUM(M402,AG402)-SUM(O402,AI402)-L402</f>
        <v>-39</v>
      </c>
      <c r="AF402" s="32">
        <f>Q402</f>
        <v>39</v>
      </c>
      <c r="AG402" s="302">
        <f>AG385*26</f>
        <v>0</v>
      </c>
      <c r="AH402" s="7">
        <f t="shared" si="770"/>
        <v>-39</v>
      </c>
      <c r="AI402" s="258"/>
      <c r="AJ402" s="304">
        <f>AJ385*26</f>
        <v>0</v>
      </c>
      <c r="AK402" s="234">
        <f t="shared" si="771"/>
        <v>39</v>
      </c>
      <c r="AL402" s="123"/>
      <c r="AM402" s="8"/>
      <c r="AN402" s="34"/>
      <c r="AO402" s="736"/>
      <c r="AP402" s="123"/>
      <c r="AQ402" s="8"/>
      <c r="AR402" s="34"/>
      <c r="AS402" s="736"/>
      <c r="AT402" s="20"/>
      <c r="AU402" s="8"/>
      <c r="AV402" s="34"/>
      <c r="AW402" s="234"/>
      <c r="AX402" s="234"/>
      <c r="AY402" s="395">
        <f>SUM(M402,AG402,BA402)-SUM(O402,AI402,BC402)-L402</f>
        <v>-39</v>
      </c>
      <c r="AZ402" s="32">
        <f t="shared" si="781"/>
        <v>39</v>
      </c>
      <c r="BA402" s="302">
        <f>BA385*26</f>
        <v>0</v>
      </c>
      <c r="BB402" s="7">
        <f t="shared" si="772"/>
        <v>-39</v>
      </c>
      <c r="BC402" s="258"/>
      <c r="BD402" s="304">
        <f>BD385*26</f>
        <v>0</v>
      </c>
      <c r="BE402" s="234">
        <f t="shared" si="773"/>
        <v>39</v>
      </c>
      <c r="BF402" s="123"/>
      <c r="BG402" s="8"/>
      <c r="BH402" s="34"/>
      <c r="BI402" s="736"/>
      <c r="BJ402" s="123"/>
      <c r="BK402" s="8"/>
      <c r="BL402" s="34"/>
      <c r="BM402" s="736"/>
      <c r="BN402" s="20"/>
      <c r="BO402" s="8"/>
      <c r="BP402" s="34"/>
      <c r="BQ402" s="234"/>
      <c r="BR402" s="234"/>
      <c r="BS402" s="395">
        <f>SUM(M402,AG402,BA402,BU402)-SUM(O402,AI402,BC402,BW402)-L402</f>
        <v>-39</v>
      </c>
      <c r="BT402" s="32">
        <f t="shared" si="782"/>
        <v>39</v>
      </c>
      <c r="BU402" s="302">
        <f>BU385*26</f>
        <v>0</v>
      </c>
      <c r="BV402" s="7">
        <f t="shared" si="774"/>
        <v>-39</v>
      </c>
      <c r="BW402" s="258"/>
      <c r="BX402" s="304">
        <f>BX385*26</f>
        <v>0</v>
      </c>
      <c r="BY402" s="234">
        <f t="shared" si="775"/>
        <v>39</v>
      </c>
      <c r="BZ402" s="123"/>
      <c r="CA402" s="8"/>
      <c r="CB402" s="34"/>
      <c r="CC402" s="736"/>
      <c r="CD402" s="123"/>
      <c r="CE402" s="8"/>
      <c r="CF402" s="34"/>
      <c r="CG402" s="736"/>
      <c r="CH402" s="20"/>
      <c r="CI402" s="8"/>
      <c r="CJ402" s="34"/>
      <c r="CK402" s="234"/>
      <c r="CL402" s="234"/>
      <c r="CM402" s="395">
        <f>SUM(M402,AG402,BA402,BU402,CO402)-SUM(O402,AI402,BC402,BW402,CQ402)-L402</f>
        <v>-39</v>
      </c>
      <c r="CN402" s="32">
        <f t="shared" si="783"/>
        <v>39</v>
      </c>
      <c r="CO402" s="302">
        <f>CO385*26</f>
        <v>0</v>
      </c>
      <c r="CP402" s="7">
        <f t="shared" si="776"/>
        <v>-39</v>
      </c>
      <c r="CQ402" s="242"/>
      <c r="CR402" s="304">
        <f>CR385*26</f>
        <v>0</v>
      </c>
      <c r="CS402" s="234">
        <f t="shared" si="777"/>
        <v>39</v>
      </c>
      <c r="CT402" s="123"/>
      <c r="CU402" s="8"/>
      <c r="CV402" s="34"/>
      <c r="CW402" s="736"/>
      <c r="CX402" s="123"/>
      <c r="CY402" s="8"/>
      <c r="CZ402" s="34"/>
      <c r="DA402" s="736"/>
      <c r="DB402" s="20"/>
      <c r="DC402" s="8"/>
      <c r="DD402" s="34"/>
      <c r="DE402" s="234"/>
      <c r="DF402" s="234"/>
      <c r="DG402" s="395">
        <f>SUM(M402,AG402,BA402,BU402,DI402)-SUM(O402,AI402,BC402,BW402,CQ402)-L402</f>
        <v>-39</v>
      </c>
      <c r="DH402" s="32">
        <f t="shared" si="778"/>
        <v>39</v>
      </c>
      <c r="DI402" s="302">
        <f>DI385*26</f>
        <v>0</v>
      </c>
      <c r="DJ402" s="7">
        <f t="shared" si="779"/>
        <v>-39</v>
      </c>
      <c r="DK402" s="242"/>
      <c r="DL402" s="304">
        <f>DL385*26</f>
        <v>0</v>
      </c>
      <c r="DM402" s="234">
        <f t="shared" si="780"/>
        <v>39</v>
      </c>
    </row>
    <row r="403" spans="1:117" ht="28.8" x14ac:dyDescent="0.3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>SUM(M403,AG403,BA403,BU403)-L403</f>
        <v>-4</v>
      </c>
      <c r="K403" s="395">
        <f t="shared" si="768"/>
        <v>-4</v>
      </c>
      <c r="L403" s="32">
        <v>4</v>
      </c>
      <c r="M403" s="302">
        <f>M385</f>
        <v>0</v>
      </c>
      <c r="N403" s="7">
        <f t="shared" si="769"/>
        <v>-4</v>
      </c>
      <c r="O403" s="258"/>
      <c r="P403" s="304">
        <f>P385</f>
        <v>0</v>
      </c>
      <c r="Q403" s="234">
        <f t="shared" si="756"/>
        <v>4</v>
      </c>
      <c r="R403" s="123"/>
      <c r="S403" s="8"/>
      <c r="T403" s="34"/>
      <c r="U403" s="736"/>
      <c r="V403" s="123"/>
      <c r="W403" s="8"/>
      <c r="X403" s="34"/>
      <c r="Y403" s="736"/>
      <c r="Z403" s="20"/>
      <c r="AA403" s="8"/>
      <c r="AB403" s="34"/>
      <c r="AC403" s="234"/>
      <c r="AD403" s="234"/>
      <c r="AE403" s="398">
        <f>SUM(M403,AG403)-SUM(O403,AI403)-L403</f>
        <v>-4</v>
      </c>
      <c r="AF403" s="32">
        <f>Q403</f>
        <v>4</v>
      </c>
      <c r="AG403" s="302">
        <f>AG385</f>
        <v>0</v>
      </c>
      <c r="AH403" s="7">
        <f t="shared" si="770"/>
        <v>-4</v>
      </c>
      <c r="AI403" s="258"/>
      <c r="AJ403" s="304">
        <f>AJ385</f>
        <v>0</v>
      </c>
      <c r="AK403" s="234">
        <f t="shared" si="771"/>
        <v>4</v>
      </c>
      <c r="AL403" s="123"/>
      <c r="AM403" s="8"/>
      <c r="AN403" s="34"/>
      <c r="AO403" s="736"/>
      <c r="AP403" s="123"/>
      <c r="AQ403" s="8"/>
      <c r="AR403" s="34"/>
      <c r="AS403" s="736"/>
      <c r="AT403" s="20"/>
      <c r="AU403" s="8"/>
      <c r="AV403" s="34"/>
      <c r="AW403" s="234"/>
      <c r="AX403" s="234"/>
      <c r="AY403" s="395">
        <f>SUM(M403,AG403,BA403)-SUM(O403,AI403,BC403)-L403</f>
        <v>-4</v>
      </c>
      <c r="AZ403" s="32">
        <f t="shared" si="781"/>
        <v>4</v>
      </c>
      <c r="BA403" s="302">
        <f>BA385</f>
        <v>0</v>
      </c>
      <c r="BB403" s="7">
        <f t="shared" si="772"/>
        <v>-4</v>
      </c>
      <c r="BC403" s="258"/>
      <c r="BD403" s="304">
        <f>BD385</f>
        <v>0</v>
      </c>
      <c r="BE403" s="234">
        <f t="shared" si="773"/>
        <v>4</v>
      </c>
      <c r="BF403" s="123"/>
      <c r="BG403" s="8"/>
      <c r="BH403" s="34"/>
      <c r="BI403" s="736"/>
      <c r="BJ403" s="123"/>
      <c r="BK403" s="8"/>
      <c r="BL403" s="34"/>
      <c r="BM403" s="736"/>
      <c r="BN403" s="20"/>
      <c r="BO403" s="8"/>
      <c r="BP403" s="34"/>
      <c r="BQ403" s="234"/>
      <c r="BR403" s="234"/>
      <c r="BS403" s="395">
        <f>SUM(M403,AG403,BA403,BU403)-SUM(O403,AI403,BC403,BW403)-L403</f>
        <v>-4</v>
      </c>
      <c r="BT403" s="32">
        <f t="shared" si="782"/>
        <v>4</v>
      </c>
      <c r="BU403" s="302">
        <f>BU385</f>
        <v>0</v>
      </c>
      <c r="BV403" s="7">
        <f t="shared" si="774"/>
        <v>-4</v>
      </c>
      <c r="BW403" s="258"/>
      <c r="BX403" s="304">
        <f>BX385</f>
        <v>0</v>
      </c>
      <c r="BY403" s="234">
        <f t="shared" si="775"/>
        <v>4</v>
      </c>
      <c r="BZ403" s="123"/>
      <c r="CA403" s="8"/>
      <c r="CB403" s="34"/>
      <c r="CC403" s="736"/>
      <c r="CD403" s="123"/>
      <c r="CE403" s="8"/>
      <c r="CF403" s="34"/>
      <c r="CG403" s="736"/>
      <c r="CH403" s="20"/>
      <c r="CI403" s="8"/>
      <c r="CJ403" s="34"/>
      <c r="CK403" s="234"/>
      <c r="CL403" s="234"/>
      <c r="CM403" s="395">
        <f>SUM(M403,AG403,BA403,BU403,CO403)-SUM(O403,AI403,BC403,BW403,CQ403)-L403</f>
        <v>-4</v>
      </c>
      <c r="CN403" s="32">
        <f t="shared" si="783"/>
        <v>4</v>
      </c>
      <c r="CO403" s="302">
        <f>CO385</f>
        <v>0</v>
      </c>
      <c r="CP403" s="7">
        <f t="shared" si="776"/>
        <v>-4</v>
      </c>
      <c r="CQ403" s="242"/>
      <c r="CR403" s="304">
        <f>CR385</f>
        <v>0</v>
      </c>
      <c r="CS403" s="234">
        <f t="shared" si="777"/>
        <v>4</v>
      </c>
      <c r="CT403" s="123"/>
      <c r="CU403" s="8"/>
      <c r="CV403" s="34"/>
      <c r="CW403" s="736"/>
      <c r="CX403" s="123"/>
      <c r="CY403" s="8"/>
      <c r="CZ403" s="34"/>
      <c r="DA403" s="736"/>
      <c r="DB403" s="20"/>
      <c r="DC403" s="8"/>
      <c r="DD403" s="34"/>
      <c r="DE403" s="234"/>
      <c r="DF403" s="234"/>
      <c r="DG403" s="395">
        <f>SUM(M403,AG403,BA403,BU403,DI403)-SUM(O403,AI403,BC403,BW403,CQ403)-L403</f>
        <v>-4</v>
      </c>
      <c r="DH403" s="32">
        <f t="shared" si="778"/>
        <v>4</v>
      </c>
      <c r="DI403" s="302">
        <f>DI385</f>
        <v>0</v>
      </c>
      <c r="DJ403" s="7">
        <f t="shared" si="779"/>
        <v>-4</v>
      </c>
      <c r="DK403" s="242"/>
      <c r="DL403" s="304">
        <f>DL385</f>
        <v>0</v>
      </c>
      <c r="DM403" s="234">
        <f t="shared" si="780"/>
        <v>4</v>
      </c>
    </row>
    <row r="404" spans="1:117" ht="28.8" x14ac:dyDescent="0.3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>SUM(M404,AG404,BA404,BU404)-L404</f>
        <v>-1</v>
      </c>
      <c r="K404" s="395">
        <f t="shared" si="768"/>
        <v>-1</v>
      </c>
      <c r="L404" s="32">
        <v>1</v>
      </c>
      <c r="M404" s="302">
        <f>M385</f>
        <v>0</v>
      </c>
      <c r="N404" s="7">
        <f t="shared" si="769"/>
        <v>-1</v>
      </c>
      <c r="O404" s="258"/>
      <c r="P404" s="304">
        <f>P385</f>
        <v>0</v>
      </c>
      <c r="Q404" s="234">
        <f t="shared" si="756"/>
        <v>1</v>
      </c>
      <c r="R404" s="123"/>
      <c r="S404" s="8"/>
      <c r="T404" s="34"/>
      <c r="U404" s="736"/>
      <c r="V404" s="123"/>
      <c r="W404" s="8"/>
      <c r="X404" s="34"/>
      <c r="Y404" s="736"/>
      <c r="Z404" s="20"/>
      <c r="AA404" s="8"/>
      <c r="AB404" s="34"/>
      <c r="AC404" s="234"/>
      <c r="AD404" s="234"/>
      <c r="AE404" s="398">
        <f>SUM(M404,AG404)-SUM(O404,AI404)-L404</f>
        <v>-1</v>
      </c>
      <c r="AF404" s="32">
        <f>Q404</f>
        <v>1</v>
      </c>
      <c r="AG404" s="302">
        <f>AG385</f>
        <v>0</v>
      </c>
      <c r="AH404" s="7">
        <f t="shared" si="770"/>
        <v>-1</v>
      </c>
      <c r="AI404" s="258"/>
      <c r="AJ404" s="304">
        <f>AJ385</f>
        <v>0</v>
      </c>
      <c r="AK404" s="234">
        <f t="shared" si="771"/>
        <v>1</v>
      </c>
      <c r="AL404" s="123"/>
      <c r="AM404" s="8"/>
      <c r="AN404" s="34"/>
      <c r="AO404" s="736"/>
      <c r="AP404" s="123"/>
      <c r="AQ404" s="8"/>
      <c r="AR404" s="34"/>
      <c r="AS404" s="736"/>
      <c r="AT404" s="20"/>
      <c r="AU404" s="8"/>
      <c r="AV404" s="34"/>
      <c r="AW404" s="234"/>
      <c r="AX404" s="234"/>
      <c r="AY404" s="395">
        <f>SUM(M404,AG404,BA404)-SUM(O404,AI404,BC404)-L404</f>
        <v>-1</v>
      </c>
      <c r="AZ404" s="32">
        <f t="shared" si="781"/>
        <v>1</v>
      </c>
      <c r="BA404" s="302">
        <f>BA385</f>
        <v>0</v>
      </c>
      <c r="BB404" s="7">
        <f t="shared" si="772"/>
        <v>-1</v>
      </c>
      <c r="BC404" s="256"/>
      <c r="BD404" s="304">
        <f>BD385</f>
        <v>0</v>
      </c>
      <c r="BE404" s="234">
        <f t="shared" si="773"/>
        <v>1</v>
      </c>
      <c r="BF404" s="123"/>
      <c r="BG404" s="8"/>
      <c r="BH404" s="34"/>
      <c r="BI404" s="736"/>
      <c r="BJ404" s="123"/>
      <c r="BK404" s="8"/>
      <c r="BL404" s="34"/>
      <c r="BM404" s="736"/>
      <c r="BN404" s="20"/>
      <c r="BO404" s="8"/>
      <c r="BP404" s="34"/>
      <c r="BQ404" s="234"/>
      <c r="BR404" s="234"/>
      <c r="BS404" s="395">
        <f>SUM(M404,AG404,BA404,BU404)-SUM(O404,AI404,BC404,BW404)-L404</f>
        <v>-1</v>
      </c>
      <c r="BT404" s="32">
        <f t="shared" si="782"/>
        <v>1</v>
      </c>
      <c r="BU404" s="302">
        <f>BU385</f>
        <v>0</v>
      </c>
      <c r="BV404" s="7">
        <f t="shared" si="774"/>
        <v>-1</v>
      </c>
      <c r="BW404" s="258"/>
      <c r="BX404" s="304">
        <f>BX385</f>
        <v>0</v>
      </c>
      <c r="BY404" s="234">
        <f t="shared" si="775"/>
        <v>1</v>
      </c>
      <c r="BZ404" s="123"/>
      <c r="CA404" s="8"/>
      <c r="CB404" s="34"/>
      <c r="CC404" s="736"/>
      <c r="CD404" s="123"/>
      <c r="CE404" s="8"/>
      <c r="CF404" s="34"/>
      <c r="CG404" s="736"/>
      <c r="CH404" s="20"/>
      <c r="CI404" s="8"/>
      <c r="CJ404" s="34"/>
      <c r="CK404" s="234"/>
      <c r="CL404" s="234"/>
      <c r="CM404" s="395">
        <f>SUM(M404,AG404,BA404,BU404,CO404)-SUM(O404,AI404,BC404,BW404,CQ404)-L404</f>
        <v>-1</v>
      </c>
      <c r="CN404" s="32">
        <f t="shared" si="783"/>
        <v>1</v>
      </c>
      <c r="CO404" s="302">
        <f>CO385</f>
        <v>0</v>
      </c>
      <c r="CP404" s="7">
        <f t="shared" si="776"/>
        <v>-1</v>
      </c>
      <c r="CQ404" s="242"/>
      <c r="CR404" s="304">
        <f>CR385</f>
        <v>0</v>
      </c>
      <c r="CS404" s="234">
        <f t="shared" si="777"/>
        <v>1</v>
      </c>
      <c r="CT404" s="123"/>
      <c r="CU404" s="8"/>
      <c r="CV404" s="34"/>
      <c r="CW404" s="736"/>
      <c r="CX404" s="123"/>
      <c r="CY404" s="8"/>
      <c r="CZ404" s="34"/>
      <c r="DA404" s="736"/>
      <c r="DB404" s="20"/>
      <c r="DC404" s="8"/>
      <c r="DD404" s="34"/>
      <c r="DE404" s="234"/>
      <c r="DF404" s="234"/>
      <c r="DG404" s="395">
        <f>SUM(M404,AG404,BA404,BU404,DI404)-SUM(O404,AI404,BC404,BW404,CQ404)-L404</f>
        <v>-1</v>
      </c>
      <c r="DH404" s="32">
        <f t="shared" si="778"/>
        <v>1</v>
      </c>
      <c r="DI404" s="302">
        <f>DI385</f>
        <v>0</v>
      </c>
      <c r="DJ404" s="7">
        <f t="shared" si="779"/>
        <v>-1</v>
      </c>
      <c r="DK404" s="242"/>
      <c r="DL404" s="304">
        <f>DL385</f>
        <v>0</v>
      </c>
      <c r="DM404" s="234">
        <f t="shared" si="780"/>
        <v>1</v>
      </c>
    </row>
    <row r="405" spans="1:117" x14ac:dyDescent="0.3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51"/>
      <c r="V405" s="356"/>
      <c r="W405" s="357"/>
      <c r="X405" s="358"/>
      <c r="Y405" s="751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51"/>
      <c r="AP405" s="356"/>
      <c r="AQ405" s="357"/>
      <c r="AR405" s="358"/>
      <c r="AS405" s="751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51"/>
      <c r="BJ405" s="356"/>
      <c r="BK405" s="357"/>
      <c r="BL405" s="358"/>
      <c r="BM405" s="751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51"/>
      <c r="CD405" s="356"/>
      <c r="CE405" s="357"/>
      <c r="CF405" s="358"/>
      <c r="CG405" s="751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51"/>
      <c r="CX405" s="356"/>
      <c r="CY405" s="357"/>
      <c r="CZ405" s="358"/>
      <c r="DA405" s="751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3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>SUM(M406,AG406,BA406,BU406)-L406</f>
        <v>-1</v>
      </c>
      <c r="K406" s="395">
        <f t="shared" si="768"/>
        <v>-1</v>
      </c>
      <c r="L406" s="32">
        <v>1</v>
      </c>
      <c r="M406" s="302">
        <f>M385</f>
        <v>0</v>
      </c>
      <c r="N406" s="7">
        <f t="shared" ref="N406:N420" si="784">M406-L406</f>
        <v>-1</v>
      </c>
      <c r="O406" s="258"/>
      <c r="P406" s="304">
        <f>P385</f>
        <v>0</v>
      </c>
      <c r="Q406" s="234">
        <f t="shared" ref="Q406:Q420" si="785">L406+O406-P406</f>
        <v>1</v>
      </c>
      <c r="R406" s="123"/>
      <c r="S406" s="8"/>
      <c r="T406" s="34"/>
      <c r="U406" s="736"/>
      <c r="V406" s="123"/>
      <c r="W406" s="8"/>
      <c r="X406" s="34"/>
      <c r="Y406" s="736"/>
      <c r="Z406" s="20"/>
      <c r="AA406" s="8"/>
      <c r="AB406" s="34"/>
      <c r="AC406" s="234"/>
      <c r="AD406" s="234"/>
      <c r="AE406" s="398">
        <f>SUM(M406,AG406)-SUM(O406,AI406)-L406</f>
        <v>-1</v>
      </c>
      <c r="AF406" s="32">
        <f>Q406</f>
        <v>1</v>
      </c>
      <c r="AG406" s="302">
        <f>AG385</f>
        <v>0</v>
      </c>
      <c r="AH406" s="7">
        <f t="shared" ref="AH406:AH420" si="786">AG406-AF406</f>
        <v>-1</v>
      </c>
      <c r="AI406" s="258"/>
      <c r="AJ406" s="304">
        <f>AJ385</f>
        <v>0</v>
      </c>
      <c r="AK406" s="234">
        <f t="shared" ref="AK406:AK420" si="787">AF406+AI406-AJ406</f>
        <v>1</v>
      </c>
      <c r="AL406" s="123"/>
      <c r="AM406" s="8"/>
      <c r="AN406" s="34"/>
      <c r="AO406" s="736"/>
      <c r="AP406" s="123"/>
      <c r="AQ406" s="8"/>
      <c r="AR406" s="34"/>
      <c r="AS406" s="736"/>
      <c r="AT406" s="20"/>
      <c r="AU406" s="8"/>
      <c r="AV406" s="34"/>
      <c r="AW406" s="234"/>
      <c r="AX406" s="234"/>
      <c r="AY406" s="395">
        <f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788">BA406-AZ406</f>
        <v>-1</v>
      </c>
      <c r="BC406" s="258"/>
      <c r="BD406" s="304">
        <f>BD385</f>
        <v>0</v>
      </c>
      <c r="BE406" s="234">
        <f t="shared" ref="BE406:BE420" si="789">AZ406+BC406-BD406</f>
        <v>1</v>
      </c>
      <c r="BF406" s="123"/>
      <c r="BG406" s="8"/>
      <c r="BH406" s="34"/>
      <c r="BI406" s="736"/>
      <c r="BJ406" s="123"/>
      <c r="BK406" s="8"/>
      <c r="BL406" s="34"/>
      <c r="BM406" s="736"/>
      <c r="BN406" s="20"/>
      <c r="BO406" s="8"/>
      <c r="BP406" s="34"/>
      <c r="BQ406" s="234"/>
      <c r="BR406" s="234"/>
      <c r="BS406" s="395">
        <f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790">BU406-BT406</f>
        <v>-1</v>
      </c>
      <c r="BW406" s="258"/>
      <c r="BX406" s="304">
        <f>BX385</f>
        <v>0</v>
      </c>
      <c r="BY406" s="234">
        <f t="shared" ref="BY406:BY420" si="791">BT406+BW406-BX406</f>
        <v>1</v>
      </c>
      <c r="BZ406" s="123"/>
      <c r="CA406" s="8"/>
      <c r="CB406" s="34"/>
      <c r="CC406" s="736"/>
      <c r="CD406" s="123"/>
      <c r="CE406" s="8"/>
      <c r="CF406" s="34"/>
      <c r="CG406" s="736"/>
      <c r="CH406" s="20"/>
      <c r="CI406" s="8"/>
      <c r="CJ406" s="34"/>
      <c r="CK406" s="234"/>
      <c r="CL406" s="234"/>
      <c r="CM406" s="395">
        <f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792">CO406-CN406</f>
        <v>-1</v>
      </c>
      <c r="CQ406" s="242"/>
      <c r="CR406" s="304">
        <f>CR385</f>
        <v>0</v>
      </c>
      <c r="CS406" s="234">
        <f t="shared" ref="CS406:CS420" si="793">CN406+CQ406-CR406</f>
        <v>1</v>
      </c>
      <c r="CT406" s="123"/>
      <c r="CU406" s="8"/>
      <c r="CV406" s="34"/>
      <c r="CW406" s="736"/>
      <c r="CX406" s="123"/>
      <c r="CY406" s="8"/>
      <c r="CZ406" s="34"/>
      <c r="DA406" s="736"/>
      <c r="DB406" s="20"/>
      <c r="DC406" s="8"/>
      <c r="DD406" s="34"/>
      <c r="DE406" s="234"/>
      <c r="DF406" s="234"/>
      <c r="DG406" s="395">
        <f>SUM(M406,AG406,BA406,BU406,DI406)-SUM(O406,AI406,BC406,BW406,CQ406)-L406</f>
        <v>-1</v>
      </c>
      <c r="DH406" s="32">
        <f t="shared" si="778"/>
        <v>1</v>
      </c>
      <c r="DI406" s="302">
        <f>DI385</f>
        <v>0</v>
      </c>
      <c r="DJ406" s="7">
        <f t="shared" ref="DJ406:DJ412" si="794">DI406-DH406</f>
        <v>-1</v>
      </c>
      <c r="DK406" s="242"/>
      <c r="DL406" s="304">
        <f>DL385</f>
        <v>0</v>
      </c>
      <c r="DM406" s="234">
        <f t="shared" ref="DM406:DM412" si="795">DH406+DK406-DL406</f>
        <v>1</v>
      </c>
    </row>
    <row r="407" spans="1:117" x14ac:dyDescent="0.3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>SUM(M407,AG407,BA407,BU407)-L407</f>
        <v>-1</v>
      </c>
      <c r="K407" s="395">
        <f t="shared" si="768"/>
        <v>-1</v>
      </c>
      <c r="L407" s="32">
        <v>1</v>
      </c>
      <c r="M407" s="302">
        <f>M385</f>
        <v>0</v>
      </c>
      <c r="N407" s="7">
        <f t="shared" si="784"/>
        <v>-1</v>
      </c>
      <c r="O407" s="258"/>
      <c r="P407" s="304">
        <f>P385</f>
        <v>0</v>
      </c>
      <c r="Q407" s="234">
        <f t="shared" si="785"/>
        <v>1</v>
      </c>
      <c r="R407" s="123"/>
      <c r="S407" s="8"/>
      <c r="T407" s="34"/>
      <c r="U407" s="736"/>
      <c r="V407" s="123"/>
      <c r="W407" s="8"/>
      <c r="X407" s="34"/>
      <c r="Y407" s="736"/>
      <c r="Z407" s="20"/>
      <c r="AA407" s="8"/>
      <c r="AB407" s="34"/>
      <c r="AC407" s="234"/>
      <c r="AD407" s="234"/>
      <c r="AE407" s="398">
        <f>SUM(M407,AG407)-SUM(O407,AI407)-L407</f>
        <v>-1</v>
      </c>
      <c r="AF407" s="32">
        <f>Q407</f>
        <v>1</v>
      </c>
      <c r="AG407" s="302">
        <f>AG385</f>
        <v>0</v>
      </c>
      <c r="AH407" s="7">
        <f t="shared" si="786"/>
        <v>-1</v>
      </c>
      <c r="AI407" s="258"/>
      <c r="AJ407" s="304">
        <f>AJ385</f>
        <v>0</v>
      </c>
      <c r="AK407" s="234">
        <f t="shared" si="787"/>
        <v>1</v>
      </c>
      <c r="AL407" s="123"/>
      <c r="AM407" s="8"/>
      <c r="AN407" s="34"/>
      <c r="AO407" s="736"/>
      <c r="AP407" s="123"/>
      <c r="AQ407" s="8"/>
      <c r="AR407" s="34"/>
      <c r="AS407" s="736"/>
      <c r="AT407" s="20"/>
      <c r="AU407" s="8"/>
      <c r="AV407" s="34"/>
      <c r="AW407" s="234"/>
      <c r="AX407" s="234"/>
      <c r="AY407" s="395">
        <f>SUM(M407,AG407,BA407)-SUM(O407,AI407,BC407)-L407</f>
        <v>-1</v>
      </c>
      <c r="AZ407" s="32">
        <f t="shared" ref="AZ407:AZ412" si="796">AK407</f>
        <v>1</v>
      </c>
      <c r="BA407" s="302">
        <f>BA385</f>
        <v>0</v>
      </c>
      <c r="BB407" s="7">
        <f t="shared" si="788"/>
        <v>-1</v>
      </c>
      <c r="BC407" s="258"/>
      <c r="BD407" s="304">
        <f>BD385</f>
        <v>0</v>
      </c>
      <c r="BE407" s="234">
        <f t="shared" si="789"/>
        <v>1</v>
      </c>
      <c r="BF407" s="123"/>
      <c r="BG407" s="8"/>
      <c r="BH407" s="34"/>
      <c r="BI407" s="736"/>
      <c r="BJ407" s="123"/>
      <c r="BK407" s="8"/>
      <c r="BL407" s="34"/>
      <c r="BM407" s="736"/>
      <c r="BN407" s="20"/>
      <c r="BO407" s="8"/>
      <c r="BP407" s="34"/>
      <c r="BQ407" s="234"/>
      <c r="BR407" s="234"/>
      <c r="BS407" s="395">
        <f>SUM(M407,AG407,BA407,BU407)-SUM(O407,AI407,BC407,BW407)-L407</f>
        <v>-1</v>
      </c>
      <c r="BT407" s="32">
        <f t="shared" ref="BT407:BT412" si="797">BE407</f>
        <v>1</v>
      </c>
      <c r="BU407" s="302">
        <f>BU385</f>
        <v>0</v>
      </c>
      <c r="BV407" s="7">
        <f t="shared" si="790"/>
        <v>-1</v>
      </c>
      <c r="BW407" s="258"/>
      <c r="BX407" s="304">
        <f>BX385</f>
        <v>0</v>
      </c>
      <c r="BY407" s="234">
        <f t="shared" si="791"/>
        <v>1</v>
      </c>
      <c r="BZ407" s="123"/>
      <c r="CA407" s="8"/>
      <c r="CB407" s="34"/>
      <c r="CC407" s="736"/>
      <c r="CD407" s="123"/>
      <c r="CE407" s="8"/>
      <c r="CF407" s="34"/>
      <c r="CG407" s="736"/>
      <c r="CH407" s="20"/>
      <c r="CI407" s="8"/>
      <c r="CJ407" s="34"/>
      <c r="CK407" s="234"/>
      <c r="CL407" s="234"/>
      <c r="CM407" s="395">
        <f>SUM(M407,AG407,BA407,BU407,CO407)-SUM(O407,AI407,BC407,BW407,CQ407)-L407</f>
        <v>-1</v>
      </c>
      <c r="CN407" s="32">
        <f t="shared" ref="CN407:CN412" si="798">BY407</f>
        <v>1</v>
      </c>
      <c r="CO407" s="302">
        <f>CO385</f>
        <v>0</v>
      </c>
      <c r="CP407" s="7">
        <f t="shared" si="792"/>
        <v>-1</v>
      </c>
      <c r="CQ407" s="242"/>
      <c r="CR407" s="304">
        <f>CR385</f>
        <v>0</v>
      </c>
      <c r="CS407" s="234">
        <f t="shared" si="793"/>
        <v>1</v>
      </c>
      <c r="CT407" s="123"/>
      <c r="CU407" s="8"/>
      <c r="CV407" s="34"/>
      <c r="CW407" s="736"/>
      <c r="CX407" s="123"/>
      <c r="CY407" s="8"/>
      <c r="CZ407" s="34"/>
      <c r="DA407" s="736"/>
      <c r="DB407" s="20"/>
      <c r="DC407" s="8"/>
      <c r="DD407" s="34"/>
      <c r="DE407" s="234"/>
      <c r="DF407" s="234"/>
      <c r="DG407" s="395">
        <f>SUM(M407,AG407,BA407,BU407,DI407)-SUM(O407,AI407,BC407,BW407,CQ407)-L407</f>
        <v>-1</v>
      </c>
      <c r="DH407" s="32">
        <f t="shared" si="778"/>
        <v>1</v>
      </c>
      <c r="DI407" s="302">
        <f>DI385</f>
        <v>0</v>
      </c>
      <c r="DJ407" s="7">
        <f t="shared" si="794"/>
        <v>-1</v>
      </c>
      <c r="DK407" s="242"/>
      <c r="DL407" s="304">
        <f>DL385</f>
        <v>0</v>
      </c>
      <c r="DM407" s="234">
        <f t="shared" si="795"/>
        <v>1</v>
      </c>
    </row>
    <row r="408" spans="1:117" x14ac:dyDescent="0.3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>SUM(M408,AG408,BA408,BU408)-L408</f>
        <v>-5</v>
      </c>
      <c r="K408" s="395">
        <f t="shared" si="768"/>
        <v>-5</v>
      </c>
      <c r="L408" s="32">
        <v>5</v>
      </c>
      <c r="M408" s="302">
        <f>M385</f>
        <v>0</v>
      </c>
      <c r="N408" s="7">
        <f t="shared" si="784"/>
        <v>-5</v>
      </c>
      <c r="O408" s="258"/>
      <c r="P408" s="304">
        <f>P385</f>
        <v>0</v>
      </c>
      <c r="Q408" s="234">
        <f t="shared" si="785"/>
        <v>5</v>
      </c>
      <c r="R408" s="123"/>
      <c r="S408" s="8"/>
      <c r="T408" s="34"/>
      <c r="U408" s="736"/>
      <c r="V408" s="123"/>
      <c r="W408" s="8"/>
      <c r="X408" s="34"/>
      <c r="Y408" s="736"/>
      <c r="Z408" s="20"/>
      <c r="AA408" s="8"/>
      <c r="AB408" s="34"/>
      <c r="AC408" s="234"/>
      <c r="AD408" s="234"/>
      <c r="AE408" s="398">
        <f>SUM(M408,AG408)-SUM(O408,AI408)-L408</f>
        <v>-5</v>
      </c>
      <c r="AF408" s="32">
        <f>Q408</f>
        <v>5</v>
      </c>
      <c r="AG408" s="302">
        <f>AG385</f>
        <v>0</v>
      </c>
      <c r="AH408" s="7">
        <f t="shared" si="786"/>
        <v>-5</v>
      </c>
      <c r="AI408" s="258"/>
      <c r="AJ408" s="304">
        <f>AJ385</f>
        <v>0</v>
      </c>
      <c r="AK408" s="234">
        <f t="shared" si="787"/>
        <v>5</v>
      </c>
      <c r="AL408" s="123"/>
      <c r="AM408" s="8"/>
      <c r="AN408" s="34"/>
      <c r="AO408" s="736"/>
      <c r="AP408" s="123"/>
      <c r="AQ408" s="8"/>
      <c r="AR408" s="34"/>
      <c r="AS408" s="736"/>
      <c r="AT408" s="20"/>
      <c r="AU408" s="8"/>
      <c r="AV408" s="34"/>
      <c r="AW408" s="234"/>
      <c r="AX408" s="234"/>
      <c r="AY408" s="395">
        <f>SUM(M408,AG408,BA408)-SUM(O408,AI408,BC408)-L408</f>
        <v>-5</v>
      </c>
      <c r="AZ408" s="32">
        <f t="shared" si="796"/>
        <v>5</v>
      </c>
      <c r="BA408" s="302">
        <f>BA385</f>
        <v>0</v>
      </c>
      <c r="BB408" s="7">
        <f t="shared" si="788"/>
        <v>-5</v>
      </c>
      <c r="BC408" s="258"/>
      <c r="BD408" s="304">
        <f>BD385</f>
        <v>0</v>
      </c>
      <c r="BE408" s="234">
        <f t="shared" si="789"/>
        <v>5</v>
      </c>
      <c r="BF408" s="123"/>
      <c r="BG408" s="8"/>
      <c r="BH408" s="34"/>
      <c r="BI408" s="736"/>
      <c r="BJ408" s="123"/>
      <c r="BK408" s="8"/>
      <c r="BL408" s="34"/>
      <c r="BM408" s="736"/>
      <c r="BN408" s="20"/>
      <c r="BO408" s="8"/>
      <c r="BP408" s="34"/>
      <c r="BQ408" s="234"/>
      <c r="BR408" s="234"/>
      <c r="BS408" s="395">
        <f>SUM(M408,AG408,BA408,BU408)-SUM(O408,AI408,BC408,BW408)-L408</f>
        <v>-5</v>
      </c>
      <c r="BT408" s="32">
        <f t="shared" si="797"/>
        <v>5</v>
      </c>
      <c r="BU408" s="302">
        <f>BU385</f>
        <v>0</v>
      </c>
      <c r="BV408" s="7">
        <f t="shared" si="790"/>
        <v>-5</v>
      </c>
      <c r="BW408" s="258"/>
      <c r="BX408" s="304">
        <f>BX385</f>
        <v>0</v>
      </c>
      <c r="BY408" s="234">
        <f t="shared" si="791"/>
        <v>5</v>
      </c>
      <c r="BZ408" s="123"/>
      <c r="CA408" s="8"/>
      <c r="CB408" s="34"/>
      <c r="CC408" s="736"/>
      <c r="CD408" s="123"/>
      <c r="CE408" s="8"/>
      <c r="CF408" s="34"/>
      <c r="CG408" s="736"/>
      <c r="CH408" s="20"/>
      <c r="CI408" s="8"/>
      <c r="CJ408" s="34"/>
      <c r="CK408" s="234"/>
      <c r="CL408" s="234"/>
      <c r="CM408" s="395">
        <f>SUM(M408,AG408,BA408,BU408,CO408)-SUM(O408,AI408,BC408,BW408,CQ408)-L408</f>
        <v>-5</v>
      </c>
      <c r="CN408" s="32">
        <f t="shared" si="798"/>
        <v>5</v>
      </c>
      <c r="CO408" s="302">
        <f>CO385</f>
        <v>0</v>
      </c>
      <c r="CP408" s="7">
        <f t="shared" si="792"/>
        <v>-5</v>
      </c>
      <c r="CQ408" s="242"/>
      <c r="CR408" s="304">
        <f>CR385</f>
        <v>0</v>
      </c>
      <c r="CS408" s="234">
        <f t="shared" si="793"/>
        <v>5</v>
      </c>
      <c r="CT408" s="123"/>
      <c r="CU408" s="8"/>
      <c r="CV408" s="34"/>
      <c r="CW408" s="736"/>
      <c r="CX408" s="123"/>
      <c r="CY408" s="8"/>
      <c r="CZ408" s="34"/>
      <c r="DA408" s="736"/>
      <c r="DB408" s="20"/>
      <c r="DC408" s="8"/>
      <c r="DD408" s="34"/>
      <c r="DE408" s="234"/>
      <c r="DF408" s="234"/>
      <c r="DG408" s="395">
        <f>SUM(M408,AG408,BA408,BU408,DI408)-SUM(O408,AI408,BC408,BW408,CQ408)-L408</f>
        <v>-5</v>
      </c>
      <c r="DH408" s="32">
        <f t="shared" si="778"/>
        <v>5</v>
      </c>
      <c r="DI408" s="302">
        <f>DI385</f>
        <v>0</v>
      </c>
      <c r="DJ408" s="7">
        <f t="shared" si="794"/>
        <v>-5</v>
      </c>
      <c r="DK408" s="242"/>
      <c r="DL408" s="304">
        <f>DL385</f>
        <v>0</v>
      </c>
      <c r="DM408" s="234">
        <f t="shared" si="795"/>
        <v>5</v>
      </c>
    </row>
    <row r="409" spans="1:117" x14ac:dyDescent="0.3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>SUM(M409,AG409,BA409,BU409)-L409</f>
        <v>-8</v>
      </c>
      <c r="K409" s="395">
        <f t="shared" si="768"/>
        <v>-8</v>
      </c>
      <c r="L409" s="32">
        <v>8</v>
      </c>
      <c r="M409" s="302">
        <f>M385</f>
        <v>0</v>
      </c>
      <c r="N409" s="7">
        <f t="shared" si="784"/>
        <v>-8</v>
      </c>
      <c r="O409" s="258"/>
      <c r="P409" s="304">
        <f>P385</f>
        <v>0</v>
      </c>
      <c r="Q409" s="234">
        <f t="shared" si="785"/>
        <v>8</v>
      </c>
      <c r="R409" s="123"/>
      <c r="S409" s="8"/>
      <c r="T409" s="34"/>
      <c r="U409" s="736"/>
      <c r="V409" s="123"/>
      <c r="W409" s="8"/>
      <c r="X409" s="34"/>
      <c r="Y409" s="736"/>
      <c r="Z409" s="20"/>
      <c r="AA409" s="8"/>
      <c r="AB409" s="34"/>
      <c r="AC409" s="234"/>
      <c r="AD409" s="234"/>
      <c r="AE409" s="398">
        <f>SUM(M409,AG409)-SUM(O409,AI409)-L409</f>
        <v>-8</v>
      </c>
      <c r="AF409" s="32">
        <f>Q409</f>
        <v>8</v>
      </c>
      <c r="AG409" s="302">
        <f>AG385</f>
        <v>0</v>
      </c>
      <c r="AH409" s="7">
        <f t="shared" si="786"/>
        <v>-8</v>
      </c>
      <c r="AI409" s="258"/>
      <c r="AJ409" s="304">
        <f>AJ385</f>
        <v>0</v>
      </c>
      <c r="AK409" s="234">
        <f t="shared" si="787"/>
        <v>8</v>
      </c>
      <c r="AL409" s="123"/>
      <c r="AM409" s="8"/>
      <c r="AN409" s="34"/>
      <c r="AO409" s="736"/>
      <c r="AP409" s="123"/>
      <c r="AQ409" s="8"/>
      <c r="AR409" s="34"/>
      <c r="AS409" s="736"/>
      <c r="AT409" s="20"/>
      <c r="AU409" s="8"/>
      <c r="AV409" s="34"/>
      <c r="AW409" s="234"/>
      <c r="AX409" s="234"/>
      <c r="AY409" s="395">
        <f>SUM(M409,AG409,BA409)-SUM(O409,AI409,BC409)-L409</f>
        <v>-8</v>
      </c>
      <c r="AZ409" s="32">
        <f t="shared" si="796"/>
        <v>8</v>
      </c>
      <c r="BA409" s="302">
        <f>BA385</f>
        <v>0</v>
      </c>
      <c r="BB409" s="7">
        <f t="shared" si="788"/>
        <v>-8</v>
      </c>
      <c r="BC409" s="258"/>
      <c r="BD409" s="304">
        <f>BD385</f>
        <v>0</v>
      </c>
      <c r="BE409" s="234">
        <f t="shared" si="789"/>
        <v>8</v>
      </c>
      <c r="BF409" s="123"/>
      <c r="BG409" s="8"/>
      <c r="BH409" s="34"/>
      <c r="BI409" s="736"/>
      <c r="BJ409" s="123"/>
      <c r="BK409" s="8"/>
      <c r="BL409" s="34"/>
      <c r="BM409" s="736"/>
      <c r="BN409" s="20"/>
      <c r="BO409" s="8"/>
      <c r="BP409" s="34"/>
      <c r="BQ409" s="234"/>
      <c r="BR409" s="234"/>
      <c r="BS409" s="395">
        <f>SUM(M409,AG409,BA409,BU409)-SUM(O409,AI409,BC409,BW409)-L409</f>
        <v>-8</v>
      </c>
      <c r="BT409" s="32">
        <f t="shared" si="797"/>
        <v>8</v>
      </c>
      <c r="BU409" s="302">
        <f>BU385</f>
        <v>0</v>
      </c>
      <c r="BV409" s="7">
        <f t="shared" si="790"/>
        <v>-8</v>
      </c>
      <c r="BW409" s="258"/>
      <c r="BX409" s="304">
        <f>BX385</f>
        <v>0</v>
      </c>
      <c r="BY409" s="234">
        <f t="shared" si="791"/>
        <v>8</v>
      </c>
      <c r="BZ409" s="123"/>
      <c r="CA409" s="8"/>
      <c r="CB409" s="34"/>
      <c r="CC409" s="736"/>
      <c r="CD409" s="123"/>
      <c r="CE409" s="8"/>
      <c r="CF409" s="34"/>
      <c r="CG409" s="736"/>
      <c r="CH409" s="20"/>
      <c r="CI409" s="8"/>
      <c r="CJ409" s="34"/>
      <c r="CK409" s="234"/>
      <c r="CL409" s="234"/>
      <c r="CM409" s="395">
        <f>SUM(M409,AG409,BA409,BU409,CO409)-SUM(O409,AI409,BC409,BW409,CQ409)-L409</f>
        <v>-8</v>
      </c>
      <c r="CN409" s="32">
        <f t="shared" si="798"/>
        <v>8</v>
      </c>
      <c r="CO409" s="302">
        <f>CO385</f>
        <v>0</v>
      </c>
      <c r="CP409" s="7">
        <f t="shared" si="792"/>
        <v>-8</v>
      </c>
      <c r="CQ409" s="242"/>
      <c r="CR409" s="304">
        <f>CR385</f>
        <v>0</v>
      </c>
      <c r="CS409" s="234">
        <f t="shared" si="793"/>
        <v>8</v>
      </c>
      <c r="CT409" s="123"/>
      <c r="CU409" s="8"/>
      <c r="CV409" s="34"/>
      <c r="CW409" s="736"/>
      <c r="CX409" s="123"/>
      <c r="CY409" s="8"/>
      <c r="CZ409" s="34"/>
      <c r="DA409" s="736"/>
      <c r="DB409" s="20"/>
      <c r="DC409" s="8"/>
      <c r="DD409" s="34"/>
      <c r="DE409" s="234"/>
      <c r="DF409" s="234"/>
      <c r="DG409" s="395">
        <f>SUM(M409,AG409,BA409,BU409,DI409)-SUM(O409,AI409,BC409,BW409,CQ409)-L409</f>
        <v>-8</v>
      </c>
      <c r="DH409" s="32">
        <f t="shared" si="778"/>
        <v>8</v>
      </c>
      <c r="DI409" s="302">
        <f>DI385</f>
        <v>0</v>
      </c>
      <c r="DJ409" s="7">
        <f t="shared" si="794"/>
        <v>-8</v>
      </c>
      <c r="DK409" s="242"/>
      <c r="DL409" s="304">
        <f>DL385</f>
        <v>0</v>
      </c>
      <c r="DM409" s="234">
        <f t="shared" si="795"/>
        <v>8</v>
      </c>
    </row>
    <row r="410" spans="1:117" x14ac:dyDescent="0.3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>SUM(M410,AG410,BA410,BU410)-L410</f>
        <v>-2</v>
      </c>
      <c r="K410" s="395">
        <f t="shared" si="768"/>
        <v>-2</v>
      </c>
      <c r="L410" s="515">
        <v>4</v>
      </c>
      <c r="M410" s="302">
        <f>SUM(M432,M385)</f>
        <v>2</v>
      </c>
      <c r="N410" s="7">
        <f t="shared" si="784"/>
        <v>-2</v>
      </c>
      <c r="O410" s="258"/>
      <c r="P410" s="304">
        <f>SUM(P432,P385)</f>
        <v>2</v>
      </c>
      <c r="Q410" s="234">
        <f t="shared" si="785"/>
        <v>2</v>
      </c>
      <c r="R410" s="123"/>
      <c r="S410" s="8"/>
      <c r="T410" s="34"/>
      <c r="U410" s="736"/>
      <c r="V410" s="123"/>
      <c r="W410" s="8"/>
      <c r="X410" s="34"/>
      <c r="Y410" s="736"/>
      <c r="Z410" s="20"/>
      <c r="AA410" s="8"/>
      <c r="AB410" s="34"/>
      <c r="AC410" s="234"/>
      <c r="AD410" s="234"/>
      <c r="AE410" s="398">
        <f>SUM(M410,AG410)-SUM(O410,AI410)-L410</f>
        <v>-2</v>
      </c>
      <c r="AF410" s="32">
        <f>Q410</f>
        <v>2</v>
      </c>
      <c r="AG410" s="302">
        <f>SUM(AG432,AG385)</f>
        <v>0</v>
      </c>
      <c r="AH410" s="7">
        <f t="shared" si="786"/>
        <v>-2</v>
      </c>
      <c r="AI410" s="242"/>
      <c r="AJ410" s="304">
        <f>SUM(AJ432,AJ385)</f>
        <v>0</v>
      </c>
      <c r="AK410" s="234">
        <f t="shared" si="787"/>
        <v>2</v>
      </c>
      <c r="AL410" s="123"/>
      <c r="AM410" s="8"/>
      <c r="AN410" s="34"/>
      <c r="AO410" s="736"/>
      <c r="AP410" s="123"/>
      <c r="AQ410" s="8"/>
      <c r="AR410" s="34"/>
      <c r="AS410" s="736"/>
      <c r="AT410" s="20"/>
      <c r="AU410" s="8"/>
      <c r="AV410" s="34"/>
      <c r="AW410" s="234"/>
      <c r="AX410" s="234"/>
      <c r="AY410" s="395">
        <f>SUM(M410,AG410,BA410)-SUM(O410,AI410,BC410)-L410</f>
        <v>-2</v>
      </c>
      <c r="AZ410" s="32">
        <f t="shared" si="796"/>
        <v>2</v>
      </c>
      <c r="BA410" s="302">
        <f>SUM(BA432,BA385)</f>
        <v>0</v>
      </c>
      <c r="BB410" s="7">
        <f t="shared" si="788"/>
        <v>-2</v>
      </c>
      <c r="BC410" s="258"/>
      <c r="BD410" s="304">
        <f>SUM(BD432,BD385)</f>
        <v>0</v>
      </c>
      <c r="BE410" s="234">
        <f t="shared" si="789"/>
        <v>2</v>
      </c>
      <c r="BF410" s="123"/>
      <c r="BG410" s="8"/>
      <c r="BH410" s="34"/>
      <c r="BI410" s="736"/>
      <c r="BJ410" s="123"/>
      <c r="BK410" s="8"/>
      <c r="BL410" s="34"/>
      <c r="BM410" s="736"/>
      <c r="BN410" s="20"/>
      <c r="BO410" s="8"/>
      <c r="BP410" s="34"/>
      <c r="BQ410" s="234"/>
      <c r="BR410" s="234"/>
      <c r="BS410" s="395">
        <f>SUM(M410,AG410,BA410,BU410)-SUM(O410,AI410,BC410,BW410)-L410</f>
        <v>-2</v>
      </c>
      <c r="BT410" s="32">
        <f t="shared" si="797"/>
        <v>2</v>
      </c>
      <c r="BU410" s="302">
        <f>SUM(BU432,BU385)</f>
        <v>0</v>
      </c>
      <c r="BV410" s="7">
        <f t="shared" si="790"/>
        <v>-2</v>
      </c>
      <c r="BW410" s="258"/>
      <c r="BX410" s="304">
        <f>SUM(BX432,BX385)</f>
        <v>0</v>
      </c>
      <c r="BY410" s="234">
        <f t="shared" si="791"/>
        <v>2</v>
      </c>
      <c r="BZ410" s="123"/>
      <c r="CA410" s="8"/>
      <c r="CB410" s="34"/>
      <c r="CC410" s="736"/>
      <c r="CD410" s="123"/>
      <c r="CE410" s="8"/>
      <c r="CF410" s="34"/>
      <c r="CG410" s="736"/>
      <c r="CH410" s="20"/>
      <c r="CI410" s="8"/>
      <c r="CJ410" s="34"/>
      <c r="CK410" s="234"/>
      <c r="CL410" s="234"/>
      <c r="CM410" s="395">
        <f>SUM(M410,AG410,BA410,BU410,CO410)-SUM(O410,AI410,BC410,BW410,CQ410)-L410</f>
        <v>-2</v>
      </c>
      <c r="CN410" s="32">
        <f t="shared" si="798"/>
        <v>2</v>
      </c>
      <c r="CO410" s="302">
        <f>SUM(CO432,CO385)</f>
        <v>0</v>
      </c>
      <c r="CP410" s="7">
        <f t="shared" si="792"/>
        <v>-2</v>
      </c>
      <c r="CQ410" s="242"/>
      <c r="CR410" s="304">
        <f>SUM(CR432,CR385)</f>
        <v>0</v>
      </c>
      <c r="CS410" s="234">
        <f t="shared" si="793"/>
        <v>2</v>
      </c>
      <c r="CT410" s="123"/>
      <c r="CU410" s="8"/>
      <c r="CV410" s="34"/>
      <c r="CW410" s="736"/>
      <c r="CX410" s="123"/>
      <c r="CY410" s="8"/>
      <c r="CZ410" s="34"/>
      <c r="DA410" s="736"/>
      <c r="DB410" s="20"/>
      <c r="DC410" s="8"/>
      <c r="DD410" s="34"/>
      <c r="DE410" s="234"/>
      <c r="DF410" s="234"/>
      <c r="DG410" s="395">
        <f>SUM(M410,AG410,BA410,BU410,DI410)-SUM(O410,AI410,BC410,BW410,CQ410)-L410</f>
        <v>-2</v>
      </c>
      <c r="DH410" s="32">
        <f t="shared" si="778"/>
        <v>2</v>
      </c>
      <c r="DI410" s="302">
        <f>SUM(DI432,DI385)</f>
        <v>0</v>
      </c>
      <c r="DJ410" s="7">
        <f t="shared" si="794"/>
        <v>-2</v>
      </c>
      <c r="DK410" s="242"/>
      <c r="DL410" s="304">
        <f>SUM(DL432,DL385)</f>
        <v>0</v>
      </c>
      <c r="DM410" s="234">
        <f t="shared" si="795"/>
        <v>2</v>
      </c>
    </row>
    <row r="411" spans="1:117" x14ac:dyDescent="0.3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>SUM(M411,AG411,BA411,BU411)-L411</f>
        <v>-2</v>
      </c>
      <c r="K411" s="395">
        <f t="shared" si="768"/>
        <v>-2</v>
      </c>
      <c r="L411" s="32">
        <v>2</v>
      </c>
      <c r="M411" s="302">
        <f>M385</f>
        <v>0</v>
      </c>
      <c r="N411" s="7">
        <f t="shared" si="784"/>
        <v>-2</v>
      </c>
      <c r="O411" s="258"/>
      <c r="P411" s="304">
        <f>P385</f>
        <v>0</v>
      </c>
      <c r="Q411" s="234">
        <f t="shared" si="785"/>
        <v>2</v>
      </c>
      <c r="R411" s="123"/>
      <c r="S411" s="8"/>
      <c r="T411" s="34"/>
      <c r="U411" s="736"/>
      <c r="V411" s="123"/>
      <c r="W411" s="8"/>
      <c r="X411" s="34"/>
      <c r="Y411" s="736"/>
      <c r="Z411" s="20"/>
      <c r="AA411" s="8"/>
      <c r="AB411" s="34"/>
      <c r="AC411" s="234"/>
      <c r="AD411" s="234"/>
      <c r="AE411" s="398">
        <f>SUM(M411,AG411)-SUM(O411,AI411)-L411</f>
        <v>-2</v>
      </c>
      <c r="AF411" s="32">
        <f>Q411</f>
        <v>2</v>
      </c>
      <c r="AG411" s="302">
        <f>AG385</f>
        <v>0</v>
      </c>
      <c r="AH411" s="7">
        <f t="shared" si="786"/>
        <v>-2</v>
      </c>
      <c r="AI411" s="258"/>
      <c r="AJ411" s="304">
        <f>AJ385</f>
        <v>0</v>
      </c>
      <c r="AK411" s="234">
        <f t="shared" si="787"/>
        <v>2</v>
      </c>
      <c r="AL411" s="123"/>
      <c r="AM411" s="8"/>
      <c r="AN411" s="34"/>
      <c r="AO411" s="736"/>
      <c r="AP411" s="123"/>
      <c r="AQ411" s="8"/>
      <c r="AR411" s="34"/>
      <c r="AS411" s="736"/>
      <c r="AT411" s="20"/>
      <c r="AU411" s="8"/>
      <c r="AV411" s="34"/>
      <c r="AW411" s="234"/>
      <c r="AX411" s="234"/>
      <c r="AY411" s="395">
        <f>SUM(M411,AG411,BA411)-SUM(O411,AI411,BC411)-L411</f>
        <v>-2</v>
      </c>
      <c r="AZ411" s="32">
        <f t="shared" si="796"/>
        <v>2</v>
      </c>
      <c r="BA411" s="302">
        <f>BA385</f>
        <v>0</v>
      </c>
      <c r="BB411" s="7">
        <f t="shared" si="788"/>
        <v>-2</v>
      </c>
      <c r="BC411" s="258"/>
      <c r="BD411" s="304">
        <f>BD385</f>
        <v>0</v>
      </c>
      <c r="BE411" s="234">
        <f t="shared" si="789"/>
        <v>2</v>
      </c>
      <c r="BF411" s="123"/>
      <c r="BG411" s="8"/>
      <c r="BH411" s="34"/>
      <c r="BI411" s="736"/>
      <c r="BJ411" s="123"/>
      <c r="BK411" s="8"/>
      <c r="BL411" s="34"/>
      <c r="BM411" s="736"/>
      <c r="BN411" s="20"/>
      <c r="BO411" s="8"/>
      <c r="BP411" s="34"/>
      <c r="BQ411" s="234"/>
      <c r="BR411" s="234"/>
      <c r="BS411" s="395">
        <f>SUM(M411,AG411,BA411,BU411)-SUM(O411,AI411,BC411,BW411)-L411</f>
        <v>-2</v>
      </c>
      <c r="BT411" s="32">
        <f t="shared" si="797"/>
        <v>2</v>
      </c>
      <c r="BU411" s="302">
        <f>BU385</f>
        <v>0</v>
      </c>
      <c r="BV411" s="7">
        <f t="shared" si="790"/>
        <v>-2</v>
      </c>
      <c r="BW411" s="258"/>
      <c r="BX411" s="304">
        <f>BX385</f>
        <v>0</v>
      </c>
      <c r="BY411" s="234">
        <f t="shared" si="791"/>
        <v>2</v>
      </c>
      <c r="BZ411" s="123"/>
      <c r="CA411" s="8"/>
      <c r="CB411" s="34"/>
      <c r="CC411" s="736"/>
      <c r="CD411" s="123"/>
      <c r="CE411" s="8"/>
      <c r="CF411" s="34"/>
      <c r="CG411" s="736"/>
      <c r="CH411" s="20"/>
      <c r="CI411" s="8"/>
      <c r="CJ411" s="34"/>
      <c r="CK411" s="234"/>
      <c r="CL411" s="234"/>
      <c r="CM411" s="395">
        <f>SUM(M411,AG411,BA411,BU411,CO411)-SUM(O411,AI411,BC411,BW411,CQ411)-L411</f>
        <v>-2</v>
      </c>
      <c r="CN411" s="32">
        <f t="shared" si="798"/>
        <v>2</v>
      </c>
      <c r="CO411" s="302">
        <f>CO385</f>
        <v>0</v>
      </c>
      <c r="CP411" s="7">
        <f t="shared" si="792"/>
        <v>-2</v>
      </c>
      <c r="CQ411" s="242"/>
      <c r="CR411" s="304">
        <f>CR385</f>
        <v>0</v>
      </c>
      <c r="CS411" s="234">
        <f t="shared" si="793"/>
        <v>2</v>
      </c>
      <c r="CT411" s="123"/>
      <c r="CU411" s="8"/>
      <c r="CV411" s="34"/>
      <c r="CW411" s="736"/>
      <c r="CX411" s="123"/>
      <c r="CY411" s="8"/>
      <c r="CZ411" s="34"/>
      <c r="DA411" s="736"/>
      <c r="DB411" s="20"/>
      <c r="DC411" s="8"/>
      <c r="DD411" s="34"/>
      <c r="DE411" s="234"/>
      <c r="DF411" s="234"/>
      <c r="DG411" s="395">
        <f>SUM(M411,AG411,BA411,BU411,DI411)-SUM(O411,AI411,BC411,BW411,CQ411)-L411</f>
        <v>-2</v>
      </c>
      <c r="DH411" s="32">
        <f t="shared" si="778"/>
        <v>2</v>
      </c>
      <c r="DI411" s="302">
        <f>DI385</f>
        <v>0</v>
      </c>
      <c r="DJ411" s="7">
        <f t="shared" si="794"/>
        <v>-2</v>
      </c>
      <c r="DK411" s="242"/>
      <c r="DL411" s="304">
        <f>DL385</f>
        <v>0</v>
      </c>
      <c r="DM411" s="234">
        <f t="shared" si="795"/>
        <v>2</v>
      </c>
    </row>
    <row r="412" spans="1:117" x14ac:dyDescent="0.3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>SUM(M412,AG412,BA412,BU412)-L412</f>
        <v>-2</v>
      </c>
      <c r="K412" s="395">
        <f t="shared" si="768"/>
        <v>-2</v>
      </c>
      <c r="L412" s="32">
        <v>2</v>
      </c>
      <c r="M412" s="302">
        <f>M385</f>
        <v>0</v>
      </c>
      <c r="N412" s="7">
        <f t="shared" si="784"/>
        <v>-2</v>
      </c>
      <c r="O412" s="258"/>
      <c r="P412" s="304">
        <f>P385</f>
        <v>0</v>
      </c>
      <c r="Q412" s="234">
        <f t="shared" si="785"/>
        <v>2</v>
      </c>
      <c r="R412" s="123"/>
      <c r="S412" s="8"/>
      <c r="T412" s="34"/>
      <c r="U412" s="736"/>
      <c r="V412" s="123"/>
      <c r="W412" s="8"/>
      <c r="X412" s="34"/>
      <c r="Y412" s="736"/>
      <c r="Z412" s="20"/>
      <c r="AA412" s="8"/>
      <c r="AB412" s="34"/>
      <c r="AC412" s="234"/>
      <c r="AD412" s="234"/>
      <c r="AE412" s="398">
        <f>SUM(M412,AG412)-SUM(O412,AI412)-L412</f>
        <v>-2</v>
      </c>
      <c r="AF412" s="32">
        <f>Q412</f>
        <v>2</v>
      </c>
      <c r="AG412" s="302">
        <f>AG385</f>
        <v>0</v>
      </c>
      <c r="AH412" s="7">
        <f t="shared" si="786"/>
        <v>-2</v>
      </c>
      <c r="AI412" s="258"/>
      <c r="AJ412" s="304">
        <f>AJ385</f>
        <v>0</v>
      </c>
      <c r="AK412" s="234">
        <f t="shared" si="787"/>
        <v>2</v>
      </c>
      <c r="AL412" s="123"/>
      <c r="AM412" s="8"/>
      <c r="AN412" s="34"/>
      <c r="AO412" s="736"/>
      <c r="AP412" s="123"/>
      <c r="AQ412" s="8"/>
      <c r="AR412" s="34"/>
      <c r="AS412" s="736"/>
      <c r="AT412" s="20"/>
      <c r="AU412" s="8"/>
      <c r="AV412" s="34"/>
      <c r="AW412" s="234"/>
      <c r="AX412" s="234"/>
      <c r="AY412" s="395">
        <f>SUM(M412,AG412,BA412)-SUM(O412,AI412,BC412)-L412</f>
        <v>-2</v>
      </c>
      <c r="AZ412" s="32">
        <f t="shared" si="796"/>
        <v>2</v>
      </c>
      <c r="BA412" s="302">
        <f>BA385</f>
        <v>0</v>
      </c>
      <c r="BB412" s="7">
        <f t="shared" si="788"/>
        <v>-2</v>
      </c>
      <c r="BC412" s="258"/>
      <c r="BD412" s="304">
        <f>BD385</f>
        <v>0</v>
      </c>
      <c r="BE412" s="234">
        <f t="shared" si="789"/>
        <v>2</v>
      </c>
      <c r="BF412" s="123"/>
      <c r="BG412" s="8"/>
      <c r="BH412" s="34"/>
      <c r="BI412" s="736"/>
      <c r="BJ412" s="123"/>
      <c r="BK412" s="8"/>
      <c r="BL412" s="34"/>
      <c r="BM412" s="736"/>
      <c r="BN412" s="20"/>
      <c r="BO412" s="8"/>
      <c r="BP412" s="34"/>
      <c r="BQ412" s="234"/>
      <c r="BR412" s="234"/>
      <c r="BS412" s="395">
        <f>SUM(M412,AG412,BA412,BU412)-SUM(O412,AI412,BC412,BW412)-L412</f>
        <v>-2</v>
      </c>
      <c r="BT412" s="32">
        <f t="shared" si="797"/>
        <v>2</v>
      </c>
      <c r="BU412" s="302">
        <f>BU385</f>
        <v>0</v>
      </c>
      <c r="BV412" s="7">
        <f t="shared" si="790"/>
        <v>-2</v>
      </c>
      <c r="BW412" s="258"/>
      <c r="BX412" s="304">
        <f>BX385</f>
        <v>0</v>
      </c>
      <c r="BY412" s="234">
        <f t="shared" si="791"/>
        <v>2</v>
      </c>
      <c r="BZ412" s="123"/>
      <c r="CA412" s="8"/>
      <c r="CB412" s="34"/>
      <c r="CC412" s="736"/>
      <c r="CD412" s="123"/>
      <c r="CE412" s="8"/>
      <c r="CF412" s="34"/>
      <c r="CG412" s="736"/>
      <c r="CH412" s="20"/>
      <c r="CI412" s="8"/>
      <c r="CJ412" s="34"/>
      <c r="CK412" s="234"/>
      <c r="CL412" s="234"/>
      <c r="CM412" s="395">
        <f>SUM(M412,AG412,BA412,BU412,CO412)-SUM(O412,AI412,BC412,BW412,CQ412)-L412</f>
        <v>-2</v>
      </c>
      <c r="CN412" s="32">
        <f t="shared" si="798"/>
        <v>2</v>
      </c>
      <c r="CO412" s="302">
        <f>CO385</f>
        <v>0</v>
      </c>
      <c r="CP412" s="7">
        <f t="shared" si="792"/>
        <v>-2</v>
      </c>
      <c r="CQ412" s="242"/>
      <c r="CR412" s="304">
        <f>CR385</f>
        <v>0</v>
      </c>
      <c r="CS412" s="234">
        <f t="shared" si="793"/>
        <v>2</v>
      </c>
      <c r="CT412" s="123"/>
      <c r="CU412" s="8"/>
      <c r="CV412" s="34"/>
      <c r="CW412" s="736"/>
      <c r="CX412" s="123"/>
      <c r="CY412" s="8"/>
      <c r="CZ412" s="34"/>
      <c r="DA412" s="736"/>
      <c r="DB412" s="20"/>
      <c r="DC412" s="8"/>
      <c r="DD412" s="34"/>
      <c r="DE412" s="234"/>
      <c r="DF412" s="234"/>
      <c r="DG412" s="395">
        <f>SUM(M412,AG412,BA412,BU412,DI412)-SUM(O412,AI412,BC412,BW412,CQ412)-L412</f>
        <v>-2</v>
      </c>
      <c r="DH412" s="32">
        <f t="shared" si="778"/>
        <v>2</v>
      </c>
      <c r="DI412" s="302">
        <f>DI385</f>
        <v>0</v>
      </c>
      <c r="DJ412" s="7">
        <f t="shared" si="794"/>
        <v>-2</v>
      </c>
      <c r="DK412" s="242"/>
      <c r="DL412" s="304">
        <f>DL385</f>
        <v>0</v>
      </c>
      <c r="DM412" s="234">
        <f t="shared" si="795"/>
        <v>2</v>
      </c>
    </row>
    <row r="413" spans="1:117" x14ac:dyDescent="0.3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41"/>
      <c r="V413" s="366"/>
      <c r="W413" s="367"/>
      <c r="X413" s="368"/>
      <c r="Y413" s="741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41"/>
      <c r="AP413" s="366"/>
      <c r="AQ413" s="367"/>
      <c r="AR413" s="368"/>
      <c r="AS413" s="741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41"/>
      <c r="BJ413" s="366"/>
      <c r="BK413" s="367"/>
      <c r="BL413" s="368"/>
      <c r="BM413" s="741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41"/>
      <c r="CD413" s="366"/>
      <c r="CE413" s="367"/>
      <c r="CF413" s="368"/>
      <c r="CG413" s="741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41"/>
      <c r="CX413" s="366"/>
      <c r="CY413" s="367"/>
      <c r="CZ413" s="368"/>
      <c r="DA413" s="741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3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>SUM(M414,AG414,BA414,BU414)-L414</f>
        <v>0</v>
      </c>
      <c r="K414" s="395">
        <f t="shared" si="768"/>
        <v>0</v>
      </c>
      <c r="L414" s="29">
        <v>0</v>
      </c>
      <c r="M414" s="302">
        <f>M385</f>
        <v>0</v>
      </c>
      <c r="N414" s="7">
        <f t="shared" si="784"/>
        <v>0</v>
      </c>
      <c r="O414" s="258"/>
      <c r="P414" s="304">
        <f>P385</f>
        <v>0</v>
      </c>
      <c r="Q414" s="231">
        <f t="shared" si="785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>SUM(M414,AG414)-SUM(O414,AI414)-L414</f>
        <v>0</v>
      </c>
      <c r="AF414" s="29">
        <f>Q414</f>
        <v>0</v>
      </c>
      <c r="AG414" s="302">
        <f>AG385</f>
        <v>0</v>
      </c>
      <c r="AH414" s="7">
        <f t="shared" si="786"/>
        <v>0</v>
      </c>
      <c r="AI414" s="242"/>
      <c r="AJ414" s="304">
        <f>AJ385</f>
        <v>0</v>
      </c>
      <c r="AK414" s="231">
        <f t="shared" si="787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799">BA414-AZ414</f>
        <v>0</v>
      </c>
      <c r="BC414" s="242"/>
      <c r="BD414" s="304">
        <f>BD385</f>
        <v>0</v>
      </c>
      <c r="BE414" s="231">
        <f t="shared" ref="BE414" si="800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801">BU414-BT414</f>
        <v>0</v>
      </c>
      <c r="BW414" s="242"/>
      <c r="BX414" s="304">
        <f>BX385</f>
        <v>0</v>
      </c>
      <c r="BY414" s="231">
        <f t="shared" ref="BY414" si="802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803">CO414-CN414</f>
        <v>0</v>
      </c>
      <c r="CQ414" s="242"/>
      <c r="CR414" s="304">
        <f>CR385</f>
        <v>0</v>
      </c>
      <c r="CS414" s="231">
        <f t="shared" ref="CS414" si="804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>SUM(M414,AG414,BA414,BU414,DI414)-SUM(O414,AI414,BC414,BW414,CQ414)-L414</f>
        <v>0</v>
      </c>
      <c r="DH414" s="32">
        <f t="shared" si="778"/>
        <v>0</v>
      </c>
      <c r="DI414" s="302">
        <f>DI385</f>
        <v>0</v>
      </c>
      <c r="DJ414" s="7">
        <f t="shared" ref="DJ414:DJ420" si="805">DI414-DH414</f>
        <v>0</v>
      </c>
      <c r="DK414" s="242"/>
      <c r="DL414" s="304">
        <f>DL385</f>
        <v>0</v>
      </c>
      <c r="DM414" s="231">
        <f t="shared" ref="DM414:DM420" si="806">DH414+DK414-DL414</f>
        <v>0</v>
      </c>
    </row>
    <row r="415" spans="1:117" x14ac:dyDescent="0.3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>SUM(M415,AG415,BA415,BU415)-L415</f>
        <v>-5</v>
      </c>
      <c r="K415" s="395">
        <f t="shared" si="768"/>
        <v>-5</v>
      </c>
      <c r="L415" s="29">
        <v>5</v>
      </c>
      <c r="M415" s="302">
        <f>M385</f>
        <v>0</v>
      </c>
      <c r="N415" s="7">
        <f t="shared" si="784"/>
        <v>-5</v>
      </c>
      <c r="O415" s="258"/>
      <c r="P415" s="304">
        <f>P385</f>
        <v>0</v>
      </c>
      <c r="Q415" s="231">
        <f t="shared" si="785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>SUM(M415,AG415)-SUM(O415,AI415)-L415</f>
        <v>-5</v>
      </c>
      <c r="AF415" s="29">
        <f>Q415</f>
        <v>5</v>
      </c>
      <c r="AG415" s="302">
        <f>AG385</f>
        <v>0</v>
      </c>
      <c r="AH415" s="7">
        <f t="shared" si="786"/>
        <v>-5</v>
      </c>
      <c r="AI415" s="258"/>
      <c r="AJ415" s="304">
        <f>AJ385</f>
        <v>0</v>
      </c>
      <c r="AK415" s="231">
        <f t="shared" si="787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>SUM(M415,AG415,BA415)-SUM(O415,AI415,BC415)-L415</f>
        <v>-5</v>
      </c>
      <c r="AZ415" s="29">
        <f t="shared" ref="AZ415:AZ420" si="807">AK415</f>
        <v>5</v>
      </c>
      <c r="BA415" s="302">
        <f>BA385</f>
        <v>0</v>
      </c>
      <c r="BB415" s="7">
        <f t="shared" si="788"/>
        <v>-5</v>
      </c>
      <c r="BC415" s="256"/>
      <c r="BD415" s="304">
        <f>BD385</f>
        <v>0</v>
      </c>
      <c r="BE415" s="231">
        <f t="shared" si="789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>SUM(M415,AG415,BA415,BU415)-SUM(O415,AI415,BC415,BW415)-L415</f>
        <v>-5</v>
      </c>
      <c r="BT415" s="29">
        <f t="shared" ref="BT415:BT420" si="808">BE415</f>
        <v>5</v>
      </c>
      <c r="BU415" s="302">
        <f>BU385</f>
        <v>0</v>
      </c>
      <c r="BV415" s="7">
        <f t="shared" si="790"/>
        <v>-5</v>
      </c>
      <c r="BW415" s="258"/>
      <c r="BX415" s="304">
        <f>BX385</f>
        <v>0</v>
      </c>
      <c r="BY415" s="231">
        <f t="shared" si="791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>SUM(M415,AG415,BA415,BU415,CO415)-SUM(O415,AI415,BC415,BW415,CQ415)-L415</f>
        <v>-5</v>
      </c>
      <c r="CN415" s="29">
        <f t="shared" ref="CN415:CN420" si="809">BY415</f>
        <v>5</v>
      </c>
      <c r="CO415" s="302">
        <f>CO385</f>
        <v>0</v>
      </c>
      <c r="CP415" s="7">
        <f t="shared" si="792"/>
        <v>-5</v>
      </c>
      <c r="CQ415" s="242"/>
      <c r="CR415" s="304">
        <f>CR385</f>
        <v>0</v>
      </c>
      <c r="CS415" s="231">
        <f t="shared" si="793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>SUM(M415,AG415,BA415,BU415,DI415)-SUM(O415,AI415,BC415,BW415,CQ415)-L415</f>
        <v>-5</v>
      </c>
      <c r="DH415" s="32">
        <f t="shared" si="778"/>
        <v>5</v>
      </c>
      <c r="DI415" s="302">
        <f>DI385</f>
        <v>0</v>
      </c>
      <c r="DJ415" s="7">
        <f t="shared" si="805"/>
        <v>-5</v>
      </c>
      <c r="DK415" s="242"/>
      <c r="DL415" s="304">
        <f>DL385</f>
        <v>0</v>
      </c>
      <c r="DM415" s="231">
        <f t="shared" si="806"/>
        <v>5</v>
      </c>
    </row>
    <row r="416" spans="1:117" x14ac:dyDescent="0.3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>SUM(M416,AG416,BA416,BU416)-L416</f>
        <v>-3</v>
      </c>
      <c r="K416" s="395">
        <f t="shared" si="768"/>
        <v>-3</v>
      </c>
      <c r="L416" s="29">
        <v>3</v>
      </c>
      <c r="M416" s="302">
        <f>M385</f>
        <v>0</v>
      </c>
      <c r="N416" s="7">
        <f t="shared" si="784"/>
        <v>-3</v>
      </c>
      <c r="O416" s="258"/>
      <c r="P416" s="304">
        <f>P385</f>
        <v>0</v>
      </c>
      <c r="Q416" s="231">
        <f t="shared" si="785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>SUM(M416,AG416)-SUM(O416,AI416)-L416</f>
        <v>-3</v>
      </c>
      <c r="AF416" s="29">
        <f>Q416</f>
        <v>3</v>
      </c>
      <c r="AG416" s="302">
        <f>AG385</f>
        <v>0</v>
      </c>
      <c r="AH416" s="7">
        <f t="shared" si="786"/>
        <v>-3</v>
      </c>
      <c r="AI416" s="258"/>
      <c r="AJ416" s="304">
        <f>AJ385</f>
        <v>0</v>
      </c>
      <c r="AK416" s="231">
        <f t="shared" si="787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>SUM(M416,AG416,BA416)-SUM(O416,AI416,BC416)-L416</f>
        <v>-3</v>
      </c>
      <c r="AZ416" s="29">
        <f t="shared" si="807"/>
        <v>3</v>
      </c>
      <c r="BA416" s="302">
        <f>BA385</f>
        <v>0</v>
      </c>
      <c r="BB416" s="7">
        <f t="shared" si="788"/>
        <v>-3</v>
      </c>
      <c r="BC416" s="258"/>
      <c r="BD416" s="304">
        <f>BD385</f>
        <v>0</v>
      </c>
      <c r="BE416" s="231">
        <f t="shared" si="789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>SUM(M416,AG416,BA416,BU416)-SUM(O416,AI416,BC416,BW416)-L416</f>
        <v>-3</v>
      </c>
      <c r="BT416" s="29">
        <f t="shared" si="808"/>
        <v>3</v>
      </c>
      <c r="BU416" s="302">
        <f>BU385</f>
        <v>0</v>
      </c>
      <c r="BV416" s="7">
        <f t="shared" si="790"/>
        <v>-3</v>
      </c>
      <c r="BW416" s="258"/>
      <c r="BX416" s="304">
        <f>BX385</f>
        <v>0</v>
      </c>
      <c r="BY416" s="231">
        <f t="shared" si="791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>SUM(M416,AG416,BA416,BU416,CO416)-SUM(O416,AI416,BC416,BW416,CQ416)-L416</f>
        <v>-3</v>
      </c>
      <c r="CN416" s="29">
        <f t="shared" si="809"/>
        <v>3</v>
      </c>
      <c r="CO416" s="302">
        <f>CO385</f>
        <v>0</v>
      </c>
      <c r="CP416" s="7">
        <f t="shared" si="792"/>
        <v>-3</v>
      </c>
      <c r="CQ416" s="242"/>
      <c r="CR416" s="304">
        <f>CR385</f>
        <v>0</v>
      </c>
      <c r="CS416" s="231">
        <f t="shared" si="793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>SUM(M416,AG416,BA416,BU416,DI416)-SUM(O416,AI416,BC416,BW416,CQ416)-L416</f>
        <v>-3</v>
      </c>
      <c r="DH416" s="32">
        <f t="shared" si="778"/>
        <v>3</v>
      </c>
      <c r="DI416" s="302">
        <f>DI385</f>
        <v>0</v>
      </c>
      <c r="DJ416" s="7">
        <f t="shared" si="805"/>
        <v>-3</v>
      </c>
      <c r="DK416" s="242"/>
      <c r="DL416" s="304">
        <f>DL385</f>
        <v>0</v>
      </c>
      <c r="DM416" s="231">
        <f t="shared" si="806"/>
        <v>3</v>
      </c>
    </row>
    <row r="417" spans="1:117" x14ac:dyDescent="0.3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>SUM(M417,AG417,BA417,BU417)-L417</f>
        <v>-2</v>
      </c>
      <c r="K417" s="395">
        <f t="shared" si="768"/>
        <v>-2</v>
      </c>
      <c r="L417" s="29">
        <v>4</v>
      </c>
      <c r="M417" s="302">
        <f>SUM(M432,M385)</f>
        <v>2</v>
      </c>
      <c r="N417" s="7">
        <f t="shared" si="784"/>
        <v>-2</v>
      </c>
      <c r="O417" s="258"/>
      <c r="P417" s="304">
        <f>SUM(P432,P385)</f>
        <v>2</v>
      </c>
      <c r="Q417" s="231">
        <f t="shared" si="785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>SUM(M417,AG417)-SUM(O417,AI417)-L417</f>
        <v>-2</v>
      </c>
      <c r="AF417" s="29">
        <f>Q417</f>
        <v>2</v>
      </c>
      <c r="AG417" s="302">
        <f>SUM(AG432,AG385)</f>
        <v>0</v>
      </c>
      <c r="AH417" s="7">
        <f t="shared" si="786"/>
        <v>-2</v>
      </c>
      <c r="AI417" s="258"/>
      <c r="AJ417" s="304">
        <f>SUM(AJ432,AJ385)</f>
        <v>0</v>
      </c>
      <c r="AK417" s="231">
        <f t="shared" si="787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>SUM(M417,AG417,BA417)-SUM(O417,AI417,BC417)-L417</f>
        <v>-2</v>
      </c>
      <c r="AZ417" s="29">
        <f t="shared" si="807"/>
        <v>2</v>
      </c>
      <c r="BA417" s="302">
        <f>SUM(BA432,BA385)</f>
        <v>0</v>
      </c>
      <c r="BB417" s="7">
        <f t="shared" si="788"/>
        <v>-2</v>
      </c>
      <c r="BC417" s="256"/>
      <c r="BD417" s="304">
        <f>SUM(BD432,BD385)</f>
        <v>0</v>
      </c>
      <c r="BE417" s="231">
        <f t="shared" si="789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>SUM(M417,AG417,BA417,BU417)-SUM(O417,AI417,BC417,BW417)-L417</f>
        <v>-2</v>
      </c>
      <c r="BT417" s="29">
        <f t="shared" si="808"/>
        <v>2</v>
      </c>
      <c r="BU417" s="302">
        <f>SUM(BU432,BU385)</f>
        <v>0</v>
      </c>
      <c r="BV417" s="7">
        <f t="shared" si="790"/>
        <v>-2</v>
      </c>
      <c r="BW417" s="258"/>
      <c r="BX417" s="304">
        <f>SUM(BX432,BX385)</f>
        <v>0</v>
      </c>
      <c r="BY417" s="231">
        <f t="shared" si="791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>SUM(M417,AG417,BA417,BU417,CO417)-SUM(O417,AI417,BC417,BW417,CQ417)-L417</f>
        <v>-2</v>
      </c>
      <c r="CN417" s="29">
        <f t="shared" si="809"/>
        <v>2</v>
      </c>
      <c r="CO417" s="302">
        <f>SUM(CO432,CO385)</f>
        <v>0</v>
      </c>
      <c r="CP417" s="7">
        <f t="shared" si="792"/>
        <v>-2</v>
      </c>
      <c r="CQ417" s="242"/>
      <c r="CR417" s="304">
        <f>SUM(CR432,CR385)</f>
        <v>0</v>
      </c>
      <c r="CS417" s="231">
        <f t="shared" si="793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>SUM(M417,AG417,BA417,BU417,DI417)-SUM(O417,AI417,BC417,BW417,CQ417)-L417</f>
        <v>-2</v>
      </c>
      <c r="DH417" s="32">
        <f t="shared" si="778"/>
        <v>2</v>
      </c>
      <c r="DI417" s="302">
        <f>SUM(DI432,DI385)</f>
        <v>0</v>
      </c>
      <c r="DJ417" s="7">
        <f t="shared" si="805"/>
        <v>-2</v>
      </c>
      <c r="DK417" s="242"/>
      <c r="DL417" s="304">
        <f>SUM(DL432,DL385)</f>
        <v>0</v>
      </c>
      <c r="DM417" s="231">
        <f t="shared" si="806"/>
        <v>2</v>
      </c>
    </row>
    <row r="418" spans="1:117" x14ac:dyDescent="0.3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>SUM(M418,AG418,BA418,BU418)-L418</f>
        <v>-30</v>
      </c>
      <c r="K418" s="395">
        <f t="shared" si="768"/>
        <v>-30</v>
      </c>
      <c r="L418" s="29">
        <v>32</v>
      </c>
      <c r="M418" s="302">
        <f>SUM(M432,M385)</f>
        <v>2</v>
      </c>
      <c r="N418" s="7">
        <f t="shared" si="784"/>
        <v>-30</v>
      </c>
      <c r="O418" s="258"/>
      <c r="P418" s="304">
        <f>SUM(P432,P385)</f>
        <v>2</v>
      </c>
      <c r="Q418" s="231">
        <f t="shared" si="785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>SUM(M418,AG418)-SUM(O418,AI418)-L418</f>
        <v>-30</v>
      </c>
      <c r="AF418" s="29">
        <f>Q418</f>
        <v>30</v>
      </c>
      <c r="AG418" s="302">
        <f>SUM(AG432,AG385)</f>
        <v>0</v>
      </c>
      <c r="AH418" s="7">
        <f t="shared" si="786"/>
        <v>-30</v>
      </c>
      <c r="AI418" s="258"/>
      <c r="AJ418" s="304">
        <f>SUM(AJ432,AJ385)</f>
        <v>0</v>
      </c>
      <c r="AK418" s="231">
        <f t="shared" si="787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>SUM(M418,AG418,BA418)-SUM(O418,AI418,BC418)-L418</f>
        <v>-30</v>
      </c>
      <c r="AZ418" s="29">
        <f t="shared" si="807"/>
        <v>30</v>
      </c>
      <c r="BA418" s="302">
        <f>SUM(BA432,BA385)</f>
        <v>0</v>
      </c>
      <c r="BB418" s="7">
        <f t="shared" si="788"/>
        <v>-30</v>
      </c>
      <c r="BC418" s="258"/>
      <c r="BD418" s="304">
        <f>SUM(BD432,BD385)</f>
        <v>0</v>
      </c>
      <c r="BE418" s="231">
        <f t="shared" si="789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>SUM(M418,AG418,BA418,BU418)-SUM(O418,AI418,BC418,BW418)-L418</f>
        <v>-30</v>
      </c>
      <c r="BT418" s="29">
        <f t="shared" si="808"/>
        <v>30</v>
      </c>
      <c r="BU418" s="302">
        <f>SUM(BU432,BU385)</f>
        <v>0</v>
      </c>
      <c r="BV418" s="7">
        <f t="shared" si="790"/>
        <v>-30</v>
      </c>
      <c r="BW418" s="258"/>
      <c r="BX418" s="304">
        <f>SUM(BX432,BX385)</f>
        <v>0</v>
      </c>
      <c r="BY418" s="231">
        <f t="shared" si="791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>SUM(M418,AG418,BA418,BU418,CO418)-SUM(O418,AI418,BC418,BW418,CQ418)-L418</f>
        <v>-30</v>
      </c>
      <c r="CN418" s="29">
        <f t="shared" si="809"/>
        <v>30</v>
      </c>
      <c r="CO418" s="302">
        <f>SUM(CO432,CO385)</f>
        <v>0</v>
      </c>
      <c r="CP418" s="7">
        <f t="shared" si="792"/>
        <v>-30</v>
      </c>
      <c r="CQ418" s="242"/>
      <c r="CR418" s="304">
        <f>SUM(CR432,CR385)</f>
        <v>0</v>
      </c>
      <c r="CS418" s="231">
        <f t="shared" si="793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>SUM(M418,AG418,BA418,BU418,DI418)-SUM(O418,AI418,BC418,BW418,CQ418)-L418</f>
        <v>-30</v>
      </c>
      <c r="DH418" s="32">
        <f t="shared" si="778"/>
        <v>30</v>
      </c>
      <c r="DI418" s="302">
        <f>SUM(DI432,DI385)</f>
        <v>0</v>
      </c>
      <c r="DJ418" s="7">
        <f t="shared" si="805"/>
        <v>-30</v>
      </c>
      <c r="DK418" s="242"/>
      <c r="DL418" s="304">
        <f>SUM(DL432,DL385)</f>
        <v>0</v>
      </c>
      <c r="DM418" s="231">
        <f t="shared" si="806"/>
        <v>30</v>
      </c>
    </row>
    <row r="419" spans="1:117" x14ac:dyDescent="0.3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>SUM(M419,AG419,BA419,BU419)-L419</f>
        <v>-2</v>
      </c>
      <c r="K419" s="395">
        <f t="shared" si="768"/>
        <v>-2</v>
      </c>
      <c r="L419" s="29">
        <v>4</v>
      </c>
      <c r="M419" s="302">
        <f>SUM(M432,M385)</f>
        <v>2</v>
      </c>
      <c r="N419" s="7">
        <f t="shared" si="784"/>
        <v>-2</v>
      </c>
      <c r="O419" s="258"/>
      <c r="P419" s="304">
        <f>SUM(P432,P385)</f>
        <v>2</v>
      </c>
      <c r="Q419" s="231">
        <f t="shared" si="785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>SUM(M419,AG419)-SUM(O419,AI419)-L419</f>
        <v>-2</v>
      </c>
      <c r="AF419" s="29">
        <f>Q419</f>
        <v>2</v>
      </c>
      <c r="AG419" s="302">
        <f>SUM(AG432,AG385)</f>
        <v>0</v>
      </c>
      <c r="AH419" s="7">
        <f t="shared" si="786"/>
        <v>-2</v>
      </c>
      <c r="AI419" s="258"/>
      <c r="AJ419" s="304">
        <f>SUM(AJ432,AJ385)</f>
        <v>0</v>
      </c>
      <c r="AK419" s="231">
        <f t="shared" si="787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>SUM(M419,AG419,BA419)-SUM(O419,AI419,BC419)-L419</f>
        <v>-2</v>
      </c>
      <c r="AZ419" s="29">
        <f t="shared" si="807"/>
        <v>2</v>
      </c>
      <c r="BA419" s="302">
        <f>SUM(BA432,BA385)</f>
        <v>0</v>
      </c>
      <c r="BB419" s="7">
        <f t="shared" si="788"/>
        <v>-2</v>
      </c>
      <c r="BC419" s="256"/>
      <c r="BD419" s="304">
        <f>SUM(BD432,BD385)</f>
        <v>0</v>
      </c>
      <c r="BE419" s="231">
        <f t="shared" si="789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>SUM(M419,AG419,BA419,BU419)-SUM(O419,AI419,BC419,BW419)-L419</f>
        <v>-2</v>
      </c>
      <c r="BT419" s="29">
        <f t="shared" si="808"/>
        <v>2</v>
      </c>
      <c r="BU419" s="302">
        <f>SUM(BU432,BU385)</f>
        <v>0</v>
      </c>
      <c r="BV419" s="7">
        <f t="shared" si="790"/>
        <v>-2</v>
      </c>
      <c r="BW419" s="258"/>
      <c r="BX419" s="304">
        <f>SUM(BX432,BX385)</f>
        <v>0</v>
      </c>
      <c r="BY419" s="231">
        <f t="shared" si="791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>SUM(M419,AG419,BA419,BU419,CO419)-SUM(O419,AI419,BC419,BW419,CQ419)-L419</f>
        <v>-2</v>
      </c>
      <c r="CN419" s="29">
        <f t="shared" si="809"/>
        <v>2</v>
      </c>
      <c r="CO419" s="302">
        <f>SUM(CO432,CO385)</f>
        <v>0</v>
      </c>
      <c r="CP419" s="7">
        <f t="shared" si="792"/>
        <v>-2</v>
      </c>
      <c r="CQ419" s="242"/>
      <c r="CR419" s="304">
        <f>SUM(CR432,CR385)</f>
        <v>0</v>
      </c>
      <c r="CS419" s="231">
        <f t="shared" si="793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>SUM(M419,AG419,BA419,BU419,DI419)-SUM(O419,AI419,BC419,BW419,CQ419)-L419</f>
        <v>-2</v>
      </c>
      <c r="DH419" s="32">
        <f t="shared" si="778"/>
        <v>2</v>
      </c>
      <c r="DI419" s="302">
        <f>SUM(DI432,DI385)</f>
        <v>0</v>
      </c>
      <c r="DJ419" s="7">
        <f t="shared" si="805"/>
        <v>-2</v>
      </c>
      <c r="DK419" s="242"/>
      <c r="DL419" s="304">
        <f>SUM(DL432,DL385)</f>
        <v>0</v>
      </c>
      <c r="DM419" s="231">
        <f t="shared" si="806"/>
        <v>2</v>
      </c>
    </row>
    <row r="420" spans="1:117" x14ac:dyDescent="0.3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>SUM(M420,AG420,BA420,BU420)-L420</f>
        <v>-2</v>
      </c>
      <c r="K420" s="395">
        <f t="shared" si="768"/>
        <v>-2</v>
      </c>
      <c r="L420" s="29">
        <v>4</v>
      </c>
      <c r="M420" s="302">
        <f>SUM(M432,M385)</f>
        <v>2</v>
      </c>
      <c r="N420" s="7">
        <f t="shared" si="784"/>
        <v>-2</v>
      </c>
      <c r="O420" s="258"/>
      <c r="P420" s="304">
        <f>SUM(P432,P385)</f>
        <v>2</v>
      </c>
      <c r="Q420" s="231">
        <f t="shared" si="785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>SUM(M420,AG420)-SUM(O420,AI420)-L420</f>
        <v>-2</v>
      </c>
      <c r="AF420" s="29">
        <f>Q420</f>
        <v>2</v>
      </c>
      <c r="AG420" s="302">
        <f>SUM(AG432,AG385)</f>
        <v>0</v>
      </c>
      <c r="AH420" s="7">
        <f t="shared" si="786"/>
        <v>-2</v>
      </c>
      <c r="AI420" s="258"/>
      <c r="AJ420" s="304">
        <f>SUM(AJ432,AJ385)</f>
        <v>0</v>
      </c>
      <c r="AK420" s="231">
        <f t="shared" si="787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>SUM(M420,AG420,BA420)-SUM(O420,AI420,BC420)-L420</f>
        <v>-2</v>
      </c>
      <c r="AZ420" s="29">
        <f t="shared" si="807"/>
        <v>2</v>
      </c>
      <c r="BA420" s="302">
        <f>SUM(BA432,BA385)</f>
        <v>0</v>
      </c>
      <c r="BB420" s="7">
        <f t="shared" si="788"/>
        <v>-2</v>
      </c>
      <c r="BC420" s="256"/>
      <c r="BD420" s="304">
        <f>SUM(BD432,BD385)</f>
        <v>0</v>
      </c>
      <c r="BE420" s="231">
        <f t="shared" si="789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>SUM(M420,AG420,BA420,BU420)-SUM(O420,AI420,BC420,BW420)-L420</f>
        <v>-2</v>
      </c>
      <c r="BT420" s="29">
        <f t="shared" si="808"/>
        <v>2</v>
      </c>
      <c r="BU420" s="302">
        <f>SUM(BU432,BU385)</f>
        <v>0</v>
      </c>
      <c r="BV420" s="7">
        <f t="shared" si="790"/>
        <v>-2</v>
      </c>
      <c r="BW420" s="258"/>
      <c r="BX420" s="304">
        <f>SUM(BX432,BX385)</f>
        <v>0</v>
      </c>
      <c r="BY420" s="231">
        <f t="shared" si="791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>SUM(M420,AG420,BA420,BU420,CO420)-SUM(O420,AI420,BC420,BW420,CQ420)-L420</f>
        <v>-2</v>
      </c>
      <c r="CN420" s="29">
        <f t="shared" si="809"/>
        <v>2</v>
      </c>
      <c r="CO420" s="302">
        <f>SUM(CO432,CO385)</f>
        <v>0</v>
      </c>
      <c r="CP420" s="7">
        <f t="shared" si="792"/>
        <v>-2</v>
      </c>
      <c r="CQ420" s="242"/>
      <c r="CR420" s="304">
        <f>SUM(CR432,CR385)</f>
        <v>0</v>
      </c>
      <c r="CS420" s="231">
        <f t="shared" si="793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>SUM(M420,AG420,BA420,BU420,DI420)-SUM(O420,AI420,BC420,BW420,CQ420)-L420</f>
        <v>-2</v>
      </c>
      <c r="DH420" s="32">
        <f t="shared" si="778"/>
        <v>2</v>
      </c>
      <c r="DI420" s="302">
        <f>SUM(DI432,DI385)</f>
        <v>0</v>
      </c>
      <c r="DJ420" s="7">
        <f t="shared" si="805"/>
        <v>-2</v>
      </c>
      <c r="DK420" s="242"/>
      <c r="DL420" s="304">
        <f>SUM(DL432,DL385)</f>
        <v>0</v>
      </c>
      <c r="DM420" s="231">
        <f t="shared" si="806"/>
        <v>2</v>
      </c>
    </row>
    <row r="421" spans="1:117" x14ac:dyDescent="0.3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41"/>
      <c r="V421" s="366"/>
      <c r="W421" s="367"/>
      <c r="X421" s="368"/>
      <c r="Y421" s="741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41"/>
      <c r="AP421" s="366"/>
      <c r="AQ421" s="367"/>
      <c r="AR421" s="368"/>
      <c r="AS421" s="741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41"/>
      <c r="BJ421" s="366"/>
      <c r="BK421" s="367"/>
      <c r="BL421" s="368"/>
      <c r="BM421" s="741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41"/>
      <c r="CD421" s="366"/>
      <c r="CE421" s="367"/>
      <c r="CF421" s="368"/>
      <c r="CG421" s="741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41"/>
      <c r="CX421" s="366"/>
      <c r="CY421" s="367"/>
      <c r="CZ421" s="368"/>
      <c r="DA421" s="741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3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768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810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811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812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813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814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77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815">DH422+DK422-DL422</f>
        <v>2</v>
      </c>
    </row>
    <row r="423" spans="1:117" x14ac:dyDescent="0.3">
      <c r="A423" s="75"/>
      <c r="B423" s="74" t="s">
        <v>457</v>
      </c>
      <c r="C423" s="75"/>
      <c r="D423" s="13" t="s">
        <v>483</v>
      </c>
      <c r="E423" s="777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768"/>
        <v>-2</v>
      </c>
      <c r="L423" s="276">
        <v>4</v>
      </c>
      <c r="M423" s="298">
        <f>SUM(M385,M432)</f>
        <v>2</v>
      </c>
      <c r="N423" s="7">
        <f t="shared" ref="N423:N429" si="816">M423-L423</f>
        <v>-2</v>
      </c>
      <c r="O423" s="5"/>
      <c r="P423" s="303">
        <f>SUM(P385,P432)</f>
        <v>2</v>
      </c>
      <c r="Q423" s="231">
        <f t="shared" si="810"/>
        <v>2</v>
      </c>
      <c r="R423" s="129"/>
      <c r="S423" s="130"/>
      <c r="T423" s="79"/>
      <c r="U423" s="735"/>
      <c r="V423" s="129"/>
      <c r="W423" s="130"/>
      <c r="X423" s="79"/>
      <c r="Y423" s="735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817">AG423-AF423</f>
        <v>-2</v>
      </c>
      <c r="AI423" s="5"/>
      <c r="AJ423" s="303">
        <f>SUM(AJ385,AJ432)</f>
        <v>0</v>
      </c>
      <c r="AK423" s="231">
        <f t="shared" si="811"/>
        <v>2</v>
      </c>
      <c r="AL423" s="129"/>
      <c r="AM423" s="130"/>
      <c r="AN423" s="79"/>
      <c r="AO423" s="735"/>
      <c r="AP423" s="129"/>
      <c r="AQ423" s="130"/>
      <c r="AR423" s="79"/>
      <c r="AS423" s="735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818">AK423</f>
        <v>2</v>
      </c>
      <c r="BA423" s="298">
        <f>SUM(BA385,BA432)</f>
        <v>0</v>
      </c>
      <c r="BB423" s="7">
        <f t="shared" ref="BB423:BB429" si="819">BA423-AZ423</f>
        <v>-2</v>
      </c>
      <c r="BC423" s="5"/>
      <c r="BD423" s="303">
        <f>SUM(BD385,BD432)</f>
        <v>0</v>
      </c>
      <c r="BE423" s="231">
        <f t="shared" si="812"/>
        <v>2</v>
      </c>
      <c r="BF423" s="129"/>
      <c r="BG423" s="130"/>
      <c r="BH423" s="79"/>
      <c r="BI423" s="735"/>
      <c r="BJ423" s="129"/>
      <c r="BK423" s="130"/>
      <c r="BL423" s="79"/>
      <c r="BM423" s="735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820">BE423</f>
        <v>2</v>
      </c>
      <c r="BU423" s="298">
        <f>SUM(BU385,BU432)</f>
        <v>0</v>
      </c>
      <c r="BV423" s="7">
        <f t="shared" ref="BV423:BV429" si="821">BU423-BT423</f>
        <v>-2</v>
      </c>
      <c r="BW423" s="5"/>
      <c r="BX423" s="303">
        <f>SUM(BX385,BX432)</f>
        <v>0</v>
      </c>
      <c r="BY423" s="231">
        <f t="shared" si="813"/>
        <v>2</v>
      </c>
      <c r="BZ423" s="129"/>
      <c r="CA423" s="130"/>
      <c r="CB423" s="79"/>
      <c r="CC423" s="735"/>
      <c r="CD423" s="129"/>
      <c r="CE423" s="130"/>
      <c r="CF423" s="79"/>
      <c r="CG423" s="735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822">BY423</f>
        <v>2</v>
      </c>
      <c r="CO423" s="298">
        <f>SUM(CO385,CO432)</f>
        <v>0</v>
      </c>
      <c r="CP423" s="7">
        <f t="shared" ref="CP423:CP429" si="823">CO423-CN423</f>
        <v>-2</v>
      </c>
      <c r="CQ423" s="5"/>
      <c r="CR423" s="303">
        <f>SUM(CR385,CR432)</f>
        <v>0</v>
      </c>
      <c r="CS423" s="231">
        <f t="shared" si="814"/>
        <v>2</v>
      </c>
      <c r="CT423" s="129"/>
      <c r="CU423" s="130"/>
      <c r="CV423" s="79"/>
      <c r="CW423" s="735"/>
      <c r="CX423" s="129"/>
      <c r="CY423" s="130"/>
      <c r="CZ423" s="79"/>
      <c r="DA423" s="735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778"/>
        <v>2</v>
      </c>
      <c r="DI423" s="298">
        <f>SUM(DI385,DI432)</f>
        <v>0</v>
      </c>
      <c r="DJ423" s="7">
        <f t="shared" ref="DJ423:DJ425" si="824">DI423-DH423</f>
        <v>-2</v>
      </c>
      <c r="DK423" s="5"/>
      <c r="DL423" s="303">
        <f>SUM(DL385,DL432)</f>
        <v>0</v>
      </c>
      <c r="DM423" s="231">
        <f t="shared" si="815"/>
        <v>2</v>
      </c>
    </row>
    <row r="424" spans="1:117" x14ac:dyDescent="0.3">
      <c r="A424" s="75"/>
      <c r="B424" s="11" t="s">
        <v>458</v>
      </c>
      <c r="C424" s="75"/>
      <c r="D424" s="13" t="s">
        <v>318</v>
      </c>
      <c r="E424" s="777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768"/>
        <v>-2</v>
      </c>
      <c r="L424" s="276">
        <v>4</v>
      </c>
      <c r="M424" s="298">
        <f>SUM(M385,M432)</f>
        <v>2</v>
      </c>
      <c r="N424" s="7">
        <f t="shared" si="816"/>
        <v>-2</v>
      </c>
      <c r="O424" s="240"/>
      <c r="P424" s="303">
        <f>SUM(P385,P432)</f>
        <v>2</v>
      </c>
      <c r="Q424" s="231">
        <f t="shared" si="810"/>
        <v>2</v>
      </c>
      <c r="R424" s="129"/>
      <c r="S424" s="130"/>
      <c r="T424" s="79"/>
      <c r="U424" s="735"/>
      <c r="V424" s="129"/>
      <c r="W424" s="130"/>
      <c r="X424" s="79"/>
      <c r="Y424" s="735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817"/>
        <v>-2</v>
      </c>
      <c r="AI424" s="258"/>
      <c r="AJ424" s="303">
        <f>SUM(AJ385,AJ432)</f>
        <v>0</v>
      </c>
      <c r="AK424" s="231">
        <f t="shared" si="811"/>
        <v>2</v>
      </c>
      <c r="AL424" s="129"/>
      <c r="AM424" s="6"/>
      <c r="AN424" s="35"/>
      <c r="AO424" s="735"/>
      <c r="AP424" s="129"/>
      <c r="AQ424" s="130"/>
      <c r="AR424" s="79"/>
      <c r="AS424" s="735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818"/>
        <v>2</v>
      </c>
      <c r="BA424" s="298">
        <f>SUM(BA385,BA432)</f>
        <v>0</v>
      </c>
      <c r="BB424" s="7">
        <f t="shared" si="819"/>
        <v>-2</v>
      </c>
      <c r="BC424" s="5"/>
      <c r="BD424" s="303">
        <f>SUM(BD385,BD432)</f>
        <v>0</v>
      </c>
      <c r="BE424" s="231">
        <f t="shared" si="812"/>
        <v>2</v>
      </c>
      <c r="BF424" s="129"/>
      <c r="BG424" s="130"/>
      <c r="BH424" s="79"/>
      <c r="BI424" s="735"/>
      <c r="BJ424" s="129"/>
      <c r="BK424" s="130"/>
      <c r="BL424" s="79"/>
      <c r="BM424" s="735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820"/>
        <v>2</v>
      </c>
      <c r="BU424" s="298">
        <f>SUM(BU385,BU432)</f>
        <v>0</v>
      </c>
      <c r="BV424" s="7">
        <f t="shared" si="821"/>
        <v>-2</v>
      </c>
      <c r="BW424" s="5"/>
      <c r="BX424" s="303">
        <f>SUM(BX385,BX432)</f>
        <v>0</v>
      </c>
      <c r="BY424" s="231">
        <f t="shared" si="813"/>
        <v>2</v>
      </c>
      <c r="BZ424" s="129"/>
      <c r="CA424" s="130"/>
      <c r="CB424" s="79"/>
      <c r="CC424" s="735"/>
      <c r="CD424" s="129"/>
      <c r="CE424" s="130"/>
      <c r="CF424" s="79"/>
      <c r="CG424" s="735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822"/>
        <v>2</v>
      </c>
      <c r="CO424" s="298">
        <f>SUM(CO385,CO432)</f>
        <v>0</v>
      </c>
      <c r="CP424" s="7">
        <f t="shared" si="823"/>
        <v>-2</v>
      </c>
      <c r="CQ424" s="5"/>
      <c r="CR424" s="303">
        <f>SUM(CR385,CR432)</f>
        <v>0</v>
      </c>
      <c r="CS424" s="231">
        <f t="shared" si="814"/>
        <v>2</v>
      </c>
      <c r="CT424" s="129"/>
      <c r="CU424" s="130"/>
      <c r="CV424" s="79"/>
      <c r="CW424" s="735"/>
      <c r="CX424" s="129"/>
      <c r="CY424" s="130"/>
      <c r="CZ424" s="79"/>
      <c r="DA424" s="735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778"/>
        <v>2</v>
      </c>
      <c r="DI424" s="298">
        <f>SUM(DI385,DI432)</f>
        <v>0</v>
      </c>
      <c r="DJ424" s="7">
        <f t="shared" si="824"/>
        <v>-2</v>
      </c>
      <c r="DK424" s="5"/>
      <c r="DL424" s="303">
        <f>SUM(DL385,DL432)</f>
        <v>0</v>
      </c>
      <c r="DM424" s="231">
        <f t="shared" si="815"/>
        <v>2</v>
      </c>
    </row>
    <row r="425" spans="1:117" x14ac:dyDescent="0.3">
      <c r="A425" s="75"/>
      <c r="B425" s="11" t="s">
        <v>456</v>
      </c>
      <c r="C425" s="75"/>
      <c r="D425" s="13" t="s">
        <v>482</v>
      </c>
      <c r="E425" s="777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768"/>
        <v>-2</v>
      </c>
      <c r="L425" s="276">
        <v>4</v>
      </c>
      <c r="M425" s="298">
        <f>SUM(M385,M432)</f>
        <v>2</v>
      </c>
      <c r="N425" s="7">
        <f t="shared" si="816"/>
        <v>-2</v>
      </c>
      <c r="O425" s="240"/>
      <c r="P425" s="303">
        <f>SUM(P385,P432)</f>
        <v>2</v>
      </c>
      <c r="Q425" s="231">
        <f t="shared" si="810"/>
        <v>2</v>
      </c>
      <c r="R425" s="129"/>
      <c r="S425" s="130"/>
      <c r="T425" s="79"/>
      <c r="U425" s="735"/>
      <c r="V425" s="129"/>
      <c r="W425" s="130"/>
      <c r="X425" s="79"/>
      <c r="Y425" s="735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817"/>
        <v>-2</v>
      </c>
      <c r="AI425" s="258"/>
      <c r="AJ425" s="303">
        <f>SUM(AJ385,AJ432)</f>
        <v>0</v>
      </c>
      <c r="AK425" s="231">
        <f t="shared" si="811"/>
        <v>2</v>
      </c>
      <c r="AL425" s="129"/>
      <c r="AM425" s="6"/>
      <c r="AN425" s="35"/>
      <c r="AO425" s="735"/>
      <c r="AP425" s="129"/>
      <c r="AQ425" s="130"/>
      <c r="AR425" s="79"/>
      <c r="AS425" s="735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818"/>
        <v>2</v>
      </c>
      <c r="BA425" s="298">
        <f>SUM(BA385,BA432)</f>
        <v>0</v>
      </c>
      <c r="BB425" s="7">
        <f t="shared" si="819"/>
        <v>-2</v>
      </c>
      <c r="BC425" s="5"/>
      <c r="BD425" s="303">
        <f>SUM(BD385,BD432)</f>
        <v>0</v>
      </c>
      <c r="BE425" s="231">
        <f t="shared" si="812"/>
        <v>2</v>
      </c>
      <c r="BF425" s="129"/>
      <c r="BG425" s="130"/>
      <c r="BH425" s="79"/>
      <c r="BI425" s="735"/>
      <c r="BJ425" s="129"/>
      <c r="BK425" s="130"/>
      <c r="BL425" s="79"/>
      <c r="BM425" s="735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820"/>
        <v>2</v>
      </c>
      <c r="BU425" s="298">
        <f>SUM(BU385,BU432)</f>
        <v>0</v>
      </c>
      <c r="BV425" s="7">
        <f t="shared" si="821"/>
        <v>-2</v>
      </c>
      <c r="BW425" s="5"/>
      <c r="BX425" s="303">
        <f>SUM(BX385,BX432)</f>
        <v>0</v>
      </c>
      <c r="BY425" s="231">
        <f t="shared" si="813"/>
        <v>2</v>
      </c>
      <c r="BZ425" s="129"/>
      <c r="CA425" s="130"/>
      <c r="CB425" s="79"/>
      <c r="CC425" s="735"/>
      <c r="CD425" s="129"/>
      <c r="CE425" s="130"/>
      <c r="CF425" s="79"/>
      <c r="CG425" s="735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822"/>
        <v>2</v>
      </c>
      <c r="CO425" s="298">
        <f>SUM(CO385,CO432)</f>
        <v>0</v>
      </c>
      <c r="CP425" s="7">
        <f t="shared" si="823"/>
        <v>-2</v>
      </c>
      <c r="CQ425" s="5"/>
      <c r="CR425" s="303">
        <f>SUM(CR385,CR432)</f>
        <v>0</v>
      </c>
      <c r="CS425" s="231">
        <f t="shared" si="814"/>
        <v>2</v>
      </c>
      <c r="CT425" s="129"/>
      <c r="CU425" s="130"/>
      <c r="CV425" s="79"/>
      <c r="CW425" s="735"/>
      <c r="CX425" s="129"/>
      <c r="CY425" s="130"/>
      <c r="CZ425" s="79"/>
      <c r="DA425" s="735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778"/>
        <v>2</v>
      </c>
      <c r="DI425" s="298">
        <f>SUM(DI385,DI432)</f>
        <v>0</v>
      </c>
      <c r="DJ425" s="7">
        <f t="shared" si="824"/>
        <v>-2</v>
      </c>
      <c r="DK425" s="5"/>
      <c r="DL425" s="303">
        <f>SUM(DL385,DL432)</f>
        <v>0</v>
      </c>
      <c r="DM425" s="231">
        <f t="shared" si="815"/>
        <v>2</v>
      </c>
    </row>
    <row r="426" spans="1:117" x14ac:dyDescent="0.3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41"/>
      <c r="V426" s="366"/>
      <c r="W426" s="367"/>
      <c r="X426" s="368"/>
      <c r="Y426" s="741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41"/>
      <c r="AP426" s="366"/>
      <c r="AQ426" s="367"/>
      <c r="AR426" s="368"/>
      <c r="AS426" s="741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41"/>
      <c r="BJ426" s="366"/>
      <c r="BK426" s="367"/>
      <c r="BL426" s="368"/>
      <c r="BM426" s="741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41"/>
      <c r="CD426" s="366"/>
      <c r="CE426" s="367"/>
      <c r="CF426" s="368"/>
      <c r="CG426" s="741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41"/>
      <c r="CX426" s="366"/>
      <c r="CY426" s="367"/>
      <c r="CZ426" s="368"/>
      <c r="DA426" s="741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3">
      <c r="A427" s="75"/>
      <c r="B427" s="74" t="s">
        <v>617</v>
      </c>
      <c r="C427" s="75"/>
      <c r="D427" s="13" t="s">
        <v>313</v>
      </c>
      <c r="E427" s="777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768"/>
        <v>-35</v>
      </c>
      <c r="L427" s="276">
        <v>37</v>
      </c>
      <c r="M427" s="298">
        <f>SUM(M385,M432)</f>
        <v>2</v>
      </c>
      <c r="N427" s="7">
        <f t="shared" ref="N427" si="825">M427-L427</f>
        <v>-35</v>
      </c>
      <c r="O427" s="5"/>
      <c r="P427" s="303">
        <f>SUM(P385,P432)</f>
        <v>2</v>
      </c>
      <c r="Q427" s="231">
        <f t="shared" ref="Q427" si="826">L427+O427-P427</f>
        <v>35</v>
      </c>
      <c r="R427" s="129"/>
      <c r="S427" s="130"/>
      <c r="T427" s="79"/>
      <c r="U427" s="735"/>
      <c r="V427" s="129"/>
      <c r="W427" s="130"/>
      <c r="X427" s="79"/>
      <c r="Y427" s="735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827">AG427-AF427</f>
        <v>-35</v>
      </c>
      <c r="AI427" s="240"/>
      <c r="AJ427" s="303">
        <f>SUM(AJ385,AJ432)</f>
        <v>0</v>
      </c>
      <c r="AK427" s="231">
        <f t="shared" ref="AK427" si="828">AF427+AI427-AJ427</f>
        <v>35</v>
      </c>
      <c r="AL427" s="129"/>
      <c r="AM427" s="130"/>
      <c r="AN427" s="79"/>
      <c r="AO427" s="735"/>
      <c r="AP427" s="129"/>
      <c r="AQ427" s="130"/>
      <c r="AR427" s="79"/>
      <c r="AS427" s="735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829">AK427</f>
        <v>35</v>
      </c>
      <c r="BA427" s="298">
        <f>SUM(BA385,BA432)</f>
        <v>0</v>
      </c>
      <c r="BB427" s="7">
        <f t="shared" ref="BB427" si="830">BA427-AZ427</f>
        <v>-35</v>
      </c>
      <c r="BC427" s="256"/>
      <c r="BD427" s="303">
        <f>SUM(BD385,BD432)</f>
        <v>0</v>
      </c>
      <c r="BE427" s="231">
        <f t="shared" ref="BE427" si="831">AZ427+BC427-BD427</f>
        <v>35</v>
      </c>
      <c r="BF427" s="129"/>
      <c r="BG427" s="130"/>
      <c r="BH427" s="79"/>
      <c r="BI427" s="735"/>
      <c r="BJ427" s="129"/>
      <c r="BK427" s="130"/>
      <c r="BL427" s="79"/>
      <c r="BM427" s="735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832">BE427</f>
        <v>35</v>
      </c>
      <c r="BU427" s="298">
        <f>SUM(BU385,BU432)</f>
        <v>0</v>
      </c>
      <c r="BV427" s="7">
        <f t="shared" ref="BV427" si="833">BU427-BT427</f>
        <v>-35</v>
      </c>
      <c r="BW427" s="5"/>
      <c r="BX427" s="303">
        <f>SUM(BX385,BX432)</f>
        <v>0</v>
      </c>
      <c r="BY427" s="231">
        <f t="shared" ref="BY427" si="834">BT427+BW427-BX427</f>
        <v>35</v>
      </c>
      <c r="BZ427" s="129"/>
      <c r="CA427" s="130"/>
      <c r="CB427" s="79"/>
      <c r="CC427" s="735"/>
      <c r="CD427" s="129"/>
      <c r="CE427" s="130"/>
      <c r="CF427" s="79"/>
      <c r="CG427" s="735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835">BY427</f>
        <v>35</v>
      </c>
      <c r="CO427" s="298">
        <f>SUM(CO385,CO432)</f>
        <v>0</v>
      </c>
      <c r="CP427" s="7">
        <f t="shared" ref="CP427" si="836">CO427-CN427</f>
        <v>-35</v>
      </c>
      <c r="CQ427" s="5"/>
      <c r="CR427" s="240"/>
      <c r="CS427" s="231">
        <f t="shared" ref="CS427" si="837">CN427+CQ427-CR427</f>
        <v>35</v>
      </c>
      <c r="CT427" s="129"/>
      <c r="CU427" s="130"/>
      <c r="CV427" s="79"/>
      <c r="CW427" s="735"/>
      <c r="CX427" s="129"/>
      <c r="CY427" s="130"/>
      <c r="CZ427" s="79"/>
      <c r="DA427" s="735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778"/>
        <v>35</v>
      </c>
      <c r="DI427" s="298">
        <f>SUM(DI385,DI432)</f>
        <v>0</v>
      </c>
      <c r="DJ427" s="7">
        <f t="shared" ref="DJ427:DJ429" si="838">DI427-DH427</f>
        <v>-35</v>
      </c>
      <c r="DK427" s="5"/>
      <c r="DL427" s="240"/>
      <c r="DM427" s="231">
        <f t="shared" ref="DM427:DM430" si="839">DH427+DK427-DL427</f>
        <v>35</v>
      </c>
    </row>
    <row r="428" spans="1:117" x14ac:dyDescent="0.3">
      <c r="A428" s="75"/>
      <c r="B428" s="74" t="s">
        <v>618</v>
      </c>
      <c r="C428" s="75"/>
      <c r="D428" s="13" t="s">
        <v>483</v>
      </c>
      <c r="E428" s="777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768"/>
        <v>-35</v>
      </c>
      <c r="L428" s="276">
        <v>37</v>
      </c>
      <c r="M428" s="298">
        <f>SUM(M385,M432)</f>
        <v>2</v>
      </c>
      <c r="N428" s="7">
        <f t="shared" si="816"/>
        <v>-35</v>
      </c>
      <c r="O428" s="5"/>
      <c r="P428" s="303">
        <f>SUM(P385,P432)</f>
        <v>2</v>
      </c>
      <c r="Q428" s="231">
        <f t="shared" si="810"/>
        <v>35</v>
      </c>
      <c r="R428" s="129"/>
      <c r="S428" s="130"/>
      <c r="T428" s="79"/>
      <c r="U428" s="735"/>
      <c r="V428" s="129"/>
      <c r="W428" s="130"/>
      <c r="X428" s="79"/>
      <c r="Y428" s="735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817"/>
        <v>-35</v>
      </c>
      <c r="AI428" s="240"/>
      <c r="AJ428" s="303">
        <f>SUM(AJ385,AJ432)</f>
        <v>0</v>
      </c>
      <c r="AK428" s="231">
        <f t="shared" si="811"/>
        <v>35</v>
      </c>
      <c r="AL428" s="129"/>
      <c r="AM428" s="130"/>
      <c r="AN428" s="79"/>
      <c r="AO428" s="735"/>
      <c r="AP428" s="129"/>
      <c r="AQ428" s="130"/>
      <c r="AR428" s="79"/>
      <c r="AS428" s="735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818"/>
        <v>35</v>
      </c>
      <c r="BA428" s="298">
        <f>SUM(BA385,BA432)</f>
        <v>0</v>
      </c>
      <c r="BB428" s="7">
        <f t="shared" si="819"/>
        <v>-35</v>
      </c>
      <c r="BC428" s="256"/>
      <c r="BD428" s="303">
        <f>SUM(BD385,BD432)</f>
        <v>0</v>
      </c>
      <c r="BE428" s="231">
        <f t="shared" si="812"/>
        <v>35</v>
      </c>
      <c r="BF428" s="129"/>
      <c r="BG428" s="130"/>
      <c r="BH428" s="79"/>
      <c r="BI428" s="735"/>
      <c r="BJ428" s="129"/>
      <c r="BK428" s="130"/>
      <c r="BL428" s="79"/>
      <c r="BM428" s="735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820"/>
        <v>35</v>
      </c>
      <c r="BU428" s="298">
        <f>SUM(BU385,BU432)</f>
        <v>0</v>
      </c>
      <c r="BV428" s="7">
        <f t="shared" si="821"/>
        <v>-35</v>
      </c>
      <c r="BW428" s="5"/>
      <c r="BX428" s="303">
        <f>SUM(BX385,BX432)</f>
        <v>0</v>
      </c>
      <c r="BY428" s="231">
        <f t="shared" si="813"/>
        <v>35</v>
      </c>
      <c r="BZ428" s="129"/>
      <c r="CA428" s="130"/>
      <c r="CB428" s="79"/>
      <c r="CC428" s="735"/>
      <c r="CD428" s="129"/>
      <c r="CE428" s="130"/>
      <c r="CF428" s="79"/>
      <c r="CG428" s="735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822"/>
        <v>35</v>
      </c>
      <c r="CO428" s="298">
        <f>SUM(CO385,CO432)</f>
        <v>0</v>
      </c>
      <c r="CP428" s="7">
        <f t="shared" si="823"/>
        <v>-35</v>
      </c>
      <c r="CQ428" s="5"/>
      <c r="CR428" s="303">
        <f>SUM(CR385,CR432)</f>
        <v>0</v>
      </c>
      <c r="CS428" s="231">
        <f t="shared" si="814"/>
        <v>35</v>
      </c>
      <c r="CT428" s="129"/>
      <c r="CU428" s="130"/>
      <c r="CV428" s="79"/>
      <c r="CW428" s="735"/>
      <c r="CX428" s="129"/>
      <c r="CY428" s="130"/>
      <c r="CZ428" s="79"/>
      <c r="DA428" s="735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778"/>
        <v>35</v>
      </c>
      <c r="DI428" s="298">
        <f>SUM(DI385,DI432)</f>
        <v>0</v>
      </c>
      <c r="DJ428" s="7">
        <f t="shared" si="838"/>
        <v>-35</v>
      </c>
      <c r="DK428" s="5"/>
      <c r="DL428" s="303">
        <f>SUM(DL385,DL432)</f>
        <v>0</v>
      </c>
      <c r="DM428" s="231">
        <f t="shared" si="839"/>
        <v>35</v>
      </c>
    </row>
    <row r="429" spans="1:117" x14ac:dyDescent="0.3">
      <c r="A429" s="75"/>
      <c r="B429" s="11" t="s">
        <v>619</v>
      </c>
      <c r="C429" s="75"/>
      <c r="D429" s="13" t="s">
        <v>318</v>
      </c>
      <c r="E429" s="777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768"/>
        <v>-15</v>
      </c>
      <c r="L429" s="276">
        <v>17</v>
      </c>
      <c r="M429" s="298">
        <f>SUM(M385,M432)</f>
        <v>2</v>
      </c>
      <c r="N429" s="7">
        <f t="shared" si="816"/>
        <v>-15</v>
      </c>
      <c r="O429" s="240"/>
      <c r="P429" s="303">
        <f>SUM(P385,P432)</f>
        <v>2</v>
      </c>
      <c r="Q429" s="231">
        <f t="shared" si="810"/>
        <v>15</v>
      </c>
      <c r="R429" s="129"/>
      <c r="S429" s="130"/>
      <c r="T429" s="79"/>
      <c r="U429" s="735"/>
      <c r="V429" s="129"/>
      <c r="W429" s="130"/>
      <c r="X429" s="79"/>
      <c r="Y429" s="735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817"/>
        <v>-15</v>
      </c>
      <c r="AI429" s="240"/>
      <c r="AJ429" s="303">
        <f>SUM(AJ385,AJ432)</f>
        <v>0</v>
      </c>
      <c r="AK429" s="231">
        <f t="shared" si="811"/>
        <v>15</v>
      </c>
      <c r="AL429" s="129"/>
      <c r="AM429" s="130"/>
      <c r="AN429" s="79"/>
      <c r="AO429" s="735"/>
      <c r="AP429" s="129"/>
      <c r="AQ429" s="130"/>
      <c r="AR429" s="79"/>
      <c r="AS429" s="735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818"/>
        <v>15</v>
      </c>
      <c r="BA429" s="298">
        <f>SUM(BA385,BA432)</f>
        <v>0</v>
      </c>
      <c r="BB429" s="7">
        <f t="shared" si="819"/>
        <v>-15</v>
      </c>
      <c r="BC429" s="256"/>
      <c r="BD429" s="303">
        <f>SUM(BD385,BD432)</f>
        <v>0</v>
      </c>
      <c r="BE429" s="231">
        <f t="shared" si="812"/>
        <v>15</v>
      </c>
      <c r="BF429" s="129"/>
      <c r="BG429" s="130"/>
      <c r="BH429" s="79"/>
      <c r="BI429" s="735"/>
      <c r="BJ429" s="129"/>
      <c r="BK429" s="130"/>
      <c r="BL429" s="79"/>
      <c r="BM429" s="735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820"/>
        <v>15</v>
      </c>
      <c r="BU429" s="298">
        <f>SUM(BU385,BU432)</f>
        <v>0</v>
      </c>
      <c r="BV429" s="7">
        <f t="shared" si="821"/>
        <v>-15</v>
      </c>
      <c r="BW429" s="5"/>
      <c r="BX429" s="303">
        <f>SUM(BX385,BX432)</f>
        <v>0</v>
      </c>
      <c r="BY429" s="231">
        <f t="shared" si="813"/>
        <v>15</v>
      </c>
      <c r="BZ429" s="129"/>
      <c r="CA429" s="130"/>
      <c r="CB429" s="79"/>
      <c r="CC429" s="735"/>
      <c r="CD429" s="129"/>
      <c r="CE429" s="130"/>
      <c r="CF429" s="79"/>
      <c r="CG429" s="735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822"/>
        <v>15</v>
      </c>
      <c r="CO429" s="298">
        <f>SUM(CO385,CO432)</f>
        <v>0</v>
      </c>
      <c r="CP429" s="7">
        <f t="shared" si="823"/>
        <v>-15</v>
      </c>
      <c r="CQ429" s="5"/>
      <c r="CR429" s="303">
        <f>SUM(CR385,CR432)</f>
        <v>0</v>
      </c>
      <c r="CS429" s="231">
        <f t="shared" si="814"/>
        <v>15</v>
      </c>
      <c r="CT429" s="129"/>
      <c r="CU429" s="130"/>
      <c r="CV429" s="79"/>
      <c r="CW429" s="735"/>
      <c r="CX429" s="129"/>
      <c r="CY429" s="130"/>
      <c r="CZ429" s="79"/>
      <c r="DA429" s="735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778"/>
        <v>15</v>
      </c>
      <c r="DI429" s="298">
        <f>SUM(DI385,DI432)</f>
        <v>0</v>
      </c>
      <c r="DJ429" s="7">
        <f t="shared" si="838"/>
        <v>-15</v>
      </c>
      <c r="DK429" s="5"/>
      <c r="DL429" s="303">
        <f>SUM(DL385,DL432)</f>
        <v>0</v>
      </c>
      <c r="DM429" s="231">
        <f t="shared" si="839"/>
        <v>15</v>
      </c>
    </row>
    <row r="430" spans="1:117" ht="15" thickBot="1" x14ac:dyDescent="0.35">
      <c r="A430" s="19"/>
      <c r="B430" s="12" t="s">
        <v>620</v>
      </c>
      <c r="C430" s="19"/>
      <c r="D430" s="13" t="s">
        <v>482</v>
      </c>
      <c r="E430" s="777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768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810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811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812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813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814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77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839"/>
        <v>15</v>
      </c>
    </row>
    <row r="431" spans="1:117" ht="15" thickBot="1" x14ac:dyDescent="0.35">
      <c r="G431" s="3"/>
      <c r="P431" s="248"/>
      <c r="AJ431" s="248"/>
      <c r="BD431" s="248"/>
      <c r="BX431" s="248"/>
      <c r="CR431" s="248"/>
      <c r="DL431" s="248"/>
    </row>
    <row r="432" spans="1:117" ht="15" thickBot="1" x14ac:dyDescent="0.35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61"/>
      <c r="AD432" s="761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61"/>
      <c r="AX432" s="761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61"/>
      <c r="BR432" s="761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61"/>
      <c r="CL432" s="761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61"/>
      <c r="DF432" s="761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3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3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840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841">L434+O434-P434</f>
        <v>0</v>
      </c>
      <c r="R434" s="123"/>
      <c r="S434" s="8"/>
      <c r="T434" s="34"/>
      <c r="U434" s="736"/>
      <c r="V434" s="123"/>
      <c r="W434" s="8"/>
      <c r="X434" s="34"/>
      <c r="Y434" s="736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842">AF434+AI434-AJ434</f>
        <v>0</v>
      </c>
      <c r="AL434" s="123"/>
      <c r="AM434" s="8"/>
      <c r="AN434" s="34"/>
      <c r="AO434" s="736"/>
      <c r="AP434" s="123"/>
      <c r="AQ434" s="8"/>
      <c r="AR434" s="34"/>
      <c r="AS434" s="736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843">AZ434+BC434-BD434</f>
        <v>0</v>
      </c>
      <c r="BF434" s="123"/>
      <c r="BG434" s="8"/>
      <c r="BH434" s="34"/>
      <c r="BI434" s="736"/>
      <c r="BJ434" s="123"/>
      <c r="BK434" s="8"/>
      <c r="BL434" s="34"/>
      <c r="BM434" s="736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844">BT434+BW434-BX434</f>
        <v>0</v>
      </c>
      <c r="BZ434" s="123"/>
      <c r="CA434" s="8"/>
      <c r="CB434" s="34"/>
      <c r="CC434" s="736"/>
      <c r="CD434" s="123"/>
      <c r="CE434" s="8"/>
      <c r="CF434" s="34"/>
      <c r="CG434" s="736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845">CN434+CQ434-CR434</f>
        <v>0</v>
      </c>
      <c r="CT434" s="123"/>
      <c r="CU434" s="8"/>
      <c r="CV434" s="34"/>
      <c r="CW434" s="736"/>
      <c r="CX434" s="123"/>
      <c r="CY434" s="8"/>
      <c r="CZ434" s="34"/>
      <c r="DA434" s="736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846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847">DH434+DK434-DL434</f>
        <v>0</v>
      </c>
    </row>
    <row r="435" spans="1:117" x14ac:dyDescent="0.3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841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36"/>
      <c r="AD435" s="736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842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36"/>
      <c r="AX435" s="736"/>
      <c r="AY435" s="394"/>
      <c r="AZ435" s="32">
        <f t="shared" ref="AZ435:AZ438" si="848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843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36"/>
      <c r="BR435" s="736"/>
      <c r="BS435" s="394"/>
      <c r="BT435" s="32">
        <f t="shared" ref="BT435:BT438" si="849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844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36"/>
      <c r="CL435" s="736"/>
      <c r="CM435" s="394"/>
      <c r="CN435" s="32">
        <f t="shared" ref="CN435:CN438" si="850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845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36"/>
      <c r="DF435" s="736"/>
      <c r="DG435" s="394"/>
      <c r="DH435" s="32">
        <f t="shared" si="846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847"/>
        <v>0</v>
      </c>
    </row>
    <row r="436" spans="1:117" x14ac:dyDescent="0.3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841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36"/>
      <c r="AD436" s="736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842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36"/>
      <c r="AX436" s="736"/>
      <c r="AY436" s="394"/>
      <c r="AZ436" s="32">
        <f t="shared" si="848"/>
        <v>0</v>
      </c>
      <c r="BA436" s="302">
        <f>BA432</f>
        <v>0</v>
      </c>
      <c r="BB436" s="7"/>
      <c r="BC436" s="242"/>
      <c r="BD436" s="242"/>
      <c r="BE436" s="231">
        <f t="shared" si="843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36"/>
      <c r="BR436" s="736"/>
      <c r="BS436" s="394"/>
      <c r="BT436" s="32">
        <f t="shared" si="849"/>
        <v>0</v>
      </c>
      <c r="BU436" s="302">
        <f>BU432</f>
        <v>0</v>
      </c>
      <c r="BV436" s="7"/>
      <c r="BW436" s="242"/>
      <c r="BX436" s="242"/>
      <c r="BY436" s="231">
        <f t="shared" si="844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36"/>
      <c r="CL436" s="736"/>
      <c r="CM436" s="394"/>
      <c r="CN436" s="32">
        <f t="shared" si="850"/>
        <v>0</v>
      </c>
      <c r="CO436" s="7"/>
      <c r="CP436" s="7"/>
      <c r="CQ436" s="242"/>
      <c r="CR436" s="242"/>
      <c r="CS436" s="231">
        <f t="shared" si="845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36"/>
      <c r="DF436" s="736"/>
      <c r="DG436" s="394"/>
      <c r="DH436" s="32">
        <f t="shared" si="846"/>
        <v>0</v>
      </c>
      <c r="DI436" s="7"/>
      <c r="DJ436" s="7"/>
      <c r="DK436" s="242"/>
      <c r="DL436" s="242"/>
      <c r="DM436" s="231">
        <f t="shared" si="847"/>
        <v>0</v>
      </c>
    </row>
    <row r="437" spans="1:117" x14ac:dyDescent="0.3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841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36"/>
      <c r="AD437" s="736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842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36"/>
      <c r="AX437" s="736"/>
      <c r="AY437" s="394"/>
      <c r="AZ437" s="32">
        <f t="shared" si="848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843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36"/>
      <c r="BR437" s="736"/>
      <c r="BS437" s="394"/>
      <c r="BT437" s="32">
        <f t="shared" si="849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844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36"/>
      <c r="CL437" s="736"/>
      <c r="CM437" s="394"/>
      <c r="CN437" s="32">
        <f t="shared" si="850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845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36"/>
      <c r="DF437" s="736"/>
      <c r="DG437" s="394"/>
      <c r="DH437" s="32">
        <f t="shared" si="846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847"/>
        <v>0</v>
      </c>
    </row>
    <row r="438" spans="1:117" x14ac:dyDescent="0.3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841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36"/>
      <c r="AD438" s="736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842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36"/>
      <c r="AX438" s="736"/>
      <c r="AY438" s="394"/>
      <c r="AZ438" s="32">
        <f t="shared" si="848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843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36"/>
      <c r="BR438" s="736"/>
      <c r="BS438" s="394"/>
      <c r="BT438" s="32">
        <f t="shared" si="849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844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36"/>
      <c r="CL438" s="736"/>
      <c r="CM438" s="394"/>
      <c r="CN438" s="32">
        <f t="shared" si="850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845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36"/>
      <c r="DF438" s="736"/>
      <c r="DG438" s="394"/>
      <c r="DH438" s="32">
        <f t="shared" si="846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847"/>
        <v>0</v>
      </c>
    </row>
    <row r="439" spans="1:117" ht="15" thickBot="1" x14ac:dyDescent="0.35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841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842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843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844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845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847"/>
        <v>0</v>
      </c>
    </row>
    <row r="440" spans="1:117" ht="15" thickBot="1" x14ac:dyDescent="0.35">
      <c r="G440" s="3"/>
      <c r="P440" s="248"/>
      <c r="AJ440" s="248"/>
      <c r="BD440" s="248"/>
      <c r="BX440" s="248"/>
      <c r="CR440" s="248"/>
      <c r="DL440" s="248"/>
    </row>
    <row r="441" spans="1:117" ht="15" thickBot="1" x14ac:dyDescent="0.35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61"/>
      <c r="AD441" s="761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61"/>
      <c r="AX441" s="761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61"/>
      <c r="BR441" s="761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61"/>
      <c r="CL441" s="761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61"/>
      <c r="DF441" s="761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3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851">M442-L442</f>
        <v>0</v>
      </c>
      <c r="O442" s="47"/>
      <c r="P442" s="253"/>
      <c r="Q442" s="234">
        <f t="shared" ref="Q442:Q451" si="852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>Q442</f>
        <v>0</v>
      </c>
      <c r="AG442" s="47"/>
      <c r="AH442" s="7">
        <f t="shared" ref="AH442:AH451" si="853">AG442-AF442</f>
        <v>0</v>
      </c>
      <c r="AI442" s="47"/>
      <c r="AJ442" s="253"/>
      <c r="AK442" s="234">
        <f t="shared" ref="AK442:AK451" si="854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855">BA442-AZ442</f>
        <v>0</v>
      </c>
      <c r="BC442" s="47"/>
      <c r="BD442" s="253"/>
      <c r="BE442" s="234">
        <f t="shared" ref="BE442:BE451" si="856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857">BU442-BT442</f>
        <v>0</v>
      </c>
      <c r="BW442" s="47"/>
      <c r="BX442" s="253"/>
      <c r="BY442" s="234">
        <f t="shared" ref="BY442:BY451" si="858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859">CO442-CN442</f>
        <v>0</v>
      </c>
      <c r="CQ442" s="47"/>
      <c r="CR442" s="253"/>
      <c r="CS442" s="234">
        <f t="shared" ref="CS442:CS451" si="860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861">BY442</f>
        <v>0</v>
      </c>
      <c r="DI442" s="47"/>
      <c r="DJ442" s="7">
        <f t="shared" ref="DJ442:DJ443" si="862">DI442-DH442</f>
        <v>0</v>
      </c>
      <c r="DK442" s="47"/>
      <c r="DL442" s="253"/>
      <c r="DM442" s="234">
        <f t="shared" ref="DM442:DM443" si="863">DH442+DK442-DL442</f>
        <v>0</v>
      </c>
    </row>
    <row r="443" spans="1:117" x14ac:dyDescent="0.3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851"/>
        <v>0</v>
      </c>
      <c r="O443" s="242"/>
      <c r="P443" s="242"/>
      <c r="Q443" s="234">
        <f t="shared" si="852"/>
        <v>0</v>
      </c>
      <c r="R443" s="123"/>
      <c r="S443" s="8"/>
      <c r="T443" s="34"/>
      <c r="U443" s="736"/>
      <c r="V443" s="123"/>
      <c r="W443" s="8"/>
      <c r="X443" s="34"/>
      <c r="Y443" s="736"/>
      <c r="Z443" s="20"/>
      <c r="AA443" s="8"/>
      <c r="AB443" s="34"/>
      <c r="AC443" s="234"/>
      <c r="AD443" s="234"/>
      <c r="AE443" s="398"/>
      <c r="AF443" s="32">
        <f>Q443</f>
        <v>0</v>
      </c>
      <c r="AG443" s="7"/>
      <c r="AH443" s="7">
        <f t="shared" si="853"/>
        <v>0</v>
      </c>
      <c r="AI443" s="242"/>
      <c r="AJ443" s="242"/>
      <c r="AK443" s="234">
        <f t="shared" si="854"/>
        <v>0</v>
      </c>
      <c r="AL443" s="123"/>
      <c r="AM443" s="8"/>
      <c r="AN443" s="34"/>
      <c r="AO443" s="736"/>
      <c r="AP443" s="123"/>
      <c r="AQ443" s="8"/>
      <c r="AR443" s="34"/>
      <c r="AS443" s="736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855"/>
        <v>0</v>
      </c>
      <c r="BC443" s="242"/>
      <c r="BD443" s="242"/>
      <c r="BE443" s="234">
        <f t="shared" si="856"/>
        <v>0</v>
      </c>
      <c r="BF443" s="123"/>
      <c r="BG443" s="8"/>
      <c r="BH443" s="34"/>
      <c r="BI443" s="736"/>
      <c r="BJ443" s="123"/>
      <c r="BK443" s="8"/>
      <c r="BL443" s="34"/>
      <c r="BM443" s="736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857"/>
        <v>0</v>
      </c>
      <c r="BW443" s="258"/>
      <c r="BX443" s="242"/>
      <c r="BY443" s="234">
        <f t="shared" si="858"/>
        <v>0</v>
      </c>
      <c r="BZ443" s="123"/>
      <c r="CA443" s="8"/>
      <c r="CB443" s="34"/>
      <c r="CC443" s="736"/>
      <c r="CD443" s="123"/>
      <c r="CE443" s="8"/>
      <c r="CF443" s="34"/>
      <c r="CG443" s="736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859"/>
        <v>0</v>
      </c>
      <c r="CQ443" s="242"/>
      <c r="CR443" s="242"/>
      <c r="CS443" s="234">
        <f t="shared" si="860"/>
        <v>0</v>
      </c>
      <c r="CT443" s="123"/>
      <c r="CU443" s="8"/>
      <c r="CV443" s="34"/>
      <c r="CW443" s="736"/>
      <c r="CX443" s="123"/>
      <c r="CY443" s="8"/>
      <c r="CZ443" s="34"/>
      <c r="DA443" s="736"/>
      <c r="DB443" s="20"/>
      <c r="DC443" s="8"/>
      <c r="DD443" s="34"/>
      <c r="DE443" s="234"/>
      <c r="DF443" s="234"/>
      <c r="DG443" s="395"/>
      <c r="DH443" s="32">
        <f t="shared" si="861"/>
        <v>0</v>
      </c>
      <c r="DI443" s="7"/>
      <c r="DJ443" s="7">
        <f t="shared" si="862"/>
        <v>0</v>
      </c>
      <c r="DK443" s="242"/>
      <c r="DL443" s="242"/>
      <c r="DM443" s="234">
        <f t="shared" si="863"/>
        <v>0</v>
      </c>
    </row>
    <row r="444" spans="1:117" x14ac:dyDescent="0.3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36"/>
      <c r="V444" s="123"/>
      <c r="W444" s="8"/>
      <c r="X444" s="34"/>
      <c r="Y444" s="736"/>
      <c r="Z444" s="20"/>
      <c r="AA444" s="8"/>
      <c r="AB444" s="34"/>
      <c r="AC444" s="234"/>
      <c r="AD444" s="234"/>
      <c r="AE444" s="395"/>
      <c r="AF444" s="32">
        <f>Q444</f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36"/>
      <c r="AP444" s="123"/>
      <c r="AQ444" s="8"/>
      <c r="AR444" s="34"/>
      <c r="AS444" s="736"/>
      <c r="AT444" s="20"/>
      <c r="AU444" s="8"/>
      <c r="AV444" s="34"/>
      <c r="AW444" s="736"/>
      <c r="AX444" s="736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36"/>
      <c r="BJ444" s="123"/>
      <c r="BK444" s="8"/>
      <c r="BL444" s="34"/>
      <c r="BM444" s="736"/>
      <c r="BN444" s="20"/>
      <c r="BO444" s="8"/>
      <c r="BP444" s="34"/>
      <c r="BQ444" s="736"/>
      <c r="BR444" s="736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36"/>
      <c r="CD444" s="123"/>
      <c r="CE444" s="8"/>
      <c r="CF444" s="34"/>
      <c r="CG444" s="736"/>
      <c r="CH444" s="20"/>
      <c r="CI444" s="8"/>
      <c r="CJ444" s="34"/>
      <c r="CK444" s="736"/>
      <c r="CL444" s="736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36"/>
      <c r="CX444" s="123"/>
      <c r="CY444" s="8"/>
      <c r="CZ444" s="34"/>
      <c r="DA444" s="736"/>
      <c r="DB444" s="20"/>
      <c r="DC444" s="8"/>
      <c r="DD444" s="34"/>
      <c r="DE444" s="736"/>
      <c r="DF444" s="736"/>
      <c r="DG444" s="394"/>
      <c r="DH444" s="32">
        <f t="shared" si="861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3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851"/>
        <v>0</v>
      </c>
      <c r="O445" s="242"/>
      <c r="P445" s="242"/>
      <c r="Q445" s="234">
        <f t="shared" si="852"/>
        <v>0</v>
      </c>
      <c r="R445" s="123"/>
      <c r="S445" s="8"/>
      <c r="T445" s="34"/>
      <c r="U445" s="736"/>
      <c r="V445" s="123"/>
      <c r="W445" s="8"/>
      <c r="X445" s="34"/>
      <c r="Y445" s="736"/>
      <c r="Z445" s="20"/>
      <c r="AA445" s="8"/>
      <c r="AB445" s="34"/>
      <c r="AC445" s="234"/>
      <c r="AD445" s="234"/>
      <c r="AE445" s="395"/>
      <c r="AF445" s="32">
        <f>Q445</f>
        <v>0</v>
      </c>
      <c r="AG445" s="7"/>
      <c r="AH445" s="7">
        <f t="shared" si="853"/>
        <v>0</v>
      </c>
      <c r="AI445" s="242"/>
      <c r="AJ445" s="242"/>
      <c r="AK445" s="234">
        <f t="shared" si="854"/>
        <v>0</v>
      </c>
      <c r="AL445" s="123"/>
      <c r="AM445" s="8"/>
      <c r="AN445" s="34"/>
      <c r="AO445" s="736"/>
      <c r="AP445" s="123"/>
      <c r="AQ445" s="8"/>
      <c r="AR445" s="34"/>
      <c r="AS445" s="736"/>
      <c r="AT445" s="20"/>
      <c r="AU445" s="8"/>
      <c r="AV445" s="34"/>
      <c r="AW445" s="736"/>
      <c r="AX445" s="736"/>
      <c r="AY445" s="394"/>
      <c r="AZ445" s="32">
        <f t="shared" ref="AZ445:AZ446" si="864">AK445</f>
        <v>0</v>
      </c>
      <c r="BA445" s="7"/>
      <c r="BB445" s="7">
        <f t="shared" si="855"/>
        <v>0</v>
      </c>
      <c r="BC445" s="258"/>
      <c r="BD445" s="242"/>
      <c r="BE445" s="234">
        <f t="shared" si="856"/>
        <v>0</v>
      </c>
      <c r="BF445" s="123"/>
      <c r="BG445" s="8"/>
      <c r="BH445" s="34"/>
      <c r="BI445" s="736"/>
      <c r="BJ445" s="123"/>
      <c r="BK445" s="8"/>
      <c r="BL445" s="34"/>
      <c r="BM445" s="736"/>
      <c r="BN445" s="20"/>
      <c r="BO445" s="8"/>
      <c r="BP445" s="34"/>
      <c r="BQ445" s="736"/>
      <c r="BR445" s="736"/>
      <c r="BS445" s="394"/>
      <c r="BT445" s="32">
        <f t="shared" ref="BT445:BT446" si="865">BE445</f>
        <v>0</v>
      </c>
      <c r="BU445" s="7"/>
      <c r="BV445" s="7">
        <f t="shared" si="857"/>
        <v>0</v>
      </c>
      <c r="BW445" s="258"/>
      <c r="BX445" s="242"/>
      <c r="BY445" s="234">
        <f t="shared" si="858"/>
        <v>0</v>
      </c>
      <c r="BZ445" s="123"/>
      <c r="CA445" s="8"/>
      <c r="CB445" s="34"/>
      <c r="CC445" s="736"/>
      <c r="CD445" s="123"/>
      <c r="CE445" s="8"/>
      <c r="CF445" s="34"/>
      <c r="CG445" s="736"/>
      <c r="CH445" s="20"/>
      <c r="CI445" s="8"/>
      <c r="CJ445" s="34"/>
      <c r="CK445" s="736"/>
      <c r="CL445" s="736"/>
      <c r="CM445" s="394"/>
      <c r="CN445" s="32">
        <f t="shared" ref="CN445:CN446" si="866">BX445</f>
        <v>0</v>
      </c>
      <c r="CO445" s="7"/>
      <c r="CP445" s="7">
        <f t="shared" si="859"/>
        <v>0</v>
      </c>
      <c r="CQ445" s="242"/>
      <c r="CR445" s="242"/>
      <c r="CS445" s="234">
        <f t="shared" si="860"/>
        <v>0</v>
      </c>
      <c r="CT445" s="123"/>
      <c r="CU445" s="8"/>
      <c r="CV445" s="34"/>
      <c r="CW445" s="736"/>
      <c r="CX445" s="123"/>
      <c r="CY445" s="8"/>
      <c r="CZ445" s="34"/>
      <c r="DA445" s="736"/>
      <c r="DB445" s="20"/>
      <c r="DC445" s="8"/>
      <c r="DD445" s="34"/>
      <c r="DE445" s="736"/>
      <c r="DF445" s="736"/>
      <c r="DG445" s="394"/>
      <c r="DH445" s="32">
        <f t="shared" si="861"/>
        <v>0</v>
      </c>
      <c r="DI445" s="7"/>
      <c r="DJ445" s="7">
        <f t="shared" ref="DJ445:DJ451" si="867">DI445-DH445</f>
        <v>0</v>
      </c>
      <c r="DK445" s="242"/>
      <c r="DL445" s="242"/>
      <c r="DM445" s="234">
        <f t="shared" ref="DM445:DM451" si="868">DH445+DK445-DL445</f>
        <v>0</v>
      </c>
    </row>
    <row r="446" spans="1:117" x14ac:dyDescent="0.3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851"/>
        <v>0</v>
      </c>
      <c r="O446" s="242"/>
      <c r="P446" s="242"/>
      <c r="Q446" s="234">
        <f t="shared" si="852"/>
        <v>0</v>
      </c>
      <c r="R446" s="123"/>
      <c r="S446" s="8"/>
      <c r="T446" s="34"/>
      <c r="U446" s="736"/>
      <c r="V446" s="123"/>
      <c r="W446" s="8"/>
      <c r="X446" s="34"/>
      <c r="Y446" s="736"/>
      <c r="Z446" s="20"/>
      <c r="AA446" s="8"/>
      <c r="AB446" s="34"/>
      <c r="AC446" s="234"/>
      <c r="AD446" s="234"/>
      <c r="AE446" s="395"/>
      <c r="AF446" s="32">
        <f>Q446</f>
        <v>0</v>
      </c>
      <c r="AG446" s="7"/>
      <c r="AH446" s="7">
        <f t="shared" si="853"/>
        <v>0</v>
      </c>
      <c r="AI446" s="242"/>
      <c r="AJ446" s="242"/>
      <c r="AK446" s="234">
        <f t="shared" si="854"/>
        <v>0</v>
      </c>
      <c r="AL446" s="123"/>
      <c r="AM446" s="8"/>
      <c r="AN446" s="34"/>
      <c r="AO446" s="736"/>
      <c r="AP446" s="123"/>
      <c r="AQ446" s="8"/>
      <c r="AR446" s="34"/>
      <c r="AS446" s="736"/>
      <c r="AT446" s="20"/>
      <c r="AU446" s="8"/>
      <c r="AV446" s="34"/>
      <c r="AW446" s="736"/>
      <c r="AX446" s="736"/>
      <c r="AY446" s="394"/>
      <c r="AZ446" s="32">
        <f t="shared" si="864"/>
        <v>0</v>
      </c>
      <c r="BA446" s="7"/>
      <c r="BB446" s="7">
        <f t="shared" si="855"/>
        <v>0</v>
      </c>
      <c r="BC446" s="258"/>
      <c r="BD446" s="242"/>
      <c r="BE446" s="234">
        <f t="shared" si="856"/>
        <v>0</v>
      </c>
      <c r="BF446" s="123"/>
      <c r="BG446" s="8"/>
      <c r="BH446" s="34"/>
      <c r="BI446" s="736"/>
      <c r="BJ446" s="123"/>
      <c r="BK446" s="8"/>
      <c r="BL446" s="34"/>
      <c r="BM446" s="736"/>
      <c r="BN446" s="20"/>
      <c r="BO446" s="8"/>
      <c r="BP446" s="34"/>
      <c r="BQ446" s="736"/>
      <c r="BR446" s="736"/>
      <c r="BS446" s="394"/>
      <c r="BT446" s="32">
        <f t="shared" si="865"/>
        <v>0</v>
      </c>
      <c r="BU446" s="7"/>
      <c r="BV446" s="7">
        <f t="shared" si="857"/>
        <v>0</v>
      </c>
      <c r="BW446" s="258"/>
      <c r="BX446" s="242"/>
      <c r="BY446" s="234">
        <f t="shared" si="858"/>
        <v>0</v>
      </c>
      <c r="BZ446" s="123"/>
      <c r="CA446" s="8"/>
      <c r="CB446" s="34"/>
      <c r="CC446" s="736"/>
      <c r="CD446" s="123"/>
      <c r="CE446" s="8"/>
      <c r="CF446" s="34"/>
      <c r="CG446" s="736"/>
      <c r="CH446" s="20"/>
      <c r="CI446" s="8"/>
      <c r="CJ446" s="34"/>
      <c r="CK446" s="736"/>
      <c r="CL446" s="736"/>
      <c r="CM446" s="394"/>
      <c r="CN446" s="32">
        <f t="shared" si="866"/>
        <v>0</v>
      </c>
      <c r="CO446" s="7"/>
      <c r="CP446" s="7">
        <f t="shared" si="859"/>
        <v>0</v>
      </c>
      <c r="CQ446" s="242"/>
      <c r="CR446" s="242"/>
      <c r="CS446" s="234">
        <f t="shared" si="860"/>
        <v>0</v>
      </c>
      <c r="CT446" s="123"/>
      <c r="CU446" s="8"/>
      <c r="CV446" s="34"/>
      <c r="CW446" s="736"/>
      <c r="CX446" s="123"/>
      <c r="CY446" s="8"/>
      <c r="CZ446" s="34"/>
      <c r="DA446" s="736"/>
      <c r="DB446" s="20"/>
      <c r="DC446" s="8"/>
      <c r="DD446" s="34"/>
      <c r="DE446" s="736"/>
      <c r="DF446" s="736"/>
      <c r="DG446" s="394"/>
      <c r="DH446" s="32">
        <f t="shared" si="861"/>
        <v>0</v>
      </c>
      <c r="DI446" s="7"/>
      <c r="DJ446" s="7">
        <f t="shared" si="867"/>
        <v>0</v>
      </c>
      <c r="DK446" s="242"/>
      <c r="DL446" s="242"/>
      <c r="DM446" s="234">
        <f t="shared" si="868"/>
        <v>0</v>
      </c>
    </row>
    <row r="447" spans="1:117" x14ac:dyDescent="0.3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851"/>
        <v>0</v>
      </c>
      <c r="O447" s="242"/>
      <c r="P447" s="242"/>
      <c r="Q447" s="231">
        <f t="shared" si="852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>Q447</f>
        <v>0</v>
      </c>
      <c r="AG447" s="7"/>
      <c r="AH447" s="7">
        <f t="shared" si="853"/>
        <v>0</v>
      </c>
      <c r="AI447" s="258"/>
      <c r="AJ447" s="242"/>
      <c r="AK447" s="231">
        <f t="shared" si="854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36"/>
      <c r="AX447" s="736"/>
      <c r="AY447" s="394"/>
      <c r="AZ447" s="32">
        <f t="shared" ref="AZ447:AZ451" si="869">AK447</f>
        <v>0</v>
      </c>
      <c r="BA447" s="7"/>
      <c r="BB447" s="7">
        <f t="shared" si="855"/>
        <v>0</v>
      </c>
      <c r="BC447" s="242"/>
      <c r="BD447" s="242"/>
      <c r="BE447" s="231">
        <f t="shared" si="856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36"/>
      <c r="BR447" s="736"/>
      <c r="BS447" s="394"/>
      <c r="BT447" s="32">
        <f t="shared" ref="BT447:BT451" si="870">BE447</f>
        <v>0</v>
      </c>
      <c r="BU447" s="7"/>
      <c r="BV447" s="7">
        <f t="shared" si="857"/>
        <v>0</v>
      </c>
      <c r="BW447" s="242"/>
      <c r="BX447" s="242"/>
      <c r="BY447" s="231">
        <f t="shared" si="858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36"/>
      <c r="CL447" s="736"/>
      <c r="CM447" s="394"/>
      <c r="CN447" s="32">
        <f t="shared" ref="CN447:CN451" si="871">BX447</f>
        <v>0</v>
      </c>
      <c r="CO447" s="7"/>
      <c r="CP447" s="7">
        <f t="shared" si="859"/>
        <v>0</v>
      </c>
      <c r="CQ447" s="242"/>
      <c r="CR447" s="242"/>
      <c r="CS447" s="231">
        <f t="shared" si="860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36"/>
      <c r="DF447" s="736"/>
      <c r="DG447" s="394"/>
      <c r="DH447" s="32">
        <f t="shared" si="861"/>
        <v>0</v>
      </c>
      <c r="DI447" s="7"/>
      <c r="DJ447" s="7">
        <f t="shared" si="867"/>
        <v>0</v>
      </c>
      <c r="DK447" s="242"/>
      <c r="DL447" s="242"/>
      <c r="DM447" s="231">
        <f t="shared" si="868"/>
        <v>0</v>
      </c>
    </row>
    <row r="448" spans="1:117" x14ac:dyDescent="0.3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851"/>
        <v>0</v>
      </c>
      <c r="O448" s="242"/>
      <c r="P448" s="242"/>
      <c r="Q448" s="231">
        <f t="shared" si="852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>Q448</f>
        <v>0</v>
      </c>
      <c r="AG448" s="7"/>
      <c r="AH448" s="7">
        <f t="shared" si="853"/>
        <v>0</v>
      </c>
      <c r="AI448" s="242"/>
      <c r="AJ448" s="242"/>
      <c r="AK448" s="231">
        <f t="shared" si="854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36"/>
      <c r="AX448" s="736"/>
      <c r="AY448" s="394"/>
      <c r="AZ448" s="32">
        <f t="shared" si="869"/>
        <v>0</v>
      </c>
      <c r="BA448" s="7"/>
      <c r="BB448" s="7">
        <f t="shared" si="855"/>
        <v>0</v>
      </c>
      <c r="BC448" s="258"/>
      <c r="BD448" s="242"/>
      <c r="BE448" s="231">
        <f t="shared" si="856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36"/>
      <c r="BR448" s="736"/>
      <c r="BS448" s="394"/>
      <c r="BT448" s="32">
        <f t="shared" si="870"/>
        <v>0</v>
      </c>
      <c r="BU448" s="7"/>
      <c r="BV448" s="7">
        <f t="shared" si="857"/>
        <v>0</v>
      </c>
      <c r="BW448" s="242"/>
      <c r="BX448" s="242"/>
      <c r="BY448" s="231">
        <f t="shared" si="858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36"/>
      <c r="CL448" s="736"/>
      <c r="CM448" s="394"/>
      <c r="CN448" s="32">
        <f t="shared" si="871"/>
        <v>0</v>
      </c>
      <c r="CO448" s="7"/>
      <c r="CP448" s="7">
        <f t="shared" si="859"/>
        <v>0</v>
      </c>
      <c r="CQ448" s="242"/>
      <c r="CR448" s="242"/>
      <c r="CS448" s="231">
        <f t="shared" si="860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36"/>
      <c r="DF448" s="736"/>
      <c r="DG448" s="394"/>
      <c r="DH448" s="32">
        <f t="shared" si="861"/>
        <v>0</v>
      </c>
      <c r="DI448" s="7"/>
      <c r="DJ448" s="7">
        <f t="shared" si="867"/>
        <v>0</v>
      </c>
      <c r="DK448" s="242"/>
      <c r="DL448" s="242"/>
      <c r="DM448" s="231">
        <f t="shared" si="868"/>
        <v>0</v>
      </c>
    </row>
    <row r="449" spans="1:117" x14ac:dyDescent="0.3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851"/>
        <v>0</v>
      </c>
      <c r="O449" s="242"/>
      <c r="P449" s="242"/>
      <c r="Q449" s="231">
        <f t="shared" si="852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>Q449</f>
        <v>0</v>
      </c>
      <c r="AG449" s="7"/>
      <c r="AH449" s="7">
        <f t="shared" si="853"/>
        <v>0</v>
      </c>
      <c r="AI449" s="242"/>
      <c r="AJ449" s="242"/>
      <c r="AK449" s="231">
        <f t="shared" si="854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36"/>
      <c r="AX449" s="736"/>
      <c r="AY449" s="394"/>
      <c r="AZ449" s="32">
        <f t="shared" si="869"/>
        <v>0</v>
      </c>
      <c r="BA449" s="7"/>
      <c r="BB449" s="7">
        <f t="shared" si="855"/>
        <v>0</v>
      </c>
      <c r="BC449" s="258"/>
      <c r="BD449" s="242"/>
      <c r="BE449" s="231">
        <f t="shared" si="856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36"/>
      <c r="BR449" s="736"/>
      <c r="BS449" s="394"/>
      <c r="BT449" s="32">
        <f t="shared" si="870"/>
        <v>0</v>
      </c>
      <c r="BU449" s="7"/>
      <c r="BV449" s="7">
        <f t="shared" si="857"/>
        <v>0</v>
      </c>
      <c r="BW449" s="242"/>
      <c r="BX449" s="242"/>
      <c r="BY449" s="231">
        <f t="shared" si="858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36"/>
      <c r="CL449" s="736"/>
      <c r="CM449" s="394"/>
      <c r="CN449" s="32">
        <f t="shared" si="871"/>
        <v>0</v>
      </c>
      <c r="CO449" s="7"/>
      <c r="CP449" s="7">
        <f t="shared" si="859"/>
        <v>0</v>
      </c>
      <c r="CQ449" s="242"/>
      <c r="CR449" s="242"/>
      <c r="CS449" s="231">
        <f t="shared" si="860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36"/>
      <c r="DF449" s="736"/>
      <c r="DG449" s="394"/>
      <c r="DH449" s="32">
        <f t="shared" si="861"/>
        <v>0</v>
      </c>
      <c r="DI449" s="7"/>
      <c r="DJ449" s="7">
        <f t="shared" si="867"/>
        <v>0</v>
      </c>
      <c r="DK449" s="242"/>
      <c r="DL449" s="242"/>
      <c r="DM449" s="231">
        <f t="shared" si="868"/>
        <v>0</v>
      </c>
    </row>
    <row r="450" spans="1:117" x14ac:dyDescent="0.3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851"/>
        <v>0</v>
      </c>
      <c r="O450" s="242"/>
      <c r="P450" s="242"/>
      <c r="Q450" s="231">
        <f t="shared" si="852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>Q450</f>
        <v>0</v>
      </c>
      <c r="AG450" s="7"/>
      <c r="AH450" s="7">
        <f t="shared" si="853"/>
        <v>0</v>
      </c>
      <c r="AI450" s="242"/>
      <c r="AJ450" s="242"/>
      <c r="AK450" s="231">
        <f t="shared" si="854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36"/>
      <c r="AX450" s="736"/>
      <c r="AY450" s="394"/>
      <c r="AZ450" s="32">
        <f t="shared" si="869"/>
        <v>0</v>
      </c>
      <c r="BA450" s="7"/>
      <c r="BB450" s="7">
        <f t="shared" si="855"/>
        <v>0</v>
      </c>
      <c r="BC450" s="242"/>
      <c r="BD450" s="242"/>
      <c r="BE450" s="231">
        <f t="shared" si="856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36"/>
      <c r="BR450" s="736"/>
      <c r="BS450" s="394"/>
      <c r="BT450" s="32">
        <f t="shared" si="870"/>
        <v>0</v>
      </c>
      <c r="BU450" s="7"/>
      <c r="BV450" s="7">
        <f t="shared" si="857"/>
        <v>0</v>
      </c>
      <c r="BW450" s="242"/>
      <c r="BX450" s="242"/>
      <c r="BY450" s="231">
        <f t="shared" si="858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36"/>
      <c r="CL450" s="736"/>
      <c r="CM450" s="394"/>
      <c r="CN450" s="32">
        <f t="shared" si="871"/>
        <v>0</v>
      </c>
      <c r="CO450" s="7"/>
      <c r="CP450" s="7">
        <f t="shared" si="859"/>
        <v>0</v>
      </c>
      <c r="CQ450" s="242"/>
      <c r="CR450" s="242"/>
      <c r="CS450" s="231">
        <f t="shared" si="860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36"/>
      <c r="DF450" s="736"/>
      <c r="DG450" s="394"/>
      <c r="DH450" s="32">
        <f t="shared" si="861"/>
        <v>0</v>
      </c>
      <c r="DI450" s="7"/>
      <c r="DJ450" s="7">
        <f t="shared" si="867"/>
        <v>0</v>
      </c>
      <c r="DK450" s="242"/>
      <c r="DL450" s="242"/>
      <c r="DM450" s="231">
        <f t="shared" si="868"/>
        <v>0</v>
      </c>
    </row>
    <row r="451" spans="1:117" ht="15" thickBot="1" x14ac:dyDescent="0.35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851"/>
        <v>0</v>
      </c>
      <c r="O451" s="31"/>
      <c r="P451" s="241"/>
      <c r="Q451" s="232">
        <f t="shared" si="852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>Q451</f>
        <v>0</v>
      </c>
      <c r="AG451" s="31"/>
      <c r="AH451" s="65">
        <f t="shared" si="853"/>
        <v>0</v>
      </c>
      <c r="AI451" s="31"/>
      <c r="AJ451" s="241"/>
      <c r="AK451" s="232">
        <f t="shared" si="854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869"/>
        <v>0</v>
      </c>
      <c r="BA451" s="31"/>
      <c r="BB451" s="65">
        <f t="shared" si="855"/>
        <v>0</v>
      </c>
      <c r="BC451" s="31"/>
      <c r="BD451" s="241"/>
      <c r="BE451" s="232">
        <f t="shared" si="856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870"/>
        <v>0</v>
      </c>
      <c r="BU451" s="31"/>
      <c r="BV451" s="65">
        <f t="shared" si="857"/>
        <v>0</v>
      </c>
      <c r="BW451" s="31"/>
      <c r="BX451" s="241"/>
      <c r="BY451" s="232">
        <f t="shared" si="858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871"/>
        <v>0</v>
      </c>
      <c r="CO451" s="31"/>
      <c r="CP451" s="65">
        <f t="shared" si="859"/>
        <v>0</v>
      </c>
      <c r="CQ451" s="31"/>
      <c r="CR451" s="241"/>
      <c r="CS451" s="232">
        <f t="shared" si="860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861"/>
        <v>0</v>
      </c>
      <c r="DI451" s="31"/>
      <c r="DJ451" s="65">
        <f t="shared" si="867"/>
        <v>0</v>
      </c>
      <c r="DK451" s="31"/>
      <c r="DL451" s="241"/>
      <c r="DM451" s="232">
        <f t="shared" si="868"/>
        <v>0</v>
      </c>
    </row>
    <row r="452" spans="1:117" ht="15" thickBot="1" x14ac:dyDescent="0.35">
      <c r="G452" s="3"/>
      <c r="P452" s="248"/>
      <c r="AJ452" s="248"/>
      <c r="BD452" s="248"/>
      <c r="BX452" s="248"/>
      <c r="CR452" s="248"/>
      <c r="DL452" s="248"/>
    </row>
    <row r="453" spans="1:117" ht="15" thickBot="1" x14ac:dyDescent="0.35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3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36"/>
      <c r="V454" s="123"/>
      <c r="W454" s="8"/>
      <c r="X454" s="34"/>
      <c r="Y454" s="736"/>
      <c r="Z454" s="20"/>
      <c r="AA454" s="8"/>
      <c r="AB454" s="34"/>
      <c r="AC454" s="736"/>
      <c r="AD454" s="736"/>
      <c r="AE454" s="394"/>
      <c r="AF454" s="29">
        <f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36"/>
      <c r="AP454" s="123"/>
      <c r="AQ454" s="8"/>
      <c r="AR454" s="34"/>
      <c r="AS454" s="736"/>
      <c r="AT454" s="20"/>
      <c r="AU454" s="8"/>
      <c r="AV454" s="34"/>
      <c r="AW454" s="736"/>
      <c r="AX454" s="736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36"/>
      <c r="BJ454" s="123"/>
      <c r="BK454" s="8"/>
      <c r="BL454" s="34"/>
      <c r="BM454" s="736"/>
      <c r="BN454" s="20"/>
      <c r="BO454" s="8"/>
      <c r="BP454" s="34"/>
      <c r="BQ454" s="736"/>
      <c r="BR454" s="736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36"/>
      <c r="CD454" s="123"/>
      <c r="CE454" s="8"/>
      <c r="CF454" s="34"/>
      <c r="CG454" s="736"/>
      <c r="CH454" s="20"/>
      <c r="CI454" s="8"/>
      <c r="CJ454" s="34"/>
      <c r="CK454" s="736"/>
      <c r="CL454" s="736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36"/>
      <c r="CX454" s="123"/>
      <c r="CY454" s="8"/>
      <c r="CZ454" s="34"/>
      <c r="DA454" s="736"/>
      <c r="DB454" s="20"/>
      <c r="DC454" s="8"/>
      <c r="DD454" s="34"/>
      <c r="DE454" s="736"/>
      <c r="DF454" s="736"/>
      <c r="DG454" s="394"/>
      <c r="DH454" s="32">
        <f t="shared" ref="DH454:DH462" si="872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28.8" x14ac:dyDescent="0.3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873">M455-L455</f>
        <v>0</v>
      </c>
      <c r="O455" s="242"/>
      <c r="P455" s="242"/>
      <c r="Q455" s="35">
        <f t="shared" ref="Q455:Q456" si="874">L455+O455-P455</f>
        <v>0</v>
      </c>
      <c r="R455" s="20"/>
      <c r="S455" s="8"/>
      <c r="T455" s="34"/>
      <c r="U455" s="736"/>
      <c r="V455" s="123"/>
      <c r="W455" s="8"/>
      <c r="X455" s="34"/>
      <c r="Y455" s="736"/>
      <c r="Z455" s="20"/>
      <c r="AA455" s="8"/>
      <c r="AB455" s="34"/>
      <c r="AC455" s="736"/>
      <c r="AD455" s="736"/>
      <c r="AE455" s="394"/>
      <c r="AF455" s="29">
        <f>Q455</f>
        <v>0</v>
      </c>
      <c r="AG455" s="7"/>
      <c r="AH455" s="7">
        <f t="shared" ref="AH455:AH456" si="875">AG455-AF455</f>
        <v>0</v>
      </c>
      <c r="AI455" s="258"/>
      <c r="AJ455" s="242"/>
      <c r="AK455" s="35">
        <f t="shared" ref="AK455:AK456" si="876">AF455+AI455-AJ455</f>
        <v>0</v>
      </c>
      <c r="AL455" s="20"/>
      <c r="AM455" s="8"/>
      <c r="AN455" s="34"/>
      <c r="AO455" s="736"/>
      <c r="AP455" s="123"/>
      <c r="AQ455" s="8"/>
      <c r="AR455" s="34"/>
      <c r="AS455" s="736"/>
      <c r="AT455" s="20"/>
      <c r="AU455" s="8"/>
      <c r="AV455" s="34"/>
      <c r="AW455" s="736"/>
      <c r="AX455" s="736"/>
      <c r="AY455" s="394"/>
      <c r="AZ455" s="29">
        <f t="shared" ref="AZ455:AZ456" si="877">AK455</f>
        <v>0</v>
      </c>
      <c r="BA455" s="7"/>
      <c r="BB455" s="7">
        <f t="shared" ref="BB455:BB456" si="878">BA455-AZ455</f>
        <v>0</v>
      </c>
      <c r="BC455" s="242"/>
      <c r="BD455" s="242"/>
      <c r="BE455" s="35">
        <f t="shared" ref="BE455:BE456" si="879">AZ455+BC455-BD455</f>
        <v>0</v>
      </c>
      <c r="BF455" s="20"/>
      <c r="BG455" s="8"/>
      <c r="BH455" s="34"/>
      <c r="BI455" s="736"/>
      <c r="BJ455" s="123"/>
      <c r="BK455" s="8"/>
      <c r="BL455" s="34"/>
      <c r="BM455" s="736"/>
      <c r="BN455" s="20"/>
      <c r="BO455" s="8"/>
      <c r="BP455" s="34"/>
      <c r="BQ455" s="736"/>
      <c r="BR455" s="736"/>
      <c r="BS455" s="394"/>
      <c r="BT455" s="29">
        <f t="shared" ref="BT455:BT456" si="880">BE455</f>
        <v>0</v>
      </c>
      <c r="BU455" s="7"/>
      <c r="BV455" s="7">
        <f t="shared" ref="BV455:BV456" si="881">BU455-BT455</f>
        <v>0</v>
      </c>
      <c r="BW455" s="242"/>
      <c r="BX455" s="242"/>
      <c r="BY455" s="35">
        <f t="shared" ref="BY455:BY456" si="882">BT455+BW455-BX455</f>
        <v>0</v>
      </c>
      <c r="BZ455" s="20"/>
      <c r="CA455" s="8"/>
      <c r="CB455" s="34"/>
      <c r="CC455" s="736"/>
      <c r="CD455" s="123"/>
      <c r="CE455" s="8"/>
      <c r="CF455" s="34"/>
      <c r="CG455" s="736"/>
      <c r="CH455" s="20"/>
      <c r="CI455" s="8"/>
      <c r="CJ455" s="34"/>
      <c r="CK455" s="736"/>
      <c r="CL455" s="736"/>
      <c r="CM455" s="394"/>
      <c r="CN455" s="29">
        <f t="shared" ref="CN455:CN456" si="883">BY455</f>
        <v>0</v>
      </c>
      <c r="CO455" s="7"/>
      <c r="CP455" s="7">
        <f t="shared" ref="CP455:CP456" si="884">CO455-CN455</f>
        <v>0</v>
      </c>
      <c r="CQ455" s="242"/>
      <c r="CR455" s="242"/>
      <c r="CS455" s="35">
        <f t="shared" ref="CS455:CS456" si="885">CN455+CQ455-CR455</f>
        <v>0</v>
      </c>
      <c r="CT455" s="20"/>
      <c r="CU455" s="8"/>
      <c r="CV455" s="34"/>
      <c r="CW455" s="736"/>
      <c r="CX455" s="123"/>
      <c r="CY455" s="8"/>
      <c r="CZ455" s="34"/>
      <c r="DA455" s="736"/>
      <c r="DB455" s="20"/>
      <c r="DC455" s="8"/>
      <c r="DD455" s="34"/>
      <c r="DE455" s="736"/>
      <c r="DF455" s="736"/>
      <c r="DG455" s="394"/>
      <c r="DH455" s="32">
        <f t="shared" si="872"/>
        <v>0</v>
      </c>
      <c r="DI455" s="7"/>
      <c r="DJ455" s="7">
        <f t="shared" ref="DJ455:DJ462" si="886">DI455-DH455</f>
        <v>0</v>
      </c>
      <c r="DK455" s="242"/>
      <c r="DL455" s="242"/>
      <c r="DM455" s="35">
        <f t="shared" ref="DM455:DM462" si="887">DH455+DK455-DL455</f>
        <v>0</v>
      </c>
    </row>
    <row r="456" spans="1:117" x14ac:dyDescent="0.3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873"/>
        <v>0</v>
      </c>
      <c r="O456" s="242"/>
      <c r="P456" s="242"/>
      <c r="Q456" s="35">
        <f t="shared" si="874"/>
        <v>0</v>
      </c>
      <c r="R456" s="20"/>
      <c r="S456" s="8"/>
      <c r="T456" s="34"/>
      <c r="U456" s="736"/>
      <c r="V456" s="123"/>
      <c r="W456" s="8"/>
      <c r="X456" s="34"/>
      <c r="Y456" s="736"/>
      <c r="Z456" s="20"/>
      <c r="AA456" s="8"/>
      <c r="AB456" s="34"/>
      <c r="AC456" s="736"/>
      <c r="AD456" s="736"/>
      <c r="AE456" s="394"/>
      <c r="AF456" s="29">
        <f>Q456</f>
        <v>0</v>
      </c>
      <c r="AG456" s="7"/>
      <c r="AH456" s="7">
        <f t="shared" si="875"/>
        <v>0</v>
      </c>
      <c r="AI456" s="258"/>
      <c r="AJ456" s="242"/>
      <c r="AK456" s="35">
        <f t="shared" si="876"/>
        <v>0</v>
      </c>
      <c r="AL456" s="20"/>
      <c r="AM456" s="8"/>
      <c r="AN456" s="34"/>
      <c r="AO456" s="736"/>
      <c r="AP456" s="123"/>
      <c r="AQ456" s="8"/>
      <c r="AR456" s="34"/>
      <c r="AS456" s="736"/>
      <c r="AT456" s="20"/>
      <c r="AU456" s="8"/>
      <c r="AV456" s="34"/>
      <c r="AW456" s="736"/>
      <c r="AX456" s="736"/>
      <c r="AY456" s="394"/>
      <c r="AZ456" s="29">
        <f t="shared" si="877"/>
        <v>0</v>
      </c>
      <c r="BA456" s="7"/>
      <c r="BB456" s="7">
        <f t="shared" si="878"/>
        <v>0</v>
      </c>
      <c r="BC456" s="242"/>
      <c r="BD456" s="242"/>
      <c r="BE456" s="35">
        <f t="shared" si="879"/>
        <v>0</v>
      </c>
      <c r="BF456" s="20"/>
      <c r="BG456" s="8"/>
      <c r="BH456" s="34"/>
      <c r="BI456" s="736"/>
      <c r="BJ456" s="123"/>
      <c r="BK456" s="8"/>
      <c r="BL456" s="34"/>
      <c r="BM456" s="736"/>
      <c r="BN456" s="20"/>
      <c r="BO456" s="8"/>
      <c r="BP456" s="34"/>
      <c r="BQ456" s="736"/>
      <c r="BR456" s="736"/>
      <c r="BS456" s="394"/>
      <c r="BT456" s="29">
        <f t="shared" si="880"/>
        <v>0</v>
      </c>
      <c r="BU456" s="7"/>
      <c r="BV456" s="7">
        <f t="shared" si="881"/>
        <v>0</v>
      </c>
      <c r="BW456" s="242"/>
      <c r="BX456" s="242"/>
      <c r="BY456" s="35">
        <f t="shared" si="882"/>
        <v>0</v>
      </c>
      <c r="BZ456" s="20"/>
      <c r="CA456" s="8"/>
      <c r="CB456" s="34"/>
      <c r="CC456" s="736"/>
      <c r="CD456" s="123"/>
      <c r="CE456" s="8"/>
      <c r="CF456" s="34"/>
      <c r="CG456" s="736"/>
      <c r="CH456" s="20"/>
      <c r="CI456" s="8"/>
      <c r="CJ456" s="34"/>
      <c r="CK456" s="736"/>
      <c r="CL456" s="736"/>
      <c r="CM456" s="394"/>
      <c r="CN456" s="29">
        <f t="shared" si="883"/>
        <v>0</v>
      </c>
      <c r="CO456" s="7"/>
      <c r="CP456" s="7">
        <f t="shared" si="884"/>
        <v>0</v>
      </c>
      <c r="CQ456" s="242"/>
      <c r="CR456" s="242"/>
      <c r="CS456" s="35">
        <f t="shared" si="885"/>
        <v>0</v>
      </c>
      <c r="CT456" s="20"/>
      <c r="CU456" s="8"/>
      <c r="CV456" s="34"/>
      <c r="CW456" s="736"/>
      <c r="CX456" s="123"/>
      <c r="CY456" s="8"/>
      <c r="CZ456" s="34"/>
      <c r="DA456" s="736"/>
      <c r="DB456" s="20"/>
      <c r="DC456" s="8"/>
      <c r="DD456" s="34"/>
      <c r="DE456" s="736"/>
      <c r="DF456" s="736"/>
      <c r="DG456" s="394"/>
      <c r="DH456" s="32">
        <f t="shared" si="872"/>
        <v>0</v>
      </c>
      <c r="DI456" s="7"/>
      <c r="DJ456" s="7">
        <f t="shared" si="886"/>
        <v>0</v>
      </c>
      <c r="DK456" s="242"/>
      <c r="DL456" s="242"/>
      <c r="DM456" s="35">
        <f t="shared" si="887"/>
        <v>0</v>
      </c>
    </row>
    <row r="457" spans="1:117" x14ac:dyDescent="0.3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888">M457-L457</f>
        <v>0</v>
      </c>
      <c r="O457" s="256"/>
      <c r="P457" s="240"/>
      <c r="Q457" s="35">
        <f t="shared" ref="Q457:Q462" si="889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>Q457</f>
        <v>0</v>
      </c>
      <c r="AG457" s="5"/>
      <c r="AH457" s="7">
        <f t="shared" ref="AH457:AH462" si="890">AG457-AF457</f>
        <v>0</v>
      </c>
      <c r="AI457" s="258"/>
      <c r="AJ457" s="240"/>
      <c r="AK457" s="35">
        <f t="shared" ref="AK457:AK462" si="891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892">AK457</f>
        <v>0</v>
      </c>
      <c r="BA457" s="5"/>
      <c r="BB457" s="7">
        <f t="shared" ref="BB457:BB462" si="893">BA457-AZ457</f>
        <v>0</v>
      </c>
      <c r="BC457" s="256"/>
      <c r="BD457" s="240"/>
      <c r="BE457" s="35">
        <f t="shared" ref="BE457:BE462" si="894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895">BE457</f>
        <v>0</v>
      </c>
      <c r="BU457" s="5"/>
      <c r="BV457" s="7">
        <f t="shared" ref="BV457:BV462" si="896">BU457-BT457</f>
        <v>0</v>
      </c>
      <c r="BW457" s="240"/>
      <c r="BX457" s="240"/>
      <c r="BY457" s="35">
        <f t="shared" ref="BY457:BY462" si="897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898">BY457</f>
        <v>0</v>
      </c>
      <c r="CO457" s="5"/>
      <c r="CP457" s="7">
        <f t="shared" ref="CP457:CP462" si="899">CO457-CN457</f>
        <v>0</v>
      </c>
      <c r="CQ457" s="240"/>
      <c r="CR457" s="240"/>
      <c r="CS457" s="34">
        <f t="shared" ref="CS457:CS462" si="900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872"/>
        <v>0</v>
      </c>
      <c r="DI457" s="5"/>
      <c r="DJ457" s="7">
        <f t="shared" si="886"/>
        <v>0</v>
      </c>
      <c r="DK457" s="240"/>
      <c r="DL457" s="240"/>
      <c r="DM457" s="34">
        <f t="shared" si="887"/>
        <v>0</v>
      </c>
    </row>
    <row r="458" spans="1:117" x14ac:dyDescent="0.3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888"/>
        <v>0</v>
      </c>
      <c r="O458" s="256"/>
      <c r="P458" s="256"/>
      <c r="Q458" s="35">
        <f t="shared" si="889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>Q458</f>
        <v>0</v>
      </c>
      <c r="AG458" s="5"/>
      <c r="AH458" s="5">
        <f t="shared" si="890"/>
        <v>0</v>
      </c>
      <c r="AI458" s="258"/>
      <c r="AJ458" s="256"/>
      <c r="AK458" s="35">
        <f t="shared" si="891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892"/>
        <v>0</v>
      </c>
      <c r="BA458" s="5"/>
      <c r="BB458" s="5">
        <f t="shared" si="893"/>
        <v>0</v>
      </c>
      <c r="BC458" s="256"/>
      <c r="BD458" s="240"/>
      <c r="BE458" s="35">
        <f t="shared" si="894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895"/>
        <v>0</v>
      </c>
      <c r="BU458" s="5"/>
      <c r="BV458" s="5">
        <f t="shared" si="896"/>
        <v>0</v>
      </c>
      <c r="BW458" s="240"/>
      <c r="BX458" s="256"/>
      <c r="BY458" s="35">
        <f t="shared" si="897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898"/>
        <v>0</v>
      </c>
      <c r="CO458" s="5"/>
      <c r="CP458" s="5">
        <f t="shared" si="899"/>
        <v>0</v>
      </c>
      <c r="CQ458" s="240"/>
      <c r="CR458" s="256"/>
      <c r="CS458" s="35">
        <f t="shared" si="900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872"/>
        <v>0</v>
      </c>
      <c r="DI458" s="5"/>
      <c r="DJ458" s="5">
        <f t="shared" si="886"/>
        <v>0</v>
      </c>
      <c r="DK458" s="240"/>
      <c r="DL458" s="256"/>
      <c r="DM458" s="35">
        <f t="shared" si="887"/>
        <v>0</v>
      </c>
    </row>
    <row r="459" spans="1:117" x14ac:dyDescent="0.3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888"/>
        <v>0</v>
      </c>
      <c r="O459" s="425"/>
      <c r="P459" s="425"/>
      <c r="Q459" s="34">
        <f t="shared" si="889"/>
        <v>0</v>
      </c>
      <c r="R459" s="421"/>
      <c r="S459" s="416"/>
      <c r="T459" s="415"/>
      <c r="U459" s="750"/>
      <c r="V459" s="433"/>
      <c r="W459" s="416"/>
      <c r="X459" s="415"/>
      <c r="Y459" s="750"/>
      <c r="Z459" s="421"/>
      <c r="AA459" s="416"/>
      <c r="AB459" s="415"/>
      <c r="AC459" s="619"/>
      <c r="AD459" s="619"/>
      <c r="AE459" s="395"/>
      <c r="AF459" s="451">
        <f>Q459</f>
        <v>0</v>
      </c>
      <c r="AG459" s="432"/>
      <c r="AH459" s="7">
        <f t="shared" si="890"/>
        <v>0</v>
      </c>
      <c r="AI459" s="258"/>
      <c r="AJ459" s="425"/>
      <c r="AK459" s="34">
        <f t="shared" si="891"/>
        <v>0</v>
      </c>
      <c r="AL459" s="421"/>
      <c r="AM459" s="416"/>
      <c r="AN459" s="35"/>
      <c r="AO459" s="750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892"/>
        <v>0</v>
      </c>
      <c r="BA459" s="432"/>
      <c r="BB459" s="7">
        <f t="shared" si="893"/>
        <v>0</v>
      </c>
      <c r="BC459" s="256"/>
      <c r="BD459" s="315"/>
      <c r="BE459" s="34">
        <f t="shared" si="894"/>
        <v>0</v>
      </c>
      <c r="BF459" s="421"/>
      <c r="BG459" s="416"/>
      <c r="BH459" s="415"/>
      <c r="BI459" s="750"/>
      <c r="BJ459" s="433"/>
      <c r="BK459" s="416"/>
      <c r="BL459" s="415"/>
      <c r="BM459" s="750"/>
      <c r="BN459" s="421"/>
      <c r="BO459" s="416"/>
      <c r="BP459" s="415"/>
      <c r="BQ459" s="619"/>
      <c r="BR459" s="619"/>
      <c r="BS459" s="395"/>
      <c r="BT459" s="451">
        <f t="shared" si="895"/>
        <v>0</v>
      </c>
      <c r="BU459" s="432"/>
      <c r="BV459" s="7">
        <f t="shared" si="896"/>
        <v>0</v>
      </c>
      <c r="BW459" s="315"/>
      <c r="BX459" s="425"/>
      <c r="BY459" s="34">
        <f t="shared" si="897"/>
        <v>0</v>
      </c>
      <c r="BZ459" s="421"/>
      <c r="CA459" s="416"/>
      <c r="CB459" s="415"/>
      <c r="CC459" s="750"/>
      <c r="CD459" s="433"/>
      <c r="CE459" s="416"/>
      <c r="CF459" s="415"/>
      <c r="CG459" s="750"/>
      <c r="CH459" s="421"/>
      <c r="CI459" s="416"/>
      <c r="CJ459" s="415"/>
      <c r="CK459" s="619"/>
      <c r="CL459" s="619"/>
      <c r="CM459" s="395"/>
      <c r="CN459" s="451">
        <f t="shared" si="898"/>
        <v>0</v>
      </c>
      <c r="CO459" s="432"/>
      <c r="CP459" s="7">
        <f t="shared" si="899"/>
        <v>0</v>
      </c>
      <c r="CQ459" s="315"/>
      <c r="CR459" s="425"/>
      <c r="CS459" s="34">
        <f t="shared" si="900"/>
        <v>0</v>
      </c>
      <c r="CT459" s="421"/>
      <c r="CU459" s="416"/>
      <c r="CV459" s="415"/>
      <c r="CW459" s="750"/>
      <c r="CX459" s="433"/>
      <c r="CY459" s="416"/>
      <c r="CZ459" s="415"/>
      <c r="DA459" s="750"/>
      <c r="DB459" s="421"/>
      <c r="DC459" s="416"/>
      <c r="DD459" s="415"/>
      <c r="DE459" s="619"/>
      <c r="DF459" s="619"/>
      <c r="DG459" s="395"/>
      <c r="DH459" s="32">
        <f t="shared" si="872"/>
        <v>0</v>
      </c>
      <c r="DI459" s="432"/>
      <c r="DJ459" s="7">
        <f t="shared" si="886"/>
        <v>0</v>
      </c>
      <c r="DK459" s="315"/>
      <c r="DL459" s="425"/>
      <c r="DM459" s="34">
        <f t="shared" si="887"/>
        <v>0</v>
      </c>
    </row>
    <row r="460" spans="1:117" x14ac:dyDescent="0.3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888"/>
        <v>0</v>
      </c>
      <c r="O460" s="256"/>
      <c r="P460" s="256"/>
      <c r="Q460" s="35">
        <f t="shared" si="889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>Q460</f>
        <v>0</v>
      </c>
      <c r="AG460" s="5"/>
      <c r="AH460" s="5">
        <f t="shared" si="890"/>
        <v>0</v>
      </c>
      <c r="AI460" s="258"/>
      <c r="AJ460" s="256"/>
      <c r="AK460" s="35">
        <f t="shared" si="891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892"/>
        <v>0</v>
      </c>
      <c r="BA460" s="5"/>
      <c r="BB460" s="5">
        <f t="shared" si="893"/>
        <v>0</v>
      </c>
      <c r="BC460" s="256"/>
      <c r="BD460" s="240"/>
      <c r="BE460" s="35">
        <f t="shared" si="894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895"/>
        <v>0</v>
      </c>
      <c r="BU460" s="5"/>
      <c r="BV460" s="5">
        <f t="shared" si="896"/>
        <v>0</v>
      </c>
      <c r="BW460" s="240"/>
      <c r="BX460" s="256"/>
      <c r="BY460" s="35">
        <f t="shared" si="897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898"/>
        <v>0</v>
      </c>
      <c r="CO460" s="5"/>
      <c r="CP460" s="5">
        <f t="shared" si="899"/>
        <v>0</v>
      </c>
      <c r="CQ460" s="240"/>
      <c r="CR460" s="256"/>
      <c r="CS460" s="35">
        <f t="shared" si="900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872"/>
        <v>0</v>
      </c>
      <c r="DI460" s="5"/>
      <c r="DJ460" s="5">
        <f t="shared" si="886"/>
        <v>0</v>
      </c>
      <c r="DK460" s="240"/>
      <c r="DL460" s="256"/>
      <c r="DM460" s="35">
        <f t="shared" si="887"/>
        <v>0</v>
      </c>
    </row>
    <row r="461" spans="1:117" x14ac:dyDescent="0.3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888"/>
        <v>0</v>
      </c>
      <c r="O461" s="425"/>
      <c r="P461" s="425"/>
      <c r="Q461" s="34">
        <f t="shared" si="889"/>
        <v>0</v>
      </c>
      <c r="R461" s="421"/>
      <c r="S461" s="416"/>
      <c r="T461" s="415"/>
      <c r="U461" s="750"/>
      <c r="V461" s="433"/>
      <c r="W461" s="416"/>
      <c r="X461" s="415"/>
      <c r="Y461" s="750"/>
      <c r="Z461" s="421"/>
      <c r="AA461" s="416"/>
      <c r="AB461" s="415"/>
      <c r="AC461" s="619"/>
      <c r="AD461" s="619"/>
      <c r="AE461" s="395"/>
      <c r="AF461" s="451">
        <f>Q461</f>
        <v>0</v>
      </c>
      <c r="AG461" s="432"/>
      <c r="AH461" s="7">
        <f t="shared" si="890"/>
        <v>0</v>
      </c>
      <c r="AI461" s="258"/>
      <c r="AJ461" s="425"/>
      <c r="AK461" s="34">
        <f t="shared" si="891"/>
        <v>0</v>
      </c>
      <c r="AL461" s="421"/>
      <c r="AM461" s="416"/>
      <c r="AN461" s="415"/>
      <c r="AO461" s="750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892"/>
        <v>0</v>
      </c>
      <c r="BA461" s="432"/>
      <c r="BB461" s="7">
        <f t="shared" si="893"/>
        <v>0</v>
      </c>
      <c r="BC461" s="256"/>
      <c r="BD461" s="315"/>
      <c r="BE461" s="34">
        <f t="shared" si="894"/>
        <v>0</v>
      </c>
      <c r="BF461" s="421"/>
      <c r="BG461" s="6"/>
      <c r="BH461" s="35"/>
      <c r="BI461" s="750"/>
      <c r="BJ461" s="433"/>
      <c r="BK461" s="416"/>
      <c r="BL461" s="415"/>
      <c r="BM461" s="750"/>
      <c r="BN461" s="421"/>
      <c r="BO461" s="416"/>
      <c r="BP461" s="415"/>
      <c r="BQ461" s="619"/>
      <c r="BR461" s="619"/>
      <c r="BS461" s="395"/>
      <c r="BT461" s="451">
        <f t="shared" si="895"/>
        <v>0</v>
      </c>
      <c r="BU461" s="432"/>
      <c r="BV461" s="7">
        <f t="shared" si="896"/>
        <v>0</v>
      </c>
      <c r="BW461" s="315"/>
      <c r="BX461" s="425"/>
      <c r="BY461" s="34">
        <f t="shared" si="897"/>
        <v>0</v>
      </c>
      <c r="BZ461" s="421"/>
      <c r="CA461" s="416"/>
      <c r="CB461" s="415"/>
      <c r="CC461" s="750"/>
      <c r="CD461" s="433"/>
      <c r="CE461" s="416"/>
      <c r="CF461" s="415"/>
      <c r="CG461" s="750"/>
      <c r="CH461" s="421"/>
      <c r="CI461" s="416"/>
      <c r="CJ461" s="415"/>
      <c r="CK461" s="619"/>
      <c r="CL461" s="619"/>
      <c r="CM461" s="395"/>
      <c r="CN461" s="451">
        <f t="shared" si="898"/>
        <v>0</v>
      </c>
      <c r="CO461" s="432"/>
      <c r="CP461" s="7">
        <f t="shared" si="899"/>
        <v>0</v>
      </c>
      <c r="CQ461" s="315"/>
      <c r="CR461" s="425"/>
      <c r="CS461" s="34">
        <f t="shared" si="900"/>
        <v>0</v>
      </c>
      <c r="CT461" s="421"/>
      <c r="CU461" s="416"/>
      <c r="CV461" s="415"/>
      <c r="CW461" s="750"/>
      <c r="CX461" s="433"/>
      <c r="CY461" s="416"/>
      <c r="CZ461" s="415"/>
      <c r="DA461" s="750"/>
      <c r="DB461" s="421"/>
      <c r="DC461" s="416"/>
      <c r="DD461" s="415"/>
      <c r="DE461" s="619"/>
      <c r="DF461" s="619"/>
      <c r="DG461" s="395"/>
      <c r="DH461" s="32">
        <f t="shared" si="872"/>
        <v>0</v>
      </c>
      <c r="DI461" s="432"/>
      <c r="DJ461" s="7">
        <f t="shared" si="886"/>
        <v>0</v>
      </c>
      <c r="DK461" s="315"/>
      <c r="DL461" s="425"/>
      <c r="DM461" s="34">
        <f t="shared" si="887"/>
        <v>0</v>
      </c>
    </row>
    <row r="462" spans="1:117" ht="15" thickBot="1" x14ac:dyDescent="0.35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888"/>
        <v>0</v>
      </c>
      <c r="O462" s="241"/>
      <c r="P462" s="241"/>
      <c r="Q462" s="36">
        <f t="shared" si="889"/>
        <v>0</v>
      </c>
      <c r="R462" s="272"/>
      <c r="S462" s="217"/>
      <c r="T462" s="273"/>
      <c r="U462" s="737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>Q462</f>
        <v>0</v>
      </c>
      <c r="AG462" s="31"/>
      <c r="AH462" s="31">
        <f t="shared" si="890"/>
        <v>0</v>
      </c>
      <c r="AI462" s="241"/>
      <c r="AJ462" s="241"/>
      <c r="AK462" s="36">
        <f t="shared" si="891"/>
        <v>0</v>
      </c>
      <c r="AL462" s="272"/>
      <c r="AM462" s="217"/>
      <c r="AN462" s="273"/>
      <c r="AO462" s="737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892"/>
        <v>0</v>
      </c>
      <c r="BA462" s="31"/>
      <c r="BB462" s="31">
        <f t="shared" si="893"/>
        <v>0</v>
      </c>
      <c r="BC462" s="241"/>
      <c r="BD462" s="241"/>
      <c r="BE462" s="36">
        <f t="shared" si="894"/>
        <v>0</v>
      </c>
      <c r="BF462" s="272"/>
      <c r="BG462" s="217"/>
      <c r="BH462" s="273"/>
      <c r="BI462" s="737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895"/>
        <v>0</v>
      </c>
      <c r="BU462" s="31"/>
      <c r="BV462" s="31">
        <f t="shared" si="896"/>
        <v>0</v>
      </c>
      <c r="BW462" s="241"/>
      <c r="BX462" s="241"/>
      <c r="BY462" s="36">
        <f t="shared" si="897"/>
        <v>0</v>
      </c>
      <c r="BZ462" s="272"/>
      <c r="CA462" s="217"/>
      <c r="CB462" s="273"/>
      <c r="CC462" s="737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898"/>
        <v>0</v>
      </c>
      <c r="CO462" s="31"/>
      <c r="CP462" s="31">
        <f t="shared" si="899"/>
        <v>0</v>
      </c>
      <c r="CQ462" s="241"/>
      <c r="CR462" s="241"/>
      <c r="CS462" s="36">
        <f t="shared" si="900"/>
        <v>0</v>
      </c>
      <c r="CT462" s="272"/>
      <c r="CU462" s="217"/>
      <c r="CV462" s="273"/>
      <c r="CW462" s="737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872"/>
        <v>0</v>
      </c>
      <c r="DI462" s="31"/>
      <c r="DJ462" s="31">
        <f t="shared" si="886"/>
        <v>0</v>
      </c>
      <c r="DK462" s="241"/>
      <c r="DL462" s="241"/>
      <c r="DM462" s="36">
        <f t="shared" si="887"/>
        <v>0</v>
      </c>
    </row>
    <row r="463" spans="1:117" ht="15" thickBot="1" x14ac:dyDescent="0.35">
      <c r="G463" s="3"/>
      <c r="P463" s="248"/>
      <c r="AJ463" s="248"/>
      <c r="BD463" s="248"/>
      <c r="BX463" s="248"/>
      <c r="CR463" s="248"/>
      <c r="DL463" s="248"/>
    </row>
    <row r="464" spans="1:117" ht="15" thickBot="1" x14ac:dyDescent="0.35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3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36"/>
      <c r="V465" s="123"/>
      <c r="W465" s="8"/>
      <c r="X465" s="34"/>
      <c r="Y465" s="736"/>
      <c r="Z465" s="20"/>
      <c r="AA465" s="8"/>
      <c r="AB465" s="34"/>
      <c r="AC465" s="736"/>
      <c r="AD465" s="736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36"/>
      <c r="AP465" s="123"/>
      <c r="AQ465" s="8"/>
      <c r="AR465" s="34"/>
      <c r="AS465" s="736"/>
      <c r="AT465" s="20"/>
      <c r="AU465" s="8"/>
      <c r="AV465" s="34"/>
      <c r="AW465" s="736"/>
      <c r="AX465" s="736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36"/>
      <c r="BJ465" s="123"/>
      <c r="BK465" s="8"/>
      <c r="BL465" s="34"/>
      <c r="BM465" s="736"/>
      <c r="BN465" s="20"/>
      <c r="BO465" s="8"/>
      <c r="BP465" s="34"/>
      <c r="BQ465" s="736"/>
      <c r="BR465" s="736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36"/>
      <c r="CD465" s="123"/>
      <c r="CE465" s="8"/>
      <c r="CF465" s="34"/>
      <c r="CG465" s="736"/>
      <c r="CH465" s="20"/>
      <c r="CI465" s="8"/>
      <c r="CJ465" s="34"/>
      <c r="CK465" s="736"/>
      <c r="CL465" s="736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36"/>
      <c r="CX465" s="123"/>
      <c r="CY465" s="8"/>
      <c r="CZ465" s="34"/>
      <c r="DA465" s="736"/>
      <c r="DB465" s="20"/>
      <c r="DC465" s="8"/>
      <c r="DD465" s="34"/>
      <c r="DE465" s="736"/>
      <c r="DF465" s="736"/>
      <c r="DG465" s="394"/>
      <c r="DH465" s="32">
        <f t="shared" ref="DH465:DH467" si="901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3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U466" s="750"/>
      <c r="V466" s="433"/>
      <c r="W466" s="416"/>
      <c r="X466" s="415"/>
      <c r="Y466" s="750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O466" s="750"/>
      <c r="AP466" s="433"/>
      <c r="AQ466" s="416"/>
      <c r="AR466" s="415"/>
      <c r="AS466" s="750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I466" s="750"/>
      <c r="BJ466" s="433"/>
      <c r="BK466" s="416"/>
      <c r="BL466" s="415"/>
      <c r="BM466" s="750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C466" s="750"/>
      <c r="CD466" s="433"/>
      <c r="CE466" s="416"/>
      <c r="CF466" s="415"/>
      <c r="CG466" s="750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W466" s="750"/>
      <c r="CX466" s="433"/>
      <c r="CY466" s="416"/>
      <c r="CZ466" s="415"/>
      <c r="DA466" s="750"/>
      <c r="DB466" s="421"/>
      <c r="DC466" s="416"/>
      <c r="DD466" s="415"/>
      <c r="DE466" s="619"/>
      <c r="DF466" s="619"/>
      <c r="DG466" s="395"/>
      <c r="DH466" s="32">
        <f t="shared" si="901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" thickBot="1" x14ac:dyDescent="0.35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37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37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37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37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37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901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" thickBot="1" x14ac:dyDescent="0.35">
      <c r="P468" s="248"/>
      <c r="AJ468" s="248"/>
      <c r="BD468" s="248"/>
      <c r="BX468" s="248"/>
      <c r="CR468" s="248"/>
      <c r="DL468" s="248"/>
    </row>
    <row r="469" spans="1:117" ht="15" thickBot="1" x14ac:dyDescent="0.35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3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36"/>
      <c r="V470" s="123"/>
      <c r="W470" s="8"/>
      <c r="X470" s="34"/>
      <c r="Y470" s="736"/>
      <c r="Z470" s="20"/>
      <c r="AA470" s="8"/>
      <c r="AB470" s="34"/>
      <c r="AC470" s="736"/>
      <c r="AD470" s="736"/>
      <c r="AE470" s="394"/>
      <c r="AF470" s="29">
        <f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36"/>
      <c r="AP470" s="123"/>
      <c r="AQ470" s="8"/>
      <c r="AR470" s="34"/>
      <c r="AS470" s="736"/>
      <c r="AT470" s="20"/>
      <c r="AU470" s="8"/>
      <c r="AV470" s="34"/>
      <c r="AW470" s="736"/>
      <c r="AX470" s="736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36"/>
      <c r="BJ470" s="123"/>
      <c r="BK470" s="8"/>
      <c r="BL470" s="34"/>
      <c r="BM470" s="736"/>
      <c r="BN470" s="20"/>
      <c r="BO470" s="8"/>
      <c r="BP470" s="34"/>
      <c r="BQ470" s="736"/>
      <c r="BR470" s="736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36"/>
      <c r="CD470" s="123"/>
      <c r="CE470" s="8"/>
      <c r="CF470" s="34"/>
      <c r="CG470" s="736"/>
      <c r="CH470" s="20"/>
      <c r="CI470" s="8"/>
      <c r="CJ470" s="34"/>
      <c r="CK470" s="736"/>
      <c r="CL470" s="736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36"/>
      <c r="CX470" s="123"/>
      <c r="CY470" s="8"/>
      <c r="CZ470" s="34"/>
      <c r="DA470" s="736"/>
      <c r="DB470" s="20"/>
      <c r="DC470" s="8"/>
      <c r="DD470" s="34"/>
      <c r="DE470" s="736"/>
      <c r="DF470" s="736"/>
      <c r="DG470" s="394"/>
      <c r="DH470" s="32">
        <f t="shared" ref="DH470:DH475" si="902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3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903">M471-O471-L471</f>
        <v>0</v>
      </c>
      <c r="L471" s="29">
        <v>0</v>
      </c>
      <c r="M471" s="298">
        <f>M469</f>
        <v>0</v>
      </c>
      <c r="N471" s="7">
        <f t="shared" ref="N471:N473" si="904">M471-L471</f>
        <v>0</v>
      </c>
      <c r="O471" s="256"/>
      <c r="P471" s="240"/>
      <c r="Q471" s="35">
        <f t="shared" ref="Q471:Q473" si="905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>Q471</f>
        <v>0</v>
      </c>
      <c r="AG471" s="298">
        <f>AG469</f>
        <v>0</v>
      </c>
      <c r="AH471" s="7">
        <f t="shared" ref="AH471:AH473" si="906">AG471-AF471</f>
        <v>0</v>
      </c>
      <c r="AI471" s="256">
        <v>50</v>
      </c>
      <c r="AJ471" s="240"/>
      <c r="AK471" s="35">
        <f t="shared" ref="AK471:AK473" si="907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908">AK471</f>
        <v>50</v>
      </c>
      <c r="BA471" s="298">
        <f>BA469</f>
        <v>15</v>
      </c>
      <c r="BB471" s="7">
        <f t="shared" ref="BB471:BB473" si="909">BA471-AZ471</f>
        <v>-35</v>
      </c>
      <c r="BC471" s="240"/>
      <c r="BD471" s="240"/>
      <c r="BE471" s="35">
        <f t="shared" ref="BE471:BE473" si="910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911">BE471</f>
        <v>50</v>
      </c>
      <c r="BU471" s="298">
        <f>BU469</f>
        <v>25</v>
      </c>
      <c r="BV471" s="7">
        <f t="shared" ref="BV471:BV473" si="912">BU471-BT471</f>
        <v>-25</v>
      </c>
      <c r="BW471" s="240"/>
      <c r="BX471" s="240"/>
      <c r="BY471" s="35">
        <f t="shared" ref="BY471:BY473" si="913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914">BY471</f>
        <v>50</v>
      </c>
      <c r="CO471" s="298">
        <f>CO469</f>
        <v>0</v>
      </c>
      <c r="CP471" s="7">
        <f t="shared" ref="CP471:CP473" si="915">CO471-CN471</f>
        <v>-50</v>
      </c>
      <c r="CQ471" s="240"/>
      <c r="CR471" s="240"/>
      <c r="CS471" s="35">
        <f t="shared" ref="CS471:CS473" si="916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902"/>
        <v>50</v>
      </c>
      <c r="DI471" s="298">
        <f>DI469</f>
        <v>0</v>
      </c>
      <c r="DJ471" s="7">
        <f t="shared" ref="DJ471:DJ473" si="917">DI471-DH471</f>
        <v>-50</v>
      </c>
      <c r="DK471" s="240"/>
      <c r="DL471" s="240"/>
      <c r="DM471" s="35">
        <f t="shared" ref="DM471:DM473" si="918">DH471+DK471-DL471</f>
        <v>50</v>
      </c>
    </row>
    <row r="472" spans="1:117" x14ac:dyDescent="0.3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903"/>
        <v>0</v>
      </c>
      <c r="L472" s="29">
        <v>0</v>
      </c>
      <c r="M472" s="298">
        <f>M469</f>
        <v>0</v>
      </c>
      <c r="N472" s="7">
        <f t="shared" si="904"/>
        <v>0</v>
      </c>
      <c r="O472" s="256"/>
      <c r="P472" s="240"/>
      <c r="Q472" s="35">
        <f t="shared" si="905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>Q472</f>
        <v>0</v>
      </c>
      <c r="AG472" s="298">
        <f>AG469</f>
        <v>0</v>
      </c>
      <c r="AH472" s="7">
        <f t="shared" si="906"/>
        <v>0</v>
      </c>
      <c r="AI472" s="256">
        <v>50</v>
      </c>
      <c r="AJ472" s="240"/>
      <c r="AK472" s="35">
        <f t="shared" si="907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908"/>
        <v>50</v>
      </c>
      <c r="BA472" s="298">
        <f>BA469</f>
        <v>15</v>
      </c>
      <c r="BB472" s="7">
        <f t="shared" si="909"/>
        <v>-35</v>
      </c>
      <c r="BC472" s="240"/>
      <c r="BD472" s="240"/>
      <c r="BE472" s="35">
        <f t="shared" si="910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911"/>
        <v>50</v>
      </c>
      <c r="BU472" s="298">
        <f>BU469</f>
        <v>25</v>
      </c>
      <c r="BV472" s="7">
        <f t="shared" si="912"/>
        <v>-25</v>
      </c>
      <c r="BW472" s="240"/>
      <c r="BX472" s="240"/>
      <c r="BY472" s="35">
        <f t="shared" si="913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914"/>
        <v>50</v>
      </c>
      <c r="CO472" s="298">
        <f>CO469</f>
        <v>0</v>
      </c>
      <c r="CP472" s="7">
        <f t="shared" si="915"/>
        <v>-50</v>
      </c>
      <c r="CQ472" s="240"/>
      <c r="CR472" s="240"/>
      <c r="CS472" s="35">
        <f t="shared" si="916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902"/>
        <v>50</v>
      </c>
      <c r="DI472" s="298">
        <f>DI469</f>
        <v>0</v>
      </c>
      <c r="DJ472" s="7">
        <f t="shared" si="917"/>
        <v>-50</v>
      </c>
      <c r="DK472" s="240"/>
      <c r="DL472" s="240"/>
      <c r="DM472" s="35">
        <f t="shared" si="918"/>
        <v>50</v>
      </c>
    </row>
    <row r="473" spans="1:117" x14ac:dyDescent="0.3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903"/>
        <v>-100</v>
      </c>
      <c r="L473" s="29">
        <v>0</v>
      </c>
      <c r="M473" s="298">
        <f>M469*2</f>
        <v>0</v>
      </c>
      <c r="N473" s="7">
        <f t="shared" si="904"/>
        <v>0</v>
      </c>
      <c r="O473" s="256">
        <v>100</v>
      </c>
      <c r="P473" s="240"/>
      <c r="Q473" s="35">
        <f t="shared" si="905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>Q473</f>
        <v>100</v>
      </c>
      <c r="AG473" s="298">
        <f>AG469*2</f>
        <v>0</v>
      </c>
      <c r="AH473" s="7">
        <f t="shared" si="906"/>
        <v>-100</v>
      </c>
      <c r="AI473" s="256"/>
      <c r="AJ473" s="240"/>
      <c r="AK473" s="35">
        <f t="shared" si="907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908"/>
        <v>100</v>
      </c>
      <c r="BA473" s="298">
        <f>BA469*2</f>
        <v>30</v>
      </c>
      <c r="BB473" s="7">
        <f t="shared" si="909"/>
        <v>-70</v>
      </c>
      <c r="BC473" s="240"/>
      <c r="BD473" s="240"/>
      <c r="BE473" s="35">
        <f t="shared" si="910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911"/>
        <v>100</v>
      </c>
      <c r="BU473" s="298">
        <f>BU469*2</f>
        <v>50</v>
      </c>
      <c r="BV473" s="7">
        <f t="shared" si="912"/>
        <v>-50</v>
      </c>
      <c r="BW473" s="240"/>
      <c r="BX473" s="240"/>
      <c r="BY473" s="35">
        <f t="shared" si="913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914"/>
        <v>100</v>
      </c>
      <c r="CO473" s="298">
        <f>CO469*2</f>
        <v>0</v>
      </c>
      <c r="CP473" s="7">
        <f t="shared" si="915"/>
        <v>-100</v>
      </c>
      <c r="CQ473" s="240"/>
      <c r="CR473" s="240"/>
      <c r="CS473" s="35">
        <f t="shared" si="916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902"/>
        <v>100</v>
      </c>
      <c r="DI473" s="298">
        <f>DI469*2</f>
        <v>0</v>
      </c>
      <c r="DJ473" s="7">
        <f t="shared" si="917"/>
        <v>-100</v>
      </c>
      <c r="DK473" s="240"/>
      <c r="DL473" s="240"/>
      <c r="DM473" s="35">
        <f t="shared" si="918"/>
        <v>100</v>
      </c>
    </row>
    <row r="474" spans="1:117" x14ac:dyDescent="0.3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903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>Q474</f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902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" thickBot="1" x14ac:dyDescent="0.35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37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>Q475</f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37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37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37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37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902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" thickBot="1" x14ac:dyDescent="0.35">
      <c r="P476" s="248"/>
      <c r="AJ476" s="248"/>
      <c r="BD476" s="248"/>
      <c r="BX476" s="248"/>
      <c r="CR476" s="248"/>
      <c r="DL476" s="248"/>
    </row>
    <row r="477" spans="1:117" ht="15" thickBot="1" x14ac:dyDescent="0.35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52"/>
      <c r="V477" s="267">
        <f>SUM(V478:V499)</f>
        <v>0</v>
      </c>
      <c r="W477" s="268">
        <f>SUM(W478:W499)</f>
        <v>0</v>
      </c>
      <c r="X477" s="269"/>
      <c r="Y477" s="752"/>
      <c r="Z477" s="267">
        <f>SUM(Z478:Z499)</f>
        <v>0</v>
      </c>
      <c r="AA477" s="268">
        <f>SUM(AA478:AA499)</f>
        <v>0</v>
      </c>
      <c r="AB477" s="269"/>
      <c r="AC477" s="752"/>
      <c r="AD477" s="752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52"/>
      <c r="AP477" s="267">
        <f>SUM(AP478:AP499)</f>
        <v>0</v>
      </c>
      <c r="AQ477" s="268">
        <f>SUM(AQ478:AQ499)</f>
        <v>0</v>
      </c>
      <c r="AR477" s="269"/>
      <c r="AS477" s="752"/>
      <c r="AT477" s="267">
        <f>SUM(AT478:AT499)</f>
        <v>0</v>
      </c>
      <c r="AU477" s="268">
        <f>SUM(AU478:AU499)</f>
        <v>0</v>
      </c>
      <c r="AV477" s="269"/>
      <c r="AW477" s="752"/>
      <c r="AX477" s="752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52"/>
      <c r="BJ477" s="267">
        <f>SUM(BJ478:BJ499)</f>
        <v>0</v>
      </c>
      <c r="BK477" s="268">
        <f>SUM(BK478:BK499)</f>
        <v>0</v>
      </c>
      <c r="BL477" s="269"/>
      <c r="BM477" s="752"/>
      <c r="BN477" s="267">
        <f>SUM(BN478:BN499)</f>
        <v>0</v>
      </c>
      <c r="BO477" s="268">
        <f>SUM(BO478:BO499)</f>
        <v>0</v>
      </c>
      <c r="BP477" s="269"/>
      <c r="BQ477" s="752"/>
      <c r="BR477" s="752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52"/>
      <c r="CD477" s="267">
        <f>SUM(CD478:CD499)</f>
        <v>284050</v>
      </c>
      <c r="CE477" s="268">
        <f>SUM(CE478:CE499)</f>
        <v>9569.57</v>
      </c>
      <c r="CF477" s="269"/>
      <c r="CG477" s="752"/>
      <c r="CH477" s="267">
        <f>SUM(CH478:CH499)</f>
        <v>0</v>
      </c>
      <c r="CI477" s="268">
        <f>SUM(CI478:CI499)</f>
        <v>0</v>
      </c>
      <c r="CJ477" s="269"/>
      <c r="CK477" s="752"/>
      <c r="CL477" s="752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52"/>
      <c r="CX477" s="267">
        <f>SUM(CX478:CX499)</f>
        <v>0</v>
      </c>
      <c r="CY477" s="268">
        <f>SUM(CY478:CY499)</f>
        <v>230000</v>
      </c>
      <c r="CZ477" s="269"/>
      <c r="DA477" s="752"/>
      <c r="DB477" s="267">
        <f>SUM(DB478:DB499)</f>
        <v>218500</v>
      </c>
      <c r="DC477" s="268">
        <f>SUM(DC478:DC499)</f>
        <v>0</v>
      </c>
      <c r="DD477" s="269"/>
      <c r="DE477" s="752"/>
      <c r="DF477" s="752"/>
      <c r="DG477" s="391"/>
      <c r="DH477" s="264"/>
      <c r="DI477" s="265"/>
      <c r="DJ477" s="265"/>
      <c r="DK477" s="265"/>
      <c r="DL477" s="270"/>
      <c r="DM477" s="266"/>
    </row>
    <row r="478" spans="1:117" ht="43.2" x14ac:dyDescent="0.3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>SUM(M478,AG478,BA478,BU478)-L478</f>
        <v>-10</v>
      </c>
      <c r="K478" s="395">
        <f t="shared" ref="K478:K497" si="919">M478-O478-L478</f>
        <v>-19</v>
      </c>
      <c r="L478" s="544">
        <v>20</v>
      </c>
      <c r="M478" s="298">
        <f>M274+M275+M340+M385</f>
        <v>1</v>
      </c>
      <c r="N478" s="7">
        <f t="shared" ref="N478:N499" si="920">M478-L478</f>
        <v>-19</v>
      </c>
      <c r="O478" s="256"/>
      <c r="P478" s="240">
        <f>1</f>
        <v>1</v>
      </c>
      <c r="Q478" s="231">
        <f t="shared" ref="Q478:Q498" si="921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>SUM(M478,AG478)-SUM(O478,AI478)-L478</f>
        <v>-18</v>
      </c>
      <c r="AF478" s="29">
        <f>Q478</f>
        <v>19</v>
      </c>
      <c r="AG478" s="298">
        <f>AG274+AG275+AG340+AG385</f>
        <v>1</v>
      </c>
      <c r="AH478" s="7">
        <f t="shared" ref="AH478:AH499" si="922">AG478-AF478</f>
        <v>-18</v>
      </c>
      <c r="AI478" s="258"/>
      <c r="AJ478" s="240">
        <v>2</v>
      </c>
      <c r="AK478" s="231">
        <f t="shared" ref="AK478:AK498" si="92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>SUM(M478,AG478,BA478)-SUM(O478,AI478,BC478)-L478</f>
        <v>-16</v>
      </c>
      <c r="AZ478" s="29">
        <f t="shared" ref="AZ478:AZ498" si="924">AK478</f>
        <v>17</v>
      </c>
      <c r="BA478" s="298">
        <f>BA274+BA275+BA340+BA385</f>
        <v>2</v>
      </c>
      <c r="BB478" s="7">
        <f t="shared" ref="BB478:BB499" si="925">BA478-AZ478</f>
        <v>-15</v>
      </c>
      <c r="BC478" s="240"/>
      <c r="BD478" s="240">
        <f>1+1+1</f>
        <v>3</v>
      </c>
      <c r="BE478" s="231">
        <f t="shared" ref="BE478:BE498" si="926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>SUM(M478,AG478,BA478,BU478)-SUM(O478,AI478,BC478,BW478)-L478</f>
        <v>-10</v>
      </c>
      <c r="BT478" s="29">
        <f t="shared" ref="BT478:BT498" si="927">BE478</f>
        <v>14</v>
      </c>
      <c r="BU478" s="298">
        <f>BU274+BU275+BU340+BU385</f>
        <v>6</v>
      </c>
      <c r="BV478" s="7">
        <f t="shared" ref="BV478:BV499" si="928">BU478-BT478</f>
        <v>-8</v>
      </c>
      <c r="BW478" s="256"/>
      <c r="BX478" s="240">
        <f>1</f>
        <v>1</v>
      </c>
      <c r="BY478" s="231">
        <f t="shared" ref="BY478:BY498" si="929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>SUM(M478,AG478,BA478,BU478,CO478)-SUM(O478,AI478,BC478,BW478,CQ478)-L478</f>
        <v>-10</v>
      </c>
      <c r="CN478" s="29">
        <f t="shared" ref="CN478:CN498" si="930">BY478</f>
        <v>13</v>
      </c>
      <c r="CO478" s="298">
        <f>CO274+CO275+CO340+CO385</f>
        <v>0</v>
      </c>
      <c r="CP478" s="7">
        <f t="shared" ref="CP478:CP499" si="931">CO478-CN478</f>
        <v>-13</v>
      </c>
      <c r="CQ478" s="240"/>
      <c r="CR478" s="240"/>
      <c r="CS478" s="231">
        <f t="shared" ref="CS478:CS498" si="932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>SUM(M478,AG478,BA478,BU478,DI478)-SUM(O478,AI478,BC478,BW478,CQ478)-L478</f>
        <v>-10</v>
      </c>
      <c r="DH478" s="32">
        <f t="shared" ref="DH478:DH497" si="933">BY478</f>
        <v>13</v>
      </c>
      <c r="DI478" s="298">
        <f>DI274+DI275+DI340+DI385</f>
        <v>0</v>
      </c>
      <c r="DJ478" s="7">
        <f t="shared" ref="DJ478:DJ483" si="934">DI478-DH478</f>
        <v>-13</v>
      </c>
      <c r="DK478" s="240"/>
      <c r="DL478" s="240"/>
      <c r="DM478" s="231">
        <f t="shared" ref="DM478:DM483" si="935">DH478+DK478-DL478</f>
        <v>13</v>
      </c>
    </row>
    <row r="479" spans="1:117" ht="72" x14ac:dyDescent="0.3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>SUM(M479,AG479,BA479,BU479)-L479</f>
        <v>-2</v>
      </c>
      <c r="K479" s="395">
        <f t="shared" si="919"/>
        <v>-2</v>
      </c>
      <c r="L479" s="544">
        <v>2</v>
      </c>
      <c r="M479" s="512"/>
      <c r="N479" s="7">
        <f t="shared" si="920"/>
        <v>-2</v>
      </c>
      <c r="O479" s="256"/>
      <c r="P479" s="240"/>
      <c r="Q479" s="231">
        <f t="shared" si="921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>SUM(M479,AG479)-SUM(O479,AI479)-L479</f>
        <v>-2</v>
      </c>
      <c r="AF479" s="29">
        <f>Q479</f>
        <v>2</v>
      </c>
      <c r="AG479" s="512"/>
      <c r="AH479" s="7">
        <f t="shared" si="922"/>
        <v>-2</v>
      </c>
      <c r="AI479" s="242"/>
      <c r="AJ479" s="240"/>
      <c r="AK479" s="231">
        <f t="shared" si="92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>SUM(M479,AG479,BA479)-SUM(O479,AI479,BC479)-L479</f>
        <v>-2</v>
      </c>
      <c r="AZ479" s="29">
        <f t="shared" si="924"/>
        <v>2</v>
      </c>
      <c r="BA479" s="512"/>
      <c r="BB479" s="7">
        <f t="shared" si="925"/>
        <v>-2</v>
      </c>
      <c r="BC479" s="240"/>
      <c r="BD479" s="240"/>
      <c r="BE479" s="231">
        <f t="shared" si="926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>SUM(M479,AG479,BA479,BU479)-SUM(O479,AI479,BC479,BW479)-L479</f>
        <v>-2</v>
      </c>
      <c r="BT479" s="29">
        <f t="shared" si="927"/>
        <v>2</v>
      </c>
      <c r="BU479" s="512"/>
      <c r="BV479" s="7">
        <f t="shared" si="928"/>
        <v>-2</v>
      </c>
      <c r="BW479" s="256"/>
      <c r="BX479" s="240"/>
      <c r="BY479" s="231">
        <f t="shared" si="929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>SUM(M479,AG479,BA479,BU479,CO479)-SUM(O479,AI479,BC479,BW479,CQ479)-L479</f>
        <v>-2</v>
      </c>
      <c r="CN479" s="29">
        <f t="shared" si="930"/>
        <v>2</v>
      </c>
      <c r="CO479" s="512"/>
      <c r="CP479" s="7">
        <f t="shared" si="931"/>
        <v>-2</v>
      </c>
      <c r="CQ479" s="240"/>
      <c r="CR479" s="240"/>
      <c r="CS479" s="231">
        <f t="shared" si="932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>SUM(M479,AG479,BA479,BU479,DI479)-SUM(O479,AI479,BC479,BW479,CQ479)-L479</f>
        <v>-2</v>
      </c>
      <c r="DH479" s="32">
        <f t="shared" si="933"/>
        <v>2</v>
      </c>
      <c r="DI479" s="512"/>
      <c r="DJ479" s="7">
        <f t="shared" si="934"/>
        <v>-2</v>
      </c>
      <c r="DK479" s="240"/>
      <c r="DL479" s="240"/>
      <c r="DM479" s="231">
        <f t="shared" si="935"/>
        <v>2</v>
      </c>
    </row>
    <row r="480" spans="1:117" ht="72" x14ac:dyDescent="0.3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>SUM(M480,AG480,BA480,BU480)-L480</f>
        <v>-45</v>
      </c>
      <c r="K480" s="395">
        <f t="shared" si="919"/>
        <v>-45</v>
      </c>
      <c r="L480" s="544">
        <v>45</v>
      </c>
      <c r="M480" s="512"/>
      <c r="N480" s="7">
        <f t="shared" si="920"/>
        <v>-45</v>
      </c>
      <c r="O480" s="240"/>
      <c r="P480" s="240"/>
      <c r="Q480" s="231">
        <f t="shared" si="921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>SUM(M480,AG480)-SUM(O480,AI480)-L480</f>
        <v>-45</v>
      </c>
      <c r="AF480" s="29">
        <f>Q480</f>
        <v>45</v>
      </c>
      <c r="AG480" s="512"/>
      <c r="AH480" s="7">
        <f t="shared" si="922"/>
        <v>-45</v>
      </c>
      <c r="AI480" s="258"/>
      <c r="AJ480" s="240"/>
      <c r="AK480" s="231">
        <f t="shared" si="92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>SUM(M480,AG480,BA480)-SUM(O480,AI480,BC480)-L480</f>
        <v>-45</v>
      </c>
      <c r="AZ480" s="29">
        <f t="shared" si="924"/>
        <v>45</v>
      </c>
      <c r="BA480" s="512"/>
      <c r="BB480" s="7">
        <f t="shared" si="925"/>
        <v>-45</v>
      </c>
      <c r="BC480" s="256"/>
      <c r="BD480" s="240"/>
      <c r="BE480" s="231">
        <f t="shared" si="926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>SUM(M480,AG480,BA480,BU480)-SUM(O480,AI480,BC480,BW480)-L480</f>
        <v>-45</v>
      </c>
      <c r="BT480" s="29">
        <f t="shared" si="927"/>
        <v>45</v>
      </c>
      <c r="BU480" s="512"/>
      <c r="BV480" s="7">
        <f t="shared" si="928"/>
        <v>-45</v>
      </c>
      <c r="BW480" s="256"/>
      <c r="BX480" s="240"/>
      <c r="BY480" s="231">
        <f t="shared" si="929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>SUM(M480,AG480,BA480,BU480,CO480)-SUM(O480,AI480,BC480,BW480,CQ480)-L480</f>
        <v>-45</v>
      </c>
      <c r="CN480" s="29">
        <f t="shared" si="930"/>
        <v>45</v>
      </c>
      <c r="CO480" s="512"/>
      <c r="CP480" s="7">
        <f t="shared" si="931"/>
        <v>-45</v>
      </c>
      <c r="CQ480" s="240"/>
      <c r="CR480" s="240"/>
      <c r="CS480" s="231">
        <f t="shared" si="932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>SUM(M480,AG480,BA480,BU480,DI480)-SUM(O480,AI480,BC480,BW480,CQ480)-L480</f>
        <v>-45</v>
      </c>
      <c r="DH480" s="32">
        <f t="shared" si="933"/>
        <v>45</v>
      </c>
      <c r="DI480" s="512"/>
      <c r="DJ480" s="7">
        <f t="shared" si="934"/>
        <v>-45</v>
      </c>
      <c r="DK480" s="240"/>
      <c r="DL480" s="240"/>
      <c r="DM480" s="231">
        <f t="shared" si="935"/>
        <v>45</v>
      </c>
    </row>
    <row r="481" spans="1:117" ht="28.8" x14ac:dyDescent="0.3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>SUM(M481,AG481,BA481,BU481)-L481</f>
        <v>2</v>
      </c>
      <c r="K481" s="395">
        <f t="shared" si="919"/>
        <v>-7</v>
      </c>
      <c r="L481" s="544">
        <v>8</v>
      </c>
      <c r="M481" s="298">
        <f>M275</f>
        <v>1</v>
      </c>
      <c r="N481" s="7">
        <f t="shared" ref="N481:N482" si="936">M481-L481</f>
        <v>-7</v>
      </c>
      <c r="O481" s="240"/>
      <c r="P481" s="240">
        <f>1</f>
        <v>1</v>
      </c>
      <c r="Q481" s="231">
        <f t="shared" ref="Q481:Q482" si="937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>SUM(M481,AG481)-SUM(O481,AI481)-L481</f>
        <v>-6</v>
      </c>
      <c r="AF481" s="29">
        <f>Q481</f>
        <v>7</v>
      </c>
      <c r="AG481" s="298">
        <f>AG275</f>
        <v>1</v>
      </c>
      <c r="AH481" s="7">
        <f t="shared" ref="AH481:AH482" si="938">AG481-AF481</f>
        <v>-6</v>
      </c>
      <c r="AI481" s="258"/>
      <c r="AJ481" s="240">
        <f>1</f>
        <v>1</v>
      </c>
      <c r="AK481" s="231">
        <f t="shared" ref="AK481:AK482" si="939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>SUM(M481,AG481,BA481)-SUM(O481,AI481,BC481)-L481</f>
        <v>-4</v>
      </c>
      <c r="AZ481" s="29">
        <f t="shared" ref="AZ481:AZ482" si="940">AK481</f>
        <v>6</v>
      </c>
      <c r="BA481" s="298">
        <f>BA275</f>
        <v>2</v>
      </c>
      <c r="BB481" s="7">
        <f t="shared" ref="BB481:BB482" si="941">BA481-AZ481</f>
        <v>-4</v>
      </c>
      <c r="BC481" s="240"/>
      <c r="BD481" s="240">
        <f>1+1+1</f>
        <v>3</v>
      </c>
      <c r="BE481" s="231">
        <f t="shared" ref="BE481:BE482" si="942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>SUM(M481,AG481,BA481,BU481)-SUM(O481,AI481,BC481,BW481)-L481</f>
        <v>2</v>
      </c>
      <c r="BT481" s="29">
        <f t="shared" ref="BT481:BT482" si="943">BE481</f>
        <v>3</v>
      </c>
      <c r="BU481" s="298">
        <f>BU275</f>
        <v>6</v>
      </c>
      <c r="BV481" s="7">
        <f t="shared" ref="BV481:BV482" si="944">BU481-BT481</f>
        <v>3</v>
      </c>
      <c r="BW481" s="256"/>
      <c r="BX481" s="240">
        <f>1</f>
        <v>1</v>
      </c>
      <c r="BY481" s="231">
        <f t="shared" ref="BY481:BY482" si="945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>SUM(M481,AG481,BA481,BU481,CO481)-SUM(O481,AI481,BC481,BW481,CQ481)-L481</f>
        <v>2</v>
      </c>
      <c r="CN481" s="29">
        <f t="shared" ref="CN481:CN482" si="946">BY481</f>
        <v>2</v>
      </c>
      <c r="CO481" s="298">
        <f>CO275</f>
        <v>0</v>
      </c>
      <c r="CP481" s="7">
        <f t="shared" ref="CP481:CP482" si="947">CO481-CN481</f>
        <v>-2</v>
      </c>
      <c r="CQ481" s="240"/>
      <c r="CR481" s="240"/>
      <c r="CS481" s="231">
        <f t="shared" ref="CS481:CS482" si="948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>SUM(M481,AG481,BA481,BU481,DI481)-SUM(O481,AI481,BC481,BW481,CQ481)-L481</f>
        <v>2</v>
      </c>
      <c r="DH481" s="32">
        <f t="shared" si="933"/>
        <v>2</v>
      </c>
      <c r="DI481" s="298">
        <f>DI275</f>
        <v>0</v>
      </c>
      <c r="DJ481" s="7">
        <f t="shared" si="934"/>
        <v>-2</v>
      </c>
      <c r="DK481" s="240"/>
      <c r="DL481" s="240"/>
      <c r="DM481" s="231">
        <f t="shared" si="935"/>
        <v>2</v>
      </c>
    </row>
    <row r="482" spans="1:117" ht="28.8" x14ac:dyDescent="0.3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>SUM(M482,AG482,BA482,BU482)-L482</f>
        <v>-1</v>
      </c>
      <c r="K482" s="395">
        <f t="shared" si="919"/>
        <v>-10</v>
      </c>
      <c r="L482" s="544">
        <v>11</v>
      </c>
      <c r="M482" s="298">
        <f>M481</f>
        <v>1</v>
      </c>
      <c r="N482" s="7">
        <f t="shared" si="936"/>
        <v>-10</v>
      </c>
      <c r="O482" s="240"/>
      <c r="P482" s="240">
        <f>1</f>
        <v>1</v>
      </c>
      <c r="Q482" s="231">
        <f t="shared" si="937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>SUM(M482,AG482)-SUM(O482,AI482)-L482</f>
        <v>-9</v>
      </c>
      <c r="AF482" s="29">
        <f>Q482</f>
        <v>10</v>
      </c>
      <c r="AG482" s="298">
        <f>AG481</f>
        <v>1</v>
      </c>
      <c r="AH482" s="7">
        <f t="shared" si="938"/>
        <v>-9</v>
      </c>
      <c r="AI482" s="258"/>
      <c r="AJ482" s="240">
        <f>1</f>
        <v>1</v>
      </c>
      <c r="AK482" s="231">
        <f t="shared" si="939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>SUM(M482,AG482,BA482)-SUM(O482,AI482,BC482)-L482</f>
        <v>-7</v>
      </c>
      <c r="AZ482" s="29">
        <f t="shared" si="940"/>
        <v>9</v>
      </c>
      <c r="BA482" s="298">
        <f>BA481</f>
        <v>2</v>
      </c>
      <c r="BB482" s="7">
        <f t="shared" si="941"/>
        <v>-7</v>
      </c>
      <c r="BC482" s="7"/>
      <c r="BD482" s="240">
        <f>1+1+1</f>
        <v>3</v>
      </c>
      <c r="BE482" s="231">
        <f t="shared" si="942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>SUM(M482,AG482,BA482,BU482)-SUM(O482,AI482,BC482,BW482)-L482</f>
        <v>-11</v>
      </c>
      <c r="BT482" s="29">
        <f t="shared" si="943"/>
        <v>6</v>
      </c>
      <c r="BU482" s="298">
        <f>BU481</f>
        <v>6</v>
      </c>
      <c r="BV482" s="7">
        <f t="shared" si="944"/>
        <v>0</v>
      </c>
      <c r="BW482" s="621">
        <v>10</v>
      </c>
      <c r="BX482" s="240">
        <f>1</f>
        <v>1</v>
      </c>
      <c r="BY482" s="231">
        <f t="shared" si="945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809"/>
      <c r="CH482" s="121"/>
      <c r="CI482" s="6"/>
      <c r="CJ482" s="35"/>
      <c r="CK482" s="234"/>
      <c r="CL482" s="234"/>
      <c r="CM482" s="395">
        <f>SUM(M482,AG482,BA482,BU482,CO482)-SUM(O482,AI482,BC482,BW482,CQ482)-L482</f>
        <v>-11</v>
      </c>
      <c r="CN482" s="29">
        <f t="shared" si="946"/>
        <v>15</v>
      </c>
      <c r="CO482" s="298">
        <f>CO481</f>
        <v>0</v>
      </c>
      <c r="CP482" s="7">
        <f t="shared" si="947"/>
        <v>-15</v>
      </c>
      <c r="CQ482" s="240"/>
      <c r="CR482" s="240"/>
      <c r="CS482" s="231">
        <f t="shared" si="948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>SUM(M482,AG482,BA482,BU482,DI482)-SUM(O482,AI482,BC482,BW482,CQ482)-L482</f>
        <v>-11</v>
      </c>
      <c r="DH482" s="32">
        <f t="shared" si="933"/>
        <v>15</v>
      </c>
      <c r="DI482" s="298">
        <f>DI481</f>
        <v>0</v>
      </c>
      <c r="DJ482" s="7">
        <f t="shared" si="934"/>
        <v>-15</v>
      </c>
      <c r="DK482" s="240"/>
      <c r="DL482" s="240"/>
      <c r="DM482" s="231">
        <f t="shared" si="935"/>
        <v>15</v>
      </c>
    </row>
    <row r="483" spans="1:117" ht="43.2" x14ac:dyDescent="0.3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>SUM(M483,AG483,BA483,BU483)-L483</f>
        <v>-103</v>
      </c>
      <c r="K483" s="395">
        <f t="shared" si="919"/>
        <v>-112</v>
      </c>
      <c r="L483" s="544">
        <v>113</v>
      </c>
      <c r="M483" s="298">
        <f>M482</f>
        <v>1</v>
      </c>
      <c r="N483" s="7">
        <f t="shared" ref="N483" si="949">M483-L483</f>
        <v>-112</v>
      </c>
      <c r="O483" s="240"/>
      <c r="P483" s="303">
        <f>P482</f>
        <v>1</v>
      </c>
      <c r="Q483" s="231">
        <f t="shared" ref="Q483" si="950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>SUM(M483,AG483)-SUM(O483,AI483)-L483</f>
        <v>-111</v>
      </c>
      <c r="AF483" s="29">
        <f>Q483</f>
        <v>112</v>
      </c>
      <c r="AG483" s="298">
        <f>AG482</f>
        <v>1</v>
      </c>
      <c r="AH483" s="7">
        <f t="shared" ref="AH483" si="951">AG483-AF483</f>
        <v>-111</v>
      </c>
      <c r="AI483" s="7"/>
      <c r="AJ483" s="303">
        <f>AJ482</f>
        <v>1</v>
      </c>
      <c r="AK483" s="231">
        <f t="shared" ref="AK483" si="952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>SUM(M483,AG483,BA483)-SUM(O483,AI483,BC483)-L483</f>
        <v>-109</v>
      </c>
      <c r="AZ483" s="29">
        <f t="shared" ref="AZ483" si="953">AK483</f>
        <v>111</v>
      </c>
      <c r="BA483" s="298">
        <f>BA482</f>
        <v>2</v>
      </c>
      <c r="BB483" s="7">
        <f t="shared" ref="BB483" si="954">BA483-AZ483</f>
        <v>-109</v>
      </c>
      <c r="BC483" s="7"/>
      <c r="BD483" s="303">
        <f>BD482</f>
        <v>3</v>
      </c>
      <c r="BE483" s="231">
        <f t="shared" ref="BE483" si="955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>SUM(M483,AG483,BA483,BU483)-SUM(O483,AI483,BC483,BW483)-L483</f>
        <v>-103</v>
      </c>
      <c r="BT483" s="29">
        <f t="shared" ref="BT483" si="956">BE483</f>
        <v>108</v>
      </c>
      <c r="BU483" s="298">
        <f>BU482</f>
        <v>6</v>
      </c>
      <c r="BV483" s="7">
        <f t="shared" ref="BV483" si="957">BU483-BT483</f>
        <v>-102</v>
      </c>
      <c r="BW483" s="240"/>
      <c r="BX483" s="303">
        <f>BX482</f>
        <v>1</v>
      </c>
      <c r="BY483" s="231">
        <f t="shared" ref="BY483" si="958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>SUM(M483,AG483,BA483,BU483,CO483)-SUM(O483,AI483,BC483,BW483,CQ483)-L483</f>
        <v>-103</v>
      </c>
      <c r="CN483" s="29">
        <f t="shared" ref="CN483" si="959">BY483</f>
        <v>107</v>
      </c>
      <c r="CO483" s="298">
        <f>CO482</f>
        <v>0</v>
      </c>
      <c r="CP483" s="7">
        <f t="shared" ref="CP483" si="960">CO483-CN483</f>
        <v>-107</v>
      </c>
      <c r="CQ483" s="240"/>
      <c r="CR483" s="303">
        <f>CR482</f>
        <v>0</v>
      </c>
      <c r="CS483" s="231">
        <f t="shared" ref="CS483" si="961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>SUM(M483,AG483,BA483,BU483,DI483)-SUM(O483,AI483,BC483,BW483,CQ483)-L483</f>
        <v>-103</v>
      </c>
      <c r="DH483" s="32">
        <f t="shared" si="933"/>
        <v>107</v>
      </c>
      <c r="DI483" s="298">
        <f>DI482</f>
        <v>0</v>
      </c>
      <c r="DJ483" s="7">
        <f t="shared" si="934"/>
        <v>-107</v>
      </c>
      <c r="DK483" s="240"/>
      <c r="DL483" s="303">
        <f>DL482</f>
        <v>0</v>
      </c>
      <c r="DM483" s="231">
        <f t="shared" si="935"/>
        <v>107</v>
      </c>
    </row>
    <row r="484" spans="1:117" ht="89.4" customHeight="1" x14ac:dyDescent="0.3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>SUM(M484,AG484,BA484,BU484)-L484</f>
        <v>-1</v>
      </c>
      <c r="K484" s="395">
        <f t="shared" si="919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53"/>
      <c r="V484" s="123"/>
      <c r="W484" s="8"/>
      <c r="X484" s="313"/>
      <c r="Y484" s="739"/>
      <c r="Z484" s="20"/>
      <c r="AA484" s="8"/>
      <c r="AB484" s="34"/>
      <c r="AC484" s="234"/>
      <c r="AD484" s="234"/>
      <c r="AE484" s="395">
        <f>SUM(M484,AG484)-SUM(O484,AI484)-L484</f>
        <v>-17</v>
      </c>
      <c r="AF484" s="29">
        <f>Q484</f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36"/>
      <c r="AP484" s="123"/>
      <c r="AQ484" s="8"/>
      <c r="AR484" s="34"/>
      <c r="AS484" s="736"/>
      <c r="AT484" s="20"/>
      <c r="AU484" s="8"/>
      <c r="AV484" s="34"/>
      <c r="AW484" s="234"/>
      <c r="AX484" s="234"/>
      <c r="AY484" s="395">
        <f>SUM(M484,AG484,BA484)-SUM(O484,AI484,BC484)-L484</f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36"/>
      <c r="BJ484" s="123"/>
      <c r="BK484" s="8"/>
      <c r="BL484" s="447"/>
      <c r="BM484" s="753"/>
      <c r="BN484" s="20"/>
      <c r="BO484" s="8"/>
      <c r="BP484" s="447"/>
      <c r="BQ484" s="803"/>
      <c r="BR484" s="803"/>
      <c r="BS484" s="395">
        <f>SUM(M484,AG484,BA484,BU484)-SUM(O484,AI484,BC484,BW484)-L484</f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53"/>
      <c r="CD484" s="687">
        <v>284050</v>
      </c>
      <c r="CE484" s="154"/>
      <c r="CF484" s="658" t="s">
        <v>821</v>
      </c>
      <c r="CG484" s="833"/>
      <c r="CH484" s="123"/>
      <c r="CI484" s="8"/>
      <c r="CJ484" s="447" t="s">
        <v>916</v>
      </c>
      <c r="CK484" s="803"/>
      <c r="CL484" s="803"/>
      <c r="CM484" s="395">
        <f>SUM(M484,AG484,BA484,BU484,CO484)-SUM(O484,AI484,BC484,BW484,CQ484)-L484</f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36"/>
      <c r="CX484" s="123"/>
      <c r="CY484" s="633">
        <v>230000</v>
      </c>
      <c r="CZ484" s="642" t="s">
        <v>822</v>
      </c>
      <c r="DA484" s="818"/>
      <c r="DB484" s="20">
        <v>218500</v>
      </c>
      <c r="DC484" s="8"/>
      <c r="DD484" s="34" t="s">
        <v>939</v>
      </c>
      <c r="DE484" s="234"/>
      <c r="DF484" s="234"/>
      <c r="DG484" s="395">
        <f>SUM(M484,AG484,BA484,BU484,DI484)-SUM(O484,AI484,BC484,BW484,CQ484)-L484</f>
        <v>-16</v>
      </c>
      <c r="DH484" s="32">
        <f t="shared" si="933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43.2" x14ac:dyDescent="0.3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>SUM(M485,AG485,BA485,BU485)-L485</f>
        <v>-1</v>
      </c>
      <c r="K485" s="395">
        <f t="shared" si="919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36"/>
      <c r="V485" s="123"/>
      <c r="W485" s="8"/>
      <c r="X485" s="34"/>
      <c r="Y485" s="736"/>
      <c r="Z485" s="20"/>
      <c r="AA485" s="8"/>
      <c r="AB485" s="415"/>
      <c r="AC485" s="619"/>
      <c r="AD485" s="619"/>
      <c r="AE485" s="395">
        <f>SUM(M485,AG485)-SUM(O485,AI485)-L485</f>
        <v>-17</v>
      </c>
      <c r="AF485" s="29">
        <f>Q485</f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O485" s="750"/>
      <c r="AP485" s="123"/>
      <c r="AQ485" s="8"/>
      <c r="AR485" s="34"/>
      <c r="AS485" s="736"/>
      <c r="AT485" s="20"/>
      <c r="AU485" s="8"/>
      <c r="AV485" s="34"/>
      <c r="AW485" s="234"/>
      <c r="AX485" s="234"/>
      <c r="AY485" s="395">
        <f>SUM(M485,AG485,BA485)-SUM(O485,AI485,BC485)-L485</f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36"/>
      <c r="BJ485" s="123"/>
      <c r="BK485" s="8"/>
      <c r="BL485" s="34"/>
      <c r="BM485" s="736"/>
      <c r="BN485" s="20"/>
      <c r="BO485" s="8"/>
      <c r="BP485" s="34"/>
      <c r="BQ485" s="234"/>
      <c r="BR485" s="234"/>
      <c r="BS485" s="395">
        <f>SUM(M485,AG485,BA485,BU485)-SUM(O485,AI485,BC485,BW485)-L485</f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36"/>
      <c r="CD485" s="123"/>
      <c r="CE485" s="213"/>
      <c r="CF485" s="212"/>
      <c r="CG485" s="834"/>
      <c r="CH485" s="20"/>
      <c r="CI485" s="8"/>
      <c r="CJ485" s="34"/>
      <c r="CK485" s="234"/>
      <c r="CL485" s="234"/>
      <c r="CM485" s="395">
        <f>SUM(M485,AG485,BA485,BU485,CO485)-SUM(O485,AI485,BC485,BW485,CQ485)-L485</f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834"/>
      <c r="CX485" s="123"/>
      <c r="CY485" s="8"/>
      <c r="CZ485" s="34"/>
      <c r="DA485" s="736"/>
      <c r="DB485" s="20"/>
      <c r="DC485" s="8"/>
      <c r="DD485" s="34"/>
      <c r="DE485" s="234"/>
      <c r="DF485" s="234"/>
      <c r="DG485" s="395">
        <f>SUM(M485,AG485,BA485,BU485,DI485)-SUM(O485,AI485,BC485,BW485,CQ485)-L485</f>
        <v>-11</v>
      </c>
      <c r="DH485" s="32">
        <f t="shared" si="933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3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>SUM(M486,AG486,BA486,BU486)-L486</f>
        <v>2</v>
      </c>
      <c r="K486" s="395">
        <f t="shared" si="919"/>
        <v>-7</v>
      </c>
      <c r="L486" s="544">
        <v>8</v>
      </c>
      <c r="M486" s="299">
        <f>M274+M275</f>
        <v>1</v>
      </c>
      <c r="N486" s="5">
        <f t="shared" si="920"/>
        <v>-7</v>
      </c>
      <c r="O486" s="240"/>
      <c r="P486" s="240">
        <f>1</f>
        <v>1</v>
      </c>
      <c r="Q486" s="233">
        <f t="shared" si="921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>SUM(M486,AG486)-SUM(O486,AI486)-L486</f>
        <v>-6</v>
      </c>
      <c r="AF486" s="29">
        <f>Q486</f>
        <v>7</v>
      </c>
      <c r="AG486" s="299">
        <f>AG274+AG275</f>
        <v>1</v>
      </c>
      <c r="AH486" s="5">
        <f t="shared" si="922"/>
        <v>-6</v>
      </c>
      <c r="AI486" s="258"/>
      <c r="AJ486" s="240">
        <f>1</f>
        <v>1</v>
      </c>
      <c r="AK486" s="233">
        <f t="shared" si="92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>SUM(M486,AG486,BA486)-SUM(O486,AI486,BC486)-L486</f>
        <v>-4</v>
      </c>
      <c r="AZ486" s="29">
        <f t="shared" si="924"/>
        <v>6</v>
      </c>
      <c r="BA486" s="299">
        <f>BA274+BA275</f>
        <v>2</v>
      </c>
      <c r="BB486" s="5">
        <f t="shared" si="925"/>
        <v>-4</v>
      </c>
      <c r="BC486" s="256"/>
      <c r="BD486" s="240">
        <f>1+1+1</f>
        <v>3</v>
      </c>
      <c r="BE486" s="233">
        <f t="shared" si="926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>SUM(M486,AG486,BA486,BU486)-SUM(O486,AI486,BC486,BW486)-L486</f>
        <v>2</v>
      </c>
      <c r="BT486" s="29">
        <f t="shared" si="927"/>
        <v>3</v>
      </c>
      <c r="BU486" s="299">
        <f>BU274+BU275</f>
        <v>6</v>
      </c>
      <c r="BV486" s="5">
        <f t="shared" si="928"/>
        <v>3</v>
      </c>
      <c r="BW486" s="256"/>
      <c r="BX486" s="240">
        <f>1</f>
        <v>1</v>
      </c>
      <c r="BY486" s="233">
        <f t="shared" si="929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>SUM(M486,AG486,BA486,BU486,CO486)-SUM(O486,AI486,BC486,BW486,CQ486)-L486</f>
        <v>2</v>
      </c>
      <c r="CN486" s="29">
        <f t="shared" si="930"/>
        <v>2</v>
      </c>
      <c r="CO486" s="299">
        <f>CO274+CO275</f>
        <v>0</v>
      </c>
      <c r="CP486" s="5">
        <f t="shared" si="931"/>
        <v>-2</v>
      </c>
      <c r="CQ486" s="240"/>
      <c r="CR486" s="240"/>
      <c r="CS486" s="233">
        <f t="shared" si="932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>SUM(M486,AG486,BA486,BU486,DI486)-SUM(O486,AI486,BC486,BW486,CQ486)-L486</f>
        <v>2</v>
      </c>
      <c r="DH486" s="32">
        <f t="shared" si="933"/>
        <v>2</v>
      </c>
      <c r="DI486" s="299">
        <f>DI274+DI275</f>
        <v>0</v>
      </c>
      <c r="DJ486" s="5">
        <f t="shared" ref="DJ486:DJ487" si="962">DI486-DH486</f>
        <v>-2</v>
      </c>
      <c r="DK486" s="240"/>
      <c r="DL486" s="240"/>
      <c r="DM486" s="233">
        <f t="shared" ref="DM486:DM487" si="963">DH486+DK486-DL486</f>
        <v>2</v>
      </c>
    </row>
    <row r="487" spans="1:117" ht="43.2" x14ac:dyDescent="0.3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>SUM(M487,AG487,BA487,BU487)-L487</f>
        <v>8</v>
      </c>
      <c r="K487" s="395">
        <f t="shared" si="919"/>
        <v>-1</v>
      </c>
      <c r="L487" s="544">
        <v>2</v>
      </c>
      <c r="M487" s="298">
        <f>M246+M275</f>
        <v>1</v>
      </c>
      <c r="N487" s="5">
        <f t="shared" si="920"/>
        <v>-1</v>
      </c>
      <c r="O487" s="240"/>
      <c r="P487" s="240">
        <f>1</f>
        <v>1</v>
      </c>
      <c r="Q487" s="233">
        <f t="shared" si="921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>SUM(M487,AG487)-SUM(O487,AI487)-L487</f>
        <v>0</v>
      </c>
      <c r="AF487" s="29">
        <f>Q487</f>
        <v>1</v>
      </c>
      <c r="AG487" s="298">
        <f>AG246+AG275</f>
        <v>1</v>
      </c>
      <c r="AH487" s="5">
        <f t="shared" si="922"/>
        <v>0</v>
      </c>
      <c r="AI487" s="258"/>
      <c r="AJ487" s="240">
        <f>1</f>
        <v>1</v>
      </c>
      <c r="AK487" s="233">
        <f t="shared" si="92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>SUM(M487,AG487,BA487)-SUM(O487,AI487,BC487)-L487</f>
        <v>2</v>
      </c>
      <c r="AZ487" s="29">
        <f t="shared" si="924"/>
        <v>0</v>
      </c>
      <c r="BA487" s="298">
        <f>BA246+BA275</f>
        <v>2</v>
      </c>
      <c r="BB487" s="5">
        <f t="shared" si="925"/>
        <v>2</v>
      </c>
      <c r="BC487" s="425"/>
      <c r="BD487" s="240">
        <f>1+1+1</f>
        <v>3</v>
      </c>
      <c r="BE487" s="233">
        <f t="shared" si="926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>SUM(M487,AG487,BA487,BU487)-SUM(O487,AI487,BC487,BW487)-L487</f>
        <v>8</v>
      </c>
      <c r="BT487" s="29">
        <f t="shared" si="927"/>
        <v>-3</v>
      </c>
      <c r="BU487" s="298">
        <f>BU246+BU275</f>
        <v>6</v>
      </c>
      <c r="BV487" s="5">
        <f t="shared" si="928"/>
        <v>9</v>
      </c>
      <c r="BW487" s="256"/>
      <c r="BX487" s="240">
        <f>1</f>
        <v>1</v>
      </c>
      <c r="BY487" s="233">
        <f t="shared" si="929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>SUM(M487,AG487,BA487,BU487,CO487)-SUM(O487,AI487,BC487,BW487,CQ487)-L487</f>
        <v>8</v>
      </c>
      <c r="CN487" s="29">
        <f t="shared" si="930"/>
        <v>-4</v>
      </c>
      <c r="CO487" s="298">
        <f>CO246+CO275</f>
        <v>0</v>
      </c>
      <c r="CP487" s="5">
        <f t="shared" si="931"/>
        <v>4</v>
      </c>
      <c r="CQ487" s="240"/>
      <c r="CR487" s="240"/>
      <c r="CS487" s="233">
        <f t="shared" si="932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>SUM(M487,AG487,BA487,BU487,DI487)-SUM(O487,AI487,BC487,BW487,CQ487)-L487</f>
        <v>8</v>
      </c>
      <c r="DH487" s="32">
        <f t="shared" si="933"/>
        <v>-4</v>
      </c>
      <c r="DI487" s="298">
        <f>DI246+DI275</f>
        <v>0</v>
      </c>
      <c r="DJ487" s="5">
        <f t="shared" si="962"/>
        <v>4</v>
      </c>
      <c r="DK487" s="240"/>
      <c r="DL487" s="240"/>
      <c r="DM487" s="233">
        <f t="shared" si="963"/>
        <v>-4</v>
      </c>
    </row>
    <row r="488" spans="1:117" x14ac:dyDescent="0.3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>SUM(M488,AG488,BA488,BU488)-L488</f>
        <v>-10</v>
      </c>
      <c r="K488" s="395">
        <f t="shared" si="919"/>
        <v>-19</v>
      </c>
      <c r="L488" s="544">
        <v>20</v>
      </c>
      <c r="M488" s="298">
        <f>M274+M275</f>
        <v>1</v>
      </c>
      <c r="N488" s="5">
        <f t="shared" ref="N488" si="964">M488-L488</f>
        <v>-19</v>
      </c>
      <c r="O488" s="256"/>
      <c r="P488" s="240">
        <f>1</f>
        <v>1</v>
      </c>
      <c r="Q488" s="233">
        <f t="shared" ref="Q488" si="965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>SUM(M488,AG488)-SUM(O488,AI488)-L488</f>
        <v>-18</v>
      </c>
      <c r="AF488" s="29">
        <f>Q488</f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>SUM(M488,AG488,BA488)-SUM(O488,AI488,BC488)-L488</f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>SUM(M488,AG488,BA488,BU488)-SUM(O488,AI488,BC488,BW488)-L488</f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>SUM(M488,AG488,BA488,BU488,CO488)-SUM(O488,AI488,BC488,BW488,CQ488)-L488</f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>SUM(M488,AG488,BA488,BU488,DI488)-SUM(O488,AI488,BC488,BW488,CQ488)-L488</f>
        <v>-10</v>
      </c>
      <c r="DH488" s="32">
        <f t="shared" si="933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57.6" x14ac:dyDescent="0.3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>SUM(M489,AG489,BA489,BU489)-L489</f>
        <v>-1</v>
      </c>
      <c r="K489" s="395">
        <f t="shared" si="919"/>
        <v>-1</v>
      </c>
      <c r="L489" s="544">
        <v>1</v>
      </c>
      <c r="M489" s="298">
        <f>M273+M385</f>
        <v>0</v>
      </c>
      <c r="N489" s="5">
        <f t="shared" si="920"/>
        <v>-1</v>
      </c>
      <c r="O489" s="256"/>
      <c r="P489" s="240"/>
      <c r="Q489" s="233">
        <f t="shared" si="921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>SUM(M489,AG489)-SUM(O489,AI489)-L489</f>
        <v>-1</v>
      </c>
      <c r="AF489" s="29">
        <f>Q489</f>
        <v>1</v>
      </c>
      <c r="AG489" s="298">
        <f>AG273+AG385</f>
        <v>0</v>
      </c>
      <c r="AH489" s="5">
        <f t="shared" si="922"/>
        <v>-1</v>
      </c>
      <c r="AI489" s="256"/>
      <c r="AJ489" s="240"/>
      <c r="AK489" s="233">
        <f t="shared" si="92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>SUM(M489,AG489,BA489)-SUM(O489,AI489,BC489)-L489</f>
        <v>-1</v>
      </c>
      <c r="AZ489" s="29">
        <f t="shared" si="924"/>
        <v>1</v>
      </c>
      <c r="BA489" s="298">
        <f>BA273+BA385</f>
        <v>0</v>
      </c>
      <c r="BB489" s="5">
        <f t="shared" si="925"/>
        <v>-1</v>
      </c>
      <c r="BC489" s="256"/>
      <c r="BD489" s="240"/>
      <c r="BE489" s="233">
        <f t="shared" si="926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>SUM(M489,AG489,BA489,BU489)-SUM(O489,AI489,BC489,BW489)-L489</f>
        <v>-1</v>
      </c>
      <c r="BT489" s="29">
        <f t="shared" si="927"/>
        <v>1</v>
      </c>
      <c r="BU489" s="298">
        <f>BU273+BU385</f>
        <v>0</v>
      </c>
      <c r="BV489" s="5">
        <f t="shared" si="928"/>
        <v>-1</v>
      </c>
      <c r="BW489" s="240"/>
      <c r="BX489" s="240"/>
      <c r="BY489" s="233">
        <f t="shared" si="929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>SUM(M489,AG489,BA489,BU489,CO489)-SUM(O489,AI489,BC489,BW489,CQ489)-L489</f>
        <v>-1</v>
      </c>
      <c r="CN489" s="29">
        <f t="shared" si="930"/>
        <v>1</v>
      </c>
      <c r="CO489" s="298">
        <f>CO273+CO385</f>
        <v>0</v>
      </c>
      <c r="CP489" s="5">
        <f t="shared" si="931"/>
        <v>-1</v>
      </c>
      <c r="CQ489" s="240"/>
      <c r="CR489" s="240"/>
      <c r="CS489" s="233">
        <f t="shared" si="932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>SUM(M489,AG489,BA489,BU489,DI489)-SUM(O489,AI489,BC489,BW489,CQ489)-L489</f>
        <v>-1</v>
      </c>
      <c r="DH489" s="32">
        <f t="shared" si="933"/>
        <v>1</v>
      </c>
      <c r="DI489" s="298">
        <f>DI273+DI385</f>
        <v>0</v>
      </c>
      <c r="DJ489" s="5">
        <f t="shared" ref="DJ489:DJ499" si="966">DI489-DH489</f>
        <v>-1</v>
      </c>
      <c r="DK489" s="240"/>
      <c r="DL489" s="240"/>
      <c r="DM489" s="233">
        <f t="shared" ref="DM489:DM498" si="967">DH489+DK489-DL489</f>
        <v>1</v>
      </c>
    </row>
    <row r="490" spans="1:117" ht="57.6" x14ac:dyDescent="0.3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>SUM(M490,AG490,BA490,BU490)-L490</f>
        <v>-1</v>
      </c>
      <c r="K490" s="395">
        <f t="shared" si="919"/>
        <v>-1</v>
      </c>
      <c r="L490" s="544">
        <v>1</v>
      </c>
      <c r="M490" s="298">
        <f>M273+M385</f>
        <v>0</v>
      </c>
      <c r="N490" s="5">
        <f t="shared" si="920"/>
        <v>-1</v>
      </c>
      <c r="O490" s="256"/>
      <c r="P490" s="240"/>
      <c r="Q490" s="233">
        <f t="shared" si="921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>SUM(M490,AG490)-SUM(O490,AI490)-L490</f>
        <v>-1</v>
      </c>
      <c r="AF490" s="29">
        <f>Q490</f>
        <v>1</v>
      </c>
      <c r="AG490" s="298">
        <f>AG273+AG385</f>
        <v>0</v>
      </c>
      <c r="AH490" s="5">
        <f t="shared" si="922"/>
        <v>-1</v>
      </c>
      <c r="AI490" s="256"/>
      <c r="AJ490" s="240"/>
      <c r="AK490" s="233">
        <f t="shared" si="92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>SUM(M490,AG490,BA490)-SUM(O490,AI490,BC490)-L490</f>
        <v>-1</v>
      </c>
      <c r="AZ490" s="29">
        <f t="shared" si="924"/>
        <v>1</v>
      </c>
      <c r="BA490" s="298">
        <f>BA273+BA385</f>
        <v>0</v>
      </c>
      <c r="BB490" s="5">
        <f t="shared" si="925"/>
        <v>-1</v>
      </c>
      <c r="BC490" s="256"/>
      <c r="BD490" s="240"/>
      <c r="BE490" s="233">
        <f t="shared" si="926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>SUM(M490,AG490,BA490,BU490)-SUM(O490,AI490,BC490,BW490)-L490</f>
        <v>-1</v>
      </c>
      <c r="BT490" s="29">
        <f t="shared" si="927"/>
        <v>1</v>
      </c>
      <c r="BU490" s="298">
        <f>BU273+BU385</f>
        <v>0</v>
      </c>
      <c r="BV490" s="5">
        <f t="shared" si="928"/>
        <v>-1</v>
      </c>
      <c r="BW490" s="240"/>
      <c r="BX490" s="240"/>
      <c r="BY490" s="233">
        <f t="shared" si="929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>SUM(M490,AG490,BA490,BU490,CO490)-SUM(O490,AI490,BC490,BW490,CQ490)-L490</f>
        <v>-1</v>
      </c>
      <c r="CN490" s="29">
        <f t="shared" si="930"/>
        <v>1</v>
      </c>
      <c r="CO490" s="298">
        <f>CO273+CO385</f>
        <v>0</v>
      </c>
      <c r="CP490" s="5">
        <f t="shared" si="931"/>
        <v>-1</v>
      </c>
      <c r="CQ490" s="240"/>
      <c r="CR490" s="240"/>
      <c r="CS490" s="233">
        <f t="shared" si="932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>SUM(M490,AG490,BA490,BU490,DI490)-SUM(O490,AI490,BC490,BW490,CQ490)-L490</f>
        <v>-1</v>
      </c>
      <c r="DH490" s="32">
        <f t="shared" si="933"/>
        <v>1</v>
      </c>
      <c r="DI490" s="298">
        <f>DI273+DI385</f>
        <v>0</v>
      </c>
      <c r="DJ490" s="5">
        <f t="shared" si="966"/>
        <v>-1</v>
      </c>
      <c r="DK490" s="240"/>
      <c r="DL490" s="240"/>
      <c r="DM490" s="233">
        <f t="shared" si="967"/>
        <v>1</v>
      </c>
    </row>
    <row r="491" spans="1:117" ht="43.2" x14ac:dyDescent="0.3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>SUM(M491,AG491,BA491,BU491)-L491</f>
        <v>-11</v>
      </c>
      <c r="K491" s="395">
        <f t="shared" si="919"/>
        <v>-20</v>
      </c>
      <c r="L491" s="544">
        <v>20</v>
      </c>
      <c r="M491" s="298">
        <f>M246*3+M266</f>
        <v>0</v>
      </c>
      <c r="N491" s="5">
        <f t="shared" ref="N491:N497" si="968">M491-L491</f>
        <v>-20</v>
      </c>
      <c r="O491" s="256"/>
      <c r="P491" s="240"/>
      <c r="Q491" s="233">
        <f t="shared" ref="Q491:Q497" si="969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>SUM(M491,AG491)-SUM(O491,AI491)-L491</f>
        <v>-20</v>
      </c>
      <c r="AF491" s="29">
        <f>Q491</f>
        <v>20</v>
      </c>
      <c r="AG491" s="298">
        <f>AG246*3+AG266</f>
        <v>0</v>
      </c>
      <c r="AH491" s="5">
        <f t="shared" ref="AH491:AH497" si="970">AG491-AF491</f>
        <v>-20</v>
      </c>
      <c r="AI491" s="256"/>
      <c r="AJ491" s="240"/>
      <c r="AK491" s="233">
        <f t="shared" ref="AK491:AK497" si="971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>SUM(M491,AG491,BA491)-SUM(O491,AI491,BC491)-L491</f>
        <v>-14</v>
      </c>
      <c r="AZ491" s="29">
        <f t="shared" ref="AZ491:AZ497" si="972">AK491</f>
        <v>20</v>
      </c>
      <c r="BA491" s="298">
        <f>BA246*3+BA266</f>
        <v>6</v>
      </c>
      <c r="BB491" s="5">
        <f t="shared" ref="BB491:BB497" si="973">BA491-AZ491</f>
        <v>-14</v>
      </c>
      <c r="BC491" s="256"/>
      <c r="BD491" s="240"/>
      <c r="BE491" s="233">
        <f t="shared" ref="BE491:BE497" si="974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>SUM(M491,AG491,BA491,BU491)-SUM(O491,AI491,BC491,BW491)-L491</f>
        <v>-11</v>
      </c>
      <c r="BT491" s="29">
        <f t="shared" ref="BT491:BT497" si="975">BE491</f>
        <v>20</v>
      </c>
      <c r="BU491" s="298">
        <f>BU246*3+BU266</f>
        <v>3</v>
      </c>
      <c r="BV491" s="5">
        <f t="shared" ref="BV491:BV497" si="976">BU491-BT491</f>
        <v>-17</v>
      </c>
      <c r="BW491" s="240"/>
      <c r="BX491" s="240"/>
      <c r="BY491" s="233">
        <f t="shared" ref="BY491:BY497" si="977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>SUM(M491,AG491,BA491,BU491,CO491)-SUM(O491,AI491,BC491,BW491,CQ491)-L491</f>
        <v>-11</v>
      </c>
      <c r="CN491" s="29">
        <f t="shared" ref="CN491:CN497" si="978">BY491</f>
        <v>20</v>
      </c>
      <c r="CO491" s="298">
        <f>CO246*3+CO266</f>
        <v>0</v>
      </c>
      <c r="CP491" s="5">
        <f t="shared" ref="CP491:CP497" si="979">CO491-CN491</f>
        <v>-20</v>
      </c>
      <c r="CQ491" s="240"/>
      <c r="CR491" s="240"/>
      <c r="CS491" s="233">
        <f t="shared" ref="CS491:CS497" si="980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>SUM(M491,AG491,BA491,BU491,DI491)-SUM(O491,AI491,BC491,BW491,CQ491)-L491</f>
        <v>-11</v>
      </c>
      <c r="DH491" s="32">
        <f t="shared" si="933"/>
        <v>20</v>
      </c>
      <c r="DI491" s="298">
        <f>DI246*3+DI266</f>
        <v>0</v>
      </c>
      <c r="DJ491" s="5">
        <f t="shared" si="966"/>
        <v>-20</v>
      </c>
      <c r="DK491" s="240"/>
      <c r="DL491" s="240"/>
      <c r="DM491" s="233">
        <f t="shared" si="967"/>
        <v>20</v>
      </c>
    </row>
    <row r="492" spans="1:117" ht="28.8" x14ac:dyDescent="0.3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>SUM(M492,AG492,BA492,BU492)-L492</f>
        <v>7</v>
      </c>
      <c r="K492" s="395">
        <f t="shared" si="919"/>
        <v>-5</v>
      </c>
      <c r="L492" s="544">
        <v>5</v>
      </c>
      <c r="M492" s="298">
        <f>M340+M344</f>
        <v>0</v>
      </c>
      <c r="N492" s="5">
        <f t="shared" si="968"/>
        <v>-5</v>
      </c>
      <c r="O492" s="240"/>
      <c r="P492" s="240"/>
      <c r="Q492" s="233">
        <f t="shared" si="969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>SUM(M492,AG492)-SUM(O492,AI492)-L492</f>
        <v>-5</v>
      </c>
      <c r="AF492" s="29">
        <f>Q492</f>
        <v>5</v>
      </c>
      <c r="AG492" s="298">
        <f>AG340+AG344</f>
        <v>0</v>
      </c>
      <c r="AH492" s="5">
        <f t="shared" si="970"/>
        <v>-5</v>
      </c>
      <c r="AI492" s="256"/>
      <c r="AJ492" s="240"/>
      <c r="AK492" s="233">
        <f t="shared" si="971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>SUM(M492,AG492,BA492)-SUM(O492,AI492,BC492)-L492</f>
        <v>0</v>
      </c>
      <c r="AZ492" s="29">
        <f t="shared" si="972"/>
        <v>5</v>
      </c>
      <c r="BA492" s="298">
        <f>BA340+BA344</f>
        <v>5</v>
      </c>
      <c r="BB492" s="5">
        <f t="shared" si="973"/>
        <v>0</v>
      </c>
      <c r="BC492" s="256"/>
      <c r="BD492" s="240"/>
      <c r="BE492" s="233">
        <f t="shared" si="974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>SUM(M492,AG492,BA492,BU492)-SUM(O492,AI492,BC492,BW492)-L492</f>
        <v>7</v>
      </c>
      <c r="BT492" s="29">
        <f t="shared" si="975"/>
        <v>5</v>
      </c>
      <c r="BU492" s="298">
        <f>BU340+BU344</f>
        <v>7</v>
      </c>
      <c r="BV492" s="5">
        <f t="shared" si="976"/>
        <v>2</v>
      </c>
      <c r="BW492" s="240"/>
      <c r="BX492" s="240"/>
      <c r="BY492" s="233">
        <f t="shared" si="977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>SUM(M492,AG492,BA492,BU492,CO492)-SUM(O492,AI492,BC492,BW492,CQ492)-L492</f>
        <v>7</v>
      </c>
      <c r="CN492" s="29">
        <f t="shared" si="978"/>
        <v>5</v>
      </c>
      <c r="CO492" s="298">
        <f>CO340+CO344</f>
        <v>0</v>
      </c>
      <c r="CP492" s="5">
        <f t="shared" si="979"/>
        <v>-5</v>
      </c>
      <c r="CQ492" s="240"/>
      <c r="CR492" s="240"/>
      <c r="CS492" s="233">
        <f t="shared" si="980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>SUM(M492,AG492,BA492,BU492,DI492)-SUM(O492,AI492,BC492,BW492,CQ492)-L492</f>
        <v>7</v>
      </c>
      <c r="DH492" s="32">
        <f t="shared" si="933"/>
        <v>5</v>
      </c>
      <c r="DI492" s="298">
        <f>DI340+DI344</f>
        <v>0</v>
      </c>
      <c r="DJ492" s="5">
        <f t="shared" si="966"/>
        <v>-5</v>
      </c>
      <c r="DK492" s="240"/>
      <c r="DL492" s="240"/>
      <c r="DM492" s="233">
        <f t="shared" si="967"/>
        <v>5</v>
      </c>
    </row>
    <row r="493" spans="1:117" x14ac:dyDescent="0.3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>SUM(M493,AG493,BA493,BU493)-L493</f>
        <v>0</v>
      </c>
      <c r="K493" s="395">
        <f t="shared" si="919"/>
        <v>0</v>
      </c>
      <c r="L493" s="544">
        <v>0</v>
      </c>
      <c r="M493" s="302">
        <f>M246</f>
        <v>0</v>
      </c>
      <c r="N493" s="7">
        <f t="shared" si="968"/>
        <v>0</v>
      </c>
      <c r="O493" s="258"/>
      <c r="P493" s="242"/>
      <c r="Q493" s="231">
        <f t="shared" si="969"/>
        <v>0</v>
      </c>
      <c r="R493" s="123"/>
      <c r="S493" s="8"/>
      <c r="T493" s="34"/>
      <c r="U493" s="736"/>
      <c r="V493" s="123"/>
      <c r="W493" s="8"/>
      <c r="X493" s="34"/>
      <c r="Y493" s="736"/>
      <c r="Z493" s="123"/>
      <c r="AA493" s="8"/>
      <c r="AB493" s="34"/>
      <c r="AC493" s="234"/>
      <c r="AD493" s="234"/>
      <c r="AE493" s="398">
        <f>SUM(M493,AG493)-SUM(O493,AI493)-L493</f>
        <v>0</v>
      </c>
      <c r="AF493" s="29">
        <f>Q493</f>
        <v>0</v>
      </c>
      <c r="AG493" s="302">
        <f>AG246</f>
        <v>0</v>
      </c>
      <c r="AH493" s="7">
        <f t="shared" si="970"/>
        <v>0</v>
      </c>
      <c r="AI493" s="258"/>
      <c r="AJ493" s="242"/>
      <c r="AK493" s="231">
        <f t="shared" si="971"/>
        <v>0</v>
      </c>
      <c r="AL493" s="123"/>
      <c r="AM493" s="8"/>
      <c r="AN493" s="34"/>
      <c r="AO493" s="736"/>
      <c r="AP493" s="123"/>
      <c r="AQ493" s="8"/>
      <c r="AR493" s="34"/>
      <c r="AS493" s="736"/>
      <c r="AT493" s="123"/>
      <c r="AU493" s="8"/>
      <c r="AV493" s="34"/>
      <c r="AW493" s="234"/>
      <c r="AX493" s="234"/>
      <c r="AY493" s="395">
        <f>SUM(M493,AG493,BA493)-SUM(O493,AI493,BC493)-L493</f>
        <v>0</v>
      </c>
      <c r="AZ493" s="29">
        <f t="shared" si="972"/>
        <v>0</v>
      </c>
      <c r="BA493" s="302">
        <f>BA246</f>
        <v>0</v>
      </c>
      <c r="BB493" s="7">
        <f t="shared" si="973"/>
        <v>0</v>
      </c>
      <c r="BC493" s="258"/>
      <c r="BD493" s="242"/>
      <c r="BE493" s="231">
        <f t="shared" si="974"/>
        <v>0</v>
      </c>
      <c r="BF493" s="123"/>
      <c r="BG493" s="8"/>
      <c r="BH493" s="34"/>
      <c r="BI493" s="736"/>
      <c r="BJ493" s="123"/>
      <c r="BK493" s="8"/>
      <c r="BL493" s="34"/>
      <c r="BM493" s="736"/>
      <c r="BN493" s="123"/>
      <c r="BO493" s="8"/>
      <c r="BP493" s="34"/>
      <c r="BQ493" s="234"/>
      <c r="BR493" s="234"/>
      <c r="BS493" s="395">
        <f>SUM(M493,AG493,BA493,BU493)-SUM(O493,AI493,BC493,BW493)-L493</f>
        <v>0</v>
      </c>
      <c r="BT493" s="29">
        <f t="shared" si="975"/>
        <v>0</v>
      </c>
      <c r="BU493" s="302">
        <f>BU246</f>
        <v>0</v>
      </c>
      <c r="BV493" s="7">
        <f t="shared" si="976"/>
        <v>0</v>
      </c>
      <c r="BW493" s="258"/>
      <c r="BX493" s="242"/>
      <c r="BY493" s="231">
        <f t="shared" si="977"/>
        <v>0</v>
      </c>
      <c r="BZ493" s="123"/>
      <c r="CA493" s="8"/>
      <c r="CB493" s="34"/>
      <c r="CC493" s="736"/>
      <c r="CD493" s="123"/>
      <c r="CE493" s="8"/>
      <c r="CF493" s="34"/>
      <c r="CG493" s="736"/>
      <c r="CH493" s="123"/>
      <c r="CI493" s="8"/>
      <c r="CJ493" s="34"/>
      <c r="CK493" s="234"/>
      <c r="CL493" s="234"/>
      <c r="CM493" s="395">
        <f>SUM(M493,AG493,BA493,BU493,CO493)-SUM(O493,AI493,BC493,BW493,CQ493)-L493</f>
        <v>0</v>
      </c>
      <c r="CN493" s="29">
        <f t="shared" si="978"/>
        <v>0</v>
      </c>
      <c r="CO493" s="302">
        <f>CO246</f>
        <v>0</v>
      </c>
      <c r="CP493" s="7">
        <f t="shared" si="979"/>
        <v>0</v>
      </c>
      <c r="CQ493" s="242"/>
      <c r="CR493" s="242"/>
      <c r="CS493" s="231">
        <f t="shared" si="980"/>
        <v>0</v>
      </c>
      <c r="CT493" s="123"/>
      <c r="CU493" s="8"/>
      <c r="CV493" s="34"/>
      <c r="CW493" s="736"/>
      <c r="CX493" s="123"/>
      <c r="CY493" s="8"/>
      <c r="CZ493" s="34"/>
      <c r="DA493" s="736"/>
      <c r="DB493" s="123"/>
      <c r="DC493" s="8"/>
      <c r="DD493" s="34"/>
      <c r="DE493" s="234"/>
      <c r="DF493" s="234"/>
      <c r="DG493" s="395">
        <f>SUM(M493,AG493,BA493,BU493,DI493)-SUM(O493,AI493,BC493,BW493,CQ493)-L493</f>
        <v>0</v>
      </c>
      <c r="DH493" s="32">
        <f t="shared" si="933"/>
        <v>0</v>
      </c>
      <c r="DI493" s="302">
        <f>DI246</f>
        <v>0</v>
      </c>
      <c r="DJ493" s="7">
        <f t="shared" si="966"/>
        <v>0</v>
      </c>
      <c r="DK493" s="242"/>
      <c r="DL493" s="242"/>
      <c r="DM493" s="231">
        <f t="shared" si="967"/>
        <v>0</v>
      </c>
    </row>
    <row r="494" spans="1:117" x14ac:dyDescent="0.3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>SUM(M494,AG494,BA494,BU494)-L494</f>
        <v>0</v>
      </c>
      <c r="K494" s="395">
        <f t="shared" si="919"/>
        <v>0</v>
      </c>
      <c r="L494" s="544">
        <v>0</v>
      </c>
      <c r="M494" s="298">
        <f>M246</f>
        <v>0</v>
      </c>
      <c r="N494" s="7">
        <f t="shared" si="968"/>
        <v>0</v>
      </c>
      <c r="O494" s="258"/>
      <c r="P494" s="242"/>
      <c r="Q494" s="231">
        <f t="shared" si="969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>SUM(M494,AG494)-SUM(O494,AI494)-L494</f>
        <v>0</v>
      </c>
      <c r="AF494" s="29">
        <f>Q494</f>
        <v>0</v>
      </c>
      <c r="AG494" s="298">
        <f>AG246</f>
        <v>0</v>
      </c>
      <c r="AH494" s="7">
        <f t="shared" si="970"/>
        <v>0</v>
      </c>
      <c r="AI494" s="258"/>
      <c r="AJ494" s="242"/>
      <c r="AK494" s="231">
        <f t="shared" si="971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>SUM(M494,AG494,BA494)-SUM(O494,AI494,BC494)-L494</f>
        <v>0</v>
      </c>
      <c r="AZ494" s="29">
        <f t="shared" si="972"/>
        <v>0</v>
      </c>
      <c r="BA494" s="298">
        <f>BA246</f>
        <v>0</v>
      </c>
      <c r="BB494" s="7">
        <f t="shared" si="973"/>
        <v>0</v>
      </c>
      <c r="BC494" s="258"/>
      <c r="BD494" s="242"/>
      <c r="BE494" s="231">
        <f t="shared" si="974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>SUM(M494,AG494,BA494,BU494)-SUM(O494,AI494,BC494,BW494)-L494</f>
        <v>0</v>
      </c>
      <c r="BT494" s="29">
        <f t="shared" si="975"/>
        <v>0</v>
      </c>
      <c r="BU494" s="298">
        <f>BU246</f>
        <v>0</v>
      </c>
      <c r="BV494" s="7">
        <f t="shared" si="976"/>
        <v>0</v>
      </c>
      <c r="BW494" s="258"/>
      <c r="BX494" s="242"/>
      <c r="BY494" s="231">
        <f t="shared" si="977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>SUM(M494,AG494,BA494,BU494,CO494)-SUM(O494,AI494,BC494,BW494,CQ494)-L494</f>
        <v>0</v>
      </c>
      <c r="CN494" s="29">
        <f t="shared" si="978"/>
        <v>0</v>
      </c>
      <c r="CO494" s="298">
        <f>CO246</f>
        <v>0</v>
      </c>
      <c r="CP494" s="7">
        <f t="shared" si="979"/>
        <v>0</v>
      </c>
      <c r="CQ494" s="242"/>
      <c r="CR494" s="242"/>
      <c r="CS494" s="231">
        <f t="shared" si="980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>SUM(M494,AG494,BA494,BU494,DI494)-SUM(O494,AI494,BC494,BW494,CQ494)-L494</f>
        <v>0</v>
      </c>
      <c r="DH494" s="32">
        <f t="shared" si="933"/>
        <v>0</v>
      </c>
      <c r="DI494" s="298">
        <f>DI246</f>
        <v>0</v>
      </c>
      <c r="DJ494" s="7">
        <f t="shared" si="966"/>
        <v>0</v>
      </c>
      <c r="DK494" s="242"/>
      <c r="DL494" s="242"/>
      <c r="DM494" s="231">
        <f t="shared" si="967"/>
        <v>0</v>
      </c>
    </row>
    <row r="495" spans="1:117" ht="28.8" x14ac:dyDescent="0.3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>SUM(M495,AG495,BA495,BU495)-L495</f>
        <v>-2</v>
      </c>
      <c r="K495" s="395">
        <f t="shared" si="919"/>
        <v>-2</v>
      </c>
      <c r="L495" s="544">
        <v>2</v>
      </c>
      <c r="M495" s="298">
        <f>M246*2+M273</f>
        <v>0</v>
      </c>
      <c r="N495" s="7">
        <f t="shared" si="968"/>
        <v>-2</v>
      </c>
      <c r="O495" s="256"/>
      <c r="P495" s="240"/>
      <c r="Q495" s="231">
        <f t="shared" si="969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>SUM(M495,AG495)-SUM(O495,AI495)-L495</f>
        <v>-2</v>
      </c>
      <c r="AF495" s="29">
        <f>Q495</f>
        <v>2</v>
      </c>
      <c r="AG495" s="298">
        <f>AG246*2+AG273</f>
        <v>0</v>
      </c>
      <c r="AH495" s="7">
        <f t="shared" si="970"/>
        <v>-2</v>
      </c>
      <c r="AI495" s="256"/>
      <c r="AJ495" s="240"/>
      <c r="AK495" s="231">
        <f t="shared" si="971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>SUM(M495,AG495,BA495)-SUM(O495,AI495,BC495)-L495</f>
        <v>-2</v>
      </c>
      <c r="AZ495" s="29">
        <f t="shared" si="972"/>
        <v>2</v>
      </c>
      <c r="BA495" s="298">
        <f>BA246*2+BA273</f>
        <v>0</v>
      </c>
      <c r="BB495" s="7">
        <f t="shared" si="973"/>
        <v>-2</v>
      </c>
      <c r="BC495" s="240"/>
      <c r="BD495" s="240"/>
      <c r="BE495" s="231">
        <f t="shared" si="974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>SUM(M495,AG495,BA495,BU495)-SUM(O495,AI495,BC495,BW495)-L495</f>
        <v>-2</v>
      </c>
      <c r="BT495" s="29">
        <f t="shared" si="975"/>
        <v>2</v>
      </c>
      <c r="BU495" s="298">
        <f>BU246*2+BU273</f>
        <v>0</v>
      </c>
      <c r="BV495" s="7">
        <f t="shared" si="976"/>
        <v>-2</v>
      </c>
      <c r="BW495" s="256"/>
      <c r="BX495" s="240"/>
      <c r="BY495" s="231">
        <f t="shared" si="977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>SUM(M495,AG495,BA495,BU495,CO495)-SUM(O495,AI495,BC495,BW495,CQ495)-L495</f>
        <v>-2</v>
      </c>
      <c r="CN495" s="29">
        <f t="shared" si="978"/>
        <v>2</v>
      </c>
      <c r="CO495" s="298">
        <f>CO246*2+CO273</f>
        <v>0</v>
      </c>
      <c r="CP495" s="7">
        <f t="shared" si="979"/>
        <v>-2</v>
      </c>
      <c r="CQ495" s="240"/>
      <c r="CR495" s="240"/>
      <c r="CS495" s="231">
        <f t="shared" si="980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>SUM(M495,AG495,BA495,BU495,DI495)-SUM(O495,AI495,BC495,BW495,CQ495)-L495</f>
        <v>-2</v>
      </c>
      <c r="DH495" s="32">
        <f t="shared" si="933"/>
        <v>2</v>
      </c>
      <c r="DI495" s="298">
        <f>DI246*2+DI273</f>
        <v>0</v>
      </c>
      <c r="DJ495" s="7">
        <f t="shared" si="966"/>
        <v>-2</v>
      </c>
      <c r="DK495" s="240"/>
      <c r="DL495" s="240"/>
      <c r="DM495" s="231">
        <f t="shared" si="967"/>
        <v>2</v>
      </c>
    </row>
    <row r="496" spans="1:117" x14ac:dyDescent="0.3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>SUM(M496,AG496,BA496,BU496)-L496</f>
        <v>0</v>
      </c>
      <c r="K496" s="395">
        <f t="shared" si="919"/>
        <v>0</v>
      </c>
      <c r="L496" s="544">
        <v>0</v>
      </c>
      <c r="M496" s="298">
        <f>M246</f>
        <v>0</v>
      </c>
      <c r="N496" s="5">
        <f t="shared" si="968"/>
        <v>0</v>
      </c>
      <c r="O496" s="256"/>
      <c r="P496" s="240"/>
      <c r="Q496" s="233">
        <f t="shared" si="969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>SUM(M496,AG496)-SUM(O496,AI496)-L496</f>
        <v>0</v>
      </c>
      <c r="AF496" s="29">
        <f>Q496</f>
        <v>0</v>
      </c>
      <c r="AG496" s="298">
        <f>AG246</f>
        <v>0</v>
      </c>
      <c r="AH496" s="5">
        <f t="shared" si="970"/>
        <v>0</v>
      </c>
      <c r="AI496" s="256"/>
      <c r="AJ496" s="240"/>
      <c r="AK496" s="233">
        <f t="shared" si="971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>SUM(M496,AG496,BA496)-SUM(O496,AI496,BC496)-L496</f>
        <v>0</v>
      </c>
      <c r="AZ496" s="29">
        <f t="shared" si="972"/>
        <v>0</v>
      </c>
      <c r="BA496" s="298">
        <f>BA246</f>
        <v>0</v>
      </c>
      <c r="BB496" s="5">
        <f t="shared" si="973"/>
        <v>0</v>
      </c>
      <c r="BC496" s="256"/>
      <c r="BD496" s="240"/>
      <c r="BE496" s="233">
        <f t="shared" si="974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>SUM(M496,AG496,BA496,BU496)-SUM(O496,AI496,BC496,BW496)-L496</f>
        <v>0</v>
      </c>
      <c r="BT496" s="29">
        <f t="shared" si="975"/>
        <v>0</v>
      </c>
      <c r="BU496" s="298">
        <f>BU246</f>
        <v>0</v>
      </c>
      <c r="BV496" s="5">
        <f t="shared" si="976"/>
        <v>0</v>
      </c>
      <c r="BW496" s="256"/>
      <c r="BX496" s="240"/>
      <c r="BY496" s="233">
        <f t="shared" si="977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>SUM(M496,AG496,BA496,BU496,CO496)-SUM(O496,AI496,BC496,BW496,CQ496)-L496</f>
        <v>0</v>
      </c>
      <c r="CN496" s="29">
        <f t="shared" si="978"/>
        <v>0</v>
      </c>
      <c r="CO496" s="298">
        <f>CO246</f>
        <v>0</v>
      </c>
      <c r="CP496" s="5">
        <f t="shared" si="979"/>
        <v>0</v>
      </c>
      <c r="CQ496" s="240"/>
      <c r="CR496" s="240"/>
      <c r="CS496" s="233">
        <f t="shared" si="980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>SUM(M496,AG496,BA496,BU496,DI496)-SUM(O496,AI496,BC496,BW496,CQ496)-L496</f>
        <v>0</v>
      </c>
      <c r="DH496" s="32">
        <f t="shared" si="933"/>
        <v>0</v>
      </c>
      <c r="DI496" s="298">
        <f>DI246</f>
        <v>0</v>
      </c>
      <c r="DJ496" s="5">
        <f t="shared" si="966"/>
        <v>0</v>
      </c>
      <c r="DK496" s="240"/>
      <c r="DL496" s="240"/>
      <c r="DM496" s="233">
        <f t="shared" si="967"/>
        <v>0</v>
      </c>
    </row>
    <row r="497" spans="1:117" ht="28.8" x14ac:dyDescent="0.3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>SUM(M497,AG497,BA497,BU497)-L497</f>
        <v>0</v>
      </c>
      <c r="K497" s="395">
        <f t="shared" si="919"/>
        <v>0</v>
      </c>
      <c r="L497" s="544">
        <v>0</v>
      </c>
      <c r="M497" s="299">
        <f>SUM(M246,M340)</f>
        <v>0</v>
      </c>
      <c r="N497" s="5">
        <f t="shared" si="968"/>
        <v>0</v>
      </c>
      <c r="O497" s="256"/>
      <c r="P497" s="240"/>
      <c r="Q497" s="233">
        <f t="shared" si="969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>SUM(M497,AG497)-SUM(O497,AI497)-L497</f>
        <v>0</v>
      </c>
      <c r="AF497" s="29">
        <f>Q497</f>
        <v>0</v>
      </c>
      <c r="AG497" s="299">
        <f>SUM(AG246,AG340)</f>
        <v>0</v>
      </c>
      <c r="AH497" s="5">
        <f t="shared" si="970"/>
        <v>0</v>
      </c>
      <c r="AI497" s="256"/>
      <c r="AJ497" s="240"/>
      <c r="AK497" s="233">
        <f t="shared" si="971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>SUM(M497,AG497,BA497)-SUM(O497,AI497,BC497)-L497</f>
        <v>0</v>
      </c>
      <c r="AZ497" s="29">
        <f t="shared" si="972"/>
        <v>0</v>
      </c>
      <c r="BA497" s="299">
        <f>SUM(BA246,BA340)</f>
        <v>0</v>
      </c>
      <c r="BB497" s="5">
        <f t="shared" si="973"/>
        <v>0</v>
      </c>
      <c r="BC497" s="256"/>
      <c r="BD497" s="240"/>
      <c r="BE497" s="233">
        <f t="shared" si="974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>SUM(M497,AG497,BA497,BU497)-SUM(O497,AI497,BC497,BW497)-L497</f>
        <v>0</v>
      </c>
      <c r="BT497" s="29">
        <f t="shared" si="975"/>
        <v>0</v>
      </c>
      <c r="BU497" s="299">
        <f>SUM(BU246,BU340)</f>
        <v>0</v>
      </c>
      <c r="BV497" s="5">
        <f t="shared" si="976"/>
        <v>0</v>
      </c>
      <c r="BW497" s="256"/>
      <c r="BX497" s="240"/>
      <c r="BY497" s="233">
        <f t="shared" si="977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>SUM(M497,AG497,BA497,BU497,CO497)-SUM(O497,AI497,BC497,BW497,CQ497)-L497</f>
        <v>0</v>
      </c>
      <c r="CN497" s="29">
        <f t="shared" si="978"/>
        <v>0</v>
      </c>
      <c r="CO497" s="299">
        <f>SUM(CO246,CO340)</f>
        <v>0</v>
      </c>
      <c r="CP497" s="5">
        <f t="shared" si="979"/>
        <v>0</v>
      </c>
      <c r="CQ497" s="240"/>
      <c r="CR497" s="240"/>
      <c r="CS497" s="233">
        <f t="shared" si="980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>SUM(M497,AG497,BA497,BU497,DI497)-SUM(O497,AI497,BC497,BW497,CQ497)-L497</f>
        <v>0</v>
      </c>
      <c r="DH497" s="32">
        <f t="shared" si="933"/>
        <v>0</v>
      </c>
      <c r="DI497" s="299">
        <f>SUM(DI246,DI340)</f>
        <v>0</v>
      </c>
      <c r="DJ497" s="5">
        <f t="shared" si="966"/>
        <v>0</v>
      </c>
      <c r="DK497" s="240"/>
      <c r="DL497" s="240"/>
      <c r="DM497" s="233">
        <f t="shared" si="967"/>
        <v>0</v>
      </c>
    </row>
    <row r="498" spans="1:117" x14ac:dyDescent="0.3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920"/>
        <v>0</v>
      </c>
      <c r="O498" s="240"/>
      <c r="P498" s="240"/>
      <c r="Q498" s="233">
        <f t="shared" si="921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>Q498</f>
        <v>0</v>
      </c>
      <c r="AG498" s="5"/>
      <c r="AH498" s="5">
        <f t="shared" si="922"/>
        <v>0</v>
      </c>
      <c r="AI498" s="240"/>
      <c r="AJ498" s="240"/>
      <c r="AK498" s="233">
        <f t="shared" si="92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924"/>
        <v>0</v>
      </c>
      <c r="BA498" s="5"/>
      <c r="BB498" s="5">
        <f t="shared" si="925"/>
        <v>0</v>
      </c>
      <c r="BC498" s="240"/>
      <c r="BD498" s="240"/>
      <c r="BE498" s="233">
        <f t="shared" si="926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927"/>
        <v>0</v>
      </c>
      <c r="BU498" s="5"/>
      <c r="BV498" s="5">
        <f t="shared" si="928"/>
        <v>0</v>
      </c>
      <c r="BW498" s="240"/>
      <c r="BX498" s="240"/>
      <c r="BY498" s="233">
        <f t="shared" si="929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930"/>
        <v>0</v>
      </c>
      <c r="CO498" s="5"/>
      <c r="CP498" s="5">
        <f t="shared" si="931"/>
        <v>0</v>
      </c>
      <c r="CQ498" s="240"/>
      <c r="CR498" s="240"/>
      <c r="CS498" s="233">
        <f t="shared" si="932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981">CS498</f>
        <v>0</v>
      </c>
      <c r="DI498" s="5"/>
      <c r="DJ498" s="5">
        <f t="shared" si="966"/>
        <v>0</v>
      </c>
      <c r="DK498" s="240"/>
      <c r="DL498" s="240"/>
      <c r="DM498" s="233">
        <f t="shared" si="967"/>
        <v>0</v>
      </c>
    </row>
    <row r="499" spans="1:117" ht="15" thickBot="1" x14ac:dyDescent="0.35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920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92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925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928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931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966"/>
        <v>0</v>
      </c>
      <c r="DK499" s="241"/>
      <c r="DL499" s="241"/>
      <c r="DM499" s="36"/>
    </row>
    <row r="500" spans="1:117" ht="15" thickBot="1" x14ac:dyDescent="0.35">
      <c r="P500" s="248"/>
      <c r="AJ500" s="248"/>
      <c r="BD500" s="248"/>
      <c r="BX500" s="248"/>
      <c r="CR500" s="248"/>
      <c r="DL500" s="248"/>
    </row>
    <row r="501" spans="1:117" ht="15" thickBot="1" x14ac:dyDescent="0.35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3.2" x14ac:dyDescent="0.3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982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36"/>
      <c r="V502" s="123"/>
      <c r="W502" s="8"/>
      <c r="X502" s="34"/>
      <c r="Y502" s="736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36"/>
      <c r="AP502" s="123"/>
      <c r="AQ502" s="8"/>
      <c r="AR502" s="34"/>
      <c r="AS502" s="736"/>
      <c r="AT502" s="20"/>
      <c r="AU502" s="8"/>
      <c r="AV502" s="447"/>
      <c r="AW502" s="803"/>
      <c r="AX502" s="803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983">BA502-AZ502</f>
        <v>-7</v>
      </c>
      <c r="BC502" s="256"/>
      <c r="BD502" s="253"/>
      <c r="BE502" s="48">
        <f t="shared" ref="BE502:BE508" si="984">AZ502+BC502-BD502</f>
        <v>7</v>
      </c>
      <c r="BF502" s="123"/>
      <c r="BG502" s="8"/>
      <c r="BH502" s="34"/>
      <c r="BI502" s="736"/>
      <c r="BJ502" s="123"/>
      <c r="BK502" s="8"/>
      <c r="BL502" s="34"/>
      <c r="BM502" s="736"/>
      <c r="BN502" s="123"/>
      <c r="BO502" s="8"/>
      <c r="BP502" s="447"/>
      <c r="BQ502" s="803"/>
      <c r="BR502" s="803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985">BU502-BT502</f>
        <v>-7</v>
      </c>
      <c r="BW502" s="256"/>
      <c r="BX502" s="242">
        <f>1</f>
        <v>1</v>
      </c>
      <c r="BY502" s="35">
        <f t="shared" ref="BY502:BY508" si="986">BT502+BW502-BX502</f>
        <v>6</v>
      </c>
      <c r="BZ502" s="123"/>
      <c r="CA502" s="8"/>
      <c r="CB502" s="447"/>
      <c r="CC502" s="753"/>
      <c r="CD502" s="123"/>
      <c r="CE502" s="8"/>
      <c r="CF502" s="447"/>
      <c r="CG502" s="753"/>
      <c r="CH502" s="20"/>
      <c r="CI502" s="8"/>
      <c r="CJ502" s="447"/>
      <c r="CK502" s="803"/>
      <c r="CL502" s="803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36"/>
      <c r="CX502" s="123"/>
      <c r="CY502" s="8"/>
      <c r="CZ502" s="34"/>
      <c r="DA502" s="736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987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2" x14ac:dyDescent="0.3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982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30"/>
      <c r="V503" s="236"/>
      <c r="W503" s="210"/>
      <c r="X503" s="216"/>
      <c r="Y503" s="730"/>
      <c r="Z503" s="236"/>
      <c r="AA503" s="210"/>
      <c r="AB503" s="216"/>
      <c r="AC503" s="763"/>
      <c r="AD503" s="763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30"/>
      <c r="AP503" s="235"/>
      <c r="AQ503" s="210"/>
      <c r="AR503" s="216"/>
      <c r="AS503" s="730"/>
      <c r="AT503" s="21"/>
      <c r="AU503" s="210">
        <f>$F$503*40%*70</f>
        <v>89600</v>
      </c>
      <c r="AV503" s="216" t="s">
        <v>733</v>
      </c>
      <c r="AW503" s="764"/>
      <c r="AX503" s="764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983"/>
        <v>-83</v>
      </c>
      <c r="BC503" s="256"/>
      <c r="BD503" s="240">
        <f>1+1+1+1+1+1+1+1+1</f>
        <v>9</v>
      </c>
      <c r="BE503" s="35">
        <f t="shared" si="984"/>
        <v>114</v>
      </c>
      <c r="BF503" s="236"/>
      <c r="BG503" s="6"/>
      <c r="BH503" s="216"/>
      <c r="BI503" s="730"/>
      <c r="BJ503" s="235"/>
      <c r="BK503" s="6"/>
      <c r="BL503" s="216"/>
      <c r="BM503" s="730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985"/>
        <v>-50</v>
      </c>
      <c r="BW503" s="623">
        <v>70</v>
      </c>
      <c r="BX503" s="240">
        <f>1+4+1+1+1+1+1+1+1</f>
        <v>12</v>
      </c>
      <c r="BY503" s="35">
        <f t="shared" si="986"/>
        <v>172</v>
      </c>
      <c r="BZ503" s="666">
        <v>112000</v>
      </c>
      <c r="CA503" s="663"/>
      <c r="CB503" s="664" t="s">
        <v>823</v>
      </c>
      <c r="CC503" s="809"/>
      <c r="CD503" s="236"/>
      <c r="CE503" s="199"/>
      <c r="CF503" s="148"/>
      <c r="CG503" s="734"/>
      <c r="CH503" s="21"/>
      <c r="CI503" s="629">
        <v>112000</v>
      </c>
      <c r="CJ503" s="625" t="s">
        <v>919</v>
      </c>
      <c r="CK503" s="844"/>
      <c r="CL503" s="844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745"/>
      <c r="CX503" s="449"/>
      <c r="CY503" s="416">
        <v>108500</v>
      </c>
      <c r="CZ503" s="450" t="s">
        <v>824</v>
      </c>
      <c r="DA503" s="745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987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28.8" x14ac:dyDescent="0.3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982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30"/>
      <c r="V504" s="236"/>
      <c r="W504" s="210"/>
      <c r="X504" s="216"/>
      <c r="Y504" s="730"/>
      <c r="Z504" s="236"/>
      <c r="AA504" s="210"/>
      <c r="AB504" s="216"/>
      <c r="AC504" s="763"/>
      <c r="AD504" s="763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31"/>
      <c r="AP504" s="235"/>
      <c r="AQ504" s="210"/>
      <c r="AR504" s="216"/>
      <c r="AS504" s="730"/>
      <c r="AT504" s="21"/>
      <c r="AU504" s="6"/>
      <c r="AV504" s="216"/>
      <c r="AW504" s="764"/>
      <c r="AX504" s="764"/>
      <c r="AY504" s="395">
        <f>SUM(M504,AG504,BA504)-SUM(O504,AI504,BC504)-L504</f>
        <v>-27</v>
      </c>
      <c r="AZ504" s="29">
        <f t="shared" ref="AZ504:AZ505" si="988">AK504</f>
        <v>33</v>
      </c>
      <c r="BA504" s="298">
        <f>SUM(BA545,BA551,BA552)</f>
        <v>10</v>
      </c>
      <c r="BB504" s="5">
        <f t="shared" si="983"/>
        <v>-23</v>
      </c>
      <c r="BC504" s="5"/>
      <c r="BD504" s="240">
        <f>1+1+1+1+1+1+1+1+1</f>
        <v>9</v>
      </c>
      <c r="BE504" s="35">
        <f t="shared" si="984"/>
        <v>24</v>
      </c>
      <c r="BF504" s="236"/>
      <c r="BG504" s="6"/>
      <c r="BH504" s="216"/>
      <c r="BI504" s="730"/>
      <c r="BJ504" s="236"/>
      <c r="BK504" s="6"/>
      <c r="BL504" s="216"/>
      <c r="BM504" s="730"/>
      <c r="BN504" s="235"/>
      <c r="BO504" s="6"/>
      <c r="BP504" s="216"/>
      <c r="BQ504" s="764"/>
      <c r="BR504" s="764"/>
      <c r="BS504" s="395">
        <f>SUM(M504,AG504,BA504,BU504)-SUM(O504,AI504,BC504,BW504)-L504</f>
        <v>-33</v>
      </c>
      <c r="BT504" s="29">
        <f t="shared" ref="BT504:BT505" si="989">BE504</f>
        <v>24</v>
      </c>
      <c r="BU504" s="298">
        <f>SUM(BU545,BU551,BU552)</f>
        <v>14</v>
      </c>
      <c r="BV504" s="5">
        <f t="shared" si="985"/>
        <v>-10</v>
      </c>
      <c r="BW504" s="7">
        <v>20</v>
      </c>
      <c r="BX504" s="240">
        <f>1+4+1+1+1+1+1+1</f>
        <v>11</v>
      </c>
      <c r="BY504" s="35">
        <f t="shared" si="986"/>
        <v>33</v>
      </c>
      <c r="BZ504" s="666">
        <v>82000</v>
      </c>
      <c r="CA504" s="663"/>
      <c r="CB504" s="664" t="s">
        <v>886</v>
      </c>
      <c r="CC504" s="809"/>
      <c r="CD504" s="236"/>
      <c r="CE504" s="663">
        <v>82000</v>
      </c>
      <c r="CF504" s="664" t="s">
        <v>901</v>
      </c>
      <c r="CG504" s="809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990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745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987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57.6" x14ac:dyDescent="0.3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982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30"/>
      <c r="V505" s="236"/>
      <c r="W505" s="6"/>
      <c r="X505" s="216"/>
      <c r="Y505" s="730"/>
      <c r="Z505" s="21"/>
      <c r="AA505" s="6"/>
      <c r="AB505" s="216"/>
      <c r="AC505" s="763"/>
      <c r="AD505" s="763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30"/>
      <c r="AP505" s="236"/>
      <c r="AQ505" s="6"/>
      <c r="AR505" s="216"/>
      <c r="AS505" s="730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988"/>
        <v>107</v>
      </c>
      <c r="BA505" s="298">
        <f>SUM(BA545,BA551,BA552)</f>
        <v>10</v>
      </c>
      <c r="BB505" s="5">
        <f t="shared" si="983"/>
        <v>-97</v>
      </c>
      <c r="BC505" s="258"/>
      <c r="BD505" s="240">
        <f>1+1+1+1+1+1+1</f>
        <v>7</v>
      </c>
      <c r="BE505" s="35">
        <f t="shared" si="984"/>
        <v>100</v>
      </c>
      <c r="BF505" s="236"/>
      <c r="BG505" s="6"/>
      <c r="BH505" s="216"/>
      <c r="BI505" s="730"/>
      <c r="BJ505" s="236"/>
      <c r="BK505" s="6"/>
      <c r="BL505" s="216"/>
      <c r="BM505" s="730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989"/>
        <v>100</v>
      </c>
      <c r="BU505" s="298">
        <f>SUM(BU545,BU551,BU552)</f>
        <v>14</v>
      </c>
      <c r="BV505" s="5">
        <f t="shared" si="985"/>
        <v>-86</v>
      </c>
      <c r="BW505" s="256"/>
      <c r="BX505" s="240">
        <f>1</f>
        <v>1</v>
      </c>
      <c r="BY505" s="35">
        <f t="shared" si="986"/>
        <v>99</v>
      </c>
      <c r="BZ505" s="235"/>
      <c r="CA505" s="6"/>
      <c r="CB505" s="148"/>
      <c r="CC505" s="734"/>
      <c r="CD505" s="236"/>
      <c r="CE505" s="210"/>
      <c r="CF505" s="216"/>
      <c r="CG505" s="730"/>
      <c r="CH505" s="236"/>
      <c r="CI505" s="210"/>
      <c r="CJ505" s="216"/>
      <c r="CK505" s="764"/>
      <c r="CL505" s="764"/>
      <c r="CM505" s="395">
        <f>SUM(M505,AG505,BA505,BU505,CO505)-SUM(O505,AI505,BC505,BW505,CQ505)-L505</f>
        <v>-87</v>
      </c>
      <c r="CN505" s="29">
        <f t="shared" si="990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34"/>
      <c r="CX505" s="235"/>
      <c r="CY505" s="6"/>
      <c r="CZ505" s="148"/>
      <c r="DA505" s="734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987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" thickBot="1" x14ac:dyDescent="0.35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38"/>
      <c r="V506" s="126"/>
      <c r="W506" s="127"/>
      <c r="X506" s="66"/>
      <c r="Y506" s="738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38"/>
      <c r="AP506" s="126"/>
      <c r="AQ506" s="127"/>
      <c r="AR506" s="66"/>
      <c r="AS506" s="738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983"/>
        <v>-21</v>
      </c>
      <c r="BC506" s="284"/>
      <c r="BD506" s="241">
        <f>BD504</f>
        <v>9</v>
      </c>
      <c r="BE506" s="66">
        <f t="shared" si="984"/>
        <v>22</v>
      </c>
      <c r="BF506" s="128"/>
      <c r="BG506" s="127"/>
      <c r="BH506" s="66"/>
      <c r="BI506" s="738"/>
      <c r="BJ506" s="126"/>
      <c r="BK506" s="127"/>
      <c r="BL506" s="66"/>
      <c r="BM506" s="738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985"/>
        <v>-8</v>
      </c>
      <c r="BW506" s="241"/>
      <c r="BX506" s="250">
        <f>BX504</f>
        <v>11</v>
      </c>
      <c r="BY506" s="66">
        <f t="shared" si="986"/>
        <v>11</v>
      </c>
      <c r="BZ506" s="126"/>
      <c r="CA506" s="127"/>
      <c r="CB506" s="66"/>
      <c r="CC506" s="738"/>
      <c r="CD506" s="470"/>
      <c r="CE506" s="6"/>
      <c r="CF506" s="35"/>
      <c r="CG506" s="750"/>
      <c r="CH506" s="557"/>
      <c r="CI506" s="469"/>
      <c r="CJ506" s="472"/>
      <c r="CK506" s="765"/>
      <c r="CL506" s="765"/>
      <c r="CM506" s="396"/>
      <c r="CN506" s="296">
        <f t="shared" si="990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745"/>
      <c r="CX506" s="126"/>
      <c r="DB506" s="128"/>
      <c r="DC506" s="127"/>
      <c r="DD506" s="66"/>
      <c r="DE506" s="297"/>
      <c r="DF506" s="297"/>
      <c r="DG506" s="396"/>
      <c r="DH506" s="296">
        <f t="shared" si="987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" thickBot="1" x14ac:dyDescent="0.35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38"/>
      <c r="V507" s="126"/>
      <c r="W507" s="127"/>
      <c r="X507" s="66"/>
      <c r="Y507" s="738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38"/>
      <c r="AP507" s="126"/>
      <c r="AQ507" s="127"/>
      <c r="AR507" s="66"/>
      <c r="AS507" s="738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983"/>
        <v>9</v>
      </c>
      <c r="BC507" s="284">
        <v>35</v>
      </c>
      <c r="BD507" s="241">
        <f>BD504</f>
        <v>9</v>
      </c>
      <c r="BE507" s="66">
        <f t="shared" si="984"/>
        <v>27</v>
      </c>
      <c r="BF507" s="128"/>
      <c r="BG507" s="127"/>
      <c r="BH507" s="66" t="s">
        <v>869</v>
      </c>
      <c r="BI507" s="738"/>
      <c r="BJ507" s="126"/>
      <c r="BK507" s="127"/>
      <c r="BL507" s="66"/>
      <c r="BM507" s="738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985"/>
        <v>-13</v>
      </c>
      <c r="BW507" s="241"/>
      <c r="BX507" s="250">
        <f>BX504</f>
        <v>11</v>
      </c>
      <c r="BY507" s="66">
        <f t="shared" si="986"/>
        <v>16</v>
      </c>
      <c r="BZ507" s="126"/>
      <c r="CA507" s="127"/>
      <c r="CB507" s="66"/>
      <c r="CC507" s="738"/>
      <c r="CD507" s="470"/>
      <c r="CE507" s="6"/>
      <c r="CF507" s="35"/>
      <c r="CG507" s="750"/>
      <c r="CH507" s="557"/>
      <c r="CI507" s="469"/>
      <c r="CJ507" s="472"/>
      <c r="CK507" s="765"/>
      <c r="CL507" s="765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745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59" thickBot="1" x14ac:dyDescent="0.35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982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38"/>
      <c r="V508" s="126"/>
      <c r="W508" s="127"/>
      <c r="X508" s="66"/>
      <c r="Y508" s="738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38"/>
      <c r="AP508" s="126"/>
      <c r="AQ508" s="127"/>
      <c r="AR508" s="66"/>
      <c r="AS508" s="738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983"/>
        <v>-49</v>
      </c>
      <c r="BC508" s="284"/>
      <c r="BD508" s="241">
        <f>1+1+1+1+1+1+1</f>
        <v>7</v>
      </c>
      <c r="BE508" s="66">
        <f t="shared" si="984"/>
        <v>59</v>
      </c>
      <c r="BF508" s="128"/>
      <c r="BG508" s="127"/>
      <c r="BH508" s="66"/>
      <c r="BI508" s="738"/>
      <c r="BJ508" s="126"/>
      <c r="BK508" s="127"/>
      <c r="BL508" s="66"/>
      <c r="BM508" s="738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985"/>
        <v>-34</v>
      </c>
      <c r="BW508" s="622">
        <v>70</v>
      </c>
      <c r="BX508" s="250">
        <f>1+1+4+1+1+1+1+1+1+1</f>
        <v>13</v>
      </c>
      <c r="BY508" s="66">
        <f t="shared" si="986"/>
        <v>116</v>
      </c>
      <c r="BZ508" s="126"/>
      <c r="CA508" s="127"/>
      <c r="CB508" s="66"/>
      <c r="CC508" s="738"/>
      <c r="CD508" s="698">
        <v>22750</v>
      </c>
      <c r="CE508" s="663"/>
      <c r="CF508" s="664" t="s">
        <v>823</v>
      </c>
      <c r="CG508" s="835"/>
      <c r="CH508" s="557"/>
      <c r="CI508" s="631">
        <v>22750</v>
      </c>
      <c r="CJ508" s="651" t="s">
        <v>919</v>
      </c>
      <c r="CK508" s="813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745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987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" thickBot="1" x14ac:dyDescent="0.35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3.2" x14ac:dyDescent="0.3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3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991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28.8" x14ac:dyDescent="0.3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991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992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28.8" x14ac:dyDescent="0.3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991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992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3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41"/>
      <c r="V514" s="366"/>
      <c r="W514" s="367"/>
      <c r="X514" s="368"/>
      <c r="Y514" s="741"/>
      <c r="Z514" s="369"/>
      <c r="AA514" s="367"/>
      <c r="AB514" s="368"/>
      <c r="AC514" s="741"/>
      <c r="AD514" s="741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41"/>
      <c r="AP514" s="366"/>
      <c r="AQ514" s="367"/>
      <c r="AR514" s="368"/>
      <c r="AS514" s="741"/>
      <c r="AT514" s="369"/>
      <c r="AU514" s="367"/>
      <c r="AV514" s="368"/>
      <c r="AW514" s="741"/>
      <c r="AX514" s="741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41"/>
      <c r="BJ514" s="366"/>
      <c r="BK514" s="367"/>
      <c r="BL514" s="368"/>
      <c r="BM514" s="741"/>
      <c r="BN514" s="369"/>
      <c r="BO514" s="367"/>
      <c r="BP514" s="368"/>
      <c r="BQ514" s="741"/>
      <c r="BR514" s="741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41"/>
      <c r="CD514" s="366"/>
      <c r="CE514" s="367"/>
      <c r="CF514" s="368"/>
      <c r="CG514" s="741"/>
      <c r="CH514" s="369"/>
      <c r="CI514" s="367"/>
      <c r="CJ514" s="368"/>
      <c r="CK514" s="741"/>
      <c r="CL514" s="741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41"/>
      <c r="CX514" s="366"/>
      <c r="CY514" s="367"/>
      <c r="CZ514" s="368"/>
      <c r="DA514" s="741"/>
      <c r="DB514" s="369"/>
      <c r="DC514" s="367"/>
      <c r="DD514" s="368"/>
      <c r="DE514" s="741"/>
      <c r="DF514" s="741"/>
      <c r="DG514" s="363"/>
      <c r="DH514" s="364"/>
      <c r="DI514" s="374"/>
      <c r="DJ514" s="374"/>
      <c r="DK514" s="375"/>
      <c r="DL514" s="375"/>
      <c r="DM514" s="368"/>
    </row>
    <row r="515" spans="1:117" x14ac:dyDescent="0.3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991"/>
        <v>-21</v>
      </c>
      <c r="L515" s="29">
        <v>23</v>
      </c>
      <c r="M515" s="298">
        <f>M510</f>
        <v>2</v>
      </c>
      <c r="N515" s="5">
        <f t="shared" ref="N515:N522" si="993">M515-L515</f>
        <v>-21</v>
      </c>
      <c r="O515" s="256"/>
      <c r="P515" s="303">
        <f>P510</f>
        <v>2</v>
      </c>
      <c r="Q515" s="35">
        <f t="shared" ref="Q515:Q525" si="994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>Q515</f>
        <v>21</v>
      </c>
      <c r="AG515" s="298">
        <f>AG510</f>
        <v>0</v>
      </c>
      <c r="AH515" s="5">
        <f t="shared" ref="AH515:AH522" si="995">AG515-AF515</f>
        <v>-21</v>
      </c>
      <c r="AI515" s="256"/>
      <c r="AJ515" s="303">
        <f>AJ510</f>
        <v>0</v>
      </c>
      <c r="AK515" s="35">
        <f t="shared" ref="AK515:AK525" si="996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997">BA515-AZ515</f>
        <v>-21</v>
      </c>
      <c r="BC515" s="256"/>
      <c r="BD515" s="303">
        <f>BD510</f>
        <v>0</v>
      </c>
      <c r="BE515" s="35">
        <f t="shared" ref="BE515:BE525" si="998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999">BU515-BT515</f>
        <v>-21</v>
      </c>
      <c r="BW515" s="256"/>
      <c r="BX515" s="303">
        <f>BX510</f>
        <v>0</v>
      </c>
      <c r="BY515" s="35">
        <f t="shared" ref="BY515:BY525" si="1000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001">CO515-CN515</f>
        <v>-21</v>
      </c>
      <c r="CQ515" s="240"/>
      <c r="CR515" s="303">
        <f>CR510</f>
        <v>0</v>
      </c>
      <c r="CS515" s="35">
        <f t="shared" ref="CS515:CS525" si="1002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992"/>
        <v>21</v>
      </c>
      <c r="DI515" s="298">
        <f>DI510</f>
        <v>0</v>
      </c>
      <c r="DJ515" s="5">
        <f t="shared" ref="DJ515:DJ522" si="1003">DI515-DH515</f>
        <v>-21</v>
      </c>
      <c r="DK515" s="240"/>
      <c r="DL515" s="303">
        <f>DL510</f>
        <v>0</v>
      </c>
      <c r="DM515" s="35">
        <f t="shared" ref="DM515:DM525" si="1004">DH515+DK515-DL515</f>
        <v>21</v>
      </c>
    </row>
    <row r="516" spans="1:117" x14ac:dyDescent="0.3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991"/>
        <v>-17</v>
      </c>
      <c r="L516" s="29">
        <v>19</v>
      </c>
      <c r="M516" s="298">
        <f>M510</f>
        <v>2</v>
      </c>
      <c r="N516" s="5">
        <f t="shared" si="993"/>
        <v>-17</v>
      </c>
      <c r="O516" s="256"/>
      <c r="P516" s="303">
        <f>P510</f>
        <v>2</v>
      </c>
      <c r="Q516" s="35">
        <f t="shared" si="994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>Q516</f>
        <v>17</v>
      </c>
      <c r="AG516" s="298">
        <f>AG510</f>
        <v>0</v>
      </c>
      <c r="AH516" s="5">
        <f t="shared" si="995"/>
        <v>-17</v>
      </c>
      <c r="AI516" s="256"/>
      <c r="AJ516" s="303">
        <f>AJ510</f>
        <v>0</v>
      </c>
      <c r="AK516" s="35">
        <f t="shared" si="996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005">AK516</f>
        <v>17</v>
      </c>
      <c r="BA516" s="298">
        <f>BA510</f>
        <v>0</v>
      </c>
      <c r="BB516" s="5">
        <f t="shared" si="997"/>
        <v>-17</v>
      </c>
      <c r="BC516" s="256"/>
      <c r="BD516" s="303">
        <f>BD510</f>
        <v>0</v>
      </c>
      <c r="BE516" s="35">
        <f t="shared" si="998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006">BE516</f>
        <v>17</v>
      </c>
      <c r="BU516" s="298">
        <f>BU510</f>
        <v>0</v>
      </c>
      <c r="BV516" s="5">
        <f t="shared" si="999"/>
        <v>-17</v>
      </c>
      <c r="BW516" s="256"/>
      <c r="BX516" s="303">
        <f>BX510</f>
        <v>0</v>
      </c>
      <c r="BY516" s="35">
        <f t="shared" si="1000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007">BY516</f>
        <v>17</v>
      </c>
      <c r="CO516" s="298">
        <f>CO510</f>
        <v>0</v>
      </c>
      <c r="CP516" s="5">
        <f t="shared" si="1001"/>
        <v>-17</v>
      </c>
      <c r="CQ516" s="240"/>
      <c r="CR516" s="303">
        <f>CR510</f>
        <v>0</v>
      </c>
      <c r="CS516" s="35">
        <f t="shared" si="1002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992"/>
        <v>17</v>
      </c>
      <c r="DI516" s="298">
        <f>DI510</f>
        <v>0</v>
      </c>
      <c r="DJ516" s="5">
        <f t="shared" si="1003"/>
        <v>-17</v>
      </c>
      <c r="DK516" s="240"/>
      <c r="DL516" s="303">
        <f>DL510</f>
        <v>0</v>
      </c>
      <c r="DM516" s="35">
        <f t="shared" si="1004"/>
        <v>17</v>
      </c>
    </row>
    <row r="517" spans="1:117" x14ac:dyDescent="0.3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991"/>
        <v>-26</v>
      </c>
      <c r="L517" s="29">
        <v>28</v>
      </c>
      <c r="M517" s="298">
        <f>M510</f>
        <v>2</v>
      </c>
      <c r="N517" s="5">
        <f t="shared" si="993"/>
        <v>-26</v>
      </c>
      <c r="O517" s="256"/>
      <c r="P517" s="303">
        <f>P510</f>
        <v>2</v>
      </c>
      <c r="Q517" s="35">
        <f t="shared" si="994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>Q517</f>
        <v>26</v>
      </c>
      <c r="AG517" s="298">
        <f>AG510</f>
        <v>0</v>
      </c>
      <c r="AH517" s="5">
        <f t="shared" si="995"/>
        <v>-26</v>
      </c>
      <c r="AI517" s="256"/>
      <c r="AJ517" s="303">
        <f>AJ510</f>
        <v>0</v>
      </c>
      <c r="AK517" s="35">
        <f t="shared" si="996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005"/>
        <v>26</v>
      </c>
      <c r="BA517" s="298">
        <f>BA510</f>
        <v>0</v>
      </c>
      <c r="BB517" s="5">
        <f t="shared" si="997"/>
        <v>-26</v>
      </c>
      <c r="BC517" s="256"/>
      <c r="BD517" s="303">
        <f>BD510</f>
        <v>0</v>
      </c>
      <c r="BE517" s="35">
        <f t="shared" si="998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006"/>
        <v>26</v>
      </c>
      <c r="BU517" s="298">
        <f>BU510</f>
        <v>0</v>
      </c>
      <c r="BV517" s="5">
        <f t="shared" si="999"/>
        <v>-26</v>
      </c>
      <c r="BW517" s="256"/>
      <c r="BX517" s="303">
        <f>BX510</f>
        <v>0</v>
      </c>
      <c r="BY517" s="35">
        <f t="shared" si="1000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007"/>
        <v>26</v>
      </c>
      <c r="CO517" s="298">
        <f>CO510</f>
        <v>0</v>
      </c>
      <c r="CP517" s="5">
        <f t="shared" si="1001"/>
        <v>-26</v>
      </c>
      <c r="CQ517" s="240"/>
      <c r="CR517" s="303">
        <f>CR510</f>
        <v>0</v>
      </c>
      <c r="CS517" s="35">
        <f t="shared" si="1002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992"/>
        <v>26</v>
      </c>
      <c r="DI517" s="298">
        <f>DI510</f>
        <v>0</v>
      </c>
      <c r="DJ517" s="5">
        <f t="shared" si="1003"/>
        <v>-26</v>
      </c>
      <c r="DK517" s="240"/>
      <c r="DL517" s="303">
        <f>DL510</f>
        <v>0</v>
      </c>
      <c r="DM517" s="35">
        <f t="shared" si="1004"/>
        <v>26</v>
      </c>
    </row>
    <row r="518" spans="1:117" x14ac:dyDescent="0.3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991"/>
        <v>-22</v>
      </c>
      <c r="L518" s="29">
        <v>24</v>
      </c>
      <c r="M518" s="298">
        <f>M510</f>
        <v>2</v>
      </c>
      <c r="N518" s="5">
        <f t="shared" si="993"/>
        <v>-22</v>
      </c>
      <c r="O518" s="256"/>
      <c r="P518" s="303">
        <f>P510</f>
        <v>2</v>
      </c>
      <c r="Q518" s="35">
        <f t="shared" si="994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>Q518</f>
        <v>22</v>
      </c>
      <c r="AG518" s="298">
        <f>AG510</f>
        <v>0</v>
      </c>
      <c r="AH518" s="5">
        <f t="shared" si="995"/>
        <v>-22</v>
      </c>
      <c r="AI518" s="256"/>
      <c r="AJ518" s="303">
        <f>AJ510</f>
        <v>0</v>
      </c>
      <c r="AK518" s="35">
        <f t="shared" si="996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005"/>
        <v>22</v>
      </c>
      <c r="BA518" s="298">
        <f>BA510</f>
        <v>0</v>
      </c>
      <c r="BB518" s="5">
        <f t="shared" si="997"/>
        <v>-22</v>
      </c>
      <c r="BC518" s="256"/>
      <c r="BD518" s="303">
        <f>BD510</f>
        <v>0</v>
      </c>
      <c r="BE518" s="35">
        <f t="shared" si="998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006"/>
        <v>22</v>
      </c>
      <c r="BU518" s="298">
        <f>BU510</f>
        <v>0</v>
      </c>
      <c r="BV518" s="5">
        <f t="shared" si="999"/>
        <v>-22</v>
      </c>
      <c r="BW518" s="256"/>
      <c r="BX518" s="303">
        <f>BX510</f>
        <v>0</v>
      </c>
      <c r="BY518" s="35">
        <f t="shared" si="1000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007"/>
        <v>22</v>
      </c>
      <c r="CO518" s="298">
        <f>CO510</f>
        <v>0</v>
      </c>
      <c r="CP518" s="5">
        <f t="shared" si="1001"/>
        <v>-22</v>
      </c>
      <c r="CQ518" s="240"/>
      <c r="CR518" s="303">
        <f>CR510</f>
        <v>0</v>
      </c>
      <c r="CS518" s="35">
        <f t="shared" si="1002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992"/>
        <v>22</v>
      </c>
      <c r="DI518" s="298">
        <f>DI510</f>
        <v>0</v>
      </c>
      <c r="DJ518" s="5">
        <f t="shared" si="1003"/>
        <v>-22</v>
      </c>
      <c r="DK518" s="240"/>
      <c r="DL518" s="303">
        <f>DL510</f>
        <v>0</v>
      </c>
      <c r="DM518" s="35">
        <f t="shared" si="1004"/>
        <v>22</v>
      </c>
    </row>
    <row r="519" spans="1:117" x14ac:dyDescent="0.3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991"/>
        <v>-259</v>
      </c>
      <c r="L519" s="29">
        <v>273</v>
      </c>
      <c r="M519" s="298">
        <f>M510*7</f>
        <v>14</v>
      </c>
      <c r="N519" s="5">
        <f t="shared" si="993"/>
        <v>-259</v>
      </c>
      <c r="O519" s="256"/>
      <c r="P519" s="303">
        <f>P510*7</f>
        <v>14</v>
      </c>
      <c r="Q519" s="35">
        <f t="shared" si="994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>Q519</f>
        <v>259</v>
      </c>
      <c r="AG519" s="298">
        <f>AG510*7</f>
        <v>0</v>
      </c>
      <c r="AH519" s="5">
        <f t="shared" si="995"/>
        <v>-259</v>
      </c>
      <c r="AI519" s="256"/>
      <c r="AJ519" s="303">
        <f>AJ510*7</f>
        <v>0</v>
      </c>
      <c r="AK519" s="35">
        <f t="shared" si="996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005"/>
        <v>259</v>
      </c>
      <c r="BA519" s="298">
        <f>BA510*7</f>
        <v>0</v>
      </c>
      <c r="BB519" s="5">
        <f t="shared" si="997"/>
        <v>-259</v>
      </c>
      <c r="BC519" s="256"/>
      <c r="BD519" s="303">
        <f>BD510*7</f>
        <v>0</v>
      </c>
      <c r="BE519" s="35">
        <f t="shared" si="998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006"/>
        <v>259</v>
      </c>
      <c r="BU519" s="298">
        <f>BU510*7</f>
        <v>0</v>
      </c>
      <c r="BV519" s="5">
        <f t="shared" si="999"/>
        <v>-259</v>
      </c>
      <c r="BW519" s="256"/>
      <c r="BX519" s="303">
        <f>BX510*7</f>
        <v>0</v>
      </c>
      <c r="BY519" s="35">
        <f t="shared" si="1000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007"/>
        <v>259</v>
      </c>
      <c r="CO519" s="298">
        <f>CO510*7</f>
        <v>0</v>
      </c>
      <c r="CP519" s="5">
        <f t="shared" si="1001"/>
        <v>-259</v>
      </c>
      <c r="CQ519" s="240"/>
      <c r="CR519" s="303">
        <f>CR510*7</f>
        <v>0</v>
      </c>
      <c r="CS519" s="35">
        <f t="shared" si="1002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992"/>
        <v>259</v>
      </c>
      <c r="DI519" s="298">
        <f>DI510*7</f>
        <v>0</v>
      </c>
      <c r="DJ519" s="5">
        <f t="shared" si="1003"/>
        <v>-259</v>
      </c>
      <c r="DK519" s="240"/>
      <c r="DL519" s="303">
        <f>DL510*7</f>
        <v>0</v>
      </c>
      <c r="DM519" s="35">
        <f t="shared" si="1004"/>
        <v>259</v>
      </c>
    </row>
    <row r="520" spans="1:117" x14ac:dyDescent="0.3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993"/>
        <v>-16</v>
      </c>
      <c r="O520" s="441"/>
      <c r="P520" s="375">
        <f>P510</f>
        <v>2</v>
      </c>
      <c r="Q520" s="368">
        <f t="shared" si="994"/>
        <v>16</v>
      </c>
      <c r="R520" s="366"/>
      <c r="S520" s="367"/>
      <c r="T520" s="368"/>
      <c r="U520" s="741"/>
      <c r="V520" s="366"/>
      <c r="W520" s="367"/>
      <c r="X520" s="368"/>
      <c r="Y520" s="741"/>
      <c r="Z520" s="369"/>
      <c r="AA520" s="367"/>
      <c r="AB520" s="368"/>
      <c r="AC520" s="741"/>
      <c r="AD520" s="741"/>
      <c r="AE520" s="363"/>
      <c r="AF520" s="364">
        <f>Q520</f>
        <v>16</v>
      </c>
      <c r="AG520" s="374">
        <f>AG510</f>
        <v>0</v>
      </c>
      <c r="AH520" s="374">
        <f t="shared" si="995"/>
        <v>-16</v>
      </c>
      <c r="AI520" s="441"/>
      <c r="AJ520" s="375">
        <f>AJ510</f>
        <v>0</v>
      </c>
      <c r="AK520" s="368">
        <f t="shared" si="996"/>
        <v>16</v>
      </c>
      <c r="AL520" s="366"/>
      <c r="AM520" s="367"/>
      <c r="AN520" s="368"/>
      <c r="AO520" s="741"/>
      <c r="AP520" s="366"/>
      <c r="AQ520" s="367"/>
      <c r="AR520" s="368"/>
      <c r="AS520" s="741"/>
      <c r="AT520" s="369"/>
      <c r="AU520" s="367"/>
      <c r="AV520" s="368"/>
      <c r="AW520" s="741"/>
      <c r="AX520" s="741"/>
      <c r="AY520" s="363"/>
      <c r="AZ520" s="364">
        <f>AK520</f>
        <v>16</v>
      </c>
      <c r="BA520" s="374">
        <f>BA510</f>
        <v>0</v>
      </c>
      <c r="BB520" s="374">
        <f t="shared" si="997"/>
        <v>-16</v>
      </c>
      <c r="BC520" s="441"/>
      <c r="BD520" s="375">
        <f>BD510</f>
        <v>0</v>
      </c>
      <c r="BE520" s="368">
        <f t="shared" si="998"/>
        <v>16</v>
      </c>
      <c r="BF520" s="366"/>
      <c r="BG520" s="367"/>
      <c r="BH520" s="368"/>
      <c r="BI520" s="741"/>
      <c r="BJ520" s="366"/>
      <c r="BK520" s="367"/>
      <c r="BL520" s="368"/>
      <c r="BM520" s="741"/>
      <c r="BN520" s="369"/>
      <c r="BO520" s="367"/>
      <c r="BP520" s="368"/>
      <c r="BQ520" s="741"/>
      <c r="BR520" s="741"/>
      <c r="BS520" s="363"/>
      <c r="BT520" s="364">
        <f>BE520</f>
        <v>16</v>
      </c>
      <c r="BU520" s="374">
        <f>BU510</f>
        <v>0</v>
      </c>
      <c r="BV520" s="374">
        <f t="shared" si="999"/>
        <v>-16</v>
      </c>
      <c r="BW520" s="441"/>
      <c r="BX520" s="375">
        <f>BX510</f>
        <v>0</v>
      </c>
      <c r="BY520" s="368">
        <f t="shared" si="1000"/>
        <v>16</v>
      </c>
      <c r="BZ520" s="366"/>
      <c r="CA520" s="367"/>
      <c r="CB520" s="368"/>
      <c r="CC520" s="741"/>
      <c r="CD520" s="366"/>
      <c r="CE520" s="367"/>
      <c r="CF520" s="368"/>
      <c r="CG520" s="741"/>
      <c r="CH520" s="369"/>
      <c r="CI520" s="367"/>
      <c r="CJ520" s="368"/>
      <c r="CK520" s="741"/>
      <c r="CL520" s="741"/>
      <c r="CM520" s="363"/>
      <c r="CN520" s="364">
        <f>BY520</f>
        <v>16</v>
      </c>
      <c r="CO520" s="374">
        <f>CO510</f>
        <v>0</v>
      </c>
      <c r="CP520" s="374">
        <f t="shared" si="1001"/>
        <v>-16</v>
      </c>
      <c r="CQ520" s="375"/>
      <c r="CR520" s="375">
        <f>CR510</f>
        <v>0</v>
      </c>
      <c r="CS520" s="368">
        <f t="shared" si="1002"/>
        <v>16</v>
      </c>
      <c r="CT520" s="366"/>
      <c r="CU520" s="367"/>
      <c r="CV520" s="368"/>
      <c r="CW520" s="741"/>
      <c r="CX520" s="366"/>
      <c r="CY520" s="367"/>
      <c r="CZ520" s="368"/>
      <c r="DA520" s="741"/>
      <c r="DB520" s="369"/>
      <c r="DC520" s="367"/>
      <c r="DD520" s="368"/>
      <c r="DE520" s="741"/>
      <c r="DF520" s="741"/>
      <c r="DG520" s="363"/>
      <c r="DH520" s="364">
        <f>CS520</f>
        <v>16</v>
      </c>
      <c r="DI520" s="374">
        <f>DI510</f>
        <v>0</v>
      </c>
      <c r="DJ520" s="374">
        <f t="shared" si="1003"/>
        <v>-16</v>
      </c>
      <c r="DK520" s="375"/>
      <c r="DL520" s="375">
        <f>DL510</f>
        <v>0</v>
      </c>
      <c r="DM520" s="368">
        <f t="shared" si="1004"/>
        <v>16</v>
      </c>
    </row>
    <row r="521" spans="1:117" x14ac:dyDescent="0.3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991"/>
        <v>-16</v>
      </c>
      <c r="L521" s="29">
        <v>18</v>
      </c>
      <c r="M521" s="298">
        <f>M510</f>
        <v>2</v>
      </c>
      <c r="N521" s="5">
        <f t="shared" si="993"/>
        <v>-16</v>
      </c>
      <c r="O521" s="256"/>
      <c r="P521" s="303">
        <f>P510</f>
        <v>2</v>
      </c>
      <c r="Q521" s="35">
        <f t="shared" si="994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>Q521</f>
        <v>16</v>
      </c>
      <c r="AG521" s="298">
        <f>AG510</f>
        <v>0</v>
      </c>
      <c r="AH521" s="5">
        <f t="shared" si="995"/>
        <v>-16</v>
      </c>
      <c r="AI521" s="256"/>
      <c r="AJ521" s="303">
        <f>AJ510</f>
        <v>0</v>
      </c>
      <c r="AK521" s="35">
        <f t="shared" si="996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997"/>
        <v>-16</v>
      </c>
      <c r="BC521" s="256"/>
      <c r="BD521" s="303">
        <f>BD510</f>
        <v>0</v>
      </c>
      <c r="BE521" s="35">
        <f t="shared" si="998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999"/>
        <v>-16</v>
      </c>
      <c r="BW521" s="256"/>
      <c r="BX521" s="303">
        <f>BX510</f>
        <v>0</v>
      </c>
      <c r="BY521" s="35">
        <f t="shared" si="1000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001"/>
        <v>-16</v>
      </c>
      <c r="CQ521" s="240"/>
      <c r="CR521" s="303">
        <f>CR510</f>
        <v>0</v>
      </c>
      <c r="CS521" s="35">
        <f t="shared" si="1002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992"/>
        <v>16</v>
      </c>
      <c r="DI521" s="298">
        <f>DI510</f>
        <v>0</v>
      </c>
      <c r="DJ521" s="5">
        <f t="shared" si="1003"/>
        <v>-16</v>
      </c>
      <c r="DK521" s="240"/>
      <c r="DL521" s="303">
        <f>DL510</f>
        <v>0</v>
      </c>
      <c r="DM521" s="35">
        <f t="shared" si="1004"/>
        <v>16</v>
      </c>
    </row>
    <row r="522" spans="1:117" x14ac:dyDescent="0.3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993"/>
        <v>0</v>
      </c>
      <c r="O522" s="256"/>
      <c r="P522" s="240"/>
      <c r="Q522" s="35">
        <f t="shared" si="994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>Q522</f>
        <v>0</v>
      </c>
      <c r="AG522" s="298">
        <f>AG510</f>
        <v>0</v>
      </c>
      <c r="AH522" s="5">
        <f t="shared" si="995"/>
        <v>0</v>
      </c>
      <c r="AI522" s="256"/>
      <c r="AJ522" s="240"/>
      <c r="AK522" s="35">
        <f t="shared" si="996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008">AK522</f>
        <v>0</v>
      </c>
      <c r="BA522" s="298">
        <f>BA510</f>
        <v>0</v>
      </c>
      <c r="BB522" s="5">
        <f t="shared" si="997"/>
        <v>0</v>
      </c>
      <c r="BC522" s="256"/>
      <c r="BD522" s="240"/>
      <c r="BE522" s="35">
        <f t="shared" si="998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009">BE522</f>
        <v>0</v>
      </c>
      <c r="BU522" s="298">
        <f>BU510</f>
        <v>0</v>
      </c>
      <c r="BV522" s="5">
        <f t="shared" si="999"/>
        <v>0</v>
      </c>
      <c r="BW522" s="256"/>
      <c r="BX522" s="240"/>
      <c r="BY522" s="35">
        <f t="shared" si="1000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010">BY522</f>
        <v>0</v>
      </c>
      <c r="CO522" s="298">
        <f>CO510</f>
        <v>0</v>
      </c>
      <c r="CP522" s="5">
        <f t="shared" si="1001"/>
        <v>0</v>
      </c>
      <c r="CQ522" s="240"/>
      <c r="CR522" s="240"/>
      <c r="CS522" s="35">
        <f t="shared" si="1002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992"/>
        <v>0</v>
      </c>
      <c r="DI522" s="298">
        <f>DI510</f>
        <v>0</v>
      </c>
      <c r="DJ522" s="5">
        <f t="shared" si="1003"/>
        <v>0</v>
      </c>
      <c r="DK522" s="240"/>
      <c r="DL522" s="240"/>
      <c r="DM522" s="35">
        <f t="shared" si="1004"/>
        <v>0</v>
      </c>
    </row>
    <row r="523" spans="1:117" x14ac:dyDescent="0.3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991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994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>Q523</f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996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008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998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009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000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010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002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992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004"/>
        <v>36</v>
      </c>
    </row>
    <row r="524" spans="1:117" x14ac:dyDescent="0.3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991"/>
        <v>-25</v>
      </c>
      <c r="L524" s="29">
        <v>27</v>
      </c>
      <c r="M524" s="302">
        <f>M510</f>
        <v>2</v>
      </c>
      <c r="N524" s="7">
        <f t="shared" ref="N524:N525" si="1011">M524-L524</f>
        <v>-25</v>
      </c>
      <c r="O524" s="258"/>
      <c r="P524" s="304">
        <f>P510</f>
        <v>2</v>
      </c>
      <c r="Q524" s="34">
        <f t="shared" si="994"/>
        <v>25</v>
      </c>
      <c r="R524" s="123"/>
      <c r="S524" s="8"/>
      <c r="T524" s="34"/>
      <c r="U524" s="736"/>
      <c r="V524" s="123"/>
      <c r="W524" s="8"/>
      <c r="X524" s="34"/>
      <c r="Y524" s="736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>Q524</f>
        <v>25</v>
      </c>
      <c r="AG524" s="302">
        <f>AG510</f>
        <v>0</v>
      </c>
      <c r="AH524" s="7">
        <f t="shared" ref="AH524:AH525" si="1012">AG524-AF524</f>
        <v>-25</v>
      </c>
      <c r="AI524" s="258"/>
      <c r="AJ524" s="304">
        <f>AJ510</f>
        <v>0</v>
      </c>
      <c r="AK524" s="34">
        <f t="shared" si="996"/>
        <v>25</v>
      </c>
      <c r="AL524" s="123"/>
      <c r="AM524" s="8"/>
      <c r="AN524" s="34"/>
      <c r="AO524" s="736"/>
      <c r="AP524" s="123"/>
      <c r="AQ524" s="8"/>
      <c r="AR524" s="34"/>
      <c r="AS524" s="736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008"/>
        <v>25</v>
      </c>
      <c r="BA524" s="302">
        <f>BA510</f>
        <v>0</v>
      </c>
      <c r="BB524" s="7">
        <f t="shared" ref="BB524:BB525" si="1013">BA524-AZ524</f>
        <v>-25</v>
      </c>
      <c r="BC524" s="258"/>
      <c r="BD524" s="304">
        <f>BD510</f>
        <v>0</v>
      </c>
      <c r="BE524" s="34">
        <f t="shared" si="998"/>
        <v>25</v>
      </c>
      <c r="BF524" s="123"/>
      <c r="BG524" s="8"/>
      <c r="BH524" s="34"/>
      <c r="BI524" s="736"/>
      <c r="BJ524" s="123"/>
      <c r="BK524" s="8"/>
      <c r="BL524" s="34"/>
      <c r="BM524" s="736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009"/>
        <v>25</v>
      </c>
      <c r="BU524" s="302">
        <f>BU510</f>
        <v>0</v>
      </c>
      <c r="BV524" s="7">
        <f t="shared" ref="BV524:BV525" si="1014">BU524-BT524</f>
        <v>-25</v>
      </c>
      <c r="BW524" s="258"/>
      <c r="BX524" s="304">
        <f>BX510</f>
        <v>0</v>
      </c>
      <c r="BY524" s="34">
        <f t="shared" si="1000"/>
        <v>25</v>
      </c>
      <c r="BZ524" s="123"/>
      <c r="CA524" s="8"/>
      <c r="CB524" s="34"/>
      <c r="CC524" s="736"/>
      <c r="CD524" s="123"/>
      <c r="CE524" s="8"/>
      <c r="CF524" s="34"/>
      <c r="CG524" s="736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010"/>
        <v>25</v>
      </c>
      <c r="CO524" s="302">
        <f>CO510</f>
        <v>0</v>
      </c>
      <c r="CP524" s="7">
        <f t="shared" ref="CP524:CP525" si="1015">CO524-CN524</f>
        <v>-25</v>
      </c>
      <c r="CQ524" s="242"/>
      <c r="CR524" s="304">
        <f>CR510</f>
        <v>0</v>
      </c>
      <c r="CS524" s="34">
        <f t="shared" si="1002"/>
        <v>25</v>
      </c>
      <c r="CT524" s="123"/>
      <c r="CU524" s="8"/>
      <c r="CV524" s="34"/>
      <c r="CW524" s="736"/>
      <c r="CX524" s="123"/>
      <c r="CY524" s="8"/>
      <c r="CZ524" s="34"/>
      <c r="DA524" s="736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992"/>
        <v>25</v>
      </c>
      <c r="DI524" s="302">
        <f>DI510</f>
        <v>0</v>
      </c>
      <c r="DJ524" s="7">
        <f t="shared" ref="DJ524:DJ525" si="1016">DI524-DH524</f>
        <v>-25</v>
      </c>
      <c r="DK524" s="242"/>
      <c r="DL524" s="304">
        <f>DL510</f>
        <v>0</v>
      </c>
      <c r="DM524" s="34">
        <f t="shared" si="1004"/>
        <v>25</v>
      </c>
    </row>
    <row r="525" spans="1:117" x14ac:dyDescent="0.3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991"/>
        <v>-43</v>
      </c>
      <c r="L525" s="29">
        <v>47</v>
      </c>
      <c r="M525" s="298">
        <f>M510*2</f>
        <v>4</v>
      </c>
      <c r="N525" s="5">
        <f t="shared" si="1011"/>
        <v>-43</v>
      </c>
      <c r="O525" s="256"/>
      <c r="P525" s="303">
        <f>P510*2</f>
        <v>4</v>
      </c>
      <c r="Q525" s="35">
        <f t="shared" si="994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>Q525</f>
        <v>43</v>
      </c>
      <c r="AG525" s="298">
        <f>AG510*2</f>
        <v>0</v>
      </c>
      <c r="AH525" s="5">
        <f t="shared" si="1012"/>
        <v>-43</v>
      </c>
      <c r="AI525" s="256"/>
      <c r="AJ525" s="303">
        <f>AJ510*2</f>
        <v>0</v>
      </c>
      <c r="AK525" s="35">
        <f t="shared" si="996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008"/>
        <v>43</v>
      </c>
      <c r="BA525" s="298">
        <f>BA510*2</f>
        <v>0</v>
      </c>
      <c r="BB525" s="5">
        <f t="shared" si="1013"/>
        <v>-43</v>
      </c>
      <c r="BC525" s="256"/>
      <c r="BD525" s="303">
        <f>BD510*2</f>
        <v>0</v>
      </c>
      <c r="BE525" s="35">
        <f t="shared" si="998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009"/>
        <v>43</v>
      </c>
      <c r="BU525" s="298">
        <f>BU510*2</f>
        <v>0</v>
      </c>
      <c r="BV525" s="5">
        <f t="shared" si="1014"/>
        <v>-43</v>
      </c>
      <c r="BW525" s="256"/>
      <c r="BX525" s="303">
        <f>BX510*2</f>
        <v>0</v>
      </c>
      <c r="BY525" s="35">
        <f t="shared" si="1000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010"/>
        <v>43</v>
      </c>
      <c r="CO525" s="298">
        <f>CO510*2</f>
        <v>0</v>
      </c>
      <c r="CP525" s="5">
        <f t="shared" si="1015"/>
        <v>-43</v>
      </c>
      <c r="CQ525" s="240"/>
      <c r="CR525" s="303">
        <f>CR510*2</f>
        <v>0</v>
      </c>
      <c r="CS525" s="35">
        <f t="shared" si="1002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992"/>
        <v>43</v>
      </c>
      <c r="DI525" s="298">
        <f>DI510*2</f>
        <v>0</v>
      </c>
      <c r="DJ525" s="5">
        <f t="shared" si="1016"/>
        <v>-43</v>
      </c>
      <c r="DK525" s="240"/>
      <c r="DL525" s="303">
        <f>DL510*2</f>
        <v>0</v>
      </c>
      <c r="DM525" s="35">
        <f t="shared" si="1004"/>
        <v>43</v>
      </c>
    </row>
    <row r="526" spans="1:117" ht="15" thickBot="1" x14ac:dyDescent="0.35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" thickBot="1" x14ac:dyDescent="0.35">
      <c r="P527" s="248"/>
      <c r="AJ527" s="248"/>
      <c r="BD527" s="248"/>
      <c r="BX527" s="248"/>
      <c r="CR527" s="248"/>
      <c r="DL527" s="248"/>
    </row>
    <row r="528" spans="1:117" ht="28.8" x14ac:dyDescent="0.3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" thickBot="1" x14ac:dyDescent="0.35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" thickBot="1" x14ac:dyDescent="0.35">
      <c r="P530" s="248"/>
      <c r="AJ530" s="248"/>
      <c r="BD530" s="248"/>
      <c r="BX530" s="248"/>
      <c r="CR530" s="248"/>
      <c r="DL530" s="248"/>
    </row>
    <row r="531" spans="1:117" ht="15" thickBot="1" x14ac:dyDescent="0.35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2" x14ac:dyDescent="0.3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3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>SUM(M533,AG533,BA533,BU533)-L533</f>
        <v>4</v>
      </c>
      <c r="K533" s="395">
        <f t="shared" ref="K533:K542" si="1017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>SUM(M533,AG533)-SUM(O533,AI533)-L533</f>
        <v>-20</v>
      </c>
      <c r="AF533" s="29">
        <f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823"/>
      <c r="CH533" s="21"/>
      <c r="CI533" s="6"/>
      <c r="CJ533" s="35"/>
      <c r="CK533" s="234"/>
      <c r="CL533" s="234"/>
      <c r="CM533" s="395">
        <f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>SUM(M533,AG533,BA533,BU533,DI533)-SUM(O533,AI533,BC533,BW533,CQ533)-L533</f>
        <v>-21</v>
      </c>
      <c r="DH533" s="32">
        <f t="shared" ref="DH533:DH542" si="1018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28.8" x14ac:dyDescent="0.3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>SUM(M534,AG534,BA534,BU534)-L534</f>
        <v>5</v>
      </c>
      <c r="K534" s="395">
        <f t="shared" si="1017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>SUM(M534,AG534)-SUM(O534,AI534)-L534</f>
        <v>-19</v>
      </c>
      <c r="AF534" s="29">
        <f>Q534</f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>SUM(M534,AG534,BA534)-SUM(O534,AI534,BC534)-L534</f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>SUM(M534,AG534,BA534,BU534)-SUM(O534,AI534,BC534,BW534)-L534</f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823"/>
      <c r="CH534" s="21"/>
      <c r="CI534" s="6"/>
      <c r="CJ534" s="35"/>
      <c r="CK534" s="234"/>
      <c r="CL534" s="234"/>
      <c r="CM534" s="395">
        <f>SUM(M534,AG534,BA534,BU534,CO534)-SUM(O534,AI534,BC534,BW534,CQ534)-L534</f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>SUM(M534,AG534,BA534,BU534,DI534)-SUM(O534,AI534,BC534,BW534,CQ534)-L534</f>
        <v>-20</v>
      </c>
      <c r="DH534" s="32">
        <f t="shared" si="1018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3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>SUM(M535,AG535,BA535,BU535)-L535</f>
        <v>4</v>
      </c>
      <c r="K535" s="395">
        <f t="shared" si="1017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36"/>
      <c r="V535" s="121"/>
      <c r="W535" s="6"/>
      <c r="X535" s="34"/>
      <c r="Y535" s="736"/>
      <c r="Z535" s="121"/>
      <c r="AA535" s="6"/>
      <c r="AB535" s="34"/>
      <c r="AC535" s="234"/>
      <c r="AD535" s="234"/>
      <c r="AE535" s="398">
        <f>SUM(M535,AG535)-SUM(O535,AI535)-L535</f>
        <v>-20</v>
      </c>
      <c r="AF535" s="29">
        <f>Q535</f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36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>SUM(M535,AG535,BA535)-SUM(O535,AI535,BC535)-L535</f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55"/>
      <c r="BN535" s="21"/>
      <c r="BO535" s="6"/>
      <c r="BP535" s="35"/>
      <c r="BQ535" s="234"/>
      <c r="BR535" s="234"/>
      <c r="BS535" s="395">
        <f>SUM(M535,AG535,BA535,BU535)-SUM(O535,AI535,BC535,BW535)-L535</f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55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45"/>
      <c r="CL535" s="845"/>
      <c r="CM535" s="395">
        <f>SUM(M535,AG535,BA535,BU535,CO535)-SUM(O535,AI535,BC535,BW535,CQ535)-L535</f>
        <v>-21</v>
      </c>
      <c r="CN535" s="29">
        <f t="shared" ref="CN535:CN542" si="1019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34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>SUM(M535,AG535,BA535,BU535,DI535)-SUM(O535,AI535,BC535,BW535,CQ535)-L535</f>
        <v>-21</v>
      </c>
      <c r="DH535" s="32">
        <f t="shared" si="1018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3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>SUM(M536,AG536,BA536,BU536)-L536</f>
        <v>4</v>
      </c>
      <c r="K536" s="395">
        <f t="shared" si="1017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>SUM(M536,AG536)-SUM(O536,AI536)-L536</f>
        <v>-20</v>
      </c>
      <c r="AF536" s="29">
        <f>Q536</f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>SUM(M536,AG536,BA536)-SUM(O536,AI536,BC536)-L536</f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>SUM(M536,AG536,BA536,BU536)-SUM(O536,AI536,BC536,BW536)-L536</f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45"/>
      <c r="CL536" s="845"/>
      <c r="CM536" s="395">
        <f>SUM(M536,AG536,BA536,BU536,CO536)-SUM(O536,AI536,BC536,BW536,CQ536)-L536</f>
        <v>-21</v>
      </c>
      <c r="CN536" s="29">
        <f t="shared" si="1019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34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>SUM(M536,AG536,BA536,BU536,DI536)-SUM(O536,AI536,BC536,BW536,CQ536)-L536</f>
        <v>-21</v>
      </c>
      <c r="DH536" s="32">
        <f t="shared" si="1018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3.2" x14ac:dyDescent="0.3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>SUM(M537,AG537,BA537,BU537)-L537</f>
        <v>4</v>
      </c>
      <c r="K537" s="395">
        <f t="shared" si="1017"/>
        <v>-22</v>
      </c>
      <c r="L537" s="544">
        <v>25</v>
      </c>
      <c r="M537" s="344">
        <f>SUM(M531:M532)</f>
        <v>3</v>
      </c>
      <c r="N537" s="5">
        <f t="shared" ref="N537:N541" si="1020">M537-L537</f>
        <v>-22</v>
      </c>
      <c r="O537" s="258"/>
      <c r="P537" s="303">
        <f>SUM(P531:P532)</f>
        <v>3</v>
      </c>
      <c r="Q537" s="35">
        <f t="shared" ref="Q537:Q542" si="1021">L537+O537-P537</f>
        <v>22</v>
      </c>
      <c r="R537" s="121"/>
      <c r="S537" s="6"/>
      <c r="T537" s="34"/>
      <c r="U537" s="736"/>
      <c r="V537" s="121"/>
      <c r="W537" s="6"/>
      <c r="X537" s="34"/>
      <c r="Y537" s="736"/>
      <c r="Z537" s="21"/>
      <c r="AA537" s="6"/>
      <c r="AB537" s="34"/>
      <c r="AC537" s="234"/>
      <c r="AD537" s="234"/>
      <c r="AE537" s="398">
        <f>SUM(M537,AG537)-SUM(O537,AI537)-L537</f>
        <v>-20</v>
      </c>
      <c r="AF537" s="29">
        <f>Q537</f>
        <v>22</v>
      </c>
      <c r="AG537" s="344">
        <f>SUM(AG531:AG532)</f>
        <v>2</v>
      </c>
      <c r="AH537" s="5">
        <f t="shared" ref="AH537" si="1022">AG537-AF537</f>
        <v>-20</v>
      </c>
      <c r="AI537" s="256"/>
      <c r="AJ537" s="303">
        <f>SUM(AJ531:AJ532)</f>
        <v>6</v>
      </c>
      <c r="AK537" s="35">
        <f t="shared" ref="AK537" si="1023">AF537+AI537-AJ537</f>
        <v>16</v>
      </c>
      <c r="AL537" s="121"/>
      <c r="AM537" s="6"/>
      <c r="AN537" s="34"/>
      <c r="AO537" s="736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>SUM(M537,AG537,BA537)-SUM(O537,AI537,BC537)-L537</f>
        <v>-10</v>
      </c>
      <c r="AZ537" s="29">
        <f t="shared" ref="AZ537" si="1024">AK537</f>
        <v>16</v>
      </c>
      <c r="BA537" s="344">
        <f>SUM(BA531:BA532)</f>
        <v>10</v>
      </c>
      <c r="BB537" s="5">
        <f t="shared" ref="BB537" si="1025">BA537-AZ537</f>
        <v>-6</v>
      </c>
      <c r="BC537" s="242"/>
      <c r="BD537" s="303">
        <f>SUM(BD531:BD532)</f>
        <v>9</v>
      </c>
      <c r="BE537" s="35">
        <f t="shared" ref="BE537" si="1026">AZ537+BC537-BD537</f>
        <v>7</v>
      </c>
      <c r="BF537" s="121"/>
      <c r="BG537" s="6"/>
      <c r="BH537" s="35"/>
      <c r="BI537" s="612"/>
      <c r="BJ537" s="121"/>
      <c r="BK537" s="6"/>
      <c r="BL537" s="257"/>
      <c r="BM537" s="755"/>
      <c r="BN537" s="21"/>
      <c r="BO537" s="6"/>
      <c r="BP537" s="35"/>
      <c r="BQ537" s="234"/>
      <c r="BR537" s="234"/>
      <c r="BS537" s="395">
        <f>SUM(M537,AG537,BA537,BU537)-SUM(O537,AI537,BC537,BW537)-L537</f>
        <v>-21</v>
      </c>
      <c r="BT537" s="29">
        <f t="shared" ref="BT537" si="1027">BE537</f>
        <v>7</v>
      </c>
      <c r="BU537" s="344">
        <f>SUM(BU531:BU532)</f>
        <v>14</v>
      </c>
      <c r="BV537" s="5">
        <f t="shared" ref="BV537" si="1028">BU537-BT537</f>
        <v>7</v>
      </c>
      <c r="BW537" s="242">
        <v>25</v>
      </c>
      <c r="BX537" s="303">
        <f>SUM(BX531:BX532)</f>
        <v>10</v>
      </c>
      <c r="BY537" s="35">
        <f t="shared" ref="BY537" si="1029">BT537+BW537-BX537</f>
        <v>22</v>
      </c>
      <c r="BZ537" s="121"/>
      <c r="CA537" s="6"/>
      <c r="CB537" s="257"/>
      <c r="CC537" s="755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45"/>
      <c r="CL537" s="845"/>
      <c r="CM537" s="395">
        <f>SUM(M537,AG537,BA537,BU537,CO537)-SUM(O537,AI537,BC537,BW537,CQ537)-L537</f>
        <v>-21</v>
      </c>
      <c r="CN537" s="29">
        <f t="shared" si="1019"/>
        <v>22</v>
      </c>
      <c r="CO537" s="344">
        <f>SUM(CO531:CO532)</f>
        <v>0</v>
      </c>
      <c r="CP537" s="5">
        <f t="shared" ref="CP537" si="1030">CO537-CN537</f>
        <v>-22</v>
      </c>
      <c r="CQ537" s="256"/>
      <c r="CR537" s="303">
        <f>SUM(CR531:CR532)</f>
        <v>0</v>
      </c>
      <c r="CS537" s="35">
        <f t="shared" ref="CS537" si="1031">CN537+CQ537-CR537</f>
        <v>22</v>
      </c>
      <c r="CT537" s="121"/>
      <c r="CU537" s="199">
        <v>4675</v>
      </c>
      <c r="CV537" s="148"/>
      <c r="CW537" s="734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>SUM(M537,AG537,BA537,BU537,DI537)-SUM(O537,AI537,BC537,BW537,CQ537)-L537</f>
        <v>-21</v>
      </c>
      <c r="DH537" s="32">
        <f t="shared" si="1018"/>
        <v>22</v>
      </c>
      <c r="DI537" s="344">
        <f>SUM(DI531:DI532)</f>
        <v>0</v>
      </c>
      <c r="DJ537" s="5">
        <f t="shared" ref="DJ537" si="1032">DI537-DH537</f>
        <v>-22</v>
      </c>
      <c r="DK537" s="256"/>
      <c r="DL537" s="303">
        <f>SUM(DL531:DL532)</f>
        <v>0</v>
      </c>
      <c r="DM537" s="35">
        <f t="shared" ref="DM537" si="1033">DH537+DK537-DL537</f>
        <v>22</v>
      </c>
    </row>
    <row r="538" spans="1:117" x14ac:dyDescent="0.3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>SUM(M538,AG538,BA538,BU538)-L538</f>
        <v>2</v>
      </c>
      <c r="K538" s="395">
        <f t="shared" si="1017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36"/>
      <c r="V538" s="123"/>
      <c r="W538" s="8"/>
      <c r="X538" s="34"/>
      <c r="Y538" s="736"/>
      <c r="Z538" s="20"/>
      <c r="AA538" s="8"/>
      <c r="AB538" s="34"/>
      <c r="AC538" s="234"/>
      <c r="AD538" s="234"/>
      <c r="AE538" s="398">
        <f>SUM(M538,AG538)-SUM(O538,AI538)-L538</f>
        <v>-22</v>
      </c>
      <c r="AF538" s="29">
        <f>Q538</f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36"/>
      <c r="AP538" s="123"/>
      <c r="AQ538" s="8"/>
      <c r="AR538" s="34"/>
      <c r="AS538" s="736"/>
      <c r="AT538" s="20"/>
      <c r="AU538" s="8"/>
      <c r="AV538" s="34"/>
      <c r="AW538" s="234"/>
      <c r="AX538" s="234"/>
      <c r="AY538" s="395">
        <f>SUM(M538,AG538,BA538)-SUM(O538,AI538,BC538)-L538</f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55"/>
      <c r="BN538" s="21"/>
      <c r="BO538" s="6"/>
      <c r="BP538" s="35"/>
      <c r="BQ538" s="234"/>
      <c r="BR538" s="234"/>
      <c r="BS538" s="395">
        <f>SUM(M538,AG538,BA538,BU538)-SUM(O538,AI538,BC538,BW538)-L538</f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53"/>
      <c r="CD538" s="123"/>
      <c r="CE538" s="8"/>
      <c r="CF538" s="35"/>
      <c r="CG538" s="797"/>
      <c r="CH538" s="213">
        <v>6250</v>
      </c>
      <c r="CI538" s="213"/>
      <c r="CJ538" s="148" t="s">
        <v>825</v>
      </c>
      <c r="CK538" s="845"/>
      <c r="CL538" s="845"/>
      <c r="CM538" s="395">
        <f>SUM(M538,AG538,BA538,BU538,CO538)-SUM(O538,AI538,BC538,BW538,CQ538)-L538</f>
        <v>-23</v>
      </c>
      <c r="CN538" s="29">
        <f t="shared" si="1019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834"/>
      <c r="CX538" s="123"/>
      <c r="CY538" s="8"/>
      <c r="CZ538" s="34"/>
      <c r="DA538" s="736"/>
      <c r="DB538" s="20"/>
      <c r="DC538" s="8"/>
      <c r="DD538" s="34"/>
      <c r="DE538" s="234"/>
      <c r="DF538" s="234"/>
      <c r="DG538" s="395">
        <f>SUM(M538,AG538,BA538,BU538,DI538)-SUM(O538,AI538,BC538,BW538,CQ538)-L538</f>
        <v>-23</v>
      </c>
      <c r="DH538" s="32">
        <f t="shared" si="1018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3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>SUM(M539,AG539,BA539,BU539)-L539</f>
        <v>4</v>
      </c>
      <c r="K539" s="395">
        <f t="shared" si="1017"/>
        <v>-22</v>
      </c>
      <c r="L539" s="544">
        <v>25</v>
      </c>
      <c r="M539" s="344">
        <f>SUM(M531:M532)</f>
        <v>3</v>
      </c>
      <c r="N539" s="5">
        <f t="shared" si="1020"/>
        <v>-22</v>
      </c>
      <c r="O539" s="240"/>
      <c r="P539" s="303">
        <f>SUM(P531:P532)</f>
        <v>3</v>
      </c>
      <c r="Q539" s="35">
        <f t="shared" si="1021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>SUM(M539,AG539)-SUM(O539,AI539)-L539</f>
        <v>-20</v>
      </c>
      <c r="AF539" s="29">
        <f>Q539</f>
        <v>22</v>
      </c>
      <c r="AG539" s="344">
        <f>SUM(AG531:AG532)</f>
        <v>2</v>
      </c>
      <c r="AH539" s="5">
        <f t="shared" ref="AH539:AH542" si="1034">AG539-AF539</f>
        <v>-20</v>
      </c>
      <c r="AI539" s="256"/>
      <c r="AJ539" s="303">
        <f>SUM(AJ531:AJ532)</f>
        <v>6</v>
      </c>
      <c r="AK539" s="35">
        <f t="shared" ref="AK539:AK542" si="1035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>SUM(M539,AG539,BA539)-SUM(O539,AI539,BC539)-L539</f>
        <v>-10</v>
      </c>
      <c r="AZ539" s="29">
        <f>AK539</f>
        <v>16</v>
      </c>
      <c r="BA539" s="344">
        <f>SUM(BA531:BA532)</f>
        <v>10</v>
      </c>
      <c r="BB539" s="5">
        <f t="shared" ref="BB539:BB542" si="1036">BA539-AZ539</f>
        <v>-6</v>
      </c>
      <c r="BC539" s="242"/>
      <c r="BD539" s="303">
        <f>SUM(BD531:BD532)</f>
        <v>9</v>
      </c>
      <c r="BE539" s="35">
        <f t="shared" ref="BE539:BE542" si="1037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>SUM(M539,AG539,BA539,BU539)-SUM(O539,AI539,BC539,BW539)-L539</f>
        <v>-21</v>
      </c>
      <c r="BT539" s="29">
        <f>BE539</f>
        <v>7</v>
      </c>
      <c r="BU539" s="344">
        <f>SUM(BU531:BU532)</f>
        <v>14</v>
      </c>
      <c r="BV539" s="5">
        <f t="shared" ref="BV539:BV542" si="1038">BU539-BT539</f>
        <v>7</v>
      </c>
      <c r="BW539" s="623">
        <v>25</v>
      </c>
      <c r="BX539" s="303">
        <f>SUM(BX531:BX532)</f>
        <v>10</v>
      </c>
      <c r="BY539" s="35">
        <f t="shared" ref="BY539:BY542" si="1039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809"/>
      <c r="CH539" s="21"/>
      <c r="CI539" s="6"/>
      <c r="CJ539" s="35"/>
      <c r="CK539" s="234"/>
      <c r="CL539" s="234"/>
      <c r="CM539" s="395">
        <f>SUM(M539,AG539,BA539,BU539,CO539)-SUM(O539,AI539,BC539,BW539,CQ539)-L539</f>
        <v>-21</v>
      </c>
      <c r="CN539" s="29">
        <f t="shared" si="1019"/>
        <v>22</v>
      </c>
      <c r="CO539" s="344">
        <f>SUM(CO531:CO532)</f>
        <v>0</v>
      </c>
      <c r="CP539" s="5">
        <f t="shared" ref="CP539:CP542" si="1040">CO539-CN539</f>
        <v>-22</v>
      </c>
      <c r="CQ539" s="256"/>
      <c r="CR539" s="303">
        <f>SUM(CR531:CR532)</f>
        <v>0</v>
      </c>
      <c r="CS539" s="35">
        <f t="shared" ref="CS539:CS542" si="1041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>SUM(M539,AG539,BA539,BU539,DI539)-SUM(O539,AI539,BC539,BW539,CQ539)-L539</f>
        <v>-21</v>
      </c>
      <c r="DH539" s="32">
        <f t="shared" si="1018"/>
        <v>22</v>
      </c>
      <c r="DI539" s="344">
        <f>SUM(DI531:DI532)</f>
        <v>0</v>
      </c>
      <c r="DJ539" s="5">
        <f t="shared" ref="DJ539:DJ542" si="1042">DI539-DH539</f>
        <v>-22</v>
      </c>
      <c r="DK539" s="256"/>
      <c r="DL539" s="303">
        <f>SUM(DL531:DL532)</f>
        <v>0</v>
      </c>
      <c r="DM539" s="35">
        <f t="shared" ref="DM539:DM542" si="1043">DH539+DK539-DL539</f>
        <v>22</v>
      </c>
    </row>
    <row r="540" spans="1:117" x14ac:dyDescent="0.3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>SUM(M540,AG540,BA540,BU540)-L540</f>
        <v>4</v>
      </c>
      <c r="K540" s="395">
        <f t="shared" si="1017"/>
        <v>-22</v>
      </c>
      <c r="L540" s="544">
        <v>25</v>
      </c>
      <c r="M540" s="344">
        <f>SUM(M531:M532)</f>
        <v>3</v>
      </c>
      <c r="N540" s="5">
        <f t="shared" si="1020"/>
        <v>-22</v>
      </c>
      <c r="O540" s="240"/>
      <c r="P540" s="303">
        <f>SUM(P531:P532)</f>
        <v>3</v>
      </c>
      <c r="Q540" s="35">
        <f t="shared" si="1021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>SUM(M540,AG540)-SUM(O540,AI540)-L540</f>
        <v>-20</v>
      </c>
      <c r="AF540" s="29">
        <f>Q540</f>
        <v>22</v>
      </c>
      <c r="AG540" s="344">
        <f>SUM(AG531:AG532)</f>
        <v>2</v>
      </c>
      <c r="AH540" s="5">
        <f t="shared" si="1034"/>
        <v>-20</v>
      </c>
      <c r="AI540" s="256"/>
      <c r="AJ540" s="303">
        <f>SUM(AJ531:AJ532)</f>
        <v>6</v>
      </c>
      <c r="AK540" s="35">
        <f t="shared" si="1035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>SUM(M540,AG540,BA540)-SUM(O540,AI540,BC540)-L540</f>
        <v>-10</v>
      </c>
      <c r="AZ540" s="29">
        <f t="shared" ref="AZ540:AZ542" si="1044">AK540</f>
        <v>16</v>
      </c>
      <c r="BA540" s="344">
        <f>SUM(BA531:BA532)</f>
        <v>10</v>
      </c>
      <c r="BB540" s="5">
        <f t="shared" si="1036"/>
        <v>-6</v>
      </c>
      <c r="BC540" s="242"/>
      <c r="BD540" s="303">
        <f>SUM(BD531:BD532)</f>
        <v>9</v>
      </c>
      <c r="BE540" s="35">
        <f t="shared" si="1037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>SUM(M540,AG540,BA540,BU540)-SUM(O540,AI540,BC540,BW540)-L540</f>
        <v>-21</v>
      </c>
      <c r="BT540" s="29">
        <f t="shared" ref="BT540:BT542" si="1045">BE540</f>
        <v>7</v>
      </c>
      <c r="BU540" s="344">
        <f>SUM(BU531:BU532)</f>
        <v>14</v>
      </c>
      <c r="BV540" s="5">
        <f t="shared" si="1038"/>
        <v>7</v>
      </c>
      <c r="BW540" s="242">
        <v>25</v>
      </c>
      <c r="BX540" s="303">
        <f>SUM(BX531:BX532)</f>
        <v>10</v>
      </c>
      <c r="BY540" s="35">
        <f t="shared" si="1039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>SUM(M540,AG540,BA540,BU540,CO540)-SUM(O540,AI540,BC540,BW540,CQ540)-L540</f>
        <v>-21</v>
      </c>
      <c r="CN540" s="29">
        <f t="shared" si="1019"/>
        <v>22</v>
      </c>
      <c r="CO540" s="344">
        <f>SUM(CO531:CO532)</f>
        <v>0</v>
      </c>
      <c r="CP540" s="5">
        <f t="shared" si="1040"/>
        <v>-22</v>
      </c>
      <c r="CQ540" s="256"/>
      <c r="CR540" s="303">
        <f>SUM(CR531:CR532)</f>
        <v>0</v>
      </c>
      <c r="CS540" s="35">
        <f t="shared" si="1041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>SUM(M540,AG540,BA540,BU540,DI540)-SUM(O540,AI540,BC540,BW540,CQ540)-L540</f>
        <v>-21</v>
      </c>
      <c r="DH540" s="32">
        <f t="shared" si="1018"/>
        <v>22</v>
      </c>
      <c r="DI540" s="344">
        <f>SUM(DI531:DI532)</f>
        <v>0</v>
      </c>
      <c r="DJ540" s="5">
        <f t="shared" si="1042"/>
        <v>-22</v>
      </c>
      <c r="DK540" s="256"/>
      <c r="DL540" s="303">
        <f>SUM(DL531:DL532)</f>
        <v>0</v>
      </c>
      <c r="DM540" s="35">
        <f t="shared" si="1043"/>
        <v>22</v>
      </c>
    </row>
    <row r="541" spans="1:117" x14ac:dyDescent="0.3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>SUM(M541,AG541,BA541,BU541)-L541</f>
        <v>-482</v>
      </c>
      <c r="K541" s="395">
        <f t="shared" si="1017"/>
        <v>-534</v>
      </c>
      <c r="L541" s="544">
        <v>540</v>
      </c>
      <c r="M541" s="424">
        <f>SUM(M531:M532)*2</f>
        <v>6</v>
      </c>
      <c r="N541" s="5">
        <f t="shared" si="1020"/>
        <v>-534</v>
      </c>
      <c r="O541" s="258"/>
      <c r="P541" s="304">
        <f>SUM(P531:P532)*2</f>
        <v>6</v>
      </c>
      <c r="Q541" s="34">
        <f t="shared" si="1021"/>
        <v>534</v>
      </c>
      <c r="R541" s="123"/>
      <c r="S541" s="8"/>
      <c r="T541" s="34"/>
      <c r="U541" s="736"/>
      <c r="V541" s="123"/>
      <c r="W541" s="8"/>
      <c r="X541" s="34"/>
      <c r="Y541" s="736"/>
      <c r="Z541" s="20"/>
      <c r="AA541" s="8"/>
      <c r="AB541" s="34"/>
      <c r="AC541" s="234"/>
      <c r="AD541" s="234"/>
      <c r="AE541" s="398">
        <f>SUM(M541,AG541)-SUM(O541,AI541)-L541</f>
        <v>-530</v>
      </c>
      <c r="AF541" s="29">
        <f>Q541</f>
        <v>534</v>
      </c>
      <c r="AG541" s="424">
        <f>SUM(AG531:AG532)*2</f>
        <v>4</v>
      </c>
      <c r="AH541" s="5">
        <f t="shared" si="1034"/>
        <v>-530</v>
      </c>
      <c r="AI541" s="258"/>
      <c r="AJ541" s="304">
        <f>SUM(AJ531:AJ532)*2</f>
        <v>12</v>
      </c>
      <c r="AK541" s="34">
        <f t="shared" si="1035"/>
        <v>522</v>
      </c>
      <c r="AL541" s="123"/>
      <c r="AM541" s="8"/>
      <c r="AN541" s="34"/>
      <c r="AO541" s="736"/>
      <c r="AP541" s="123"/>
      <c r="AQ541" s="8"/>
      <c r="AR541" s="34"/>
      <c r="AS541" s="736"/>
      <c r="AT541" s="20"/>
      <c r="AU541" s="8"/>
      <c r="AV541" s="34"/>
      <c r="AW541" s="234"/>
      <c r="AX541" s="234"/>
      <c r="AY541" s="395">
        <f>SUM(M541,AG541,BA541)-SUM(O541,AI541,BC541)-L541</f>
        <v>-510</v>
      </c>
      <c r="AZ541" s="29">
        <f t="shared" si="1044"/>
        <v>522</v>
      </c>
      <c r="BA541" s="424">
        <f>SUM(BA531:BA532)*2</f>
        <v>20</v>
      </c>
      <c r="BB541" s="5">
        <f t="shared" si="1036"/>
        <v>-502</v>
      </c>
      <c r="BC541" s="242"/>
      <c r="BD541" s="304">
        <f>SUM(BD531:BD532)*2</f>
        <v>18</v>
      </c>
      <c r="BE541" s="34">
        <f t="shared" si="1037"/>
        <v>504</v>
      </c>
      <c r="BF541" s="123"/>
      <c r="BG541" s="8"/>
      <c r="BH541" s="34"/>
      <c r="BI541" s="736"/>
      <c r="BJ541" s="123"/>
      <c r="BK541" s="8"/>
      <c r="BL541" s="34"/>
      <c r="BM541" s="736"/>
      <c r="BN541" s="21"/>
      <c r="BO541" s="8"/>
      <c r="BP541" s="35"/>
      <c r="BQ541" s="234"/>
      <c r="BR541" s="234"/>
      <c r="BS541" s="395">
        <f>SUM(M541,AG541,BA541,BU541)-SUM(O541,AI541,BC541,BW541)-L541</f>
        <v>-507</v>
      </c>
      <c r="BT541" s="29">
        <f t="shared" si="1045"/>
        <v>504</v>
      </c>
      <c r="BU541" s="424">
        <f>SUM(BU531:BU532)*2</f>
        <v>28</v>
      </c>
      <c r="BV541" s="5">
        <f t="shared" si="1038"/>
        <v>-476</v>
      </c>
      <c r="BW541" s="242">
        <v>25</v>
      </c>
      <c r="BX541" s="304">
        <f>SUM(BX531:BX532)*2</f>
        <v>20</v>
      </c>
      <c r="BY541" s="34">
        <f t="shared" si="1039"/>
        <v>509</v>
      </c>
      <c r="BZ541" s="123"/>
      <c r="CA541" s="8"/>
      <c r="CB541" s="34"/>
      <c r="CC541" s="736"/>
      <c r="CD541" s="123"/>
      <c r="CE541" s="8"/>
      <c r="CF541" s="35"/>
      <c r="CG541" s="736"/>
      <c r="CH541" s="20"/>
      <c r="CI541" s="8"/>
      <c r="CJ541" s="34"/>
      <c r="CK541" s="234"/>
      <c r="CL541" s="234"/>
      <c r="CM541" s="395">
        <f>SUM(M541,AG541,BA541,BU541,CO541)-SUM(O541,AI541,BC541,BW541,CQ541)-L541</f>
        <v>-507</v>
      </c>
      <c r="CN541" s="29">
        <f t="shared" si="1019"/>
        <v>509</v>
      </c>
      <c r="CO541" s="424">
        <f>SUM(CO531:CO532)*2</f>
        <v>0</v>
      </c>
      <c r="CP541" s="5">
        <f t="shared" si="1040"/>
        <v>-509</v>
      </c>
      <c r="CQ541" s="258"/>
      <c r="CR541" s="304">
        <f>SUM(CR531:CR532)*2</f>
        <v>0</v>
      </c>
      <c r="CS541" s="34">
        <f t="shared" si="1041"/>
        <v>509</v>
      </c>
      <c r="CT541" s="123"/>
      <c r="CU541" s="8"/>
      <c r="CV541" s="34"/>
      <c r="CW541" s="736"/>
      <c r="CX541" s="123"/>
      <c r="CY541" s="8"/>
      <c r="CZ541" s="34"/>
      <c r="DA541" s="736"/>
      <c r="DB541" s="20"/>
      <c r="DC541" s="8"/>
      <c r="DD541" s="34"/>
      <c r="DE541" s="234"/>
      <c r="DF541" s="234"/>
      <c r="DG541" s="395">
        <f>SUM(M541,AG541,BA541,BU541,DI541)-SUM(O541,AI541,BC541,BW541,CQ541)-L541</f>
        <v>-507</v>
      </c>
      <c r="DH541" s="32">
        <f t="shared" si="1018"/>
        <v>509</v>
      </c>
      <c r="DI541" s="424">
        <f>SUM(DI531:DI532)*2</f>
        <v>0</v>
      </c>
      <c r="DJ541" s="5">
        <f t="shared" si="1042"/>
        <v>-509</v>
      </c>
      <c r="DK541" s="258"/>
      <c r="DL541" s="304">
        <f>SUM(DL531:DL532)*2</f>
        <v>0</v>
      </c>
      <c r="DM541" s="34">
        <f t="shared" si="1043"/>
        <v>509</v>
      </c>
    </row>
    <row r="542" spans="1:117" x14ac:dyDescent="0.3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>SUM(M542,AG542,BA542,BU542)-L542</f>
        <v>-6</v>
      </c>
      <c r="K542" s="395">
        <f t="shared" si="1017"/>
        <v>-32</v>
      </c>
      <c r="L542" s="544">
        <v>35</v>
      </c>
      <c r="M542" s="344">
        <f>SUM(M531:M532)</f>
        <v>3</v>
      </c>
      <c r="N542" s="5">
        <f t="shared" ref="N542" si="1046">M542-L542</f>
        <v>-32</v>
      </c>
      <c r="O542" s="258"/>
      <c r="P542" s="303">
        <f>SUM(P531:P532)</f>
        <v>3</v>
      </c>
      <c r="Q542" s="35">
        <f t="shared" si="1021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>SUM(M542,AG542)-SUM(O542,AI542)-L542</f>
        <v>-30</v>
      </c>
      <c r="AF542" s="29">
        <f>Q542</f>
        <v>32</v>
      </c>
      <c r="AG542" s="344">
        <f>SUM(AG531:AG532)</f>
        <v>2</v>
      </c>
      <c r="AH542" s="5">
        <f t="shared" si="1034"/>
        <v>-30</v>
      </c>
      <c r="AI542" s="256"/>
      <c r="AJ542" s="303">
        <f>SUM(AJ531:AJ532)</f>
        <v>6</v>
      </c>
      <c r="AK542" s="35">
        <f t="shared" si="1035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>SUM(M542,AG542,BA542)-SUM(O542,AI542,BC542)-L542</f>
        <v>-20</v>
      </c>
      <c r="AZ542" s="29">
        <f t="shared" si="1044"/>
        <v>26</v>
      </c>
      <c r="BA542" s="344">
        <f>SUM(BA531:BA532)</f>
        <v>10</v>
      </c>
      <c r="BB542" s="5">
        <f t="shared" si="1036"/>
        <v>-16</v>
      </c>
      <c r="BC542" s="240"/>
      <c r="BD542" s="303">
        <f>SUM(BD531:BD532)</f>
        <v>9</v>
      </c>
      <c r="BE542" s="35">
        <f t="shared" si="1037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>SUM(M542,AG542,BA542,BU542)-SUM(O542,AI542,BC542,BW542)-L542</f>
        <v>-6</v>
      </c>
      <c r="BT542" s="29">
        <f t="shared" si="1045"/>
        <v>17</v>
      </c>
      <c r="BU542" s="344">
        <f>SUM(BU531:BU532)</f>
        <v>14</v>
      </c>
      <c r="BV542" s="5">
        <f t="shared" si="1038"/>
        <v>-3</v>
      </c>
      <c r="BW542" s="445"/>
      <c r="BX542" s="303">
        <f>SUM(BX531:BX532)</f>
        <v>10</v>
      </c>
      <c r="BY542" s="35">
        <f t="shared" si="1039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>SUM(M542,AG542,BA542,BU542,CO542)-SUM(O542,AI542,BC542,BW542,CQ542)-L542</f>
        <v>-6</v>
      </c>
      <c r="CN542" s="29">
        <f t="shared" si="1019"/>
        <v>7</v>
      </c>
      <c r="CO542" s="344">
        <f>SUM(CO531:CO532)</f>
        <v>0</v>
      </c>
      <c r="CP542" s="5">
        <f t="shared" si="1040"/>
        <v>-7</v>
      </c>
      <c r="CQ542" s="256"/>
      <c r="CR542" s="303">
        <f>SUM(CR531:CR532)</f>
        <v>0</v>
      </c>
      <c r="CS542" s="35">
        <f t="shared" si="1041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>SUM(M542,AG542,BA542,BU542,DI542)-SUM(O542,AI542,BC542,BW542,CQ542)-L542</f>
        <v>-6</v>
      </c>
      <c r="DH542" s="32">
        <f t="shared" si="1018"/>
        <v>7</v>
      </c>
      <c r="DI542" s="344">
        <f>SUM(DI531:DI532)</f>
        <v>0</v>
      </c>
      <c r="DJ542" s="5">
        <f t="shared" si="1042"/>
        <v>-7</v>
      </c>
      <c r="DK542" s="256"/>
      <c r="DL542" s="303">
        <f>SUM(DL531:DL532)</f>
        <v>0</v>
      </c>
      <c r="DM542" s="35">
        <f t="shared" si="1043"/>
        <v>7</v>
      </c>
    </row>
    <row r="543" spans="1:117" ht="15" thickBot="1" x14ac:dyDescent="0.35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836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" thickBot="1" x14ac:dyDescent="0.35">
      <c r="P544" s="248"/>
      <c r="AJ544" s="248"/>
      <c r="BD544" s="248"/>
      <c r="BX544" s="248"/>
      <c r="CR544" s="248"/>
      <c r="DL544" s="248"/>
    </row>
    <row r="545" spans="1:117" ht="28.8" x14ac:dyDescent="0.3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3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36"/>
      <c r="V546" s="123"/>
      <c r="W546" s="8"/>
      <c r="X546" s="34"/>
      <c r="Y546" s="736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36"/>
      <c r="AP546" s="123"/>
      <c r="AQ546" s="8"/>
      <c r="AR546" s="34"/>
      <c r="AS546" s="736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36"/>
      <c r="BJ546" s="123"/>
      <c r="BK546" s="8"/>
      <c r="BL546" s="34"/>
      <c r="BM546" s="736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36"/>
      <c r="CD546" s="123"/>
      <c r="CE546" s="8"/>
      <c r="CF546" s="34"/>
      <c r="CG546" s="736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36"/>
      <c r="CX546" s="123"/>
      <c r="CY546" s="8"/>
      <c r="CZ546" s="34"/>
      <c r="DA546" s="736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3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047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36"/>
      <c r="V547" s="20"/>
      <c r="W547" s="8"/>
      <c r="X547" s="34"/>
      <c r="Y547" s="736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36"/>
      <c r="AP547" s="20"/>
      <c r="AQ547" s="8"/>
      <c r="AR547" s="34"/>
      <c r="AS547" s="736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36"/>
      <c r="BJ547" s="20"/>
      <c r="BK547" s="8"/>
      <c r="BL547" s="34"/>
      <c r="BM547" s="736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36"/>
      <c r="CD547" s="20"/>
      <c r="CE547" s="8"/>
      <c r="CF547" s="34"/>
      <c r="CG547" s="736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36"/>
      <c r="CX547" s="20"/>
      <c r="CY547" s="8"/>
      <c r="CZ547" s="34"/>
      <c r="DA547" s="736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048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28.8" x14ac:dyDescent="0.3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047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30"/>
      <c r="V548" s="236"/>
      <c r="W548" s="210"/>
      <c r="X548" s="216"/>
      <c r="Y548" s="730"/>
      <c r="Z548" s="236"/>
      <c r="AA548" s="210"/>
      <c r="AB548" s="216"/>
      <c r="AC548" s="763"/>
      <c r="AD548" s="763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34"/>
      <c r="AP548" s="235"/>
      <c r="AQ548" s="6"/>
      <c r="AR548" s="148"/>
      <c r="AS548" s="734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30"/>
      <c r="BJ548" s="235"/>
      <c r="BK548" s="6"/>
      <c r="BL548" s="148"/>
      <c r="BM548" s="734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34"/>
      <c r="CD548" s="235"/>
      <c r="CE548" s="6"/>
      <c r="CF548" s="148"/>
      <c r="CG548" s="734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34"/>
      <c r="CX548" s="235"/>
      <c r="CY548" s="6"/>
      <c r="CZ548" s="148"/>
      <c r="DA548" s="734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048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3.8" thickBot="1" x14ac:dyDescent="0.35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047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33"/>
      <c r="V549" s="314"/>
      <c r="W549" s="408"/>
      <c r="X549" s="321"/>
      <c r="Y549" s="733"/>
      <c r="Z549" s="122"/>
      <c r="AA549" s="201"/>
      <c r="AB549" s="321"/>
      <c r="AC549" s="766"/>
      <c r="AD549" s="766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33"/>
      <c r="AP549" s="272"/>
      <c r="AQ549" s="201"/>
      <c r="AR549" s="273"/>
      <c r="AS549" s="737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049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37"/>
      <c r="BJ549" s="272"/>
      <c r="BK549" s="201"/>
      <c r="BL549" s="321"/>
      <c r="BM549" s="733"/>
      <c r="BN549" s="272"/>
      <c r="BO549" s="201"/>
      <c r="BP549" s="321"/>
      <c r="BQ549" s="765"/>
      <c r="BR549" s="765"/>
      <c r="BS549" s="396">
        <f>SUM(M549,AG549,BA549,BU549)-SUM(O549,AI549,BC549,BW549)-L549</f>
        <v>-1</v>
      </c>
      <c r="BT549" s="30">
        <f t="shared" ref="BT549" si="1050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33"/>
      <c r="CD549" s="272"/>
      <c r="CE549" s="201"/>
      <c r="CF549" s="273"/>
      <c r="CG549" s="737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051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37"/>
      <c r="CX549" s="272"/>
      <c r="CY549" s="201"/>
      <c r="CZ549" s="273"/>
      <c r="DA549" s="737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048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" thickBot="1" x14ac:dyDescent="0.35">
      <c r="P550" s="248"/>
      <c r="AJ550" s="248"/>
      <c r="BD550" s="248"/>
      <c r="BX550" s="248"/>
      <c r="CR550" s="248"/>
      <c r="DL550" s="248"/>
    </row>
    <row r="551" spans="1:117" ht="15" thickBot="1" x14ac:dyDescent="0.35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86.4" x14ac:dyDescent="0.3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3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052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36"/>
      <c r="V553" s="123"/>
      <c r="W553" s="8"/>
      <c r="X553" s="34"/>
      <c r="Y553" s="736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36"/>
      <c r="AP553" s="123"/>
      <c r="AQ553" s="8"/>
      <c r="AR553" s="34"/>
      <c r="AS553" s="736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807"/>
      <c r="BJ553" s="123"/>
      <c r="BK553" s="8"/>
      <c r="BL553" s="440"/>
      <c r="BM553" s="807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36"/>
      <c r="CD553" s="123"/>
      <c r="CE553" s="8"/>
      <c r="CF553" s="34"/>
      <c r="CG553" s="736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36"/>
      <c r="CX553" s="123"/>
      <c r="CY553" s="8"/>
      <c r="CZ553" s="34"/>
      <c r="DA553" s="736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053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3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052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U554" s="750"/>
      <c r="V554" s="421"/>
      <c r="W554" s="416"/>
      <c r="X554" s="415"/>
      <c r="Y554" s="750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O554" s="750"/>
      <c r="AP554" s="421"/>
      <c r="AQ554" s="416"/>
      <c r="AR554" s="415"/>
      <c r="AS554" s="750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I554" s="750"/>
      <c r="BJ554" s="421"/>
      <c r="BK554" s="416"/>
      <c r="BL554" s="415"/>
      <c r="BM554" s="750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C554" s="750"/>
      <c r="CD554" s="421"/>
      <c r="CE554" s="416"/>
      <c r="CF554" s="415"/>
      <c r="CG554" s="750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W554" s="750"/>
      <c r="CX554" s="421"/>
      <c r="CY554" s="416"/>
      <c r="CZ554" s="415"/>
      <c r="DA554" s="750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053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3.8" thickBot="1" x14ac:dyDescent="0.35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052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33"/>
      <c r="V555" s="272"/>
      <c r="W555" s="201"/>
      <c r="X555" s="321"/>
      <c r="Y555" s="733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33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813"/>
      <c r="BR555" s="813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33"/>
      <c r="CD555" s="699">
        <v>107727.5</v>
      </c>
      <c r="CE555" s="670">
        <f>323182.5+107727.5</f>
        <v>430910</v>
      </c>
      <c r="CF555" s="700" t="s">
        <v>942</v>
      </c>
      <c r="CG555" s="837"/>
      <c r="CH555" s="122"/>
      <c r="CI555" s="217"/>
      <c r="CJ555" s="273"/>
      <c r="CK555" s="851"/>
      <c r="CL555" s="851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37"/>
      <c r="CX555" s="272"/>
      <c r="CY555" s="201"/>
      <c r="CZ555" s="273"/>
      <c r="DA555" s="737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053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" thickBot="1" x14ac:dyDescent="0.35">
      <c r="P556" s="248"/>
      <c r="AJ556" s="248"/>
      <c r="BD556" s="248"/>
      <c r="BX556" s="248"/>
      <c r="CR556" s="248"/>
      <c r="DL556" s="248"/>
    </row>
    <row r="557" spans="1:117" ht="15" thickBot="1" x14ac:dyDescent="0.35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3.2" x14ac:dyDescent="0.3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collapsed="1" x14ac:dyDescent="0.3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054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36"/>
      <c r="V559" s="123"/>
      <c r="W559" s="8"/>
      <c r="X559" s="34"/>
      <c r="Y559" s="736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36"/>
      <c r="AP559" s="123"/>
      <c r="AQ559" s="8"/>
      <c r="AR559" s="34"/>
      <c r="AS559" s="736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807"/>
      <c r="BJ559" s="123"/>
      <c r="BK559" s="8"/>
      <c r="BL559" s="440"/>
      <c r="BM559" s="807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36"/>
      <c r="CD559" s="123"/>
      <c r="CE559" s="8"/>
      <c r="CF559" s="34"/>
      <c r="CG559" s="736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36"/>
      <c r="CX559" s="123"/>
      <c r="CY559" s="8"/>
      <c r="CZ559" s="34"/>
      <c r="DA559" s="736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055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hidden="1" outlineLevel="1" x14ac:dyDescent="0.3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36"/>
      <c r="V560" s="20"/>
      <c r="W560" s="8"/>
      <c r="X560" s="34"/>
      <c r="Y560" s="736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36"/>
      <c r="AP560" s="20"/>
      <c r="AQ560" s="8"/>
      <c r="AR560" s="34"/>
      <c r="AS560" s="736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807"/>
      <c r="BJ560" s="20"/>
      <c r="BK560" s="8"/>
      <c r="BL560" s="440"/>
      <c r="BM560" s="807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36"/>
      <c r="CD560" s="20"/>
      <c r="CE560" s="8"/>
      <c r="CF560" s="34"/>
      <c r="CG560" s="736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36"/>
      <c r="CX560" s="20"/>
      <c r="CY560" s="8"/>
      <c r="CZ560" s="34"/>
      <c r="DA560" s="736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hidden="1" outlineLevel="1" x14ac:dyDescent="0.3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36"/>
      <c r="V561" s="20"/>
      <c r="W561" s="8"/>
      <c r="X561" s="34"/>
      <c r="Y561" s="736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36"/>
      <c r="AP561" s="20"/>
      <c r="AQ561" s="8"/>
      <c r="AR561" s="34"/>
      <c r="AS561" s="736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807"/>
      <c r="BJ561" s="20"/>
      <c r="BK561" s="8"/>
      <c r="BL561" s="440"/>
      <c r="BM561" s="807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36"/>
      <c r="CD561" s="20"/>
      <c r="CE561" s="8"/>
      <c r="CF561" s="642" t="s">
        <v>911</v>
      </c>
      <c r="CG561" s="818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36"/>
      <c r="CX561" s="20"/>
      <c r="CY561" s="8"/>
      <c r="CZ561" s="34"/>
      <c r="DA561" s="736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28.8" x14ac:dyDescent="0.3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054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055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28.8" x14ac:dyDescent="0.3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054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U563" s="750"/>
      <c r="V563" s="421"/>
      <c r="W563" s="416"/>
      <c r="X563" s="415"/>
      <c r="Y563" s="750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O563" s="750"/>
      <c r="AP563" s="421"/>
      <c r="AQ563" s="416"/>
      <c r="AR563" s="415"/>
      <c r="AS563" s="750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I563" s="750"/>
      <c r="BJ563" s="421"/>
      <c r="BK563" s="416"/>
      <c r="BL563" s="415"/>
      <c r="BM563" s="750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C563" s="750"/>
      <c r="CD563" s="421"/>
      <c r="CE563" s="416"/>
      <c r="CF563" s="415"/>
      <c r="CG563" s="750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W563" s="750"/>
      <c r="CX563" s="421"/>
      <c r="CY563" s="416"/>
      <c r="CZ563" s="415"/>
      <c r="DA563" s="750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055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3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41"/>
      <c r="V564" s="369"/>
      <c r="W564" s="367"/>
      <c r="X564" s="368"/>
      <c r="Y564" s="741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41"/>
      <c r="AP564" s="369"/>
      <c r="AQ564" s="367"/>
      <c r="AR564" s="368"/>
      <c r="AS564" s="741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41"/>
      <c r="BJ564" s="369"/>
      <c r="BK564" s="367"/>
      <c r="BL564" s="368"/>
      <c r="BM564" s="741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41"/>
      <c r="CD564" s="369"/>
      <c r="CE564" s="367"/>
      <c r="CF564" s="368"/>
      <c r="CG564" s="741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41"/>
      <c r="CX564" s="369"/>
      <c r="CY564" s="367"/>
      <c r="CZ564" s="368"/>
      <c r="DA564" s="741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3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054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055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3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054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055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3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054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U567" s="750"/>
      <c r="V567" s="421"/>
      <c r="W567" s="416"/>
      <c r="X567" s="415"/>
      <c r="Y567" s="750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O567" s="750"/>
      <c r="AP567" s="421"/>
      <c r="AQ567" s="416"/>
      <c r="AR567" s="415"/>
      <c r="AS567" s="750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I567" s="750"/>
      <c r="BJ567" s="121"/>
      <c r="BK567" s="416"/>
      <c r="BL567" s="35"/>
      <c r="BM567" s="750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C567" s="750"/>
      <c r="CD567" s="421"/>
      <c r="CE567" s="416"/>
      <c r="CF567" s="415"/>
      <c r="CG567" s="750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W567" s="750"/>
      <c r="CX567" s="421"/>
      <c r="CY567" s="416"/>
      <c r="CZ567" s="415"/>
      <c r="DA567" s="750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055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3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41"/>
      <c r="V568" s="369"/>
      <c r="W568" s="367"/>
      <c r="X568" s="368"/>
      <c r="Y568" s="741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41"/>
      <c r="AP568" s="369"/>
      <c r="AQ568" s="367"/>
      <c r="AR568" s="368"/>
      <c r="AS568" s="741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41"/>
      <c r="BJ568" s="369"/>
      <c r="BK568" s="367"/>
      <c r="BL568" s="368"/>
      <c r="BM568" s="741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41"/>
      <c r="CD568" s="369"/>
      <c r="CE568" s="367"/>
      <c r="CF568" s="368"/>
      <c r="CG568" s="741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41"/>
      <c r="CX568" s="369"/>
      <c r="CY568" s="367"/>
      <c r="CZ568" s="368"/>
      <c r="DA568" s="741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3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054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U569" s="750"/>
      <c r="V569" s="421"/>
      <c r="W569" s="416"/>
      <c r="X569" s="415"/>
      <c r="Y569" s="750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O569" s="750"/>
      <c r="AP569" s="421"/>
      <c r="AQ569" s="416"/>
      <c r="AR569" s="415"/>
      <c r="AS569" s="750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I569" s="750"/>
      <c r="BJ569" s="421"/>
      <c r="BK569" s="416"/>
      <c r="BL569" s="415"/>
      <c r="BM569" s="750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C569" s="750"/>
      <c r="CD569" s="421"/>
      <c r="CE569" s="691">
        <v>5640</v>
      </c>
      <c r="CF569" s="692" t="s">
        <v>920</v>
      </c>
      <c r="CG569" s="835"/>
      <c r="CH569" s="421"/>
      <c r="CI569" s="416"/>
      <c r="CJ569" s="695" t="s">
        <v>966</v>
      </c>
      <c r="CK569" s="852"/>
      <c r="CL569" s="852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W569" s="750"/>
      <c r="CX569" s="421"/>
      <c r="CY569" s="416"/>
      <c r="CZ569" s="415"/>
      <c r="DA569" s="750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055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3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054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809"/>
      <c r="CH570" s="21"/>
      <c r="CI570" s="6"/>
      <c r="CJ570" s="697" t="s">
        <v>966</v>
      </c>
      <c r="CK570" s="853"/>
      <c r="CL570" s="853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055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3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054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809"/>
      <c r="CH571" s="21"/>
      <c r="CI571" s="6"/>
      <c r="CJ571" s="697" t="s">
        <v>966</v>
      </c>
      <c r="CK571" s="853"/>
      <c r="CL571" s="853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055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3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054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U572" s="750"/>
      <c r="V572" s="421"/>
      <c r="W572" s="416"/>
      <c r="X572" s="415"/>
      <c r="Y572" s="750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O572" s="750"/>
      <c r="AP572" s="421"/>
      <c r="AQ572" s="416"/>
      <c r="AR572" s="415"/>
      <c r="AS572" s="750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I572" s="750"/>
      <c r="BJ572" s="421"/>
      <c r="BK572" s="416"/>
      <c r="BL572" s="415"/>
      <c r="BM572" s="750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C572" s="750"/>
      <c r="CD572" s="421"/>
      <c r="CE572" s="691">
        <v>2760</v>
      </c>
      <c r="CF572" s="692" t="s">
        <v>921</v>
      </c>
      <c r="CG572" s="835"/>
      <c r="CH572" s="421"/>
      <c r="CI572" s="416"/>
      <c r="CJ572" s="695" t="s">
        <v>966</v>
      </c>
      <c r="CK572" s="852"/>
      <c r="CL572" s="852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W572" s="750"/>
      <c r="CX572" s="421"/>
      <c r="CY572" s="416"/>
      <c r="CZ572" s="415"/>
      <c r="DA572" s="750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055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3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41"/>
      <c r="V573" s="369"/>
      <c r="W573" s="367"/>
      <c r="X573" s="368"/>
      <c r="Y573" s="741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41"/>
      <c r="AP573" s="369"/>
      <c r="AQ573" s="367"/>
      <c r="AR573" s="368"/>
      <c r="AS573" s="741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41"/>
      <c r="BJ573" s="369"/>
      <c r="BK573" s="367"/>
      <c r="BL573" s="368"/>
      <c r="BM573" s="741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41"/>
      <c r="CD573" s="369"/>
      <c r="CE573" s="367"/>
      <c r="CF573" s="368"/>
      <c r="CG573" s="741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41"/>
      <c r="CX573" s="369"/>
      <c r="CY573" s="367"/>
      <c r="CZ573" s="368"/>
      <c r="DA573" s="741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3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>SUM(M574,AG574,BA574,BU574)-L574</f>
        <v>-64</v>
      </c>
      <c r="K574" s="395">
        <f t="shared" si="1054"/>
        <v>-76</v>
      </c>
      <c r="L574" s="546">
        <v>76</v>
      </c>
      <c r="M574" s="434">
        <f>SUM(M557:M558)*2</f>
        <v>0</v>
      </c>
      <c r="N574" s="7">
        <f t="shared" ref="N574:N580" si="1056">M574-L574</f>
        <v>-76</v>
      </c>
      <c r="O574" s="258"/>
      <c r="P574" s="378">
        <f>SUM(P557:P558)*2</f>
        <v>0</v>
      </c>
      <c r="Q574" s="34">
        <f t="shared" ref="Q574:Q580" si="1057">L574+O574-P574</f>
        <v>76</v>
      </c>
      <c r="R574" s="421"/>
      <c r="S574" s="416"/>
      <c r="T574" s="415"/>
      <c r="U574" s="750"/>
      <c r="V574" s="421"/>
      <c r="W574" s="416"/>
      <c r="X574" s="415"/>
      <c r="Y574" s="750"/>
      <c r="Z574" s="421"/>
      <c r="AA574" s="416"/>
      <c r="AB574" s="415"/>
      <c r="AC574" s="619"/>
      <c r="AD574" s="619"/>
      <c r="AE574" s="395">
        <f>SUM(M574,AG574)-SUM(O574,AI574)-L574</f>
        <v>-74</v>
      </c>
      <c r="AF574" s="32">
        <f>Q574</f>
        <v>76</v>
      </c>
      <c r="AG574" s="434">
        <f>SUM(AG557:AG558)*2</f>
        <v>2</v>
      </c>
      <c r="AH574" s="7">
        <f t="shared" ref="AH574:AH580" si="1058">AG574-AF574</f>
        <v>-74</v>
      </c>
      <c r="AI574" s="258"/>
      <c r="AJ574" s="378">
        <f>SUM(AJ557:AJ558)*2</f>
        <v>0</v>
      </c>
      <c r="AK574" s="34">
        <f t="shared" ref="AK574:AK580" si="1059">AF574+AI574-AJ574</f>
        <v>76</v>
      </c>
      <c r="AL574" s="421"/>
      <c r="AM574" s="416"/>
      <c r="AN574" s="415"/>
      <c r="AO574" s="750"/>
      <c r="AP574" s="421"/>
      <c r="AQ574" s="416"/>
      <c r="AR574" s="415"/>
      <c r="AS574" s="750"/>
      <c r="AT574" s="421"/>
      <c r="AU574" s="416"/>
      <c r="AV574" s="415"/>
      <c r="AW574" s="619"/>
      <c r="AX574" s="619"/>
      <c r="AY574" s="395">
        <f>SUM(M574,AG574,BA574)-SUM(O574,AI574,BC574)-L574</f>
        <v>-72</v>
      </c>
      <c r="AZ574" s="32">
        <f t="shared" ref="AZ574:AZ580" si="1060">AK574</f>
        <v>76</v>
      </c>
      <c r="BA574" s="434">
        <f>SUM(BA557:BA558)*2</f>
        <v>2</v>
      </c>
      <c r="BB574" s="7">
        <f t="shared" ref="BB574:BB580" si="1061">BA574-AZ574</f>
        <v>-74</v>
      </c>
      <c r="BC574" s="258"/>
      <c r="BD574" s="378">
        <f>SUM(BD557:BD558)*2</f>
        <v>0</v>
      </c>
      <c r="BE574" s="34">
        <f t="shared" ref="BE574:BE580" si="1062">AZ574+BC574-BD574</f>
        <v>76</v>
      </c>
      <c r="BF574" s="421"/>
      <c r="BG574" s="416"/>
      <c r="BH574" s="415"/>
      <c r="BI574" s="750"/>
      <c r="BJ574" s="121"/>
      <c r="BK574" s="416"/>
      <c r="BL574" s="35"/>
      <c r="BM574" s="750"/>
      <c r="BN574" s="421"/>
      <c r="BO574" s="416"/>
      <c r="BP574" s="415"/>
      <c r="BQ574" s="619"/>
      <c r="BR574" s="619"/>
      <c r="BS574" s="395">
        <f>SUM(M574,AG574,BA574,BU574)-SUM(O574,AI574,BC574,BW574)-L574</f>
        <v>-64</v>
      </c>
      <c r="BT574" s="32">
        <f t="shared" ref="BT574:BT580" si="1063">BE574</f>
        <v>76</v>
      </c>
      <c r="BU574" s="434">
        <f>SUM(BU557:BU558)*2</f>
        <v>8</v>
      </c>
      <c r="BV574" s="7">
        <f t="shared" ref="BV574:BV580" si="1064">BU574-BT574</f>
        <v>-68</v>
      </c>
      <c r="BW574" s="242"/>
      <c r="BX574" s="378">
        <f>SUM(BX557:BX558)*2</f>
        <v>10</v>
      </c>
      <c r="BY574" s="34">
        <f t="shared" ref="BY574:BY580" si="1065">BT574+BW574-BX574</f>
        <v>66</v>
      </c>
      <c r="BZ574" s="421"/>
      <c r="CA574" s="416"/>
      <c r="CB574" s="415"/>
      <c r="CC574" s="750"/>
      <c r="CD574" s="421"/>
      <c r="CE574" s="416"/>
      <c r="CF574" s="415"/>
      <c r="CG574" s="750"/>
      <c r="CH574" s="421"/>
      <c r="CI574" s="416"/>
      <c r="CJ574" s="415"/>
      <c r="CK574" s="619"/>
      <c r="CL574" s="619"/>
      <c r="CM574" s="395">
        <f>SUM(M574,AG574,BA574,BU574,CO574)-SUM(O574,AI574,BC574,BW574,CQ574)-L574</f>
        <v>-64</v>
      </c>
      <c r="CN574" s="32">
        <f t="shared" ref="CN574:CN580" si="1066">BY574</f>
        <v>66</v>
      </c>
      <c r="CO574" s="434">
        <f>SUM(CO557:CO558)*2</f>
        <v>0</v>
      </c>
      <c r="CP574" s="7">
        <f t="shared" ref="CP574:CP580" si="1067">CO574-CN574</f>
        <v>-66</v>
      </c>
      <c r="CQ574" s="315"/>
      <c r="CR574" s="378">
        <f>SUM(CR557:CR558)*2</f>
        <v>0</v>
      </c>
      <c r="CS574" s="34">
        <f t="shared" ref="CS574:CS580" si="1068">CN574+CQ574-CR574</f>
        <v>66</v>
      </c>
      <c r="CT574" s="421"/>
      <c r="CU574" s="416"/>
      <c r="CV574" s="415"/>
      <c r="CW574" s="750"/>
      <c r="CX574" s="421"/>
      <c r="CY574" s="416"/>
      <c r="CZ574" s="415"/>
      <c r="DA574" s="750"/>
      <c r="DB574" s="421"/>
      <c r="DC574" s="416"/>
      <c r="DD574" s="415"/>
      <c r="DE574" s="619"/>
      <c r="DF574" s="619"/>
      <c r="DG574" s="395">
        <f>SUM(M574,AG574,BA574,BU574,DI574)-SUM(O574,AI574,BC574,BW574,CQ574)-L574</f>
        <v>-64</v>
      </c>
      <c r="DH574" s="32">
        <f t="shared" si="1055"/>
        <v>66</v>
      </c>
      <c r="DI574" s="434">
        <f>SUM(DI557:DI558)*2</f>
        <v>0</v>
      </c>
      <c r="DJ574" s="7">
        <f t="shared" ref="DJ574:DJ580" si="1069">DI574-DH574</f>
        <v>-66</v>
      </c>
      <c r="DK574" s="315"/>
      <c r="DL574" s="378">
        <f>SUM(DL557:DL558)*2</f>
        <v>0</v>
      </c>
      <c r="DM574" s="34">
        <f t="shared" ref="DM574:DM580" si="1070">DH574+DK574-DL574</f>
        <v>66</v>
      </c>
    </row>
    <row r="575" spans="1:117" x14ac:dyDescent="0.3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>SUM(M575,AG575,BA575,BU575)-L575</f>
        <v>-64</v>
      </c>
      <c r="K575" s="395">
        <f t="shared" si="1054"/>
        <v>-76</v>
      </c>
      <c r="L575" s="544">
        <v>76</v>
      </c>
      <c r="M575" s="344">
        <f>SUM(M557:M558)*2</f>
        <v>0</v>
      </c>
      <c r="N575" s="5">
        <f t="shared" si="1056"/>
        <v>-76</v>
      </c>
      <c r="O575" s="256"/>
      <c r="P575" s="303">
        <f>SUM(P557:P558)*2</f>
        <v>0</v>
      </c>
      <c r="Q575" s="35">
        <f t="shared" si="1057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>SUM(M575,AG575)-SUM(O575,AI575)-L575</f>
        <v>-74</v>
      </c>
      <c r="AF575" s="29">
        <f>Q575</f>
        <v>76</v>
      </c>
      <c r="AG575" s="344">
        <f>SUM(AG557:AG558)*2</f>
        <v>2</v>
      </c>
      <c r="AH575" s="5">
        <f t="shared" si="1058"/>
        <v>-74</v>
      </c>
      <c r="AI575" s="256"/>
      <c r="AJ575" s="303">
        <f>SUM(AJ557:AJ558)*2</f>
        <v>0</v>
      </c>
      <c r="AK575" s="35">
        <f t="shared" si="1059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>SUM(M575,AG575,BA575)-SUM(O575,AI575,BC575)-L575</f>
        <v>-72</v>
      </c>
      <c r="AZ575" s="29">
        <f t="shared" si="1060"/>
        <v>76</v>
      </c>
      <c r="BA575" s="344">
        <f>SUM(BA557:BA558)*2</f>
        <v>2</v>
      </c>
      <c r="BB575" s="5">
        <f t="shared" si="1061"/>
        <v>-74</v>
      </c>
      <c r="BC575" s="258"/>
      <c r="BD575" s="303">
        <f>SUM(BD557:BD558)*2</f>
        <v>0</v>
      </c>
      <c r="BE575" s="35">
        <f t="shared" si="1062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>SUM(M575,AG575,BA575,BU575)-SUM(O575,AI575,BC575,BW575)-L575</f>
        <v>-64</v>
      </c>
      <c r="BT575" s="29">
        <f t="shared" si="1063"/>
        <v>76</v>
      </c>
      <c r="BU575" s="344">
        <f>SUM(BU557:BU558)*2</f>
        <v>8</v>
      </c>
      <c r="BV575" s="5">
        <f t="shared" si="1064"/>
        <v>-68</v>
      </c>
      <c r="BW575" s="240"/>
      <c r="BX575" s="303">
        <f>SUM(BX557:BX558)*2</f>
        <v>10</v>
      </c>
      <c r="BY575" s="35">
        <f t="shared" si="1065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>SUM(M575,AG575,BA575,BU575,CO575)-SUM(O575,AI575,BC575,BW575,CQ575)-L575</f>
        <v>-64</v>
      </c>
      <c r="CN575" s="29">
        <f t="shared" si="1066"/>
        <v>66</v>
      </c>
      <c r="CO575" s="344">
        <f>SUM(CO557:CO558)*2</f>
        <v>0</v>
      </c>
      <c r="CP575" s="5">
        <f t="shared" si="1067"/>
        <v>-66</v>
      </c>
      <c r="CQ575" s="240"/>
      <c r="CR575" s="303">
        <f>SUM(CR557:CR558)*2</f>
        <v>0</v>
      </c>
      <c r="CS575" s="35">
        <f t="shared" si="1068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>SUM(M575,AG575,BA575,BU575,DI575)-SUM(O575,AI575,BC575,BW575,CQ575)-L575</f>
        <v>-64</v>
      </c>
      <c r="DH575" s="32">
        <f t="shared" si="1055"/>
        <v>66</v>
      </c>
      <c r="DI575" s="344">
        <f>SUM(DI557:DI558)*2</f>
        <v>0</v>
      </c>
      <c r="DJ575" s="5">
        <f t="shared" si="1069"/>
        <v>-66</v>
      </c>
      <c r="DK575" s="240"/>
      <c r="DL575" s="303">
        <f>SUM(DL557:DL558)*2</f>
        <v>0</v>
      </c>
      <c r="DM575" s="35">
        <f t="shared" si="1070"/>
        <v>66</v>
      </c>
    </row>
    <row r="576" spans="1:117" x14ac:dyDescent="0.3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>SUM(M576,AG576,BA576,BU576)-L576</f>
        <v>-32</v>
      </c>
      <c r="K576" s="395">
        <f t="shared" si="1054"/>
        <v>-38</v>
      </c>
      <c r="L576" s="546">
        <v>38</v>
      </c>
      <c r="M576" s="434">
        <f>SUM(M557:M558)</f>
        <v>0</v>
      </c>
      <c r="N576" s="7">
        <f t="shared" si="1056"/>
        <v>-38</v>
      </c>
      <c r="O576" s="258"/>
      <c r="P576" s="378">
        <f>SUM(P557:P558)</f>
        <v>0</v>
      </c>
      <c r="Q576" s="34">
        <f t="shared" si="1057"/>
        <v>38</v>
      </c>
      <c r="R576" s="421"/>
      <c r="S576" s="416"/>
      <c r="T576" s="415"/>
      <c r="U576" s="750"/>
      <c r="V576" s="421"/>
      <c r="W576" s="416"/>
      <c r="X576" s="415"/>
      <c r="Y576" s="750"/>
      <c r="Z576" s="421"/>
      <c r="AA576" s="416"/>
      <c r="AB576" s="415"/>
      <c r="AC576" s="619"/>
      <c r="AD576" s="619"/>
      <c r="AE576" s="395">
        <f>SUM(M576,AG576)-SUM(O576,AI576)-L576</f>
        <v>-37</v>
      </c>
      <c r="AF576" s="32">
        <f>Q576</f>
        <v>38</v>
      </c>
      <c r="AG576" s="434">
        <f>SUM(AG557:AG558)</f>
        <v>1</v>
      </c>
      <c r="AH576" s="7">
        <f t="shared" si="1058"/>
        <v>-37</v>
      </c>
      <c r="AI576" s="258"/>
      <c r="AJ576" s="378">
        <f>SUM(AJ557:AJ558)</f>
        <v>0</v>
      </c>
      <c r="AK576" s="34">
        <f t="shared" si="1059"/>
        <v>38</v>
      </c>
      <c r="AL576" s="421"/>
      <c r="AM576" s="416"/>
      <c r="AN576" s="415"/>
      <c r="AO576" s="750"/>
      <c r="AP576" s="421"/>
      <c r="AQ576" s="416"/>
      <c r="AR576" s="415"/>
      <c r="AS576" s="750"/>
      <c r="AT576" s="421"/>
      <c r="AU576" s="416"/>
      <c r="AV576" s="415"/>
      <c r="AW576" s="619"/>
      <c r="AX576" s="619"/>
      <c r="AY576" s="395">
        <f>SUM(M576,AG576,BA576)-SUM(O576,AI576,BC576)-L576</f>
        <v>-36</v>
      </c>
      <c r="AZ576" s="32">
        <f t="shared" si="1060"/>
        <v>38</v>
      </c>
      <c r="BA576" s="434">
        <f>SUM(BA557:BA558)</f>
        <v>1</v>
      </c>
      <c r="BB576" s="7">
        <f t="shared" si="1061"/>
        <v>-37</v>
      </c>
      <c r="BC576" s="258"/>
      <c r="BD576" s="378">
        <f>SUM(BD557:BD558)</f>
        <v>0</v>
      </c>
      <c r="BE576" s="34">
        <f t="shared" si="1062"/>
        <v>38</v>
      </c>
      <c r="BF576" s="421"/>
      <c r="BG576" s="416"/>
      <c r="BH576" s="415"/>
      <c r="BI576" s="750"/>
      <c r="BJ576" s="121"/>
      <c r="BK576" s="416"/>
      <c r="BL576" s="35"/>
      <c r="BM576" s="750"/>
      <c r="BN576" s="421"/>
      <c r="BO576" s="416"/>
      <c r="BP576" s="415"/>
      <c r="BQ576" s="619"/>
      <c r="BR576" s="619"/>
      <c r="BS576" s="395">
        <f>SUM(M576,AG576,BA576,BU576)-SUM(O576,AI576,BC576,BW576)-L576</f>
        <v>-32</v>
      </c>
      <c r="BT576" s="32">
        <f t="shared" si="1063"/>
        <v>38</v>
      </c>
      <c r="BU576" s="434">
        <f>SUM(BU557:BU558)</f>
        <v>4</v>
      </c>
      <c r="BV576" s="7">
        <f t="shared" si="1064"/>
        <v>-34</v>
      </c>
      <c r="BW576" s="242"/>
      <c r="BX576" s="378">
        <f>SUM(BX557:BX558)</f>
        <v>5</v>
      </c>
      <c r="BY576" s="34">
        <f t="shared" si="1065"/>
        <v>33</v>
      </c>
      <c r="BZ576" s="421"/>
      <c r="CA576" s="416"/>
      <c r="CB576" s="415"/>
      <c r="CC576" s="750"/>
      <c r="CD576" s="421"/>
      <c r="CE576" s="416"/>
      <c r="CF576" s="415"/>
      <c r="CG576" s="750"/>
      <c r="CH576" s="421"/>
      <c r="CI576" s="416"/>
      <c r="CJ576" s="415"/>
      <c r="CK576" s="619"/>
      <c r="CL576" s="619"/>
      <c r="CM576" s="395">
        <f>SUM(M576,AG576,BA576,BU576,CO576)-SUM(O576,AI576,BC576,BW576,CQ576)-L576</f>
        <v>-32</v>
      </c>
      <c r="CN576" s="32">
        <f t="shared" si="1066"/>
        <v>33</v>
      </c>
      <c r="CO576" s="434">
        <f>SUM(CO557:CO558)</f>
        <v>0</v>
      </c>
      <c r="CP576" s="7">
        <f t="shared" si="1067"/>
        <v>-33</v>
      </c>
      <c r="CQ576" s="315"/>
      <c r="CR576" s="378">
        <f>SUM(CR557:CR558)</f>
        <v>0</v>
      </c>
      <c r="CS576" s="34">
        <f t="shared" si="1068"/>
        <v>33</v>
      </c>
      <c r="CT576" s="421"/>
      <c r="CU576" s="416"/>
      <c r="CV576" s="415"/>
      <c r="CW576" s="750"/>
      <c r="CX576" s="421"/>
      <c r="CY576" s="416"/>
      <c r="CZ576" s="415"/>
      <c r="DA576" s="750"/>
      <c r="DB576" s="421"/>
      <c r="DC576" s="416"/>
      <c r="DD576" s="415"/>
      <c r="DE576" s="619"/>
      <c r="DF576" s="619"/>
      <c r="DG576" s="395">
        <f>SUM(M576,AG576,BA576,BU576,DI576)-SUM(O576,AI576,BC576,BW576,CQ576)-L576</f>
        <v>-32</v>
      </c>
      <c r="DH576" s="32">
        <f t="shared" si="1055"/>
        <v>33</v>
      </c>
      <c r="DI576" s="434">
        <f>SUM(DI557:DI558)</f>
        <v>0</v>
      </c>
      <c r="DJ576" s="7">
        <f t="shared" si="1069"/>
        <v>-33</v>
      </c>
      <c r="DK576" s="315"/>
      <c r="DL576" s="378">
        <f>SUM(DL557:DL558)</f>
        <v>0</v>
      </c>
      <c r="DM576" s="34">
        <f t="shared" si="1070"/>
        <v>33</v>
      </c>
    </row>
    <row r="577" spans="1:117" x14ac:dyDescent="0.3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>SUM(M577,AG577,BA577,BU577)-L577</f>
        <v>-32</v>
      </c>
      <c r="K577" s="395">
        <f t="shared" si="1054"/>
        <v>-38</v>
      </c>
      <c r="L577" s="544">
        <v>38</v>
      </c>
      <c r="M577" s="344">
        <f>SUM(M557:M558)</f>
        <v>0</v>
      </c>
      <c r="N577" s="5">
        <f t="shared" si="1056"/>
        <v>-38</v>
      </c>
      <c r="O577" s="256"/>
      <c r="P577" s="303">
        <f>SUM(P557:P558)</f>
        <v>0</v>
      </c>
      <c r="Q577" s="35">
        <f t="shared" si="1057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>SUM(M577,AG577)-SUM(O577,AI577)-L577</f>
        <v>-37</v>
      </c>
      <c r="AF577" s="29">
        <f>Q577</f>
        <v>38</v>
      </c>
      <c r="AG577" s="344">
        <f>SUM(AG557:AG558)</f>
        <v>1</v>
      </c>
      <c r="AH577" s="5">
        <f t="shared" si="1058"/>
        <v>-37</v>
      </c>
      <c r="AI577" s="256"/>
      <c r="AJ577" s="303">
        <f>SUM(AJ557:AJ558)</f>
        <v>0</v>
      </c>
      <c r="AK577" s="35">
        <f t="shared" si="1059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>SUM(M577,AG577,BA577)-SUM(O577,AI577,BC577)-L577</f>
        <v>-36</v>
      </c>
      <c r="AZ577" s="29">
        <f t="shared" si="1060"/>
        <v>38</v>
      </c>
      <c r="BA577" s="344">
        <f>SUM(BA557:BA558)</f>
        <v>1</v>
      </c>
      <c r="BB577" s="5">
        <f t="shared" si="1061"/>
        <v>-37</v>
      </c>
      <c r="BC577" s="258"/>
      <c r="BD577" s="303">
        <f>SUM(BD557:BD558)</f>
        <v>0</v>
      </c>
      <c r="BE577" s="35">
        <f t="shared" si="1062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>SUM(M577,AG577,BA577,BU577)-SUM(O577,AI577,BC577,BW577)-L577</f>
        <v>-32</v>
      </c>
      <c r="BT577" s="29">
        <f t="shared" si="1063"/>
        <v>38</v>
      </c>
      <c r="BU577" s="344">
        <f>SUM(BU557:BU558)</f>
        <v>4</v>
      </c>
      <c r="BV577" s="5">
        <f t="shared" si="1064"/>
        <v>-34</v>
      </c>
      <c r="BW577" s="240"/>
      <c r="BX577" s="303">
        <f>SUM(BX557:BX558)</f>
        <v>5</v>
      </c>
      <c r="BY577" s="35">
        <f t="shared" si="1065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>SUM(M577,AG577,BA577,BU577,CO577)-SUM(O577,AI577,BC577,BW577,CQ577)-L577</f>
        <v>-32</v>
      </c>
      <c r="CN577" s="29">
        <f t="shared" si="1066"/>
        <v>33</v>
      </c>
      <c r="CO577" s="344">
        <f>SUM(CO557:CO558)</f>
        <v>0</v>
      </c>
      <c r="CP577" s="5">
        <f t="shared" si="1067"/>
        <v>-33</v>
      </c>
      <c r="CQ577" s="240"/>
      <c r="CR577" s="303">
        <f>SUM(CR557:CR558)</f>
        <v>0</v>
      </c>
      <c r="CS577" s="35">
        <f t="shared" si="1068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>SUM(M577,AG577,BA577,BU577,DI577)-SUM(O577,AI577,BC577,BW577,CQ577)-L577</f>
        <v>-32</v>
      </c>
      <c r="DH577" s="32">
        <f t="shared" si="1055"/>
        <v>33</v>
      </c>
      <c r="DI577" s="344">
        <f>SUM(DI557:DI558)</f>
        <v>0</v>
      </c>
      <c r="DJ577" s="5">
        <f t="shared" si="1069"/>
        <v>-33</v>
      </c>
      <c r="DK577" s="240"/>
      <c r="DL577" s="303">
        <f>SUM(DL557:DL558)</f>
        <v>0</v>
      </c>
      <c r="DM577" s="35">
        <f t="shared" si="1070"/>
        <v>33</v>
      </c>
    </row>
    <row r="578" spans="1:117" x14ac:dyDescent="0.3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>SUM(M578,AG578,BA578,BU578)-L578</f>
        <v>-64</v>
      </c>
      <c r="K578" s="395">
        <f t="shared" si="1054"/>
        <v>-76</v>
      </c>
      <c r="L578" s="546">
        <v>76</v>
      </c>
      <c r="M578" s="434">
        <f>SUM(M557:M558)*2</f>
        <v>0</v>
      </c>
      <c r="N578" s="7">
        <f t="shared" si="1056"/>
        <v>-76</v>
      </c>
      <c r="O578" s="258"/>
      <c r="P578" s="378">
        <f>SUM(P557:P558)*2</f>
        <v>0</v>
      </c>
      <c r="Q578" s="34">
        <f t="shared" si="1057"/>
        <v>76</v>
      </c>
      <c r="R578" s="421"/>
      <c r="S578" s="416"/>
      <c r="T578" s="415"/>
      <c r="U578" s="750"/>
      <c r="V578" s="421"/>
      <c r="W578" s="416"/>
      <c r="X578" s="415"/>
      <c r="Y578" s="750"/>
      <c r="Z578" s="421"/>
      <c r="AA578" s="416"/>
      <c r="AB578" s="415"/>
      <c r="AC578" s="619"/>
      <c r="AD578" s="619"/>
      <c r="AE578" s="395">
        <f>SUM(M578,AG578)-SUM(O578,AI578)-L578</f>
        <v>-74</v>
      </c>
      <c r="AF578" s="32">
        <f>Q578</f>
        <v>76</v>
      </c>
      <c r="AG578" s="434">
        <f>SUM(AG557:AG558)*2</f>
        <v>2</v>
      </c>
      <c r="AH578" s="7">
        <f t="shared" si="1058"/>
        <v>-74</v>
      </c>
      <c r="AI578" s="258"/>
      <c r="AJ578" s="378">
        <f>SUM(AJ557:AJ558)*2</f>
        <v>0</v>
      </c>
      <c r="AK578" s="34">
        <f t="shared" si="1059"/>
        <v>76</v>
      </c>
      <c r="AL578" s="421"/>
      <c r="AM578" s="416"/>
      <c r="AN578" s="415"/>
      <c r="AO578" s="750"/>
      <c r="AP578" s="421"/>
      <c r="AQ578" s="416"/>
      <c r="AR578" s="415"/>
      <c r="AS578" s="750"/>
      <c r="AT578" s="421"/>
      <c r="AU578" s="416"/>
      <c r="AV578" s="415"/>
      <c r="AW578" s="619"/>
      <c r="AX578" s="619"/>
      <c r="AY578" s="395">
        <f>SUM(M578,AG578,BA578)-SUM(O578,AI578,BC578)-L578</f>
        <v>-72</v>
      </c>
      <c r="AZ578" s="32">
        <f t="shared" si="1060"/>
        <v>76</v>
      </c>
      <c r="BA578" s="434">
        <f>SUM(BA557:BA558)*2</f>
        <v>2</v>
      </c>
      <c r="BB578" s="7">
        <f t="shared" si="1061"/>
        <v>-74</v>
      </c>
      <c r="BC578" s="258"/>
      <c r="BD578" s="378">
        <f>SUM(BD557:BD558)*2</f>
        <v>0</v>
      </c>
      <c r="BE578" s="34">
        <f t="shared" si="1062"/>
        <v>76</v>
      </c>
      <c r="BF578" s="421"/>
      <c r="BG578" s="416"/>
      <c r="BH578" s="415"/>
      <c r="BI578" s="750"/>
      <c r="BJ578" s="121"/>
      <c r="BK578" s="416"/>
      <c r="BL578" s="35"/>
      <c r="BM578" s="750"/>
      <c r="BN578" s="421"/>
      <c r="BO578" s="416"/>
      <c r="BP578" s="415"/>
      <c r="BQ578" s="619"/>
      <c r="BR578" s="619"/>
      <c r="BS578" s="395">
        <f>SUM(M578,AG578,BA578,BU578)-SUM(O578,AI578,BC578,BW578)-L578</f>
        <v>-64</v>
      </c>
      <c r="BT578" s="32">
        <f t="shared" si="1063"/>
        <v>76</v>
      </c>
      <c r="BU578" s="434">
        <f>SUM(BU557:BU558)*2</f>
        <v>8</v>
      </c>
      <c r="BV578" s="7">
        <f t="shared" si="1064"/>
        <v>-68</v>
      </c>
      <c r="BW578" s="242"/>
      <c r="BX578" s="378">
        <f>SUM(BX557:BX558)*2</f>
        <v>10</v>
      </c>
      <c r="BY578" s="34">
        <f t="shared" si="1065"/>
        <v>66</v>
      </c>
      <c r="BZ578" s="421"/>
      <c r="CA578" s="416"/>
      <c r="CB578" s="415"/>
      <c r="CC578" s="750"/>
      <c r="CD578" s="421"/>
      <c r="CE578" s="416"/>
      <c r="CF578" s="415"/>
      <c r="CG578" s="750"/>
      <c r="CH578" s="421"/>
      <c r="CI578" s="416"/>
      <c r="CJ578" s="415"/>
      <c r="CK578" s="619"/>
      <c r="CL578" s="619"/>
      <c r="CM578" s="395">
        <f>SUM(M578,AG578,BA578,BU578,CO578)-SUM(O578,AI578,BC578,BW578,CQ578)-L578</f>
        <v>-64</v>
      </c>
      <c r="CN578" s="32">
        <f t="shared" si="1066"/>
        <v>66</v>
      </c>
      <c r="CO578" s="434">
        <f>SUM(CO557:CO558)*2</f>
        <v>0</v>
      </c>
      <c r="CP578" s="7">
        <f t="shared" si="1067"/>
        <v>-66</v>
      </c>
      <c r="CQ578" s="315"/>
      <c r="CR578" s="378">
        <f>SUM(CR557:CR558)*2</f>
        <v>0</v>
      </c>
      <c r="CS578" s="34">
        <f t="shared" si="1068"/>
        <v>66</v>
      </c>
      <c r="CT578" s="421"/>
      <c r="CU578" s="416"/>
      <c r="CV578" s="415"/>
      <c r="CW578" s="750"/>
      <c r="CX578" s="421"/>
      <c r="CY578" s="416"/>
      <c r="CZ578" s="415"/>
      <c r="DA578" s="750"/>
      <c r="DB578" s="421"/>
      <c r="DC578" s="416"/>
      <c r="DD578" s="415"/>
      <c r="DE578" s="619"/>
      <c r="DF578" s="619"/>
      <c r="DG578" s="395">
        <f>SUM(M578,AG578,BA578,BU578,DI578)-SUM(O578,AI578,BC578,BW578,CQ578)-L578</f>
        <v>-64</v>
      </c>
      <c r="DH578" s="32">
        <f t="shared" si="1055"/>
        <v>66</v>
      </c>
      <c r="DI578" s="434">
        <f>SUM(DI557:DI558)*2</f>
        <v>0</v>
      </c>
      <c r="DJ578" s="7">
        <f t="shared" si="1069"/>
        <v>-66</v>
      </c>
      <c r="DK578" s="315"/>
      <c r="DL578" s="378">
        <f>SUM(DL557:DL558)*2</f>
        <v>0</v>
      </c>
      <c r="DM578" s="34">
        <f t="shared" si="1070"/>
        <v>66</v>
      </c>
    </row>
    <row r="579" spans="1:117" x14ac:dyDescent="0.3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>SUM(M579,AG579,BA579,BU579)-L579</f>
        <v>-64</v>
      </c>
      <c r="K579" s="395">
        <f t="shared" si="1054"/>
        <v>-76</v>
      </c>
      <c r="L579" s="544">
        <v>76</v>
      </c>
      <c r="M579" s="344">
        <f>SUM(M557:M558)*2</f>
        <v>0</v>
      </c>
      <c r="N579" s="5">
        <f t="shared" si="1056"/>
        <v>-76</v>
      </c>
      <c r="O579" s="256"/>
      <c r="P579" s="303">
        <f>SUM(P557:P558)*2</f>
        <v>0</v>
      </c>
      <c r="Q579" s="35">
        <f t="shared" si="1057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>SUM(M579,AG579)-SUM(O579,AI579)-L579</f>
        <v>-74</v>
      </c>
      <c r="AF579" s="29">
        <f>Q579</f>
        <v>76</v>
      </c>
      <c r="AG579" s="344">
        <f>SUM(AG557:AG558)*2</f>
        <v>2</v>
      </c>
      <c r="AH579" s="5">
        <f t="shared" si="1058"/>
        <v>-74</v>
      </c>
      <c r="AI579" s="256"/>
      <c r="AJ579" s="303">
        <f>SUM(AJ557:AJ558)*2</f>
        <v>0</v>
      </c>
      <c r="AK579" s="35">
        <f t="shared" si="1059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>SUM(M579,AG579,BA579)-SUM(O579,AI579,BC579)-L579</f>
        <v>-72</v>
      </c>
      <c r="AZ579" s="29">
        <f t="shared" si="1060"/>
        <v>76</v>
      </c>
      <c r="BA579" s="344">
        <f>SUM(BA557:BA558)*2</f>
        <v>2</v>
      </c>
      <c r="BB579" s="5">
        <f t="shared" si="1061"/>
        <v>-74</v>
      </c>
      <c r="BC579" s="258"/>
      <c r="BD579" s="303">
        <f>SUM(BD557:BD558)*2</f>
        <v>0</v>
      </c>
      <c r="BE579" s="35">
        <f t="shared" si="1062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>SUM(M579,AG579,BA579,BU579)-SUM(O579,AI579,BC579,BW579)-L579</f>
        <v>-64</v>
      </c>
      <c r="BT579" s="29">
        <f t="shared" si="1063"/>
        <v>76</v>
      </c>
      <c r="BU579" s="344">
        <f>SUM(BU557:BU558)*2</f>
        <v>8</v>
      </c>
      <c r="BV579" s="5">
        <f t="shared" si="1064"/>
        <v>-68</v>
      </c>
      <c r="BW579" s="240"/>
      <c r="BX579" s="303">
        <f>SUM(BX557:BX558)*2</f>
        <v>10</v>
      </c>
      <c r="BY579" s="35">
        <f t="shared" si="1065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>SUM(M579,AG579,BA579,BU579,CO579)-SUM(O579,AI579,BC579,BW579,CQ579)-L579</f>
        <v>-64</v>
      </c>
      <c r="CN579" s="29">
        <f t="shared" si="1066"/>
        <v>66</v>
      </c>
      <c r="CO579" s="344">
        <f>SUM(CO557:CO558)*2</f>
        <v>0</v>
      </c>
      <c r="CP579" s="5">
        <f t="shared" si="1067"/>
        <v>-66</v>
      </c>
      <c r="CQ579" s="240"/>
      <c r="CR579" s="303">
        <f>SUM(CR557:CR558)*2</f>
        <v>0</v>
      </c>
      <c r="CS579" s="35">
        <f t="shared" si="1068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>SUM(M579,AG579,BA579,BU579,DI579)-SUM(O579,AI579,BC579,BW579,CQ579)-L579</f>
        <v>-64</v>
      </c>
      <c r="DH579" s="32">
        <f t="shared" si="1055"/>
        <v>66</v>
      </c>
      <c r="DI579" s="344">
        <f>SUM(DI557:DI558)*2</f>
        <v>0</v>
      </c>
      <c r="DJ579" s="5">
        <f t="shared" si="1069"/>
        <v>-66</v>
      </c>
      <c r="DK579" s="240"/>
      <c r="DL579" s="303">
        <f>SUM(DL557:DL558)*2</f>
        <v>0</v>
      </c>
      <c r="DM579" s="35">
        <f t="shared" si="1070"/>
        <v>66</v>
      </c>
    </row>
    <row r="580" spans="1:117" ht="28.8" x14ac:dyDescent="0.3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>SUM(M580,AG580,BA580,BU580)-L580</f>
        <v>-32</v>
      </c>
      <c r="K580" s="395">
        <f t="shared" si="1054"/>
        <v>-38</v>
      </c>
      <c r="L580" s="546">
        <v>38</v>
      </c>
      <c r="M580" s="434">
        <f>SUM(M557:M558)</f>
        <v>0</v>
      </c>
      <c r="N580" s="7">
        <f t="shared" si="1056"/>
        <v>-38</v>
      </c>
      <c r="O580" s="258"/>
      <c r="P580" s="378">
        <f>SUM(P557:P558)</f>
        <v>0</v>
      </c>
      <c r="Q580" s="34">
        <f t="shared" si="1057"/>
        <v>38</v>
      </c>
      <c r="R580" s="421"/>
      <c r="S580" s="416"/>
      <c r="T580" s="415"/>
      <c r="U580" s="750"/>
      <c r="V580" s="421"/>
      <c r="W580" s="416"/>
      <c r="X580" s="415"/>
      <c r="Y580" s="750"/>
      <c r="Z580" s="421"/>
      <c r="AA580" s="416"/>
      <c r="AB580" s="415"/>
      <c r="AC580" s="619"/>
      <c r="AD580" s="619"/>
      <c r="AE580" s="395">
        <f>SUM(M580,AG580)-SUM(O580,AI580)-L580</f>
        <v>-37</v>
      </c>
      <c r="AF580" s="32">
        <f>Q580</f>
        <v>38</v>
      </c>
      <c r="AG580" s="434">
        <f>SUM(AG557:AG558)</f>
        <v>1</v>
      </c>
      <c r="AH580" s="7">
        <f t="shared" si="1058"/>
        <v>-37</v>
      </c>
      <c r="AI580" s="258"/>
      <c r="AJ580" s="378">
        <f>SUM(AJ557:AJ558)</f>
        <v>0</v>
      </c>
      <c r="AK580" s="34">
        <f t="shared" si="1059"/>
        <v>38</v>
      </c>
      <c r="AL580" s="421"/>
      <c r="AM580" s="416"/>
      <c r="AN580" s="415"/>
      <c r="AO580" s="750"/>
      <c r="AP580" s="421"/>
      <c r="AQ580" s="416"/>
      <c r="AR580" s="415"/>
      <c r="AS580" s="750"/>
      <c r="AT580" s="421"/>
      <c r="AU580" s="416"/>
      <c r="AV580" s="415"/>
      <c r="AW580" s="619"/>
      <c r="AX580" s="619"/>
      <c r="AY580" s="395">
        <f>SUM(M580,AG580,BA580)-SUM(O580,AI580,BC580)-L580</f>
        <v>-36</v>
      </c>
      <c r="AZ580" s="32">
        <f t="shared" si="1060"/>
        <v>38</v>
      </c>
      <c r="BA580" s="434">
        <f>SUM(BA557:BA558)</f>
        <v>1</v>
      </c>
      <c r="BB580" s="7">
        <f t="shared" si="1061"/>
        <v>-37</v>
      </c>
      <c r="BC580" s="258"/>
      <c r="BD580" s="378">
        <f>SUM(BD557:BD558)</f>
        <v>0</v>
      </c>
      <c r="BE580" s="34">
        <f t="shared" si="1062"/>
        <v>38</v>
      </c>
      <c r="BF580" s="421"/>
      <c r="BG580" s="416"/>
      <c r="BH580" s="415"/>
      <c r="BI580" s="750"/>
      <c r="BJ580" s="421"/>
      <c r="BK580" s="416"/>
      <c r="BL580" s="35"/>
      <c r="BM580" s="750"/>
      <c r="BN580" s="421"/>
      <c r="BO580" s="416"/>
      <c r="BP580" s="415"/>
      <c r="BQ580" s="619"/>
      <c r="BR580" s="619"/>
      <c r="BS580" s="395">
        <f>SUM(M580,AG580,BA580,BU580)-SUM(O580,AI580,BC580,BW580)-L580</f>
        <v>-32</v>
      </c>
      <c r="BT580" s="32">
        <f t="shared" si="1063"/>
        <v>38</v>
      </c>
      <c r="BU580" s="434">
        <f>SUM(BU557:BU558)</f>
        <v>4</v>
      </c>
      <c r="BV580" s="7">
        <f t="shared" si="1064"/>
        <v>-34</v>
      </c>
      <c r="BW580" s="242"/>
      <c r="BX580" s="378">
        <f>SUM(BX557:BX558)</f>
        <v>5</v>
      </c>
      <c r="BY580" s="34">
        <f t="shared" si="1065"/>
        <v>33</v>
      </c>
      <c r="BZ580" s="421"/>
      <c r="CA580" s="416"/>
      <c r="CB580" s="415"/>
      <c r="CC580" s="750"/>
      <c r="CD580" s="421"/>
      <c r="CE580" s="416"/>
      <c r="CF580" s="415"/>
      <c r="CG580" s="750"/>
      <c r="CH580" s="421"/>
      <c r="CI580" s="416"/>
      <c r="CJ580" s="415"/>
      <c r="CK580" s="619"/>
      <c r="CL580" s="619"/>
      <c r="CM580" s="395">
        <f>SUM(M580,AG580,BA580,BU580,CO580)-SUM(O580,AI580,BC580,BW580,CQ580)-L580</f>
        <v>-32</v>
      </c>
      <c r="CN580" s="32">
        <f t="shared" si="1066"/>
        <v>33</v>
      </c>
      <c r="CO580" s="434">
        <f>SUM(CO557:CO558)</f>
        <v>0</v>
      </c>
      <c r="CP580" s="7">
        <f t="shared" si="1067"/>
        <v>-33</v>
      </c>
      <c r="CQ580" s="315"/>
      <c r="CR580" s="378">
        <f>SUM(CR557:CR558)</f>
        <v>0</v>
      </c>
      <c r="CS580" s="34">
        <f t="shared" si="1068"/>
        <v>33</v>
      </c>
      <c r="CT580" s="421"/>
      <c r="CU580" s="416"/>
      <c r="CV580" s="415"/>
      <c r="CW580" s="750"/>
      <c r="CX580" s="421"/>
      <c r="CY580" s="416"/>
      <c r="CZ580" s="415"/>
      <c r="DA580" s="750"/>
      <c r="DB580" s="421"/>
      <c r="DC580" s="416"/>
      <c r="DD580" s="415"/>
      <c r="DE580" s="619"/>
      <c r="DF580" s="619"/>
      <c r="DG580" s="395">
        <f>SUM(M580,AG580,BA580,BU580,DI580)-SUM(O580,AI580,BC580,BW580,CQ580)-L580</f>
        <v>-32</v>
      </c>
      <c r="DH580" s="32">
        <f t="shared" si="1055"/>
        <v>33</v>
      </c>
      <c r="DI580" s="434">
        <f>SUM(DI557:DI558)</f>
        <v>0</v>
      </c>
      <c r="DJ580" s="7">
        <f t="shared" si="1069"/>
        <v>-33</v>
      </c>
      <c r="DK580" s="315"/>
      <c r="DL580" s="378">
        <f>SUM(DL557:DL558)</f>
        <v>0</v>
      </c>
      <c r="DM580" s="34">
        <f t="shared" si="1070"/>
        <v>33</v>
      </c>
    </row>
    <row r="581" spans="1:117" x14ac:dyDescent="0.3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41"/>
      <c r="V581" s="369"/>
      <c r="W581" s="367"/>
      <c r="X581" s="368"/>
      <c r="Y581" s="741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41"/>
      <c r="AP581" s="369"/>
      <c r="AQ581" s="367"/>
      <c r="AR581" s="368"/>
      <c r="AS581" s="741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41"/>
      <c r="BJ581" s="369"/>
      <c r="BK581" s="367"/>
      <c r="BL581" s="368"/>
      <c r="BM581" s="741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41"/>
      <c r="CD581" s="369"/>
      <c r="CE581" s="367"/>
      <c r="CF581" s="368"/>
      <c r="CG581" s="741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41"/>
      <c r="CX581" s="369"/>
      <c r="CY581" s="367"/>
      <c r="CZ581" s="368"/>
      <c r="DA581" s="741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3.2" x14ac:dyDescent="0.3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054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U582" s="750"/>
      <c r="V582" s="421"/>
      <c r="W582" s="416"/>
      <c r="X582" s="415"/>
      <c r="Y582" s="750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O582" s="750"/>
      <c r="AP582" s="421"/>
      <c r="AQ582" s="416"/>
      <c r="AR582" s="415"/>
      <c r="AS582" s="750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I582" s="750"/>
      <c r="BJ582" s="421"/>
      <c r="BK582" s="416"/>
      <c r="BL582" s="415"/>
      <c r="BM582" s="750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C582" s="750"/>
      <c r="CD582" s="421"/>
      <c r="CE582" s="416"/>
      <c r="CF582" s="415"/>
      <c r="CG582" s="750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W582" s="750"/>
      <c r="CX582" s="421"/>
      <c r="CY582" s="416"/>
      <c r="CZ582" s="415"/>
      <c r="DA582" s="750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055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3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054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055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3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054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U584" s="750"/>
      <c r="V584" s="421"/>
      <c r="W584" s="416"/>
      <c r="X584" s="415"/>
      <c r="Y584" s="750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O584" s="750"/>
      <c r="AP584" s="421"/>
      <c r="AQ584" s="416"/>
      <c r="AR584" s="415"/>
      <c r="AS584" s="750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I584" s="750"/>
      <c r="BJ584" s="421"/>
      <c r="BK584" s="416"/>
      <c r="BL584" s="415"/>
      <c r="BM584" s="750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C584" s="750"/>
      <c r="CD584" s="421"/>
      <c r="CE584" s="416"/>
      <c r="CF584" s="415"/>
      <c r="CG584" s="750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W584" s="750"/>
      <c r="CX584" s="421"/>
      <c r="CY584" s="416"/>
      <c r="CZ584" s="415"/>
      <c r="DA584" s="750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055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" thickBot="1" x14ac:dyDescent="0.35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054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33"/>
      <c r="V585" s="272"/>
      <c r="W585" s="201"/>
      <c r="X585" s="321"/>
      <c r="Y585" s="733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33"/>
      <c r="AP585" s="314"/>
      <c r="AQ585" s="201"/>
      <c r="AR585" s="321"/>
      <c r="AS585" s="733"/>
      <c r="AT585" s="314"/>
      <c r="AU585" s="201"/>
      <c r="AV585" s="321"/>
      <c r="AW585" s="765"/>
      <c r="AX585" s="765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33"/>
      <c r="BJ585" s="314"/>
      <c r="BK585" s="201"/>
      <c r="BL585" s="321"/>
      <c r="BM585" s="733"/>
      <c r="BN585" s="122"/>
      <c r="BO585" s="201"/>
      <c r="BP585" s="321"/>
      <c r="BQ585" s="765"/>
      <c r="BR585" s="765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33"/>
      <c r="CD585" s="122"/>
      <c r="CE585" s="201"/>
      <c r="CF585" s="321"/>
      <c r="CG585" s="733"/>
      <c r="CH585" s="122"/>
      <c r="CI585" s="201"/>
      <c r="CJ585" s="321"/>
      <c r="CK585" s="765"/>
      <c r="CL585" s="765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37"/>
      <c r="CX585" s="272"/>
      <c r="CY585" s="201"/>
      <c r="CZ585" s="273"/>
      <c r="DA585" s="737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055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" thickBot="1" x14ac:dyDescent="0.35">
      <c r="P586" s="248"/>
      <c r="AJ586" s="248"/>
      <c r="BD586" s="248"/>
      <c r="BX586" s="248"/>
      <c r="CR586" s="248"/>
      <c r="DL586" s="248"/>
    </row>
    <row r="587" spans="1:117" ht="15" thickBot="1" x14ac:dyDescent="0.35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3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071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36"/>
      <c r="AP588" s="288"/>
      <c r="AQ588" s="8"/>
      <c r="AR588" s="34"/>
      <c r="AS588" s="736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072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" thickBot="1" x14ac:dyDescent="0.35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071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072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" thickBot="1" x14ac:dyDescent="0.35">
      <c r="P590" s="248"/>
      <c r="AJ590" s="248"/>
      <c r="BD590" s="248"/>
      <c r="BX590" s="248"/>
      <c r="CR590" s="248"/>
      <c r="DL590" s="248"/>
    </row>
    <row r="591" spans="1:117" ht="15" thickBot="1" x14ac:dyDescent="0.35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61"/>
      <c r="AD591" s="761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61"/>
      <c r="AX591" s="761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61"/>
      <c r="BR591" s="761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3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073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36"/>
      <c r="V592" s="123"/>
      <c r="W592" s="8"/>
      <c r="X592" s="34"/>
      <c r="Y592" s="736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36"/>
      <c r="AP592" s="123"/>
      <c r="AQ592" s="8"/>
      <c r="AR592" s="34"/>
      <c r="AS592" s="736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36"/>
      <c r="BJ592" s="123"/>
      <c r="BK592" s="8"/>
      <c r="BL592" s="34"/>
      <c r="BM592" s="736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36"/>
      <c r="CD592" s="123"/>
      <c r="CE592" s="8"/>
      <c r="CF592" s="34"/>
      <c r="CG592" s="736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36"/>
      <c r="CX592" s="123"/>
      <c r="CY592" s="8"/>
      <c r="CZ592" s="34"/>
      <c r="DA592" s="736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074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3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073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074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" thickBot="1" x14ac:dyDescent="0.35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073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074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" thickBot="1" x14ac:dyDescent="0.35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073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800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805"/>
      <c r="AX595" s="805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808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836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074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" thickBot="1" x14ac:dyDescent="0.35">
      <c r="P596" s="248"/>
      <c r="AJ596" s="248"/>
      <c r="BD596" s="248"/>
      <c r="BX596" s="248"/>
      <c r="CR596" s="248"/>
      <c r="DL596" s="248"/>
    </row>
    <row r="597" spans="1:117" ht="15" thickBot="1" x14ac:dyDescent="0.35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3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075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47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47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47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47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47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076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28.8" x14ac:dyDescent="0.3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075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076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3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075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35"/>
      <c r="V600" s="129"/>
      <c r="W600" s="130"/>
      <c r="X600" s="79"/>
      <c r="Y600" s="735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35"/>
      <c r="AP600" s="129"/>
      <c r="AQ600" s="130"/>
      <c r="AR600" s="79"/>
      <c r="AS600" s="735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35"/>
      <c r="BJ600" s="129"/>
      <c r="BK600" s="130"/>
      <c r="BL600" s="79"/>
      <c r="BM600" s="735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35"/>
      <c r="CD600" s="129"/>
      <c r="CE600" s="130"/>
      <c r="CF600" s="79"/>
      <c r="CG600" s="735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35"/>
      <c r="CX600" s="129"/>
      <c r="CY600" s="130"/>
      <c r="CZ600" s="79"/>
      <c r="DA600" s="735"/>
      <c r="DB600" s="131"/>
      <c r="DC600" s="130"/>
      <c r="DD600" s="79"/>
      <c r="DE600" s="619"/>
      <c r="DF600" s="619"/>
      <c r="DG600" s="395"/>
      <c r="DH600" s="32">
        <f t="shared" si="1076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3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075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35"/>
      <c r="V601" s="129"/>
      <c r="W601" s="130"/>
      <c r="X601" s="79"/>
      <c r="Y601" s="735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35"/>
      <c r="AP601" s="129"/>
      <c r="AQ601" s="130"/>
      <c r="AR601" s="79"/>
      <c r="AS601" s="735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35"/>
      <c r="BJ601" s="129"/>
      <c r="BK601" s="130"/>
      <c r="BL601" s="79"/>
      <c r="BM601" s="735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35"/>
      <c r="CD601" s="129"/>
      <c r="CE601" s="130"/>
      <c r="CF601" s="79"/>
      <c r="CG601" s="735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35"/>
      <c r="CX601" s="129"/>
      <c r="CY601" s="130"/>
      <c r="CZ601" s="79"/>
      <c r="DA601" s="735"/>
      <c r="DB601" s="131"/>
      <c r="DC601" s="130"/>
      <c r="DD601" s="79"/>
      <c r="DE601" s="619"/>
      <c r="DF601" s="619"/>
      <c r="DG601" s="395"/>
      <c r="DH601" s="32">
        <f t="shared" si="1076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" thickBot="1" x14ac:dyDescent="0.35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076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" thickBot="1" x14ac:dyDescent="0.35">
      <c r="P603" s="248"/>
      <c r="AJ603" s="248"/>
      <c r="BD603" s="248"/>
      <c r="BX603" s="248"/>
      <c r="CR603" s="248"/>
      <c r="DL603" s="248"/>
    </row>
    <row r="604" spans="1:117" ht="15" thickBot="1" x14ac:dyDescent="0.35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x14ac:dyDescent="0.3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077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>SUM(M605,AG605)-SUM(O605,AI605)-L605</f>
        <v>-3</v>
      </c>
      <c r="AF605" s="29">
        <f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078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3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077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36"/>
      <c r="V606" s="20"/>
      <c r="W606" s="8"/>
      <c r="X606" s="34"/>
      <c r="Y606" s="736"/>
      <c r="Z606" s="20"/>
      <c r="AA606" s="8"/>
      <c r="AB606" s="34"/>
      <c r="AC606" s="234"/>
      <c r="AD606" s="234"/>
      <c r="AE606" s="395">
        <f>SUM(M606,AG606)-SUM(O606,AI606)-L606</f>
        <v>-463</v>
      </c>
      <c r="AF606" s="29">
        <f>Q606</f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079">AF606+AI606-AJ606</f>
        <v>464</v>
      </c>
      <c r="AL606" s="20"/>
      <c r="AM606" s="8"/>
      <c r="AN606" s="34"/>
      <c r="AO606" s="736"/>
      <c r="AP606" s="20"/>
      <c r="AQ606" s="8"/>
      <c r="AR606" s="34"/>
      <c r="AS606" s="736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080">AZ606+BC606-BD606</f>
        <v>454</v>
      </c>
      <c r="BF606" s="20"/>
      <c r="BG606" s="8"/>
      <c r="BH606" s="34"/>
      <c r="BI606" s="736"/>
      <c r="BJ606" s="20"/>
      <c r="BK606" s="8"/>
      <c r="BL606" s="34"/>
      <c r="BM606" s="736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081">BT606+BW606-BX606</f>
        <v>1088</v>
      </c>
      <c r="BZ606" s="20"/>
      <c r="CA606" s="8"/>
      <c r="CB606" s="34"/>
      <c r="CC606" s="736"/>
      <c r="CD606" s="20"/>
      <c r="CE606" s="8"/>
      <c r="CF606" s="642" t="s">
        <v>948</v>
      </c>
      <c r="CG606" s="818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082">CN606+CQ606-CR606</f>
        <v>1088</v>
      </c>
      <c r="CT606" s="20"/>
      <c r="CU606" s="8"/>
      <c r="CV606" s="34"/>
      <c r="CW606" s="736"/>
      <c r="CX606" s="20"/>
      <c r="CY606" s="8"/>
      <c r="CZ606" s="34"/>
      <c r="DA606" s="736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078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083">DH606+DK606-DL606</f>
        <v>1088</v>
      </c>
    </row>
    <row r="607" spans="1:117" x14ac:dyDescent="0.3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077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084">L607+O607-P607</f>
        <v>0</v>
      </c>
      <c r="R607" s="20"/>
      <c r="S607" s="8"/>
      <c r="T607" s="34"/>
      <c r="U607" s="736"/>
      <c r="V607" s="575">
        <f>$F$607*40%*300</f>
        <v>121485.6</v>
      </c>
      <c r="W607" s="8"/>
      <c r="X607" s="34" t="s">
        <v>723</v>
      </c>
      <c r="Y607" s="736"/>
      <c r="Z607" s="20"/>
      <c r="AA607" s="8"/>
      <c r="AB607" s="34"/>
      <c r="AC607" s="234"/>
      <c r="AD607" s="234"/>
      <c r="AE607" s="395">
        <f>SUM(M607,AG607)-SUM(O607,AI607)-L607</f>
        <v>0</v>
      </c>
      <c r="AF607" s="29">
        <f>Q607</f>
        <v>0</v>
      </c>
      <c r="AG607" s="302"/>
      <c r="AH607" s="7">
        <f>AG607-AF607</f>
        <v>0</v>
      </c>
      <c r="AI607" s="256"/>
      <c r="AJ607" s="242"/>
      <c r="AK607" s="35">
        <f t="shared" si="1079"/>
        <v>0</v>
      </c>
      <c r="AL607" s="20"/>
      <c r="AM607" s="8"/>
      <c r="AN607" s="34"/>
      <c r="AO607" s="736"/>
      <c r="AP607" s="20"/>
      <c r="AT607" s="20"/>
      <c r="AU607" s="8"/>
      <c r="AV607" s="34"/>
      <c r="AW607" s="234"/>
      <c r="AX607" s="234"/>
      <c r="AY607" s="395">
        <f t="shared" ref="AY607" si="1085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080"/>
        <v>300</v>
      </c>
      <c r="BF607" s="20"/>
      <c r="BG607" s="8"/>
      <c r="BH607" s="34"/>
      <c r="BI607" s="736"/>
      <c r="BJ607" s="20"/>
      <c r="BK607" s="8">
        <f>$F$607*60%*300</f>
        <v>182228.4</v>
      </c>
      <c r="BL607" s="34" t="s">
        <v>724</v>
      </c>
      <c r="BM607" s="736"/>
      <c r="BN607" s="20"/>
      <c r="BO607" s="8"/>
      <c r="BP607" s="34"/>
      <c r="BQ607" s="234"/>
      <c r="BR607" s="234"/>
      <c r="BS607" s="395">
        <f t="shared" ref="BS607" si="1086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081"/>
        <v>300</v>
      </c>
      <c r="BZ607" s="20"/>
      <c r="CA607" s="8"/>
      <c r="CB607" s="34"/>
      <c r="CC607" s="736"/>
      <c r="CD607" s="20"/>
      <c r="CE607" s="8"/>
      <c r="CF607" s="34"/>
      <c r="CG607" s="736"/>
      <c r="CH607" s="20"/>
      <c r="CI607" s="8"/>
      <c r="CJ607" s="34"/>
      <c r="CK607" s="234"/>
      <c r="CL607" s="234"/>
      <c r="CM607" s="395">
        <f t="shared" ref="CM607" si="1087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082"/>
        <v>300</v>
      </c>
      <c r="CT607" s="20"/>
      <c r="CU607" s="8"/>
      <c r="CV607" s="34"/>
      <c r="CW607" s="736"/>
      <c r="CX607" s="20"/>
      <c r="CY607" s="8"/>
      <c r="CZ607" s="34"/>
      <c r="DA607" s="736"/>
      <c r="DB607" s="20"/>
      <c r="DC607" s="8"/>
      <c r="DD607" s="34"/>
      <c r="DE607" s="234"/>
      <c r="DF607" s="234"/>
      <c r="DG607" s="395">
        <f t="shared" ref="DG607" si="1088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083"/>
        <v>300</v>
      </c>
    </row>
    <row r="608" spans="1:117" ht="28.8" x14ac:dyDescent="0.3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>SUM(M608,AG608,BA608,BU608)-L608</f>
        <v>-161</v>
      </c>
      <c r="K608" s="395">
        <f t="shared" si="1077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>SUM(M608,AG608)-SUM(O608,AI608)-L608</f>
        <v>-173</v>
      </c>
      <c r="AF608" s="29">
        <f>Q608</f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>SUM(M608,AG608,BA608,BU608,DI608)-SUM(O608,AI608,BC608,BW608,CQ608)-L608</f>
        <v>-161</v>
      </c>
      <c r="DH608" s="32">
        <f t="shared" si="1078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3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>SUM(M609,AG609,BA609,BU609)-L609</f>
        <v>-149</v>
      </c>
      <c r="K609" s="395">
        <f t="shared" si="1077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>SUM(M609,AG609)-SUM(O609,AI609)-L609</f>
        <v>-161</v>
      </c>
      <c r="AF609" s="29">
        <f>Q609</f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>SUM(M609,AG609,BA609)-SUM(O609,AI609,BC609)-L609</f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>SUM(M609,AG609,BA609,BU609)-SUM(O609,AI609,BC609,BW609)-L609</f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>SUM(M609,AG609,BA609,BU609,CO609)-SUM(O609,AI609,BC609,BW609,CQ609)-L609</f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>SUM(M609,AG609,BA609,BU609,DI609)-SUM(O609,AI609,BC609,BW609,CQ609)-L609</f>
        <v>-149</v>
      </c>
      <c r="DH609" s="32">
        <f t="shared" si="1078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28.8" x14ac:dyDescent="0.3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>SUM(M610,AG610,BA610,BU610)-L610</f>
        <v>-150</v>
      </c>
      <c r="K610" s="395">
        <f t="shared" si="1077"/>
        <v>-159</v>
      </c>
      <c r="L610" s="544">
        <v>160</v>
      </c>
      <c r="M610" s="298">
        <f>SUM(M274:M275)</f>
        <v>1</v>
      </c>
      <c r="N610" s="7">
        <f t="shared" ref="N610:N614" si="1089">M610-L610</f>
        <v>-159</v>
      </c>
      <c r="O610" s="258"/>
      <c r="P610" s="242">
        <f>1+1+1+1+1+1+1+1+1</f>
        <v>9</v>
      </c>
      <c r="Q610" s="35">
        <f t="shared" ref="Q610:Q614" si="1090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>SUM(M610,AG610)-SUM(O610,AI610)-L610</f>
        <v>-158</v>
      </c>
      <c r="AF610" s="29">
        <f>Q610</f>
        <v>151</v>
      </c>
      <c r="AG610" s="298">
        <f>SUM(AG274:AG275)</f>
        <v>1</v>
      </c>
      <c r="AH610" s="7">
        <f t="shared" ref="AH610:AH614" si="1091">AG610-AF610</f>
        <v>-150</v>
      </c>
      <c r="AI610" s="258"/>
      <c r="AJ610" s="242">
        <f>1+1+1+1+1+1+1+1+1+1+1</f>
        <v>11</v>
      </c>
      <c r="AK610" s="35">
        <f t="shared" ref="AK610:AK614" si="1092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>SUM(M610,AG610,BA610)-SUM(O610,AI610,BC610)-L610</f>
        <v>-156</v>
      </c>
      <c r="AZ610" s="613">
        <v>91</v>
      </c>
      <c r="BA610" s="298">
        <f>SUM(BA274:BA275)</f>
        <v>2</v>
      </c>
      <c r="BB610" s="7">
        <f t="shared" ref="BB610:BB614" si="1093">BA610-AZ610</f>
        <v>-89</v>
      </c>
      <c r="BC610" s="258"/>
      <c r="BD610" s="242">
        <f>1+1+1+1+1+1+1+1</f>
        <v>8</v>
      </c>
      <c r="BE610" s="35">
        <f t="shared" ref="BE610:BE614" si="1094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>SUM(M610,AG610,BA610,BU610)-SUM(O610,AI610,BC610,BW610)-L610</f>
        <v>-150</v>
      </c>
      <c r="BT610" s="29">
        <f t="shared" ref="BT610:BT614" si="1095">BE610</f>
        <v>83</v>
      </c>
      <c r="BU610" s="298">
        <f>SUM(BU274:BU275)</f>
        <v>6</v>
      </c>
      <c r="BV610" s="7">
        <f t="shared" ref="BV610:BV614" si="1096">BU610-BT610</f>
        <v>-77</v>
      </c>
      <c r="BW610" s="258"/>
      <c r="BX610" s="242">
        <f>1+1+1+1+2+2+1</f>
        <v>9</v>
      </c>
      <c r="BY610" s="35">
        <f t="shared" ref="BY610:BY614" si="1097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>SUM(M610,AG610,BA610,BU610,CO610)-SUM(O610,AI610,BC610,BW610,CQ610)-L610</f>
        <v>-150</v>
      </c>
      <c r="CN610" s="29">
        <f t="shared" ref="CN610:CN614" si="1098">BY610</f>
        <v>74</v>
      </c>
      <c r="CO610" s="298">
        <f>SUM(CO274:CO275)</f>
        <v>0</v>
      </c>
      <c r="CP610" s="7">
        <f t="shared" ref="CP610:CP614" si="1099">CO610-CN610</f>
        <v>-74</v>
      </c>
      <c r="CQ610" s="242"/>
      <c r="CR610" s="242"/>
      <c r="CS610" s="35">
        <f t="shared" ref="CS610:CS614" si="1100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>SUM(M610,AG610,BA610,BU610,DI610)-SUM(O610,AI610,BC610,BW610,CQ610)-L610</f>
        <v>-150</v>
      </c>
      <c r="DH610" s="32">
        <f t="shared" si="1078"/>
        <v>74</v>
      </c>
      <c r="DI610" s="298">
        <f>SUM(DI274:DI275)</f>
        <v>0</v>
      </c>
      <c r="DJ610" s="7">
        <f t="shared" ref="DJ610:DJ614" si="1101">DI610-DH610</f>
        <v>-74</v>
      </c>
      <c r="DK610" s="242"/>
      <c r="DL610" s="242"/>
      <c r="DM610" s="35">
        <f t="shared" ref="DM610:DM614" si="1102">DH610+DK610-DL610</f>
        <v>74</v>
      </c>
    </row>
    <row r="611" spans="1:117" x14ac:dyDescent="0.3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>SUM(M611,AG611,BA611,BU611)-L611</f>
        <v>-185</v>
      </c>
      <c r="K611" s="395">
        <f t="shared" si="1077"/>
        <v>-194</v>
      </c>
      <c r="L611" s="544">
        <v>195</v>
      </c>
      <c r="M611" s="298">
        <f>SUM(M274:M275)</f>
        <v>1</v>
      </c>
      <c r="N611" s="7">
        <f t="shared" si="1089"/>
        <v>-194</v>
      </c>
      <c r="O611" s="258"/>
      <c r="P611" s="242">
        <f>1+1+1+1+1+1+1+1+1</f>
        <v>9</v>
      </c>
      <c r="Q611" s="35">
        <f t="shared" si="1090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>SUM(M611,AG611)-SUM(O611,AI611)-L611</f>
        <v>-193</v>
      </c>
      <c r="AF611" s="29">
        <f>Q611</f>
        <v>186</v>
      </c>
      <c r="AG611" s="298">
        <f>SUM(AG274:AG275)</f>
        <v>1</v>
      </c>
      <c r="AH611" s="7">
        <f t="shared" si="1091"/>
        <v>-185</v>
      </c>
      <c r="AI611" s="258"/>
      <c r="AJ611" s="242">
        <f>1+1+1+1+1+1+1+1+1+1+1</f>
        <v>11</v>
      </c>
      <c r="AK611" s="35">
        <f t="shared" si="1092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>SUM(M611,AG611,BA611)-SUM(O611,AI611,BC611)-L611</f>
        <v>-191</v>
      </c>
      <c r="AZ611" s="613">
        <v>91</v>
      </c>
      <c r="BA611" s="298">
        <f>SUM(BA274:BA275)</f>
        <v>2</v>
      </c>
      <c r="BB611" s="7">
        <f t="shared" si="1093"/>
        <v>-89</v>
      </c>
      <c r="BC611" s="258"/>
      <c r="BD611" s="242">
        <f>1+1+1+1+1+1+1</f>
        <v>7</v>
      </c>
      <c r="BE611" s="35">
        <f t="shared" si="1094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>SUM(M611,AG611,BA611,BU611)-SUM(O611,AI611,BC611,BW611)-L611</f>
        <v>-185</v>
      </c>
      <c r="BT611" s="29">
        <f t="shared" si="1095"/>
        <v>84</v>
      </c>
      <c r="BU611" s="298">
        <f>SUM(BU274:BU275)</f>
        <v>6</v>
      </c>
      <c r="BV611" s="7">
        <f t="shared" si="1096"/>
        <v>-78</v>
      </c>
      <c r="BW611" s="258"/>
      <c r="BX611" s="242"/>
      <c r="BY611" s="35">
        <f t="shared" si="1097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>SUM(M611,AG611,BA611,BU611,CO611)-SUM(O611,AI611,BC611,BW611,CQ611)-L611</f>
        <v>-185</v>
      </c>
      <c r="CN611" s="29">
        <f t="shared" si="1098"/>
        <v>84</v>
      </c>
      <c r="CO611" s="298">
        <f>SUM(CO274:CO275)</f>
        <v>0</v>
      </c>
      <c r="CP611" s="7">
        <f t="shared" si="1099"/>
        <v>-84</v>
      </c>
      <c r="CQ611" s="242"/>
      <c r="CR611" s="242"/>
      <c r="CS611" s="35">
        <f t="shared" si="1100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>SUM(M611,AG611,BA611,BU611,DI611)-SUM(O611,AI611,BC611,BW611,CQ611)-L611</f>
        <v>-185</v>
      </c>
      <c r="DH611" s="32">
        <f t="shared" si="1078"/>
        <v>84</v>
      </c>
      <c r="DI611" s="298">
        <f>SUM(DI274:DI275)</f>
        <v>0</v>
      </c>
      <c r="DJ611" s="7">
        <f t="shared" si="1101"/>
        <v>-84</v>
      </c>
      <c r="DK611" s="242"/>
      <c r="DL611" s="242"/>
      <c r="DM611" s="35">
        <f t="shared" si="1102"/>
        <v>84</v>
      </c>
    </row>
    <row r="612" spans="1:117" ht="28.8" x14ac:dyDescent="0.3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>SUM(M612,AG612,BA612,BU612)-L612</f>
        <v>-137</v>
      </c>
      <c r="K612" s="395">
        <f t="shared" si="1077"/>
        <v>-142</v>
      </c>
      <c r="L612" s="544">
        <v>142</v>
      </c>
      <c r="M612" s="298">
        <f>M441</f>
        <v>0</v>
      </c>
      <c r="N612" s="7">
        <f t="shared" si="1089"/>
        <v>-142</v>
      </c>
      <c r="O612" s="258"/>
      <c r="P612" s="242">
        <f>1+1+1+1+1+1+1+1+1+1+1+1+1</f>
        <v>13</v>
      </c>
      <c r="Q612" s="35">
        <f t="shared" si="1090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>SUM(M612,AG612)-SUM(O612,AI612)-L612</f>
        <v>-142</v>
      </c>
      <c r="AF612" s="29">
        <f>Q612</f>
        <v>129</v>
      </c>
      <c r="AG612" s="298">
        <f>AG441</f>
        <v>0</v>
      </c>
      <c r="AH612" s="7">
        <f t="shared" si="1091"/>
        <v>-129</v>
      </c>
      <c r="AI612" s="258"/>
      <c r="AJ612" s="242">
        <f>1+1+1+1+1+1+1+1+2+1+1+1+1+1</f>
        <v>15</v>
      </c>
      <c r="AK612" s="35">
        <f t="shared" si="1092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>SUM(M612,AG612,BA612)-SUM(O612,AI612,BC612)-L612</f>
        <v>-141</v>
      </c>
      <c r="AZ612" s="613">
        <v>98</v>
      </c>
      <c r="BA612" s="298">
        <f>BA441</f>
        <v>1</v>
      </c>
      <c r="BB612" s="7">
        <f t="shared" si="1093"/>
        <v>-97</v>
      </c>
      <c r="BC612" s="258"/>
      <c r="BD612" s="242">
        <f>1+1+1+1+1</f>
        <v>5</v>
      </c>
      <c r="BE612" s="35">
        <f t="shared" si="1094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>SUM(M612,AG612,BA612,BU612)-SUM(O612,AI612,BC612,BW612)-L612</f>
        <v>-137</v>
      </c>
      <c r="BT612" s="29">
        <f t="shared" si="1095"/>
        <v>93</v>
      </c>
      <c r="BU612" s="298">
        <f>BU441</f>
        <v>4</v>
      </c>
      <c r="BV612" s="7">
        <f t="shared" si="1096"/>
        <v>-89</v>
      </c>
      <c r="BW612" s="258"/>
      <c r="BX612" s="242">
        <f>1+1+1+1+1+1+1+1+1</f>
        <v>9</v>
      </c>
      <c r="BY612" s="35">
        <f t="shared" si="1097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>SUM(M612,AG612,BA612,BU612,CO612)-SUM(O612,AI612,BC612,BW612,CQ612)-L612</f>
        <v>-137</v>
      </c>
      <c r="CN612" s="29">
        <f t="shared" si="1098"/>
        <v>84</v>
      </c>
      <c r="CO612" s="298">
        <f>CO441</f>
        <v>0</v>
      </c>
      <c r="CP612" s="7">
        <f t="shared" si="1099"/>
        <v>-84</v>
      </c>
      <c r="CQ612" s="242"/>
      <c r="CR612" s="242"/>
      <c r="CS612" s="35">
        <f t="shared" si="1100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>SUM(M612,AG612,BA612,BU612,DI612)-SUM(O612,AI612,BC612,BW612,CQ612)-L612</f>
        <v>-137</v>
      </c>
      <c r="DH612" s="32">
        <f t="shared" si="1078"/>
        <v>84</v>
      </c>
      <c r="DI612" s="298">
        <f>DI441</f>
        <v>0</v>
      </c>
      <c r="DJ612" s="7">
        <f t="shared" si="1101"/>
        <v>-84</v>
      </c>
      <c r="DK612" s="242"/>
      <c r="DL612" s="242"/>
      <c r="DM612" s="35">
        <f t="shared" si="1102"/>
        <v>84</v>
      </c>
    </row>
    <row r="613" spans="1:117" x14ac:dyDescent="0.3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>SUM(M613,AG613,BA613,BU613)-L613</f>
        <v>-137</v>
      </c>
      <c r="K613" s="395">
        <f t="shared" si="1077"/>
        <v>-142</v>
      </c>
      <c r="L613" s="544">
        <v>142</v>
      </c>
      <c r="M613" s="298">
        <f>M441</f>
        <v>0</v>
      </c>
      <c r="N613" s="7">
        <f t="shared" si="1089"/>
        <v>-142</v>
      </c>
      <c r="O613" s="258"/>
      <c r="P613" s="242">
        <f>1+1+1+1+1+1+1+1+1+1+1+1+1</f>
        <v>13</v>
      </c>
      <c r="Q613" s="35">
        <f t="shared" si="1090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>SUM(M613,AG613)-SUM(O613,AI613)-L613</f>
        <v>-142</v>
      </c>
      <c r="AF613" s="29">
        <f>Q613</f>
        <v>129</v>
      </c>
      <c r="AG613" s="298">
        <f>AG441</f>
        <v>0</v>
      </c>
      <c r="AH613" s="7">
        <f t="shared" si="1091"/>
        <v>-129</v>
      </c>
      <c r="AI613" s="258"/>
      <c r="AJ613" s="242">
        <f>1+1+1+1+1+1+1+1+2+1+1+1+1+1</f>
        <v>15</v>
      </c>
      <c r="AK613" s="35">
        <f t="shared" si="1092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>SUM(M613,AG613,BA613)-SUM(O613,AI613,BC613)-L613</f>
        <v>-141</v>
      </c>
      <c r="AZ613" s="613">
        <v>98</v>
      </c>
      <c r="BA613" s="298">
        <f>BA441</f>
        <v>1</v>
      </c>
      <c r="BB613" s="7">
        <f t="shared" si="1093"/>
        <v>-97</v>
      </c>
      <c r="BC613" s="258"/>
      <c r="BD613" s="242">
        <f>1+1+1+1</f>
        <v>4</v>
      </c>
      <c r="BE613" s="35">
        <f t="shared" si="1094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>SUM(M613,AG613,BA613,BU613)-SUM(O613,AI613,BC613,BW613)-L613</f>
        <v>-137</v>
      </c>
      <c r="BT613" s="29">
        <f t="shared" si="1095"/>
        <v>94</v>
      </c>
      <c r="BU613" s="298">
        <f>BU441</f>
        <v>4</v>
      </c>
      <c r="BV613" s="7">
        <f t="shared" si="1096"/>
        <v>-90</v>
      </c>
      <c r="BW613" s="258"/>
      <c r="BX613" s="242"/>
      <c r="BY613" s="35">
        <f t="shared" si="1097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>SUM(M613,AG613,BA613,BU613,CO613)-SUM(O613,AI613,BC613,BW613,CQ613)-L613</f>
        <v>-137</v>
      </c>
      <c r="CN613" s="29">
        <f t="shared" si="1098"/>
        <v>94</v>
      </c>
      <c r="CO613" s="298">
        <f>CO441</f>
        <v>0</v>
      </c>
      <c r="CP613" s="7">
        <f t="shared" si="1099"/>
        <v>-94</v>
      </c>
      <c r="CQ613" s="242"/>
      <c r="CR613" s="242"/>
      <c r="CS613" s="35">
        <f t="shared" si="1100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>SUM(M613,AG613,BA613,BU613,DI613)-SUM(O613,AI613,BC613,BW613,CQ613)-L613</f>
        <v>-137</v>
      </c>
      <c r="DH613" s="32">
        <f t="shared" si="1078"/>
        <v>94</v>
      </c>
      <c r="DI613" s="298">
        <f>DI441</f>
        <v>0</v>
      </c>
      <c r="DJ613" s="7">
        <f t="shared" si="1101"/>
        <v>-94</v>
      </c>
      <c r="DK613" s="242"/>
      <c r="DL613" s="242"/>
      <c r="DM613" s="35">
        <f t="shared" si="1102"/>
        <v>94</v>
      </c>
    </row>
    <row r="614" spans="1:117" ht="28.8" x14ac:dyDescent="0.3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>SUM(M614,AG614,BA614,BU614)-L614</f>
        <v>-226</v>
      </c>
      <c r="K614" s="395">
        <f t="shared" si="1077"/>
        <v>-230</v>
      </c>
      <c r="L614" s="544">
        <v>230</v>
      </c>
      <c r="M614" s="298">
        <f>M453</f>
        <v>0</v>
      </c>
      <c r="N614" s="7">
        <f t="shared" si="1089"/>
        <v>-230</v>
      </c>
      <c r="O614" s="258"/>
      <c r="P614" s="242">
        <f>1+1+1+1+1+1+1+1+1+1+1+1+1+1</f>
        <v>14</v>
      </c>
      <c r="Q614" s="35">
        <f t="shared" si="1090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>SUM(M614,AG614)-SUM(O614,AI614)-L614</f>
        <v>-230</v>
      </c>
      <c r="AF614" s="29">
        <f>Q614</f>
        <v>216</v>
      </c>
      <c r="AG614" s="298">
        <f>AG453</f>
        <v>0</v>
      </c>
      <c r="AH614" s="7">
        <f t="shared" si="1091"/>
        <v>-216</v>
      </c>
      <c r="AI614" s="258"/>
      <c r="AJ614" s="242">
        <f>1+1+1+1+1+1+1+1+1+1+1+1+1+1+1+1+1+1+1+1</f>
        <v>20</v>
      </c>
      <c r="AK614" s="35">
        <f t="shared" si="1092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>SUM(M614,AG614,BA614)-SUM(O614,AI614,BC614)-L614</f>
        <v>-229</v>
      </c>
      <c r="AZ614" s="613">
        <v>97</v>
      </c>
      <c r="BA614" s="298">
        <f>BA453</f>
        <v>1</v>
      </c>
      <c r="BB614" s="7">
        <f t="shared" si="1093"/>
        <v>-96</v>
      </c>
      <c r="BC614" s="258"/>
      <c r="BD614" s="242">
        <f>1+1+1+1+1+1+1+1</f>
        <v>8</v>
      </c>
      <c r="BE614" s="35">
        <f t="shared" si="1094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>SUM(M614,AG614,BA614,BU614)-SUM(O614,AI614,BC614,BW614)-L614</f>
        <v>-226</v>
      </c>
      <c r="BT614" s="29">
        <f t="shared" si="1095"/>
        <v>89</v>
      </c>
      <c r="BU614" s="298">
        <f>BU453</f>
        <v>3</v>
      </c>
      <c r="BV614" s="7">
        <f t="shared" si="1096"/>
        <v>-86</v>
      </c>
      <c r="BW614" s="258"/>
      <c r="BX614" s="242">
        <f>1+1+1+1+1+1+1+1+1+1+1+4+1+1+1+1+1+1+1+1+1+1</f>
        <v>25</v>
      </c>
      <c r="BY614" s="35">
        <f t="shared" si="1097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>SUM(M614,AG614,BA614,BU614,CO614)-SUM(O614,AI614,BC614,BW614,CQ614)-L614</f>
        <v>-226</v>
      </c>
      <c r="CN614" s="29">
        <f t="shared" si="1098"/>
        <v>64</v>
      </c>
      <c r="CO614" s="298">
        <f>CO453</f>
        <v>0</v>
      </c>
      <c r="CP614" s="7">
        <f t="shared" si="1099"/>
        <v>-64</v>
      </c>
      <c r="CQ614" s="242"/>
      <c r="CR614" s="242"/>
      <c r="CS614" s="35">
        <f t="shared" si="1100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>SUM(M614,AG614,BA614,BU614,DI614)-SUM(O614,AI614,BC614,BW614,CQ614)-L614</f>
        <v>-226</v>
      </c>
      <c r="DH614" s="32">
        <f t="shared" si="1078"/>
        <v>64</v>
      </c>
      <c r="DI614" s="298">
        <f>DI453</f>
        <v>0</v>
      </c>
      <c r="DJ614" s="7">
        <f t="shared" si="1101"/>
        <v>-64</v>
      </c>
      <c r="DK614" s="242"/>
      <c r="DL614" s="242"/>
      <c r="DM614" s="35">
        <f t="shared" si="1102"/>
        <v>64</v>
      </c>
    </row>
    <row r="615" spans="1:117" x14ac:dyDescent="0.3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>SUM(M615,AG615,BA615,BU615)-L615</f>
        <v>-255</v>
      </c>
      <c r="K615" s="395">
        <f t="shared" si="1077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>SUM(M615,AG615)-SUM(O615,AI615)-L615</f>
        <v>-259</v>
      </c>
      <c r="AF615" s="29">
        <f>Q615</f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>SUM(M615,AG615,BA615)-SUM(O615,AI615,BC615)-L615</f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>SUM(M615,AG615,BA615,BU615)-SUM(O615,AI615,BC615,BW615)-L615</f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>SUM(M615,AG615,BA615,BU615,CO615)-SUM(O615,AI615,BC615,BW615,CQ615)-L615</f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>SUM(M615,AG615,BA615,BU615,DI615)-SUM(O615,AI615,BC615,BW615,CQ615)-L615</f>
        <v>-255</v>
      </c>
      <c r="DH615" s="32">
        <f t="shared" si="1078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28.8" x14ac:dyDescent="0.3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>SUM(M616,AG616,BA616,BU616)-L616</f>
        <v>-80</v>
      </c>
      <c r="K616" s="395">
        <f t="shared" ref="K616:K617" si="1103">M616-O616-L616</f>
        <v>-89</v>
      </c>
      <c r="L616" s="544">
        <v>89</v>
      </c>
      <c r="M616" s="298">
        <f>M266</f>
        <v>0</v>
      </c>
      <c r="N616" s="7">
        <f t="shared" ref="N616" si="1104">M616-L616</f>
        <v>-89</v>
      </c>
      <c r="O616" s="258"/>
      <c r="P616" s="242">
        <f>1+1+1+1+1+1+1+1</f>
        <v>8</v>
      </c>
      <c r="Q616" s="35">
        <f t="shared" ref="Q616" si="1105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>SUM(M616,AG616)-SUM(O616,AI616)-L616</f>
        <v>-89</v>
      </c>
      <c r="AF616" s="29">
        <f>Q616</f>
        <v>81</v>
      </c>
      <c r="AG616" s="298">
        <f>AG266</f>
        <v>0</v>
      </c>
      <c r="AH616" s="7">
        <f t="shared" ref="AH616" si="1106">AG616-AF616</f>
        <v>-81</v>
      </c>
      <c r="AI616" s="258"/>
      <c r="AJ616" s="242">
        <f>1+1+1+1+1+1+1+1+1+1+1+1+1</f>
        <v>13</v>
      </c>
      <c r="AK616" s="35">
        <f t="shared" ref="AK616" si="1107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>SUM(M616,AG616,BA616)-SUM(O616,AI616,BC616)-L616</f>
        <v>-83</v>
      </c>
      <c r="AZ616" s="613">
        <v>85</v>
      </c>
      <c r="BA616" s="298">
        <f>BA266</f>
        <v>6</v>
      </c>
      <c r="BB616" s="7">
        <f t="shared" ref="BB616" si="1108">BA616-AZ616</f>
        <v>-79</v>
      </c>
      <c r="BC616" s="258"/>
      <c r="BD616" s="242">
        <f>1+1+1+1+1+1</f>
        <v>6</v>
      </c>
      <c r="BE616" s="35">
        <f t="shared" ref="BE616" si="1109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>SUM(M616,AG616,BA616,BU616)-SUM(O616,AI616,BC616,BW616)-L616</f>
        <v>-80</v>
      </c>
      <c r="BT616" s="29">
        <f t="shared" ref="BT616" si="1110">BE616</f>
        <v>79</v>
      </c>
      <c r="BU616" s="298">
        <f>BU266</f>
        <v>3</v>
      </c>
      <c r="BV616" s="7">
        <f t="shared" ref="BV616" si="1111">BU616-BT616</f>
        <v>-76</v>
      </c>
      <c r="BW616" s="258"/>
      <c r="BX616" s="242">
        <f>1+1+1+1+1+1+1+1+9+1</f>
        <v>18</v>
      </c>
      <c r="BY616" s="35">
        <f t="shared" ref="BY616" si="1112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>SUM(M616,AG616,BA616,BU616,CO616)-SUM(O616,AI616,BC616,BW616,CQ616)-L616</f>
        <v>-80</v>
      </c>
      <c r="CN616" s="29">
        <f t="shared" ref="CN616" si="1113">BY616</f>
        <v>61</v>
      </c>
      <c r="CO616" s="298">
        <f>CO266</f>
        <v>0</v>
      </c>
      <c r="CP616" s="7">
        <f t="shared" ref="CP616" si="1114">CO616-CN616</f>
        <v>-61</v>
      </c>
      <c r="CQ616" s="242"/>
      <c r="CR616" s="242"/>
      <c r="CS616" s="35">
        <f t="shared" ref="CS616" si="1115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>SUM(M616,AG616,BA616,BU616,DI616)-SUM(O616,AI616,BC616,BW616,CQ616)-L616</f>
        <v>-80</v>
      </c>
      <c r="DH616" s="32">
        <f t="shared" ref="DH616:DH617" si="1116">BY616</f>
        <v>61</v>
      </c>
      <c r="DI616" s="298">
        <f>DI266</f>
        <v>0</v>
      </c>
      <c r="DJ616" s="7">
        <f t="shared" ref="DJ616" si="1117">DI616-DH616</f>
        <v>-61</v>
      </c>
      <c r="DK616" s="242"/>
      <c r="DL616" s="242"/>
      <c r="DM616" s="35">
        <f t="shared" ref="DM616" si="1118">DH616+DK616-DL616</f>
        <v>61</v>
      </c>
    </row>
    <row r="617" spans="1:117" x14ac:dyDescent="0.3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>SUM(M617,AG617,BA617,BU617)-L617</f>
        <v>-80</v>
      </c>
      <c r="K617" s="395">
        <f t="shared" si="1103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>SUM(M617,AG617)-SUM(O617,AI617)-L617</f>
        <v>-89</v>
      </c>
      <c r="AF617" s="29">
        <f>Q617</f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>SUM(M617,AG617,BA617)-SUM(O617,AI617,BC617)-L617</f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>SUM(M617,AG617,BA617,BU617)-SUM(O617,AI617,BC617,BW617)-L617</f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>SUM(M617,AG617,BA617,BU617,CO617)-SUM(O617,AI617,BC617,BW617,CQ617)-L617</f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>SUM(M617,AG617,BA617,BU617,DI617)-SUM(O617,AI617,BC617,BW617,CQ617)-L617</f>
        <v>-80</v>
      </c>
      <c r="DH617" s="32">
        <f t="shared" si="1116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3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35"/>
      <c r="V618" s="129"/>
      <c r="W618" s="130"/>
      <c r="X618" s="79"/>
      <c r="Y618" s="735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35"/>
      <c r="AP618" s="129"/>
      <c r="AQ618" s="130"/>
      <c r="AR618" s="79"/>
      <c r="AS618" s="735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35"/>
      <c r="BJ618" s="129"/>
      <c r="BK618" s="130"/>
      <c r="BL618" s="79"/>
      <c r="BM618" s="735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35"/>
      <c r="CD618" s="129"/>
      <c r="CE618" s="130"/>
      <c r="CF618" s="79"/>
      <c r="CG618" s="735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35"/>
      <c r="CX618" s="129"/>
      <c r="CY618" s="130"/>
      <c r="CZ618" s="79"/>
      <c r="DA618" s="735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3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35"/>
      <c r="V619" s="129"/>
      <c r="W619" s="130"/>
      <c r="X619" s="79"/>
      <c r="Y619" s="735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35"/>
      <c r="AP619" s="129"/>
      <c r="AQ619" s="130"/>
      <c r="AR619" s="79"/>
      <c r="AS619" s="735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35"/>
      <c r="BJ619" s="129"/>
      <c r="BK619" s="130"/>
      <c r="BL619" s="79"/>
      <c r="BM619" s="735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35"/>
      <c r="CD619" s="129"/>
      <c r="CE619" s="130"/>
      <c r="CF619" s="79"/>
      <c r="CG619" s="735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35"/>
      <c r="CX619" s="129"/>
      <c r="CY619" s="130"/>
      <c r="CZ619" s="79"/>
      <c r="DA619" s="735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3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35"/>
      <c r="V620" s="129"/>
      <c r="W620" s="130"/>
      <c r="X620" s="79"/>
      <c r="Y620" s="735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35"/>
      <c r="AP620" s="129"/>
      <c r="AQ620" s="130"/>
      <c r="AR620" s="79"/>
      <c r="AS620" s="735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35"/>
      <c r="BJ620" s="129"/>
      <c r="BK620" s="130"/>
      <c r="BL620" s="79"/>
      <c r="BM620" s="735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35"/>
      <c r="CD620" s="129"/>
      <c r="CE620" s="130"/>
      <c r="CF620" s="79"/>
      <c r="CG620" s="735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35"/>
      <c r="CX620" s="129"/>
      <c r="CY620" s="130"/>
      <c r="CZ620" s="79"/>
      <c r="DA620" s="735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3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35"/>
      <c r="V621" s="129"/>
      <c r="W621" s="130"/>
      <c r="X621" s="79"/>
      <c r="Y621" s="735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35"/>
      <c r="AP621" s="129"/>
      <c r="AQ621" s="130"/>
      <c r="AR621" s="79"/>
      <c r="AS621" s="735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35"/>
      <c r="BJ621" s="129"/>
      <c r="BK621" s="130"/>
      <c r="BL621" s="79"/>
      <c r="BM621" s="735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35"/>
      <c r="CD621" s="129"/>
      <c r="CE621" s="130"/>
      <c r="CF621" s="79"/>
      <c r="CG621" s="735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35"/>
      <c r="CX621" s="129"/>
      <c r="CY621" s="130"/>
      <c r="CZ621" s="79"/>
      <c r="DA621" s="735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3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35"/>
      <c r="V622" s="129"/>
      <c r="W622" s="130"/>
      <c r="X622" s="79"/>
      <c r="Y622" s="735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35"/>
      <c r="AP622" s="129"/>
      <c r="AQ622" s="130"/>
      <c r="AR622" s="79"/>
      <c r="AS622" s="735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35"/>
      <c r="BJ622" s="129"/>
      <c r="BK622" s="130"/>
      <c r="BL622" s="79"/>
      <c r="BM622" s="735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35"/>
      <c r="CD622" s="129"/>
      <c r="CE622" s="130"/>
      <c r="CF622" s="79"/>
      <c r="CG622" s="735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35"/>
      <c r="CX622" s="129"/>
      <c r="CY622" s="130"/>
      <c r="CZ622" s="79"/>
      <c r="DA622" s="735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3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35"/>
      <c r="V623" s="129"/>
      <c r="W623" s="130"/>
      <c r="X623" s="79"/>
      <c r="Y623" s="735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35"/>
      <c r="AP623" s="129"/>
      <c r="AQ623" s="130"/>
      <c r="AR623" s="79"/>
      <c r="AS623" s="735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35"/>
      <c r="BJ623" s="129"/>
      <c r="BK623" s="130"/>
      <c r="BL623" s="79"/>
      <c r="BM623" s="735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35"/>
      <c r="CD623" s="129"/>
      <c r="CE623" s="130"/>
      <c r="CF623" s="79"/>
      <c r="CG623" s="735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35"/>
      <c r="CX623" s="129"/>
      <c r="CY623" s="130"/>
      <c r="CZ623" s="79"/>
      <c r="DA623" s="735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3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35"/>
      <c r="V624" s="129"/>
      <c r="W624" s="130"/>
      <c r="X624" s="79"/>
      <c r="Y624" s="735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35"/>
      <c r="AP624" s="129"/>
      <c r="AQ624" s="130"/>
      <c r="AR624" s="79"/>
      <c r="AS624" s="735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35"/>
      <c r="BJ624" s="129"/>
      <c r="BK624" s="130"/>
      <c r="BL624" s="79"/>
      <c r="BM624" s="735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35"/>
      <c r="CD624" s="129"/>
      <c r="CE624" s="130"/>
      <c r="CF624" s="79"/>
      <c r="CG624" s="735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35"/>
      <c r="CX624" s="129"/>
      <c r="CY624" s="130"/>
      <c r="CZ624" s="79"/>
      <c r="DA624" s="735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3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35"/>
      <c r="V625" s="129"/>
      <c r="W625" s="130"/>
      <c r="X625" s="79"/>
      <c r="Y625" s="735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35"/>
      <c r="AP625" s="129"/>
      <c r="AQ625" s="130"/>
      <c r="AR625" s="79"/>
      <c r="AS625" s="735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35"/>
      <c r="BJ625" s="129"/>
      <c r="BK625" s="130"/>
      <c r="BL625" s="79"/>
      <c r="BM625" s="735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35"/>
      <c r="CD625" s="129"/>
      <c r="CE625" s="130"/>
      <c r="CF625" s="79"/>
      <c r="CG625" s="735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35"/>
      <c r="CX625" s="129"/>
      <c r="CY625" s="130"/>
      <c r="CZ625" s="79"/>
      <c r="DA625" s="735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3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35"/>
      <c r="V626" s="129"/>
      <c r="W626" s="130"/>
      <c r="X626" s="79"/>
      <c r="Y626" s="735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35"/>
      <c r="AP626" s="129"/>
      <c r="AQ626" s="130"/>
      <c r="AR626" s="79"/>
      <c r="AS626" s="735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35"/>
      <c r="BJ626" s="129"/>
      <c r="BK626" s="130"/>
      <c r="BL626" s="79"/>
      <c r="BM626" s="735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35"/>
      <c r="CD626" s="129"/>
      <c r="CE626" s="130"/>
      <c r="CF626" s="79"/>
      <c r="CG626" s="735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35"/>
      <c r="CX626" s="129"/>
      <c r="CY626" s="130"/>
      <c r="CZ626" s="79"/>
      <c r="DA626" s="735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3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35"/>
      <c r="V627" s="129"/>
      <c r="W627" s="130"/>
      <c r="X627" s="79"/>
      <c r="Y627" s="735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35"/>
      <c r="AP627" s="129"/>
      <c r="AQ627" s="130"/>
      <c r="AR627" s="79"/>
      <c r="AS627" s="735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35"/>
      <c r="BJ627" s="129"/>
      <c r="BK627" s="130"/>
      <c r="BL627" s="79"/>
      <c r="BM627" s="735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35"/>
      <c r="CD627" s="129"/>
      <c r="CE627" s="130"/>
      <c r="CF627" s="79"/>
      <c r="CG627" s="735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35"/>
      <c r="CX627" s="129"/>
      <c r="CY627" s="130"/>
      <c r="CZ627" s="79"/>
      <c r="DA627" s="735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3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35"/>
      <c r="V628" s="129"/>
      <c r="W628" s="130"/>
      <c r="X628" s="79"/>
      <c r="Y628" s="735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35"/>
      <c r="AP628" s="129"/>
      <c r="AQ628" s="130"/>
      <c r="AR628" s="79"/>
      <c r="AS628" s="735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35"/>
      <c r="BJ628" s="129"/>
      <c r="BK628" s="130"/>
      <c r="BL628" s="79"/>
      <c r="BM628" s="735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35"/>
      <c r="CD628" s="129"/>
      <c r="CE628" s="130"/>
      <c r="CF628" s="79"/>
      <c r="CG628" s="735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35"/>
      <c r="CX628" s="129"/>
      <c r="CY628" s="130"/>
      <c r="CZ628" s="79"/>
      <c r="DA628" s="735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3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35"/>
      <c r="V629" s="129"/>
      <c r="W629" s="130"/>
      <c r="X629" s="79"/>
      <c r="Y629" s="735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35"/>
      <c r="AP629" s="129"/>
      <c r="AQ629" s="130"/>
      <c r="AR629" s="79"/>
      <c r="AS629" s="735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35"/>
      <c r="BJ629" s="129"/>
      <c r="BK629" s="130"/>
      <c r="BL629" s="79"/>
      <c r="BM629" s="735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35"/>
      <c r="CD629" s="129"/>
      <c r="CE629" s="130"/>
      <c r="CF629" s="79"/>
      <c r="CG629" s="735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35"/>
      <c r="CX629" s="129"/>
      <c r="CY629" s="130"/>
      <c r="CZ629" s="79"/>
      <c r="DA629" s="735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3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35"/>
      <c r="V630" s="129"/>
      <c r="W630" s="130"/>
      <c r="X630" s="79"/>
      <c r="Y630" s="735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35"/>
      <c r="AP630" s="129"/>
      <c r="AQ630" s="130"/>
      <c r="AR630" s="79"/>
      <c r="AS630" s="735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35"/>
      <c r="BJ630" s="129"/>
      <c r="BK630" s="130"/>
      <c r="BL630" s="79"/>
      <c r="BM630" s="735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35"/>
      <c r="CD630" s="129"/>
      <c r="CE630" s="130"/>
      <c r="CF630" s="79"/>
      <c r="CG630" s="735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35"/>
      <c r="CX630" s="129"/>
      <c r="CY630" s="130"/>
      <c r="CZ630" s="79"/>
      <c r="DA630" s="735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" thickBot="1" x14ac:dyDescent="0.35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077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078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" thickBot="1" x14ac:dyDescent="0.35">
      <c r="P632" s="248"/>
      <c r="AJ632" s="248"/>
      <c r="BD632" s="248"/>
      <c r="BX632" s="248"/>
      <c r="CR632" s="248"/>
      <c r="DL632" s="248"/>
    </row>
    <row r="633" spans="1:117" ht="15" thickBot="1" x14ac:dyDescent="0.35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3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36"/>
      <c r="V634" s="123"/>
      <c r="W634" s="8"/>
      <c r="X634" s="34"/>
      <c r="Y634" s="736"/>
      <c r="Z634" s="20"/>
      <c r="AA634" s="8"/>
      <c r="AB634" s="34"/>
      <c r="AC634" s="736"/>
      <c r="AD634" s="736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36"/>
      <c r="AP634" s="123"/>
      <c r="AQ634" s="8"/>
      <c r="AR634" s="34"/>
      <c r="AS634" s="736"/>
      <c r="AT634" s="20"/>
      <c r="AU634" s="8"/>
      <c r="AV634" s="34"/>
      <c r="AW634" s="736"/>
      <c r="AX634" s="736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36"/>
      <c r="BJ634" s="123"/>
      <c r="BK634" s="8"/>
      <c r="BL634" s="34"/>
      <c r="BM634" s="736"/>
      <c r="BN634" s="20"/>
      <c r="BO634" s="8"/>
      <c r="BP634" s="34"/>
      <c r="BQ634" s="736"/>
      <c r="BR634" s="736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36"/>
      <c r="CD634" s="123"/>
      <c r="CE634" s="685">
        <v>17800</v>
      </c>
      <c r="CF634" s="686" t="s">
        <v>940</v>
      </c>
      <c r="CG634" s="838"/>
      <c r="CH634" s="20"/>
      <c r="CI634" s="8"/>
      <c r="CJ634" s="34"/>
      <c r="CK634" s="736"/>
      <c r="CL634" s="736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36"/>
      <c r="CX634" s="123"/>
      <c r="CY634" s="8"/>
      <c r="CZ634" s="34"/>
      <c r="DA634" s="736"/>
      <c r="DB634" s="20"/>
      <c r="DC634" s="8"/>
      <c r="DD634" s="34"/>
      <c r="DE634" s="736"/>
      <c r="DF634" s="736"/>
      <c r="DG634" s="24"/>
      <c r="DH634" s="32"/>
      <c r="DI634" s="7"/>
      <c r="DJ634" s="7"/>
      <c r="DK634" s="7"/>
      <c r="DL634" s="242"/>
      <c r="DM634" s="234"/>
    </row>
    <row r="635" spans="1:117" x14ac:dyDescent="0.3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x14ac:dyDescent="0.3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3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" thickBot="1" x14ac:dyDescent="0.35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" thickBot="1" x14ac:dyDescent="0.35"/>
    <row r="640" spans="1:117" x14ac:dyDescent="0.3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54"/>
      <c r="V640" s="142" t="s">
        <v>340</v>
      </c>
      <c r="W640" s="143" t="s">
        <v>366</v>
      </c>
      <c r="X640" s="144" t="s">
        <v>157</v>
      </c>
      <c r="Y640" s="754"/>
      <c r="Z640" s="142" t="s">
        <v>340</v>
      </c>
      <c r="AA640" s="143" t="s">
        <v>366</v>
      </c>
      <c r="AB640" s="144" t="s">
        <v>157</v>
      </c>
      <c r="AC640" s="767"/>
      <c r="AD640" s="767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54"/>
      <c r="AP640" s="142" t="s">
        <v>340</v>
      </c>
      <c r="AQ640" s="143" t="s">
        <v>366</v>
      </c>
      <c r="AR640" s="144" t="s">
        <v>157</v>
      </c>
      <c r="AS640" s="754"/>
      <c r="AT640" s="142" t="s">
        <v>340</v>
      </c>
      <c r="AU640" s="143" t="s">
        <v>366</v>
      </c>
      <c r="AV640" s="144" t="s">
        <v>157</v>
      </c>
      <c r="AW640" s="767"/>
      <c r="AX640" s="767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54"/>
      <c r="BJ640" s="142" t="s">
        <v>340</v>
      </c>
      <c r="BK640" s="143" t="s">
        <v>366</v>
      </c>
      <c r="BL640" s="144" t="s">
        <v>157</v>
      </c>
      <c r="BM640" s="754"/>
      <c r="BN640" s="142" t="s">
        <v>340</v>
      </c>
      <c r="BO640" s="143" t="s">
        <v>366</v>
      </c>
      <c r="BP640" s="144" t="s">
        <v>157</v>
      </c>
      <c r="BQ640" s="767"/>
      <c r="BR640" s="767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54"/>
      <c r="CD640" s="142" t="s">
        <v>340</v>
      </c>
      <c r="CE640" s="143" t="s">
        <v>366</v>
      </c>
      <c r="CF640" s="144" t="s">
        <v>157</v>
      </c>
      <c r="CG640" s="754"/>
      <c r="CH640" s="142" t="s">
        <v>340</v>
      </c>
      <c r="CI640" s="143" t="s">
        <v>366</v>
      </c>
      <c r="CJ640" s="144" t="s">
        <v>157</v>
      </c>
      <c r="CK640" s="767"/>
      <c r="CL640" s="767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54"/>
      <c r="CX640" s="142" t="s">
        <v>340</v>
      </c>
      <c r="CY640" s="143" t="s">
        <v>366</v>
      </c>
      <c r="CZ640" s="144" t="s">
        <v>157</v>
      </c>
      <c r="DA640" s="754"/>
      <c r="DB640" s="142" t="s">
        <v>340</v>
      </c>
      <c r="DC640" s="143" t="s">
        <v>366</v>
      </c>
      <c r="DD640" s="144" t="s">
        <v>157</v>
      </c>
      <c r="DE640" s="767"/>
      <c r="DF640" s="767"/>
      <c r="DG640" s="141"/>
      <c r="DH640" s="141"/>
      <c r="DI640" s="141"/>
      <c r="DJ640" s="141"/>
      <c r="DK640" s="141"/>
      <c r="DL640" s="141"/>
      <c r="DM640" s="141"/>
    </row>
    <row r="641" spans="2:113" ht="15" thickBot="1" x14ac:dyDescent="0.35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C641" s="750"/>
      <c r="AD641" s="750"/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AW641" s="750"/>
      <c r="AX641" s="750"/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Q641" s="750"/>
      <c r="BR641" s="750"/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K641" s="750"/>
      <c r="CL641" s="750"/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  <c r="DE641" s="750"/>
      <c r="DF641" s="750"/>
    </row>
    <row r="642" spans="2:113" ht="15" thickBot="1" x14ac:dyDescent="0.35">
      <c r="B642" s="438">
        <f>SUM(R642,V642,Z642,AL642,AP642,AT642,BF642,BJ642,BN642,BZ642,CD642,CH642)</f>
        <v>28621041.139999997</v>
      </c>
      <c r="M642" s="4"/>
      <c r="R642" s="711">
        <f>SUM(R641:S641)</f>
        <v>860982.5</v>
      </c>
      <c r="S642" s="712"/>
      <c r="T642" s="383" t="s">
        <v>158</v>
      </c>
      <c r="U642" s="677"/>
      <c r="V642" s="711">
        <f>SUM(V641:W641)</f>
        <v>3410737.3</v>
      </c>
      <c r="W642" s="712"/>
      <c r="X642" s="383" t="s">
        <v>158</v>
      </c>
      <c r="Y642" s="677"/>
      <c r="Z642" s="721">
        <f>SUM(Z641:AA641)</f>
        <v>1391319.28</v>
      </c>
      <c r="AA642" s="722"/>
      <c r="AB642" s="383" t="s">
        <v>158</v>
      </c>
      <c r="AC642" s="768"/>
      <c r="AD642" s="768"/>
      <c r="AG642" s="4"/>
      <c r="AL642" s="711">
        <f>SUM(AL641:AM641)</f>
        <v>830787.6</v>
      </c>
      <c r="AM642" s="712"/>
      <c r="AN642" s="383" t="s">
        <v>158</v>
      </c>
      <c r="AO642" s="677"/>
      <c r="AP642" s="711">
        <f>SUM(AP641:AQ641)</f>
        <v>1086565</v>
      </c>
      <c r="AQ642" s="712"/>
      <c r="AR642" s="383" t="s">
        <v>158</v>
      </c>
      <c r="AS642" s="677"/>
      <c r="AT642" s="711">
        <f>SUM(AT641:AU641)</f>
        <v>2304093.1999999997</v>
      </c>
      <c r="AU642" s="712"/>
      <c r="AV642" s="383" t="s">
        <v>158</v>
      </c>
      <c r="AW642" s="768"/>
      <c r="AX642" s="768"/>
      <c r="BA642" s="4"/>
      <c r="BF642" s="711">
        <f>SUM(BF641:BG641)</f>
        <v>816710</v>
      </c>
      <c r="BG642" s="712"/>
      <c r="BH642" s="383" t="s">
        <v>158</v>
      </c>
      <c r="BI642" s="677"/>
      <c r="BJ642" s="711">
        <f>SUM(BJ641:BK641)</f>
        <v>1295361</v>
      </c>
      <c r="BK642" s="712"/>
      <c r="BL642" s="383" t="s">
        <v>158</v>
      </c>
      <c r="BM642" s="677"/>
      <c r="BN642" s="711">
        <f>SUM(BN641:BO641)</f>
        <v>1927965.35</v>
      </c>
      <c r="BO642" s="712"/>
      <c r="BP642" s="383" t="s">
        <v>158</v>
      </c>
      <c r="BQ642" s="768"/>
      <c r="BR642" s="768"/>
      <c r="BU642" s="4"/>
      <c r="BZ642" s="721">
        <f>SUM(BZ641:CA641)</f>
        <v>1105698.6000000001</v>
      </c>
      <c r="CA642" s="722"/>
      <c r="CB642" s="383" t="s">
        <v>158</v>
      </c>
      <c r="CC642" s="677"/>
      <c r="CD642" s="711">
        <f>SUM(CD641:CE641)</f>
        <v>5629939.1499999994</v>
      </c>
      <c r="CE642" s="712"/>
      <c r="CF642" s="383" t="s">
        <v>158</v>
      </c>
      <c r="CG642" s="677"/>
      <c r="CH642" s="711">
        <f>SUM(CH641:CI641)</f>
        <v>7960882.1600000001</v>
      </c>
      <c r="CI642" s="712"/>
      <c r="CJ642" s="383" t="s">
        <v>158</v>
      </c>
      <c r="CK642" s="768"/>
      <c r="CL642" s="768"/>
      <c r="CO642" s="4"/>
      <c r="CT642" s="711">
        <f>SUM(CT641:CU641)</f>
        <v>2045367.075</v>
      </c>
      <c r="CU642" s="712"/>
      <c r="CV642" s="383" t="s">
        <v>158</v>
      </c>
      <c r="CW642" s="677"/>
      <c r="CX642" s="711">
        <f>SUM(CX641:CY641)</f>
        <v>3299777.3</v>
      </c>
      <c r="CY642" s="712"/>
      <c r="CZ642" s="383" t="s">
        <v>158</v>
      </c>
      <c r="DA642" s="677"/>
      <c r="DB642" s="711">
        <f>SUM(DB641:DC641)</f>
        <v>1895125</v>
      </c>
      <c r="DC642" s="712"/>
      <c r="DD642" s="383" t="s">
        <v>158</v>
      </c>
      <c r="DE642" s="768"/>
      <c r="DF642" s="768"/>
      <c r="DI642" s="4"/>
    </row>
    <row r="643" spans="2:113" x14ac:dyDescent="0.3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E2:DE3"/>
    <mergeCell ref="DF2:DF3"/>
    <mergeCell ref="AC2:AC3"/>
    <mergeCell ref="AD2:AD3"/>
    <mergeCell ref="AO2:AO3"/>
    <mergeCell ref="AS2:AS3"/>
    <mergeCell ref="AW2:AW3"/>
    <mergeCell ref="F2:H2"/>
    <mergeCell ref="I2:I3"/>
    <mergeCell ref="E2:E3"/>
    <mergeCell ref="C2:D2"/>
    <mergeCell ref="U2:U3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AL1:AV1"/>
    <mergeCell ref="AF2:AK2"/>
    <mergeCell ref="AL2:AN2"/>
    <mergeCell ref="AP2:AR2"/>
    <mergeCell ref="AT2:AV2"/>
    <mergeCell ref="BF1:BP1"/>
    <mergeCell ref="AZ2:BE2"/>
    <mergeCell ref="BF2:BH2"/>
    <mergeCell ref="BJ2:BL2"/>
    <mergeCell ref="BN2:BP2"/>
    <mergeCell ref="BI2:BI3"/>
    <mergeCell ref="BM2:BM3"/>
    <mergeCell ref="BT2:BY2"/>
    <mergeCell ref="BZ2:CB2"/>
    <mergeCell ref="CD2:CF2"/>
    <mergeCell ref="CH2:CJ2"/>
    <mergeCell ref="AL642:AM642"/>
    <mergeCell ref="AP642:AQ642"/>
    <mergeCell ref="AT642:AU642"/>
    <mergeCell ref="BF642:BG642"/>
    <mergeCell ref="BJ642:BK642"/>
    <mergeCell ref="BN642:BO642"/>
    <mergeCell ref="BZ642:CA642"/>
    <mergeCell ref="CD642:CE642"/>
    <mergeCell ref="CH642:CI642"/>
    <mergeCell ref="AX2:AX3"/>
    <mergeCell ref="BQ2:BQ3"/>
    <mergeCell ref="BR2:BR3"/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64"/>
  <sheetViews>
    <sheetView workbookViewId="0">
      <selection activeCell="P8" sqref="P8"/>
    </sheetView>
  </sheetViews>
  <sheetFormatPr defaultRowHeight="14.4" x14ac:dyDescent="0.3"/>
  <cols>
    <col min="1" max="1" width="12.33203125" customWidth="1"/>
    <col min="2" max="2" width="6" bestFit="1" customWidth="1"/>
    <col min="3" max="9" width="11.44140625" bestFit="1" customWidth="1"/>
    <col min="10" max="10" width="12.44140625" bestFit="1" customWidth="1"/>
    <col min="11" max="12" width="11.44140625" bestFit="1" customWidth="1"/>
    <col min="13" max="14" width="12.44140625" bestFit="1" customWidth="1"/>
    <col min="15" max="15" width="11.44140625" bestFit="1" customWidth="1"/>
    <col min="16" max="16" width="12.44140625" bestFit="1" customWidth="1"/>
    <col min="17" max="17" width="11.44140625" bestFit="1" customWidth="1"/>
    <col min="18" max="19" width="12.44140625" bestFit="1" customWidth="1"/>
  </cols>
  <sheetData>
    <row r="1" spans="1:19" s="1" customFormat="1" ht="15" thickBot="1" x14ac:dyDescent="0.35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3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" thickBot="1" x14ac:dyDescent="0.35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" thickBot="1" x14ac:dyDescent="0.35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" thickBot="1" x14ac:dyDescent="0.35"/>
    <row r="7" spans="1:19" ht="15" thickBot="1" x14ac:dyDescent="0.35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3">
      <c r="A8" s="72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" thickBot="1" x14ac:dyDescent="0.35">
      <c r="A9" s="72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" thickBot="1" x14ac:dyDescent="0.35">
      <c r="A10" s="72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3">
      <c r="A11" s="72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" thickBot="1" x14ac:dyDescent="0.35">
      <c r="A12" s="72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" thickBot="1" x14ac:dyDescent="0.35">
      <c r="A13" s="72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3">
      <c r="A14" s="72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" thickBot="1" x14ac:dyDescent="0.35">
      <c r="A15" s="72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" thickBot="1" x14ac:dyDescent="0.35">
      <c r="A16" s="72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3">
      <c r="A17" s="72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" thickBot="1" x14ac:dyDescent="0.35">
      <c r="A18" s="72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" thickBot="1" x14ac:dyDescent="0.35">
      <c r="A19" s="72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3">
      <c r="A20" s="72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" thickBot="1" x14ac:dyDescent="0.35">
      <c r="A21" s="72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" thickBot="1" x14ac:dyDescent="0.35">
      <c r="A22" s="72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3">
      <c r="A23" s="72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" thickBot="1" x14ac:dyDescent="0.35">
      <c r="A24" s="72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" thickBot="1" x14ac:dyDescent="0.35">
      <c r="A25" s="72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3">
      <c r="A26" s="72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" thickBot="1" x14ac:dyDescent="0.35">
      <c r="A27" s="72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" thickBot="1" x14ac:dyDescent="0.35">
      <c r="A28" s="72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3">
      <c r="A29" s="72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" thickBot="1" x14ac:dyDescent="0.35">
      <c r="A30" s="72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" thickBot="1" x14ac:dyDescent="0.35">
      <c r="A31" s="72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3">
      <c r="A32" s="72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" thickBot="1" x14ac:dyDescent="0.35">
      <c r="A33" s="72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" thickBot="1" x14ac:dyDescent="0.35">
      <c r="A34" s="72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3">
      <c r="A35" s="72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" thickBot="1" x14ac:dyDescent="0.35">
      <c r="A36" s="72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" thickBot="1" x14ac:dyDescent="0.35">
      <c r="A37" s="72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3">
      <c r="A38" s="72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" thickBot="1" x14ac:dyDescent="0.35">
      <c r="A39" s="72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" thickBot="1" x14ac:dyDescent="0.35">
      <c r="A40" s="72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3">
      <c r="A41" s="72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" thickBot="1" x14ac:dyDescent="0.35">
      <c r="A42" s="72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" thickBot="1" x14ac:dyDescent="0.35">
      <c r="A43" s="72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3">
      <c r="A44" s="72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" thickBot="1" x14ac:dyDescent="0.35">
      <c r="A45" s="72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" thickBot="1" x14ac:dyDescent="0.35">
      <c r="A46" s="72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3">
      <c r="A47" s="72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" thickBot="1" x14ac:dyDescent="0.35">
      <c r="A48" s="72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" thickBot="1" x14ac:dyDescent="0.35">
      <c r="A49" s="72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3">
      <c r="A50" s="72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" thickBot="1" x14ac:dyDescent="0.35">
      <c r="A51" s="72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" thickBot="1" x14ac:dyDescent="0.35">
      <c r="A52" s="72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3">
      <c r="A53" s="72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" thickBot="1" x14ac:dyDescent="0.35">
      <c r="A54" s="72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" thickBot="1" x14ac:dyDescent="0.35">
      <c r="A55" s="72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3">
      <c r="A56" s="72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" thickBot="1" x14ac:dyDescent="0.35">
      <c r="A57" s="72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" thickBot="1" x14ac:dyDescent="0.35">
      <c r="A58" s="72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3">
      <c r="A59" s="72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" thickBot="1" x14ac:dyDescent="0.35">
      <c r="A60" s="72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" thickBot="1" x14ac:dyDescent="0.35">
      <c r="A61" s="72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3">
      <c r="A62" s="72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" thickBot="1" x14ac:dyDescent="0.35">
      <c r="A63" s="72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" thickBot="1" x14ac:dyDescent="0.35">
      <c r="A64" s="72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62:A64"/>
    <mergeCell ref="A44:A46"/>
    <mergeCell ref="A47:A49"/>
    <mergeCell ref="A50:A52"/>
    <mergeCell ref="A53:A55"/>
    <mergeCell ref="A56:A58"/>
    <mergeCell ref="A59:A61"/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8"/>
  <sheetViews>
    <sheetView workbookViewId="0">
      <selection activeCell="D9" sqref="A1:D9"/>
    </sheetView>
  </sheetViews>
  <sheetFormatPr defaultRowHeight="14.4" x14ac:dyDescent="0.3"/>
  <cols>
    <col min="1" max="1" width="31" customWidth="1"/>
    <col min="2" max="2" width="13" customWidth="1"/>
  </cols>
  <sheetData>
    <row r="1" spans="1:3" x14ac:dyDescent="0.3">
      <c r="A1" s="259"/>
      <c r="B1" s="5"/>
      <c r="C1" s="597"/>
    </row>
    <row r="2" spans="1:3" x14ac:dyDescent="0.3">
      <c r="A2" s="15"/>
      <c r="B2" s="5"/>
      <c r="C2" s="597"/>
    </row>
    <row r="3" spans="1:3" x14ac:dyDescent="0.3">
      <c r="A3" s="80"/>
      <c r="B3" s="7"/>
      <c r="C3" s="597"/>
    </row>
    <row r="4" spans="1:3" x14ac:dyDescent="0.3">
      <c r="A4" s="15"/>
      <c r="B4" s="5"/>
      <c r="C4" s="597"/>
    </row>
    <row r="5" spans="1:3" x14ac:dyDescent="0.3">
      <c r="A5" s="11"/>
      <c r="B5" s="7"/>
      <c r="C5" s="597"/>
    </row>
    <row r="6" spans="1:3" x14ac:dyDescent="0.3">
      <c r="A6" s="23"/>
      <c r="B6" s="5"/>
      <c r="C6" s="597"/>
    </row>
    <row r="7" spans="1:3" x14ac:dyDescent="0.3">
      <c r="A7" s="15"/>
      <c r="B7" s="7"/>
      <c r="C7" s="597"/>
    </row>
    <row r="8" spans="1:3" x14ac:dyDescent="0.3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Молоков Александр Сергеевич</cp:lastModifiedBy>
  <cp:lastPrinted>2025-11-12T09:04:29Z</cp:lastPrinted>
  <dcterms:created xsi:type="dcterms:W3CDTF">2016-04-05T12:11:40Z</dcterms:created>
  <dcterms:modified xsi:type="dcterms:W3CDTF">2025-12-02T15:43:51Z</dcterms:modified>
</cp:coreProperties>
</file>